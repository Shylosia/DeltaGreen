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4750" windowHeight="12080" activeTab="0" firstSheet="0"/>
  </bookViews>
  <sheets>
    <sheet name="人物卡" sheetId="2" r:id="rId1"/>
    <sheet name="骰子指令" sheetId="11" r:id="rId2"/>
    <sheet name="职业列表" sheetId="9" r:id="rId3" state="hidden"/>
    <sheet name="额外技能包" sheetId="10" r:id="rId4" state="hidden"/>
    <sheet name="子技能" sheetId="5" r:id="rId5" state="hidden"/>
    <sheet name="附表" sheetId="4" r:id="rId6" state="hidden"/>
    <sheet name="更新记录" sheetId="8" r:id="rId8"/>
    <sheet name="职业选项" sheetId="14" state="hidden" r:id="rId9"/>
    <sheet name="规则数据" sheetId="15" state="hidden" r:id="rId10"/>
    <sheet name="规则速查" sheetId="16" r:id="rId11"/>
    <sheet name="精神疾病" sheetId="17" r:id="rIdV15Ref0"/>
    <sheet name="参考选项" sheetId="18" r:id="rIdV15Ref1"/>
    <sheet name="模组经历备忘录" sheetId="19" r:id="rIdV16Memo"/>
    <sheet name="幕间与结算" sheetId="20" state="visible" r:id="rIdJournal1"/>
    <sheet name="幕间计算" sheetId="21" state="hidden" r:id="rIdJournal2"/>
    <sheet name="可打印版（A4）" sheetId="13" r:id="rId12"/>
  </sheets>
  <definedNames>
    <definedName name="_xlnm._FilterDatabase" localSheetId="9" hidden="1">'规则速查'!$A$8:$C$546</definedName>
    <definedName name="EditableLeft">人物卡!$E$3:$Z$4,人物卡!$U$5:$Z$6,人物卡!$E$5,人物卡!$E$6,人物卡!$M$6,人物卡!$E$7:$Z$8,人物卡!$AN$3:$BG$8,人物卡!$H$10,人物卡!$V$10,人物卡!$AH$10,人物卡!$AU$10,人物卡!$AU$10,人物卡!$BD$10:$BG$11,人物卡!$B$14:$C$43,人物卡!$J$18:$O$20,人物卡!$J$25:$O$28,人物卡!$J$36:$O$38,人物卡!$AM$17:$AR$19,人物卡!$AM$24:$AR$26,人物卡!$AM$29:$AR$31,人物卡!$AG$40:$BG$43,人物卡!$V$14:$AD$43,人物卡!$AY$14:$BG$38,人物卡!$BE$39,人物卡!$AH$3:$AJ$8,人物卡!$AE$14:$AF$38,人物卡!$AE$40:$AF$43</definedName>
    <definedName name="EditableMiddle">人物卡!$BX$3:$CX$11,人物卡!$BN$14,人物卡!$BN$17,人物卡!$BI$27</definedName>
    <definedName name="EditableRight">人物卡!$CZ$3,人物卡!$DR$3,人物卡!$EI$3,人物卡!$EK$8,人物卡!$CZ$14:$EG$20,人物卡!$CZ$23:$EC$43,人物卡!$ED$24:$EG$25,人物卡!$ED$27:$EG$28,人物卡!$ED$30:$EG$31,人物卡!$ED$33:$EG$34,人物卡!$ED$36:$EG$37,人物卡!$ED$39:$EG$40,人物卡!$ED$42:$EG$43,人物卡!$EI$23,人物卡!$EI$17</definedName>
    <definedName name="_xlnm.Print_Area" localSheetId="15">'可打印版（A4）'!$A$1:$AJ$104</definedName>
    <definedName name="主卡技能选项">OFFSET(规则数据!$Z$20,0,0,MAX(1,规则数据!$Z$19),1)</definedName>
    <definedName name="额外第1项">OFFSET(规则数据!$AA$20,0,0,MAX(1,规则数据!$AA$19),1)</definedName>
    <definedName name="额外第2项">OFFSET(规则数据!$AC$20,0,0,MAX(1,规则数据!$AC$19),1)</definedName>
    <definedName name="额外第3项">OFFSET(规则数据!$AE$20,0,0,MAX(1,规则数据!$AE$19),1)</definedName>
    <definedName name="额外第4项">OFFSET(规则数据!$AG$20,0,0,MAX(1,规则数据!$AG$19),1)</definedName>
    <definedName name="额外第5项">OFFSET(规则数据!$AI$20,0,0,MAX(1,规则数据!$AI$19),1)</definedName>
    <definedName name="额外第6项">OFFSET(规则数据!$AK$20,0,0,MAX(1,规则数据!$AK$19),1)</definedName>
    <definedName name="额外第7项">OFFSET(规则数据!$AM$20,0,0,MAX(1,规则数据!$AM$19),1)</definedName>
    <definedName name="额外第8项">OFFSET(规则数据!$AO$20,0,0,MAX(1,规则数据!$AO$19),1)</definedName>
    <definedName name="非自然心理疾病">'精神疾病'!$B$9:$B$16</definedName>
    <definedName name="武器下拉列表">规则数据!$A$500:$A$553</definedName>
    <definedName name="护甲下拉列表">规则数据!$A$560:$A$565</definedName>
    <definedName name="特训对应项">规则数据!$A$580:$A$644</definedName>
    <definedName name="_xlnm.Print_Titles" localSheetId="9">'规则速查'!$8:$8</definedName>
    <definedName name="_xlnm.Print_Area" localSheetId="9">'规则速查'!$A$8:$C$546</definedName>
    <definedName name="任选勾选值">'职业选项'!$AA$2:$AA$3</definedName>
    <definedName name="空白选项">'职业选项'!$AA$4</definedName>
    <definedName name="特训范例">'参考选项'!$B$20:$B$33</definedName>
    <definedName name="_xlnm.Print_Area" localSheetId="10">'精神疾病'!$A$1:$C$37</definedName>
    <definedName name="_xlnm.Print_Titles" localSheetId="10">'精神疾病'!$7:$7</definedName>
    <definedName name="_xlnm.Print_Area" localSheetId="11">'参考选项'!$A$1:$C$78</definedName>
    <definedName name="_xlnm.Print_Titles" localSheetId="11">'参考选项'!$7:$7</definedName>
    <definedName name="_xlnm.Print_Area" localSheetId="12">'模组经历备忘录'!$A$1:$H$27</definedName>
    <definedName name="_xlnm.Print_Titles" localSheetId="12">'模组经历备忘录'!$7:$7</definedName>
    <definedName name="模组编号">'幕间计算'!$J$2:$J$21</definedName>
    <definedName name="幕间事项">'幕间计算'!$L$2:$L$24</definedName>
    <definedName name="变更目标">'幕间计算'!$X$2:INDEX('幕间计算'!$X$2:$X$79,MAX(1,COUNTIF('幕间计算'!$X$2:$X$79,"?*")))</definedName>
    <definedName name="关系编号">'幕间计算'!$N$2:$N$8</definedName>
    <definedName name="关系称谓">'幕间计算'!$M$2:$M$13</definedName>
    <definedName name="成长候选00">'幕间计算'!$V$2:INDEX('幕间计算'!$V$2:$V$201,MAX(1,COUNTIF('幕间计算'!$V$2:$V$201,"?*")))</definedName>
    <definedName name="成长候选01">'幕间计算'!$AA$2:INDEX('幕间计算'!$AA$2:$AA$201,MAX(1,COUNTIF('幕间计算'!$AA$2:$AA$201,"?*")))</definedName>
    <definedName name="成长候选02">'幕间计算'!$AB$2:INDEX('幕间计算'!$AB$2:$AB$201,MAX(1,COUNTIF('幕间计算'!$AB$2:$AB$201,"?*")))</definedName>
    <definedName name="成长候选03">'幕间计算'!$AC$2:INDEX('幕间计算'!$AC$2:$AC$201,MAX(1,COUNTIF('幕间计算'!$AC$2:$AC$201,"?*")))</definedName>
    <definedName name="成长候选04">'幕间计算'!$AD$2:INDEX('幕间计算'!$AD$2:$AD$201,MAX(1,COUNTIF('幕间计算'!$AD$2:$AD$201,"?*")))</definedName>
    <definedName name="成长候选05">'幕间计算'!$AE$2:INDEX('幕间计算'!$AE$2:$AE$201,MAX(1,COUNTIF('幕间计算'!$AE$2:$AE$201,"?*")))</definedName>
    <definedName name="成长候选06">'幕间计算'!$AF$2:INDEX('幕间计算'!$AF$2:$AF$201,MAX(1,COUNTIF('幕间计算'!$AF$2:$AF$201,"?*")))</definedName>
    <definedName name="成长候选07">'幕间计算'!$AG$2:INDEX('幕间计算'!$AG$2:$AG$201,MAX(1,COUNTIF('幕间计算'!$AG$2:$AG$201,"?*")))</definedName>
    <definedName name="成长候选08">'幕间计算'!$AH$2:INDEX('幕间计算'!$AH$2:$AH$201,MAX(1,COUNTIF('幕间计算'!$AH$2:$AH$201,"?*")))</definedName>
    <definedName name="成长候选09">'幕间计算'!$AI$2:INDEX('幕间计算'!$AI$2:$AI$201,MAX(1,COUNTIF('幕间计算'!$AI$2:$AI$201,"?*")))</definedName>
    <definedName name="成长候选10">'幕间计算'!$AJ$2:INDEX('幕间计算'!$AJ$2:$AJ$201,MAX(1,COUNTIF('幕间计算'!$AJ$2:$AJ$201,"?*")))</definedName>
    <definedName name="成长候选11">'幕间计算'!$AK$2:INDEX('幕间计算'!$AK$2:$AK$201,MAX(1,COUNTIF('幕间计算'!$AK$2:$AK$201,"?*")))</definedName>
    <definedName name="成长候选12">'幕间计算'!$AL$2:INDEX('幕间计算'!$AL$2:$AL$201,MAX(1,COUNTIF('幕间计算'!$AL$2:$AL$201,"?*")))</definedName>
    <definedName name="成长候选13">'幕间计算'!$AM$2:INDEX('幕间计算'!$AM$2:$AM$201,MAX(1,COUNTIF('幕间计算'!$AM$2:$AM$201,"?*")))</definedName>
    <definedName name="成长候选14">'幕间计算'!$AN$2:INDEX('幕间计算'!$AN$2:$AN$201,MAX(1,COUNTIF('幕间计算'!$AN$2:$AN$201,"?*")))</definedName>
    <definedName name="成长候选15">'幕间计算'!$AO$2:INDEX('幕间计算'!$AO$2:$AO$201,MAX(1,COUNTIF('幕间计算'!$AO$2:$AO$201,"?*")))</definedName>
    <definedName name="成长候选16">'幕间计算'!$AP$2:INDEX('幕间计算'!$AP$2:$AP$201,MAX(1,COUNTIF('幕间计算'!$AP$2:$AP$201,"?*")))</definedName>
    <definedName name="成长候选17">'幕间计算'!$AQ$2:INDEX('幕间计算'!$AQ$2:$AQ$201,MAX(1,COUNTIF('幕间计算'!$AQ$2:$AQ$201,"?*")))</definedName>
    <definedName name="成长候选18">'幕间计算'!$AR$2:INDEX('幕间计算'!$AR$2:$AR$201,MAX(1,COUNTIF('幕间计算'!$AR$2:$AR$201,"?*")))</definedName>
    <definedName name="成长候选19">'幕间计算'!$AS$2:INDEX('幕间计算'!$AS$2:$AS$201,MAX(1,COUNTIF('幕间计算'!$AS$2:$AS$201,"?*")))</definedName>
    <definedName name="成长候选20">'幕间计算'!$AT$2:INDEX('幕间计算'!$AT$2:$AT$201,MAX(1,COUNTIF('幕间计算'!$AT$2:$AT$201,"?*")))</definedName>
    <definedName name="_xlnm.Print_Area" localSheetId="6">'更新记录'!$A$1:$B$150</definedName>
    <definedName name="_xlnm.Print_Titles" localSheetId="6">'更新记录'!$10:$10</definedName>
  </definedNames>
  <calcPr calcId="191029"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Codex</author>
    <author>技能说明</author>
    <author>User</author>
  </authors>
  <commentList>
    <comment ref="D14" authorId="1">
      <text>
        <r>
          <rPr>
            <sz val="8"/>
            <color rgb="FF000000"/>
            <rFont val="等线"/>
            <family val="2"/>
          </rPr>
          <t xml:space="preserve">对金融和商务的了解。用它来从财务报告中筛选出异常，例如隐藏的银行账号或洗黑钱的证据。</t>
        </r>
      </text>
    </comment>
    <comment ref="AG14" authorId="1">
      <text>
        <r>
          <rPr>
            <sz val="8"/>
            <color rgb="FF000000"/>
            <rFont val="等线"/>
            <family val="2"/>
          </rPr>
          <t xml:space="preserve">用法律和法庭给你的特工带来优势。用这个技能让你的特工在法庭里达成目标，确定在刑事或民事诉讼中对待证据的正确程序（以及减弱证据效力的方法），用哄骗的方式摆脱法律上的麻烦，或减少违法的风险。法律技能仅适用于你特工出生的国家；要用在其他国家的法律上需要特训。</t>
        </r>
      </text>
    </comment>
    <comment ref="CZ14" authorId="0">
      <text>
        <r>
          <rPr>
            <sz val="8"/>
            <color rgb="FF000000"/>
            <rFont val="等线"/>
            <family val="2"/>
          </rPr>
          <t xml:space="preserve">选择武器后自动带入本行数值。自定义武器的其他字段需自行填写，会替换对应公式。近战伤害加成单列。</t>
        </r>
      </text>
    </comment>
    <comment ref="D15" authorId="1">
      <text>
        <r>
          <rPr>
            <sz val="8"/>
            <color rgb="FF000000"/>
            <rFont val="等线"/>
            <family val="2"/>
          </rPr>
          <t xml:space="preserve">警觉技能用于探测危险。用它来听到手枪保险被开启的声音，辨识出墙另一边的呢喃，注意到藏在大衣下的手枪造成的凸起，或抓住某个试图潜藏以躲开视线的人。</t>
        </r>
      </text>
    </comment>
    <comment ref="AG15" authorId="1">
      <text>
        <r>
          <rPr>
            <sz val="8"/>
            <color rgb="FF000000"/>
            <rFont val="等线"/>
            <family val="2"/>
          </rPr>
          <t xml:space="preserve">对创伤和疾病的研究和治疗。用这个技能诊断创伤、疾病或中毒的来源，识别毒素或疾病之类的身体异常，检定死因和死亡时间，判断凶杀武器的类型，推导死者的最后一餐是什么，或开出一份合适的长期疗养方案。相比而言，急救让患者能活着等到手术，而手术则能处理严重的伤情。</t>
        </r>
      </text>
    </comment>
    <comment ref="D16" authorId="1">
      <text>
        <r>
          <rPr>
            <sz val="8"/>
            <color rgb="FF000000"/>
            <rFont val="等线"/>
            <family val="2"/>
          </rPr>
          <t xml:space="preserve">对现存人类文化的研究。用它来理解价值观念、宗教信仰、道德准则和风俗习惯，以及辨别鲜为人知的语言（但不能翻译）。相比而言，历史研究的是遥远的过去，考古学研究的是物质遗存，而人类学更注重于现存文化的行为，他们彼此之间以及与过去之间的联系，以及如何安全地与其打交道。</t>
        </r>
      </text>
    </comment>
    <comment ref="AG16" authorId="1">
      <text>
        <r>
          <rPr>
            <sz val="8"/>
            <color rgb="FF000000"/>
            <rFont val="等线"/>
            <family val="2"/>
          </rPr>
          <t xml:space="preserve">在战斗中致命地使用近战武器。用这个技能来挥舞刀、斧、棒槌或其他武器伤害或杀死敌人。</t>
        </r>
      </text>
    </comment>
    <comment ref="D17" authorId="1">
      <text>
        <r>
          <rPr>
            <sz val="8"/>
            <color rgb="FF000000"/>
            <rFont val="等线"/>
            <family val="2"/>
          </rPr>
          <t xml:space="preserve">对人类文化的物质遗存的研究。用这个技能来从废墟中分析出一个民族的生活方式，判断某个工艺品的年代，分辨工艺品的真伪，以及辨别人类的语言（但不能翻译）。相比而言，人类学研究的是现存文化，历史是宽泛地研究过去，而考古学是从早已死去之人遗存的物件中寻求答案。</t>
        </r>
      </text>
    </comment>
    <comment ref="AG17"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8"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8"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9"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9"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20"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20" authorId="1">
      <text>
        <r>
          <rPr>
            <sz val="8"/>
            <color rgb="FF000000"/>
            <rFont val="等线"/>
            <family val="2"/>
          </rPr>
          <t xml:space="preserve">使用你的地图、图表、寻路训练、器具或是依靠瞎猜来快速地找到方向。</t>
        </r>
      </text>
    </comment>
    <comment ref="D21" authorId="1">
      <text>
        <r>
          <rPr>
            <sz val="8"/>
            <color rgb="FF000000"/>
            <rFont val="等线"/>
            <family val="2"/>
          </rPr>
          <t xml:space="preserve">安全并准确地使用迫击炮、导弹、榴弹炮、坦克炮以及其他重型火炮。用它来在战斗中摧毁部队或是硬目标。</t>
        </r>
      </text>
    </comment>
    <comment ref="AG21" authorId="1">
      <text>
        <r>
          <rPr>
            <sz val="8"/>
            <color rgb="FF000000"/>
            <rFont val="等线"/>
            <family val="2"/>
          </rPr>
          <t xml:space="preserve">通过人类传统所理解的方式来研究超自然事物，包括阴谋论、伪科学和神秘动物学等概念。用神秘学来检查并推测一场仪式的意图，或是辨别不同的超自然传统、团体、魔法书、器具、标志或传说。神秘学无法帮助特工分辨什么是真的非自然，什么只是迷信或神话。那是非自然知识技能所管辖的问题。</t>
        </r>
      </text>
    </comment>
    <comment ref="D22" authorId="1">
      <text>
        <r>
          <rPr>
            <sz val="8"/>
            <color rgb="FF000000"/>
            <rFont val="等线"/>
            <family val="2"/>
          </rPr>
          <t xml:space="preserve">特工为了最好地运用其身体强度与和灵巧性而进行训练。相比而言，力量和敏捷两个属性指的是作为基础的身体能力和动手能力，而运动则代表了诸如跑步、跳跃、攀爬和投掷等活动的长期练习。用运动技能来：
• 跑得比某人更快。
• 跳过一条吓人的豁口。
• 在危难时攀爬。
• 从不高于三米的高度安全着地。
• 用飞刀精准地击中目标或把手榴弹投掷到正确的地点。
• 在没有被告知的情况下接住什么东西，例如一颗被投出的手榴弹。</t>
        </r>
      </text>
    </comment>
    <comment ref="AG22" authorId="1">
      <text>
        <r>
          <rPr>
            <sz val="8"/>
            <color rgb="FF000000"/>
            <rFont val="等线"/>
            <family val="2"/>
          </rPr>
          <t xml:space="preserve">改变另一个人根深蒂固的决定或欲望。当对方过于固执，你的特工所求之物过于宝贵，或者谎言过于明显时，魅力已经不足以达成目的，此时应使用说服技能。你的特工或许会用说服来使一个证人相信她看到的东西并无疑点、不是非自然现象，使一位警探为了所有人的利益帮助你掩盖线索，或从一个不配合的对象中获取有用的情报。这个技能还能帮你的特工在说服对抗中抵御他人的威逼利诱或审讯。</t>
        </r>
      </text>
    </comment>
    <comment ref="D23" authorId="1">
      <text>
        <r>
          <rPr>
            <sz val="8"/>
            <color rgb="FF000000"/>
            <rFont val="等线"/>
            <family val="2"/>
          </rPr>
          <t xml:space="preserve">对于管理一个组织所需的规则和人员的操控。用这个技能来寻找和借取物资，说服官员以让他们提供信息或资源，获得通往禁区的通行证，或是避免医院在你伤口的来源这个问题上挖得太深。</t>
        </r>
      </text>
    </comment>
    <comment ref="AG23" authorId="1">
      <text>
        <r>
          <rPr>
            <sz val="8"/>
            <color rgb="FF000000"/>
            <rFont val="等线"/>
            <family val="2"/>
          </rPr>
          <t xml:space="preserve">对药物的了解，从它们的原料和制作方法，到它们的效果、用处和误用。用这个技能来辨别和生产药物和解毒剂——以及毒药。鉴定药物需要至少20% 技能等级。安全地制造特别强力的药物，比如带有精神活性的药物，需要至少 40% 技能等级，或成功的检定。误用药学技能可能会使患者迅速丧失性命。</t>
        </r>
      </text>
    </comment>
    <comment ref="D24" authorId="1">
      <text>
        <r>
          <rPr>
            <sz val="8"/>
            <color rgb="FF000000"/>
            <rFont val="等线"/>
            <family val="2"/>
          </rPr>
          <t xml:space="preserve">深入了解计算机、计算机系统以及运行它们的程序。用这个技能来恢复已被删除或加密的数据，保护文件以免受入侵，植入软件以劫持电脑系统,复制一部手机的 SIM 卡，在一套安保系统中找出漏洞，假扮用户，或是伪造数据。这一技能常常与电工或微电子等工艺的专攻技能相配合。</t>
        </r>
      </text>
    </comment>
    <comment ref="AG24"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5"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5"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6"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6"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7"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7" authorId="1">
      <text>
        <r>
          <rPr>
            <sz val="8"/>
            <color rgb="FF000000"/>
            <rFont val="等线"/>
            <family val="2"/>
          </rPr>
          <t xml:space="preserve">对精神疾病的诊断和治疗。用这个技能来分辨精神疾病，帮助患者康复，在疾病发作时让病人冷静，以及长期地治疗精神疾病。你不能对自己使用精神治疗。用精神治疗来帮助接触过非自然力量的患者可能会使你遭受理智损失。</t>
        </r>
      </text>
    </comment>
    <comment ref="D28"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8" authorId="1">
      <text>
        <r>
          <rPr>
            <sz val="8"/>
            <color rgb="FF000000"/>
            <rFont val="等线"/>
            <family val="2"/>
          </rPr>
          <t xml:space="preserve">对待、训练及骑乘马、驴、骆驼等动物。更加罕见的坐骑可能需要特训。使用骑术来保证自己能在危机中安全地骑在坐骑上，并保持坐骑冷静、健康。</t>
        </r>
      </text>
    </comment>
    <comment ref="D29" authorId="1">
      <text>
        <r>
          <rPr>
            <sz val="8"/>
            <color rgb="FF000000"/>
            <rFont val="等线"/>
            <family val="2"/>
          </rPr>
          <t xml:space="preserve">对于罪犯和共谋过程的知识。用这个技能来识别并预测犯罪行为，推导犯罪团伙成员之间的关系，分析犯罪活动，检查证词，或知道在黑手党里该找谁说话。</t>
        </r>
      </text>
    </comment>
    <comment ref="AG29"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0" authorId="1">
      <text>
        <r>
          <rPr>
            <sz val="8"/>
            <color rgb="FF000000"/>
            <rFont val="等线"/>
            <family val="2"/>
          </rPr>
          <t xml:space="preserve">在危机中安全地处理爆炸物。用这个技能来解除炸弹，设置引爆装置来远程摧毁目标，用五金店里的物资拼凑出爆炸物，或分析爆炸的残余以确定爆炸源。在处理爆炸物时，检定失败意味着你的特工需要花费更多时间。如果情况危急且大失败，则意味着引起了意外爆炸。</t>
        </r>
      </text>
    </comment>
    <comment ref="AG30"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1" authorId="1">
      <text>
        <r>
          <rPr>
            <sz val="8"/>
            <color rgb="FF000000"/>
            <rFont val="等线"/>
            <family val="2"/>
          </rPr>
          <t xml:space="preserve">改变你特工的外貌、声音、姿势、肢体语言和言谈举止，在不引起注意的情况下避免被人认出。</t>
        </r>
      </text>
    </comment>
    <comment ref="AG31"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2" authorId="1">
      <text>
        <r>
          <rPr>
            <sz val="8"/>
            <color rgb="FF000000"/>
            <rFont val="等线"/>
            <family val="2"/>
          </rPr>
          <t xml:space="preserve">利用直觉和反射来躲避危险与攻击。在应对枪械和爆炸物时，闪避能帮助特工在子弹飞出之前躲到掩体后。</t>
        </r>
      </text>
    </comment>
    <comment ref="AG32" authorId="1">
      <text>
        <r>
          <rPr>
            <sz val="8"/>
            <color rgb="FF000000"/>
            <rFont val="等线"/>
            <family val="2"/>
          </rPr>
          <t xml:space="preserve">寻找被藏起来、或是不在显眼地方的物件。搜索现场或许不需要搜寻技能，只需要时间和精力，或者足够高的智力。用搜寻技能来找到用潜藏技能藏起来的物件，或是因掩盖、伪装得太好而只有专家才能找出的物件。掌局者可以选择以暗骰代行搜寻检定，这样你就不知道你的特工是否成功了。</t>
        </r>
      </text>
    </comment>
    <comment ref="D33" authorId="1">
      <text>
        <r>
          <rPr>
            <sz val="8"/>
            <color rgb="FF000000"/>
            <rFont val="等线"/>
            <family val="2"/>
          </rPr>
          <t xml:space="preserve">在危机中安全地使用汽车或摩托车。除非掌局者反对，每个特工都拥有驾照，也能在正常条件下安全驾驶。用这个技能来在高速追逐时或在路况不良时保证车辆的安全。</t>
        </r>
      </text>
    </comment>
    <comment ref="AG33" authorId="1">
      <text>
        <r>
          <rPr>
            <sz val="8"/>
            <color rgb="FF000000"/>
            <rFont val="等线"/>
            <family val="2"/>
          </rPr>
          <t xml:space="preserve">这个技能涵盖加密、通信情报、电子情报、对无线电或数字通信的监视及密码的制作与破解等技术。用这个技能来安装或关闭电脑病毒或窃听器，用摩尔斯电码交流，或操纵监控设备等等。
注：SIGINT，全称 Signals intelligence。</t>
        </r>
      </text>
    </comment>
    <comment ref="D34" authorId="1">
      <text>
        <r>
          <rPr>
            <sz val="8"/>
            <color rgb="FF000000"/>
            <rFont val="等线"/>
            <family val="2"/>
          </rPr>
          <t xml:space="preserve">安全并准确地在战斗中射击轻武器。用这个技能在由肾上腺素、慌乱和暴力导致的惊愕影响到了手眼协调的情况下击中目标。</t>
        </r>
      </text>
    </comment>
    <comment ref="AG34" authorId="1">
      <text>
        <r>
          <rPr>
            <sz val="8"/>
            <color rgb="FF000000"/>
            <rFont val="等线"/>
            <family val="2"/>
          </rPr>
          <t xml:space="preserve">掩盖你的存在或行动。用这个技能来藏起一把手枪，给一个地点盖上伪装，藏起麦克风，偷偷地在一处秘密传递点留下信封，扒窃，悄无声息地走动，尾行他人而不被发现，或是融入人群。当特工尝试使用潜藏时，必须通过警觉或搜寻的对抗检定才能发现。
注：秘密传递点：间谍们传递物件时常用的手段，在一处不显眼的地方放下物件，让对方自己来取。</t>
        </r>
      </text>
    </comment>
    <comment ref="D35" authorId="1">
      <text>
        <r>
          <rPr>
            <sz val="8"/>
            <color rgb="FF000000"/>
            <rFont val="等线"/>
            <family val="2"/>
          </rPr>
          <t xml:space="preserve">对伤势进行初步的处理和稳定。用这个技能来帮助某个角色回复体力。相比而言，手术用于处理更严重的伤口，而医学则保证长期的康复。</t>
        </r>
      </text>
    </comment>
    <comment ref="AG35" authorId="1">
      <text>
        <r>
          <rPr>
            <sz val="8"/>
            <color rgb="FF000000"/>
            <rFont val="等线"/>
            <family val="2"/>
          </rPr>
          <t xml:space="preserve">对伤口或身体异常进行侵入式治疗。相比而言，急救让患者能活着等到手术，而手术则保证长期的康复。</t>
        </r>
      </text>
    </comment>
    <comment ref="D36"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6" authorId="1">
      <text>
        <r>
          <rPr>
            <sz val="8"/>
            <color rgb="FF000000"/>
            <rFont val="等线"/>
            <family val="2"/>
          </rPr>
          <t xml:space="preserve">对大自然的了解。用这个技能来发现脚印和足迹，计划一次探险，预测天气，发现动植物的异常，用环境来获取其他信息，或是寻找食物、水和避难所。</t>
        </r>
      </text>
    </comment>
    <comment ref="D37"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7" authorId="1">
      <text>
        <r>
          <rPr>
            <sz val="8"/>
            <color rgb="FF000000"/>
            <rFont val="等线"/>
            <family val="2"/>
          </rPr>
          <t xml:space="preserve">大多数特工都能以游泳作为消遣。在危险的情况下才需使用游泳技能：在波浪起伏的水中长距离游泳，让伙伴免于溺水，或是在那个水下的触手状东西抓住你之前游到船边。</t>
        </r>
      </text>
    </comment>
    <comment ref="D38"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8" authorId="1">
      <text>
        <r>
          <rPr>
            <sz val="8"/>
            <color rgb="FF000000"/>
            <rFont val="等线"/>
            <family val="2"/>
          </rPr>
          <t xml:space="preserve">自卫术。几个未受训者之间的格斗往往更多是推搡和叫喊，没有多少真正的暴力。用徒手搏斗来使用空手（或者脚、肘部、牙齿、头）对敌人造成伤害或夺取性命。</t>
        </r>
      </text>
    </comment>
    <comment ref="D39" authorId="1">
      <text>
        <r>
          <rPr>
            <sz val="8"/>
            <color rgb="FF000000"/>
            <rFont val="等线"/>
            <family val="2"/>
          </rPr>
          <t xml:space="preserve">用法证工具收集详细的信息和证据。用这个技能来记录生物特征数据，确定所使用的凶器或是引发火灾的助燃剂的细节，辨别出普通搜索者无法识别的关键线索，清理犯罪证据现场，或是收集、分析和比对指纹及 DNA 样本。</t>
        </r>
      </text>
    </comment>
    <comment ref="AG39" authorId="1">
      <text>
        <r>
          <rPr>
            <sz val="8"/>
            <color rgb="FF000000"/>
            <rFont val="等线"/>
            <family val="2"/>
          </rPr>
          <t xml:space="preserve">对宇宙中最基础而又摧毁心智的秘密的了解。用这个技能来回忆、辨别或研究那些人类划定为非自然事物的事实。这一行为远远超出神秘学的范畴，因为非自然知识所指之事真实存在。用这个技能来仔细研究神话和民间传说中最黑暗的部分，然后分辨出其中哪些是真实的描述。你特工的理智不能高过 99 减去他或她的非自然知识技能等级。</t>
        </r>
      </text>
    </comment>
    <comment ref="D40" authorId="1">
      <text>
        <r>
          <rPr>
            <sz val="8"/>
            <color rgb="FF000000"/>
            <rFont val="等线"/>
            <family val="2"/>
          </rPr>
          <t xml:space="preserve">在危机中安全地使用拖拉机、起重机、推土机、坦克、重型卡车或是任何其他大型机械。</t>
        </r>
      </text>
    </comment>
    <comment ref="D41" authorId="1">
      <text>
        <r>
          <rPr>
            <sz val="8"/>
            <color rgb="FF000000"/>
            <rFont val="等线"/>
            <family val="2"/>
          </rPr>
          <t xml:space="preserve">安全并准确地使用单兵便携式重武器，例如机枪和火箭发射器。用重型武器来压制敌人，或在战斗中摧毁载具。</t>
        </r>
      </text>
    </comment>
    <comment ref="D42" authorId="1">
      <text>
        <r>
          <rPr>
            <sz val="8"/>
            <color rgb="FF000000"/>
            <rFont val="等线"/>
            <family val="2"/>
          </rPr>
          <t xml:space="preserve">发掘与人类的过去相关的事实和理论。用这个技能来记住或找到与遥远的过去相关的关键事实，解读晦涩的暗喻，或是从图书馆或数据库梳理出缺乏这类教育的人无法找到的信息。相比而言，人类学研究的是现存文化，考古学研究的是古代遗址的意义，而历史是宽泛地观察人类历史。</t>
        </r>
      </text>
    </comment>
    <comment ref="D43" authorId="1">
      <text>
        <r>
          <rPr>
            <sz val="8"/>
            <color rgb="FF000000"/>
            <rFont val="等线"/>
            <family val="2"/>
          </rPr>
          <t xml:space="preserve">这个技能能够通过观察、交流或是检查行为和人际关系的规律，获得有关某个对象的信息，尤其是该对象想要隐瞒的信息。用人源情报来从言语细节和肢体语言中辩识出不诚实的迹象，衡量态度和意图，旁敲侧击地获取有关对象的信息，找到让对象合作的方法，或发现与对象想隐瞒之事相关的线索。人源情报可以发现精神疾病的迹象，但只有精神治疗才能进行诊断并治疗特定的疾病。如果你的特工还了解犯罪学，人源情报可以用于编纂行为侧写，以帮助寻找某人。如果有人想要蓄意骗过你的特工，他可以尝试进行说服检定，以对抗你的特工的人源情报。
注：HUMINT，全称 Human intelligence，又译人力情报。
行为侧写：犯罪学术语，指对一个人心理状况的评估，能够预测他人的行为并判断个人特征。</t>
        </r>
      </text>
    </comment>
    <comment ref="AB2" authorId="2">
      <text>
        <r>
          <rPr>
            <sz val="8"/>
            <color rgb="FF000000"/>
            <rFont val="等线"/>
            <family val="2"/>
          </rPr>
          <t>创建时每项属性为3～18，普通成年人平均10。可掷六次4D6，每次去掉最低一骰后分配；或分配72点。职业不分配属性。初始属性在“幕间与结算”填写，主卡显示累计值。</t>
        </r>
      </text>
    </comment>
    <comment ref="AB3" authorId="2">
      <text>
        <r>
          <rPr>
            <sz val="8"/>
            <color rgb="FF000000"/>
            <rFont val="等线"/>
            <family val="2"/>
          </rPr>
          <t xml:space="preserve">身体强度、体型与肌肉量，可用于破门、拖拽或压制。与体质共同决定体力上限，也决定近战伤害加成。</t>
        </r>
      </text>
    </comment>
    <comment ref="AB4" authorId="2">
      <text>
        <r>
          <rPr>
            <sz val="8"/>
            <color rgb="FF000000"/>
            <rFont val="等线"/>
            <family val="2"/>
          </rPr>
          <t xml:space="preserve">健康与身体耐受度，可用于抵御疾病、疲倦、痛苦或长时间屏息。与力量共同决定体力上限。</t>
        </r>
      </text>
    </comment>
    <comment ref="AB5" authorId="2">
      <text>
        <r>
          <rPr>
            <sz val="8"/>
            <color rgb="FF000000"/>
            <rFont val="等线"/>
            <family val="2"/>
          </rPr>
          <t xml:space="preserve">迅捷、协调与灵活，常用于平衡和快速反应。战斗通常按敏捷从高到低行动。</t>
        </r>
      </text>
    </comment>
    <comment ref="AB6" authorId="2">
      <text>
        <r>
          <rPr>
            <sz val="8"/>
            <color rgb="FF000000"/>
            <rFont val="等线"/>
            <family val="2"/>
          </rPr>
          <t xml:space="preserve">注意、记忆和关联事物的能力，可用于回忆细节、整理线索。需要专业训练的0%技能不能仅靠智力替代。</t>
        </r>
      </text>
    </comment>
    <comment ref="AB7" authorId="2">
      <text>
        <r>
          <rPr>
            <sz val="8"/>
            <color rgb="FF000000"/>
            <rFont val="等线"/>
            <family val="2"/>
          </rPr>
          <t>自我强度、动力与精神耐受度，决定毅力上限并参与初始理智和崩溃点计算。</t>
        </r>
      </text>
    </comment>
    <comment ref="AB8" authorId="2">
      <text>
        <r>
          <rPr>
            <sz val="8"/>
            <color rgb="FF000000"/>
            <rFont val="等线"/>
            <family val="2"/>
          </rPr>
          <t>吸引力、领导力与个人气质，决定创建时每段重要关系的初始值。</t>
        </r>
      </text>
    </comment>
    <comment ref="AK2" authorId="2">
      <text>
        <r>
          <rPr>
            <sz val="8"/>
            <color rgb="FF000000"/>
            <rFont val="等线"/>
            <family val="2"/>
          </rPr>
          <t xml:space="preserve">以有效属性×5为百分骰目标，不高于目标即成功。01及成功的同点双骰为大成功；00及失败的同点双骰为大失败。优先使用暂降后的属性，情景修正另计。</t>
        </r>
      </text>
    </comment>
    <comment ref="AN2" authorId="2">
      <text>
        <r>
          <rPr>
            <sz val="8"/>
            <color rgb="FF000000"/>
            <rFont val="等线"/>
            <family val="2"/>
          </rPr>
          <t xml:space="preserve">填降低后的数值，例如15降低3点应填12；没有暂降时留空。影响属性检定、体力／毅力上限、伤害加成及关系基准，不重置创建理智与崩溃点。暂降属性通常每天恢复1点。</t>
        </r>
      </text>
    </comment>
    <comment ref="AQ2" authorId="2">
      <text>
        <r>
          <rPr>
            <sz val="8"/>
            <color rgb="FF000000"/>
            <rFont val="等线"/>
            <family val="2"/>
          </rPr>
          <t xml:space="preserve">属性小于9或高于12时，可写一句对应的外貌或行为特征；不额外提供数值奖惩。</t>
        </r>
      </text>
    </comment>
    <comment ref="B10" authorId="2">
      <text>
        <r>
          <rPr>
            <sz val="8"/>
            <color rgb="FF000000"/>
            <rFont val="等线"/>
            <family val="2"/>
          </rPr>
          <t>上限＝（力量＋体质）÷2，向上取整。当前值初始等于上限，伤害与恢复按已确认记录累计。降至2或以下昏迷，降至0死亡。</t>
        </r>
      </text>
    </comment>
    <comment ref="N10" authorId="2">
      <text>
        <r>
          <rPr>
            <sz val="8"/>
            <color rgb="FF000000"/>
            <rFont val="等线"/>
            <family val="2"/>
          </rPr>
          <t>上限＝有效意志。当前值初始等于上限，消耗与恢复按已确认记录累计。剩1～2点时所有检定−20%；0点时无法检定成功，并暂由掌局者控制。整晚睡眠恢复1D6，每24小时一次。</t>
        </r>
      </text>
    </comment>
    <comment ref="AB10" authorId="2">
      <text>
        <r>
          <rPr>
            <sz val="8"/>
            <color rgb="FF000000"/>
            <rFont val="等线"/>
            <family val="2"/>
          </rPr>
          <t>上限＝99−非自然知识。创建值为原始意志×5扣除创伤损失，不超过上限。游戏中的变化按已确认记录累计；单次损失至少5点导致临时疯狂，降至0为永久疯狂。</t>
        </r>
      </text>
    </comment>
    <comment ref="AN10" authorId="2">
      <text>
        <r>
          <rPr>
            <sz val="8"/>
            <color rgb="FF000000"/>
            <rFont val="等线"/>
            <family val="2"/>
          </rPr>
          <t>初始通常为初始理智−意志。理智降到此值或以下时新增一项精神疾病，并将崩溃点重置为当前理智−意志；对应变化需记录并确认。不会随每次理智损失自动下降；创建时仅“人类不应知道之事”重置，其他三种背景保留原阈值。</t>
        </r>
      </text>
    </comment>
    <comment ref="AX10" authorId="2">
      <text>
        <r>
          <rPr>
            <sz val="8"/>
            <color rgb="FF000000"/>
            <rFont val="等线"/>
            <family val="2"/>
          </rPr>
          <t xml:space="preserve">因暴力损失理智而未临时疯狂或触及崩溃点，连续三次即适应；相应理智检定自动成功。完成前若因此疯狂或触及崩溃点，清空进度。获得适应时魅力及所有关系各减同一次1D6；创建“极端暴力”已付固定代价，不重复扣。</t>
        </r>
      </text>
    </comment>
    <comment ref="AX11" authorId="2">
      <text>
        <r>
          <rPr>
            <sz val="8"/>
            <color rgb="FF000000"/>
            <rFont val="等线"/>
            <family val="2"/>
          </rPr>
          <t xml:space="preserve">因无力感损失理智而未疯狂或触及崩溃点，连续三次即适应；完成前因此疯狂或触及崩溃点则清空进度。获得适应时意志永久减1D6；创建“关押或入狱”不重复扣。非自然现象不能适应。</t>
        </r>
      </text>
    </comment>
    <comment ref="AL9" authorId="2">
      <text>
        <r>
          <rPr>
            <sz val="8"/>
            <color rgb="FF000000"/>
            <rFont val="等线"/>
            <family val="2"/>
          </rPr>
          <t xml:space="preserve">按本职技能净点数推算创建时的关系数量；“艰苦经历”再去掉一段。实际已建立关系的数量另行统计。</t>
        </r>
      </text>
    </comment>
    <comment ref="BD9" authorId="2">
      <text>
        <r>
          <rPr>
            <sz val="8"/>
            <color rgb="FF000000"/>
            <rFont val="等线"/>
            <family val="2"/>
          </rPr>
          <t xml:space="preserve">仅统计技能包实际计入的点数，完整分配为8次×20＝160点。未选择或达到80%上限会减少实计点数；不包含创伤与成长。</t>
        </r>
      </text>
    </comment>
    <comment ref="P13" authorId="2">
      <text>
        <r>
          <rPr>
            <sz val="8"/>
            <color rgb="FF000000"/>
            <rFont val="等线"/>
            <family val="2"/>
          </rPr>
          <t xml:space="preserve">职业值替代基础值，再加额外与成长；额外包含技能包及创伤修正。此列为计算结果，技能上限99%。</t>
        </r>
      </text>
    </comment>
    <comment ref="S13" authorId="2">
      <text>
        <r>
          <rPr>
            <sz val="8"/>
            <color rgb="FF000000"/>
            <rFont val="等线"/>
            <family val="2"/>
          </rPr>
          <t xml:space="preserve">未接受职业训练时的基础等级；职业值会替代它。0%技能通常不能尝试；艺术、工艺、外语、军事科学、特种载具、科学须确定专攻。</t>
        </r>
      </text>
    </comment>
    <comment ref="V13" authorId="2">
      <text>
        <r>
          <rPr>
            <sz val="8"/>
            <color rgb="FF000000"/>
            <rFont val="等线"/>
            <family val="2"/>
          </rPr>
          <t xml:space="preserve">由职业、适用子模板及职业框内的选择计算，直接替代基础等级。专攻技能需先填写具体名称。</t>
        </r>
      </text>
    </comment>
    <comment ref="Y13" authorId="2">
      <text>
        <r>
          <rPr>
            <sz val="8"/>
            <color rgb="FF000000"/>
            <rFont val="等线"/>
            <family val="2"/>
          </rPr>
          <t xml:space="preserve">汇总技能包及创伤加点。技能包每次+20，可重复，创建上限80%；艰苦经历五项各+10，上限90%。两者均不能提升非自然知识。</t>
        </r>
      </text>
    </comment>
    <comment ref="AB13" authorId="2">
      <text>
        <r>
          <rPr>
            <sz val="8"/>
            <color rgb="FF000000"/>
            <rFont val="等线"/>
            <family val="2"/>
          </rPr>
          <t>成长为已确认记录的累计值。至少1%的普通技能失败可记录，非自然知识除外。主卡显示本模组未结算标记；每模组每技能结算一次，手录结算前值与1D4。幕间训练失败可提高3D6，技能上限99%。</t>
        </r>
      </text>
    </comment>
    <comment ref="H46" authorId="2">
      <text>
        <r>
          <rPr>
            <sz val="8"/>
            <color rgb="FF000000"/>
            <rFont val="等线"/>
            <family val="2"/>
          </rPr>
          <t xml:space="preserve">固定技能自动计入；职业框内按要求勾选候选技能，专攻名称直接填入上方技能格。切换职业会保留旧专攻及选择，需核对。</t>
        </r>
      </text>
    </comment>
    <comment ref="H47" authorId="2">
      <text>
        <r>
          <rPr>
            <sz val="8"/>
            <color rgb="FF000000"/>
            <rFont val="等线"/>
            <family val="2"/>
          </rPr>
          <t xml:space="preserve">仅部分职业有子模板；其他职业忽略本格保留的旧选择。</t>
        </r>
      </text>
    </comment>
    <comment ref="P48" authorId="2">
      <text>
        <r>
          <rPr>
            <sz val="8"/>
            <color rgb="FF000000"/>
            <rFont val="等线"/>
            <family val="2"/>
          </rPr>
          <t xml:space="preserve">固定技能不占任选名额；超选时任选职业值暂不计入，取消多余选择后恢复。专攻名称直接填写在上方技能格。</t>
        </r>
      </text>
    </comment>
    <comment ref="BW46" authorId="2">
      <text>
        <r>
          <rPr>
            <sz val="8"/>
            <color rgb="FF000000"/>
            <rFont val="等线"/>
            <family val="2"/>
          </rPr>
          <t>八次+20，可重复提升同一技能，创建上限80%。右栏可替换固定项，清空恢复模板；任选项按列表选择，专攻名称可填在上方技能格。切换技能包会保留旧输入。</t>
        </r>
      </text>
    </comment>
    <comment ref="DF46" authorId="2">
      <text>
        <r>
          <rPr>
            <sz val="8"/>
            <color rgb="FF000000"/>
            <rFont val="等线"/>
            <family val="2"/>
          </rPr>
          <t xml:space="preserve">按一种创建经历修正属性、技能、理智、适应和关系。艰苦经历需选五项不同技能与一段移除关系；人类不应知道之事需选非自然相关精神疾病。游戏中新损失另行记录。</t>
        </r>
      </text>
    </comment>
    <comment ref="DF54" authorId="2">
      <text>
        <r>
          <rPr>
            <sz val="8"/>
            <color rgb="FF000000"/>
            <rFont val="等线"/>
            <family val="2"/>
          </rPr>
          <t>显示创伤前的意志，通常为3～18。“关押或入狱”自动减3；初始理智仍从原始值×5扣除背景损失，不再因这3点意志额外下降。</t>
        </r>
      </text>
    </comment>
    <comment ref="DR54" authorId="2">
      <text>
        <r>
          <rPr>
            <sz val="8"/>
            <color rgb="FF000000"/>
            <rFont val="等线"/>
            <family val="2"/>
          </rPr>
          <t>显示创伤前的魅力，通常为3～18。“极端暴力”自动减3，关系按修正后魅力初始化，只扣一次。</t>
        </r>
      </text>
    </comment>
    <comment ref="DF55" authorId="2">
      <text>
        <r>
          <rPr>
            <sz val="8"/>
            <color rgb="FF000000"/>
            <rFont val="等线"/>
            <family val="2"/>
          </rPr>
          <t xml:space="preserve">仅艰苦经历生效。1～7对应自上而下七段关系，所选关系值归0并保留名字；不降低其他关系。</t>
        </r>
      </text>
    </comment>
    <comment ref="DR55" authorId="2">
      <text>
        <r>
          <rPr>
            <sz val="8"/>
            <color rgb="FF000000"/>
            <rFont val="等线"/>
            <family val="2"/>
          </rPr>
          <t xml:space="preserve">用于“人类不应知道之事”的非自然相关疾病，可与掌局者确定症状和诱因。选定后自动带入背景，症状不自动修改技能值。</t>
        </r>
      </text>
    </comment>
    <comment ref="DF57" authorId="2">
      <text>
        <r>
          <rPr>
            <sz val="8"/>
            <color rgb="FF000000"/>
            <rFont val="等线"/>
            <family val="2"/>
          </rPr>
          <t xml:space="preserve">选五个不同技能，各+10、最高90%，非自然知识除外；同名重复只计一次。神秘学已有固定+10，若再选入五项可另加10，仍受90%限制。</t>
        </r>
      </text>
    </comment>
    <comment ref="CZ22" authorId="2">
      <text>
        <r>
          <rPr>
            <sz val="8"/>
            <color rgb="FF000000"/>
            <rFont val="等线"/>
            <family val="2"/>
          </rPr>
          <t>对象须是活着且能互动的人或小群体。创建时每段关系值＝魅力，数量由职业决定。普通关系值不高于魅力；魅力降低时各关系同减。归0即破裂，保留记录；游戏中的关系变化与代价由已确认记录累计。</t>
        </r>
      </text>
    </comment>
    <comment ref="EF23" authorId="2">
      <text>
        <r>
          <rPr>
            <sz val="8"/>
            <color rgb="FF000000"/>
            <rFont val="等线"/>
            <family val="2"/>
          </rPr>
          <t xml:space="preserve">√为绿色三角洲队友关系，×为其他关系。新建DG关系不直接使用满魅力初始值，按共同灾难后的规则建立或加强，并结算普通关系代价。</t>
        </r>
      </text>
    </comment>
    <comment ref="BI17" authorId="2">
      <text>
        <r>
          <rPr>
            <sz val="8"/>
            <color rgb="FF000000"/>
            <rFont val="等线"/>
            <family val="2"/>
          </rPr>
          <t xml:space="preserve">人生动力最多五条，每次达到崩溃点去除一条。精神疾病记录诱因与症状；痊愈后标记“已痊愈”并保留记录。创伤疾病会自动带入，直接改写内容将替换自动引用。</t>
        </r>
      </text>
    </comment>
    <comment ref="EI16" authorId="2">
      <text>
        <r>
          <rPr>
            <sz val="8"/>
            <color rgb="FF000000"/>
            <rFont val="等线"/>
            <family val="2"/>
          </rPr>
          <t xml:space="preserve">体力降至2或以下时需体质×5检定，失败可能造成永久属性损失。记录伤残、持续疾病或成瘾的影响；本栏不自动修改属性。</t>
        </r>
      </text>
    </comment>
    <comment ref="BX2" authorId="2">
      <text>
        <r>
          <rPr>
            <sz val="8"/>
            <color rgb="FF000000"/>
            <rFont val="等线"/>
            <family val="2"/>
          </rPr>
          <t xml:space="preserve">为现有技能或属性增加特定用途，不单独增加技能等级。常见训练需10～20小时指导练习；缺少所需特训的后果由掌局者判断。</t>
        </r>
      </text>
    </comment>
    <comment ref="DM13" authorId="2">
      <text>
        <r>
          <rPr>
            <sz val="8"/>
            <color rgb="FF000000"/>
            <rFont val="等线"/>
            <family val="2"/>
          </rPr>
          <t xml:space="preserve">引用对应技能总值；瞄准、距离、遮蔽、霰弹与爆炸等情景修正另计。部分武器还需特训。</t>
        </r>
      </text>
    </comment>
    <comment ref="DQ13" authorId="2">
      <text>
        <r>
          <rPr>
            <sz val="8"/>
            <color rgb="FF000000"/>
            <rFont val="等线"/>
            <family val="2"/>
          </rPr>
          <t xml:space="preserve">骰式为普通伤害，百分比为致死等级；并列时按实际射击模式结算。致死检定成功使普通人类目标体力归0；失败将两颗D10相加，0按10。掩体、巨型及超然目标另计。</t>
        </r>
      </text>
    </comment>
    <comment ref="DW13" authorId="2">
      <text>
        <r>
          <rPr>
            <sz val="8"/>
            <color rgb="FF000000"/>
            <rFont val="等线"/>
            <family val="2"/>
          </rPr>
          <t xml:space="preserve">减少本次可用护甲等级，不直接增加伤害。爆炸武器的穿甲只对指定目标生效，不作用于击杀半径内其他受害者。</t>
        </r>
      </text>
    </comment>
    <comment ref="DZ13" authorId="2">
      <text>
        <r>
          <rPr>
            <sz val="8"/>
            <color rgb="FF000000"/>
            <rFont val="等线"/>
            <family val="2"/>
          </rPr>
          <t xml:space="preserve">以米计。超过基础射程但不到两倍通常−20%；超过两倍但不到五倍通常−40%。机枪支架、霰弹类型等特例另计。</t>
        </r>
      </text>
    </comment>
    <comment ref="ED13" authorId="2">
      <text>
        <r>
          <rPr>
            <sz val="8"/>
            <color rgb="FF000000"/>
            <rFont val="等线"/>
            <family val="2"/>
          </rPr>
          <t xml:space="preserve">以米计。成功的范围攻击对指定目标周围半径内角色施加致死检定，也可能造成压制。连射半径随射击模式变化，位置与掩体由掌局者判断。</t>
        </r>
      </text>
    </comment>
    <comment ref="EQ13" authorId="2">
      <text>
        <r>
          <rPr>
            <sz val="8"/>
            <color rgb="FF000000"/>
            <rFont val="等线"/>
            <family val="2"/>
          </rPr>
          <t xml:space="preserve">力量1～4：−2；5～8：−1；9～12：0；13～16：+1；17～18：+2。加入近战伤害后最低为0；武器骰式尚未包含此加成。</t>
        </r>
      </text>
    </comment>
    <comment ref="EK8" authorId="2">
      <text>
        <r>
          <rPr>
            <sz val="8"/>
            <color rgb="FF000000"/>
            <rFont val="等线"/>
            <family val="2"/>
          </rPr>
          <t xml:space="preserve">护甲抵减普通体力伤害，不能阻止成功致死检定；掩体另计。多来源护甲可叠加，先计算穿甲。此处只记录装备，不自动结算受伤量。</t>
        </r>
      </text>
    </comment>
  </commentList>
</comments>
</file>

<file path=xl/sharedStrings.xml><?xml version="1.0" encoding="utf-8"?>
<sst xmlns="http://schemas.openxmlformats.org/spreadsheetml/2006/main" count="20647" uniqueCount="3359">
  <si>
    <t>物品</t>
  </si>
  <si>
    <t>※ 属性</t>
  </si>
  <si>
    <t>数值</t>
  </si>
  <si>
    <t>×5</t>
  </si>
  <si>
    <t>暂降</t>
  </si>
  <si>
    <t>突出值解释</t>
  </si>
  <si>
    <t>头像</t>
  </si>
  <si>
    <t>※ 特训</t>
  </si>
  <si>
    <t>对应技能或属性</t>
  </si>
  <si>
    <t>※ 物品</t>
  </si>
  <si>
    <t>玩家</t>
  </si>
  <si>
    <t>力量</t>
  </si>
  <si>
    <t>STR</t>
  </si>
  <si>
    <t>特工</t>
  </si>
  <si>
    <t>体质</t>
  </si>
  <si>
    <t>CON</t>
  </si>
  <si>
    <t>性别</t>
  </si>
  <si>
    <t>年龄</t>
  </si>
  <si>
    <t>敏捷</t>
  </si>
  <si>
    <t>DEX</t>
  </si>
  <si>
    <t>国籍</t>
  </si>
  <si>
    <t>年代</t>
  </si>
  <si>
    <t>智力</t>
  </si>
  <si>
    <t>INT</t>
  </si>
  <si>
    <t>雇主</t>
  </si>
  <si>
    <t>意志</t>
  </si>
  <si>
    <t>POW</t>
  </si>
  <si>
    <t>职位</t>
  </si>
  <si>
    <t>魅力</t>
  </si>
  <si>
    <t>CHA</t>
  </si>
  <si>
    <t>护甲</t>
  </si>
  <si>
    <t>原始合计：</t>
  </si>
  <si>
    <t>总本职技能点：</t>
  </si>
  <si>
    <t>（初始重要关系数：</t>
  </si>
  <si>
    <t>总额外技能点：</t>
  </si>
  <si>
    <t>体力</t>
  </si>
  <si>
    <t>毅力</t>
  </si>
  <si>
    <t>理智</t>
  </si>
  <si>
    <t>崩溃点</t>
  </si>
  <si>
    <t>适应暴力</t>
  </si>
  <si>
    <t>Hit Points</t>
  </si>
  <si>
    <t>Willpower Points</t>
  </si>
  <si>
    <t>Sanity</t>
  </si>
  <si>
    <t>Breaking Point</t>
  </si>
  <si>
    <t>适应无力</t>
  </si>
  <si>
    <t>※ 技能</t>
  </si>
  <si>
    <t>总计</t>
  </si>
  <si>
    <t>初始</t>
  </si>
  <si>
    <t>职业</t>
  </si>
  <si>
    <t>额外</t>
  </si>
  <si>
    <t>成长</t>
  </si>
  <si>
    <t>※ 背景故事</t>
  </si>
  <si>
    <t>※ 武器</t>
  </si>
  <si>
    <t>技能%</t>
  </si>
  <si>
    <t>伤害/致死%</t>
  </si>
  <si>
    <t>穿甲</t>
  </si>
  <si>
    <t>基础射程</t>
  </si>
  <si>
    <t>半径</t>
  </si>
  <si>
    <t>近战伤害加成</t>
  </si>
  <si>
    <t>会计学</t>
  </si>
  <si>
    <t>法律</t>
  </si>
  <si>
    <t>外貌描述</t>
  </si>
  <si>
    <t>匕首</t>
  </si>
  <si>
    <t>Damage Bonus</t>
  </si>
  <si>
    <t>警觉</t>
  </si>
  <si>
    <t>医学</t>
  </si>
  <si>
    <t>人类学</t>
  </si>
  <si>
    <t>近战武器</t>
  </si>
  <si>
    <t>※ 永久伤残、顽疾或成瘾症</t>
  </si>
  <si>
    <t>考古学</t>
  </si>
  <si>
    <t>军事科学：</t>
  </si>
  <si>
    <t>人生动力
及
精神疾病</t>
  </si>
  <si>
    <t>艺术：</t>
  </si>
  <si>
    <t>导航</t>
  </si>
  <si>
    <t>炮术</t>
  </si>
  <si>
    <t>神秘学</t>
  </si>
  <si>
    <t>运动</t>
  </si>
  <si>
    <t>说服</t>
  </si>
  <si>
    <t>※ 重要关系</t>
  </si>
  <si>
    <t>关系数：</t>
  </si>
  <si>
    <t>魅力：</t>
  </si>
  <si>
    <t>※ 其他笔记</t>
  </si>
  <si>
    <t>行政</t>
  </si>
  <si>
    <t>药学</t>
  </si>
  <si>
    <t>值</t>
  </si>
  <si>
    <t>DG</t>
  </si>
  <si>
    <t>计算机科学</t>
  </si>
  <si>
    <t>特种载具：</t>
  </si>
  <si>
    <t>×</t>
  </si>
  <si>
    <t>工艺：</t>
  </si>
  <si>
    <t>精神治疗</t>
  </si>
  <si>
    <t>骑术</t>
  </si>
  <si>
    <t>犯罪学</t>
  </si>
  <si>
    <t>科学：</t>
  </si>
  <si>
    <t>爆破</t>
  </si>
  <si>
    <t>乔装</t>
  </si>
  <si>
    <t>闪避</t>
  </si>
  <si>
    <t>搜寻</t>
  </si>
  <si>
    <t>机动车驾驶</t>
  </si>
  <si>
    <t>信号情报</t>
  </si>
  <si>
    <t>射击</t>
  </si>
  <si>
    <t>潜藏</t>
  </si>
  <si>
    <t>急救</t>
  </si>
  <si>
    <t>手术</t>
  </si>
  <si>
    <t>外语：</t>
  </si>
  <si>
    <t>生存</t>
  </si>
  <si>
    <t>游泳</t>
  </si>
  <si>
    <t>徒手搏斗</t>
  </si>
  <si>
    <t>法证学</t>
  </si>
  <si>
    <t>非自然知识</t>
  </si>
  <si>
    <t>—</t>
  </si>
  <si>
    <t>重型机械</t>
  </si>
  <si>
    <t>重型武器</t>
  </si>
  <si>
    <t>历史</t>
  </si>
  <si>
    <t>人源情报</t>
  </si>
  <si>
    <t>职业模板：</t>
  </si>
  <si>
    <t>科学家</t>
  </si>
  <si>
    <t>可选额外技能包：</t>
  </si>
  <si>
    <t>运动员</t>
  </si>
  <si>
    <t>创伤背景：</t>
  </si>
  <si>
    <t>人类不应知道之事</t>
  </si>
  <si>
    <t>子模板：</t>
  </si>
  <si>
    <t>情报分析员</t>
  </si>
  <si>
    <t>重要关系数：</t>
  </si>
  <si>
    <t>额外技能（每项+20）</t>
  </si>
  <si>
    <t/>
  </si>
  <si>
    <t>原始意志</t>
  </si>
  <si>
    <t>原始魅力</t>
  </si>
  <si>
    <t>移除关系</t>
  </si>
  <si>
    <t>心理疾病</t>
  </si>
  <si>
    <t>艰苦1</t>
  </si>
  <si>
    <t>艰苦2</t>
  </si>
  <si>
    <t>艰苦3</t>
  </si>
  <si>
    <t>艰苦4</t>
  </si>
  <si>
    <t>艰苦5</t>
  </si>
  <si>
    <t>骰子属性设置指令</t>
  </si>
  <si>
    <t xml:space="preserve">复制方法：（需要Excel 2019或更新版本）
1. 选择右方单元格，复制。
2. 粘贴到任意单元格，在一旁的下拉菜单选择“复制值”。
3. 复制该值。
</t>
  </si>
  <si>
    <t>生成6个属性的骰子指令</t>
  </si>
  <si>
    <t>.r6#4d6k3</t>
  </si>
  <si>
    <t>职业名</t>
  </si>
  <si>
    <t>推荐属性</t>
  </si>
  <si>
    <t>重要关系数</t>
  </si>
  <si>
    <t>固定职业技能</t>
  </si>
  <si>
    <t>自由职业技能数</t>
  </si>
  <si>
    <t>自由职业技能选项</t>
  </si>
  <si>
    <t>子模板</t>
  </si>
  <si>
    <t>建议额外技能</t>
  </si>
  <si>
    <t>装备</t>
  </si>
  <si>
    <t>（创建新职业）</t>
  </si>
  <si>
    <t>≤4</t>
  </si>
  <si>
    <t>（主持人自定义职业模板栏位）</t>
  </si>
  <si>
    <t>（这几栏可以自由编辑）</t>
  </si>
  <si>
    <t>（一般用于主持人提供的职业模板）</t>
  </si>
  <si>
    <t>（玩家自定义模板不建议放这里）</t>
  </si>
  <si>
    <t>（直接填写技能即可，毕竟模板只是参考）</t>
  </si>
  <si>
    <t>人类学家或历史学家</t>
  </si>
  <si>
    <t>人类学50%或考古学50%</t>
  </si>
  <si>
    <t>行政40%</t>
  </si>
  <si>
    <t>外语（任选）50%</t>
  </si>
  <si>
    <t>外语（任选）40%</t>
  </si>
  <si>
    <t>历史60%</t>
  </si>
  <si>
    <t>神秘学40%</t>
  </si>
  <si>
    <t>说服40%</t>
  </si>
  <si>
    <t>人类学40%</t>
  </si>
  <si>
    <t>考古学40%</t>
  </si>
  <si>
    <t>人源情报50%</t>
  </si>
  <si>
    <t>导航50%</t>
  </si>
  <si>
    <t>骑术50%</t>
  </si>
  <si>
    <t>搜寻60%</t>
  </si>
  <si>
    <t>生存50%</t>
  </si>
  <si>
    <t>计算机科学家或工程师</t>
  </si>
  <si>
    <t>计算机科学60%</t>
  </si>
  <si>
    <t>工艺（电工）30%</t>
  </si>
  <si>
    <t>工艺（机械）30%</t>
  </si>
  <si>
    <t>工艺（微电子）40%</t>
  </si>
  <si>
    <t>科学（数学）40%</t>
  </si>
  <si>
    <t>信号情报40%</t>
  </si>
  <si>
    <t>会计学50%</t>
  </si>
  <si>
    <t>行政50%</t>
  </si>
  <si>
    <t>工艺（任选）40%</t>
  </si>
  <si>
    <t>重型机械50%</t>
  </si>
  <si>
    <t>法律40%</t>
  </si>
  <si>
    <t>科学（任选）40%</t>
  </si>
  <si>
    <t>联邦探员</t>
  </si>
  <si>
    <t>体质，意志，魅力</t>
  </si>
  <si>
    <t>警觉50%</t>
  </si>
  <si>
    <t>犯罪学50%</t>
  </si>
  <si>
    <t>机动车驾驶50%</t>
  </si>
  <si>
    <t>射击50%</t>
  </si>
  <si>
    <t>法证学30%</t>
  </si>
  <si>
    <t>人源情报60%</t>
  </si>
  <si>
    <t>法律30%</t>
  </si>
  <si>
    <t>说服50%</t>
  </si>
  <si>
    <t>搜寻50%</t>
  </si>
  <si>
    <t>徒手搏斗60%</t>
  </si>
  <si>
    <t>会计学60%</t>
  </si>
  <si>
    <t>计算机科学50%</t>
  </si>
  <si>
    <t>重型武器50%</t>
  </si>
  <si>
    <t>药学50%</t>
  </si>
  <si>
    <t>医生</t>
  </si>
  <si>
    <t>智力，意志，敏捷</t>
  </si>
  <si>
    <t>急救60%</t>
  </si>
  <si>
    <t>医学60%</t>
  </si>
  <si>
    <t>科学（生物学）60%</t>
  </si>
  <si>
    <t>搜寻40%</t>
  </si>
  <si>
    <t>法证学50%</t>
  </si>
  <si>
    <t>精神治疗60%</t>
  </si>
  <si>
    <t>科学（任选）50%</t>
  </si>
  <si>
    <t>手术50%</t>
  </si>
  <si>
    <t>计算机科学40%</t>
  </si>
  <si>
    <t>科学（任选）60%</t>
  </si>
  <si>
    <t>法证学40%</t>
  </si>
  <si>
    <t>药学40%</t>
  </si>
  <si>
    <t>特种作战员</t>
  </si>
  <si>
    <t>力量，体质，意志</t>
  </si>
  <si>
    <t>警觉60%</t>
  </si>
  <si>
    <t>运动60%</t>
  </si>
  <si>
    <t>爆破40%</t>
  </si>
  <si>
    <t>射击60%</t>
  </si>
  <si>
    <t>近战武器50%</t>
  </si>
  <si>
    <t>军事科学（陆军）60%</t>
  </si>
  <si>
    <t>潜藏50%</t>
  </si>
  <si>
    <t>游泳50%</t>
  </si>
  <si>
    <t>【额外】罪犯</t>
  </si>
  <si>
    <t>力量，敏捷</t>
  </si>
  <si>
    <t>运动50%</t>
  </si>
  <si>
    <t>犯罪学60%</t>
  </si>
  <si>
    <t>闪避40%</t>
  </si>
  <si>
    <t>射击40%</t>
  </si>
  <si>
    <t>法律20%</t>
  </si>
  <si>
    <t>近战武器40%</t>
  </si>
  <si>
    <t>徒手搏斗50%</t>
  </si>
  <si>
    <t>工艺（锁匠）40%</t>
  </si>
  <si>
    <t>乔装50%</t>
  </si>
  <si>
    <t>神秘学50%</t>
  </si>
  <si>
    <t>【额外】消防队员</t>
  </si>
  <si>
    <t>力量，敏捷，体质</t>
  </si>
  <si>
    <t>工艺（电工）40%</t>
  </si>
  <si>
    <t>工艺（机械）40%</t>
  </si>
  <si>
    <t>爆破50%</t>
  </si>
  <si>
    <t>急救50%</t>
  </si>
  <si>
    <t>【额外】外事官员</t>
  </si>
  <si>
    <t>智力，魅力</t>
  </si>
  <si>
    <t>会计学40%</t>
  </si>
  <si>
    <t>行政60%</t>
  </si>
  <si>
    <t>历史40%</t>
  </si>
  <si>
    <t>【额外】情报分析员</t>
  </si>
  <si>
    <t>犯罪学40%</t>
  </si>
  <si>
    <t>【额外】情报官员</t>
  </si>
  <si>
    <t>智力，意志，魅力</t>
  </si>
  <si>
    <t>机动车驾驶40%</t>
  </si>
  <si>
    <t>说服60%</t>
  </si>
  <si>
    <t>【额外】律师或商务主管</t>
  </si>
  <si>
    <t>人源情报40%</t>
  </si>
  <si>
    <t>法律50%</t>
  </si>
  <si>
    <t>【额外】媒体专家</t>
  </si>
  <si>
    <t>艺术（任选）60%</t>
  </si>
  <si>
    <t>艺术（任选）40%</t>
  </si>
  <si>
    <t>军事科学（任选）40%</t>
  </si>
  <si>
    <t>【额外】护士或护理人员</t>
  </si>
  <si>
    <t>警觉40%</t>
  </si>
  <si>
    <t>医学40%</t>
  </si>
  <si>
    <t>科学（生物学）40%</t>
  </si>
  <si>
    <t>机动车驾驶60%</t>
  </si>
  <si>
    <t>精神治疗50%</t>
  </si>
  <si>
    <t>【额外】飞行员或水手</t>
  </si>
  <si>
    <t>敏捷，智力</t>
  </si>
  <si>
    <t>行政30%</t>
  </si>
  <si>
    <t>特种载具（任选）60%</t>
  </si>
  <si>
    <t>科学（气象学）40%</t>
  </si>
  <si>
    <t>游泳40%</t>
  </si>
  <si>
    <t>特种载具（任选）50%</t>
  </si>
  <si>
    <t>军事科学（任选）50%</t>
  </si>
  <si>
    <t>【额外】警察</t>
  </si>
  <si>
    <t>急救30%</t>
  </si>
  <si>
    <t>导航40%</t>
  </si>
  <si>
    <t>重型机械60%</t>
  </si>
  <si>
    <t>骑术60%</t>
  </si>
  <si>
    <t>【额外】项目群经理</t>
  </si>
  <si>
    <t>犯罪学30%</t>
  </si>
  <si>
    <t>人类学30%</t>
  </si>
  <si>
    <t>艺术（任选）30%</t>
  </si>
  <si>
    <t>工艺（任选）30%</t>
  </si>
  <si>
    <t>科学（任选）30%</t>
  </si>
  <si>
    <t>【额外】士兵或海军陆战队员</t>
  </si>
  <si>
    <t>力量，体质</t>
  </si>
  <si>
    <t>急救40%</t>
  </si>
  <si>
    <t>军事科学（陆军）40%</t>
  </si>
  <si>
    <t>说服30%</t>
  </si>
  <si>
    <t>炮术40%</t>
  </si>
  <si>
    <t>重型武器40%</t>
  </si>
  <si>
    <t>游泳60%</t>
  </si>
  <si>
    <t>FBI / 犯罪调查处（CID）</t>
  </si>
  <si>
    <t>科学（化学）</t>
  </si>
  <si>
    <t>FBI / 国家安保部（NSB）</t>
  </si>
  <si>
    <t>情报官员</t>
  </si>
  <si>
    <t>外语</t>
  </si>
  <si>
    <t>FBI / 调查与行动支援科（IOSS）</t>
  </si>
  <si>
    <t>计算机科学家</t>
  </si>
  <si>
    <t>科学（任选）</t>
  </si>
  <si>
    <t>收藏广泛的专业图书馆，ViCAP的使用权限，且/或使用最先进的犯罪学软件。</t>
  </si>
  <si>
    <t>FBI / 情报部</t>
  </si>
  <si>
    <t>语言培训材料或电子监控设备。</t>
  </si>
  <si>
    <t>FBI / 人质救援队（HRT）或特警队（SWAT）</t>
  </si>
  <si>
    <t>闪避50%</t>
  </si>
  <si>
    <t>DEA / 行动分处</t>
  </si>
  <si>
    <t>警察</t>
  </si>
  <si>
    <t>DEA / 行动支援分处</t>
  </si>
  <si>
    <t>律师</t>
  </si>
  <si>
    <t>项目群经理</t>
  </si>
  <si>
    <t>专业资料库和技术设备。</t>
  </si>
  <si>
    <t>DEA / 特种作战科（SOD）</t>
  </si>
  <si>
    <t>窃听装置及电子监控设备。</t>
  </si>
  <si>
    <t>DEA / 海外部署咨询与支援小组（FAST）</t>
  </si>
  <si>
    <t>外语（任选）30%</t>
  </si>
  <si>
    <t>重型武器30%</t>
  </si>
  <si>
    <t>人源情报30%</t>
  </si>
  <si>
    <t>军事科学（陆军）30%</t>
  </si>
  <si>
    <t>药学30%</t>
  </si>
  <si>
    <t>生存30%</t>
  </si>
  <si>
    <t>ICE / 国土调查处（HSI）</t>
  </si>
  <si>
    <t>ICE / HIS，情报办公室</t>
  </si>
  <si>
    <t>媒体专家</t>
  </si>
  <si>
    <t>ICE / 特别应对小组（SRT）</t>
  </si>
  <si>
    <t>潜藏40%</t>
  </si>
  <si>
    <t>ICE / 遣返行动执法处（ERO）</t>
  </si>
  <si>
    <t>USMS / 调查行动处</t>
  </si>
  <si>
    <t>USMS / 特种行动队（SOG）</t>
  </si>
  <si>
    <t>运动40%</t>
  </si>
  <si>
    <t>陆军 / 传染病医学研究院（USAMRIID）</t>
  </si>
  <si>
    <t>军事科学</t>
  </si>
  <si>
    <t>科学（生物学）</t>
  </si>
  <si>
    <t>有关传染病生物战的大量藏书；能够取得高科技实验器材（包括最高级的生物安全装备）以及世界上最危险的微生物样本。</t>
  </si>
  <si>
    <t>陆军 / 第902军事情报大队</t>
  </si>
  <si>
    <t>士兵</t>
  </si>
  <si>
    <t>外语（任选）</t>
  </si>
  <si>
    <t>陆军 / 第10山地师</t>
  </si>
  <si>
    <t>陆军 / 第1旅，第1骑兵师（“铁马旅”）</t>
  </si>
  <si>
    <t>重型机械40%</t>
  </si>
  <si>
    <t>陆军（陆军）40%</t>
  </si>
  <si>
    <t>潜藏30%</t>
  </si>
  <si>
    <t>陆军 / 医疗兵团</t>
  </si>
  <si>
    <t>用来诊断和治疗的大量医用工具，包括便携式手术器材或特化装备。</t>
  </si>
  <si>
    <t>陆军SOCOM / 第1特种作战群</t>
  </si>
  <si>
    <t>外语（任选）20%</t>
  </si>
  <si>
    <t>陆军SOCOM / 第75游骑兵团</t>
  </si>
  <si>
    <t>陆军SOCOM / 第4军事信息支援大队</t>
  </si>
  <si>
    <t>艺术（任选）40</t>
  </si>
  <si>
    <t>计算机科学40</t>
  </si>
  <si>
    <t>工艺（任选）40</t>
  </si>
  <si>
    <t>外语（任选）40</t>
  </si>
  <si>
    <t>陆军SOCOM / 第160特种作战航空团（“暗夜潜行者”）</t>
  </si>
  <si>
    <t>军事科学（空军）60%</t>
  </si>
  <si>
    <t>军事科学（陆军）20%</t>
  </si>
  <si>
    <t>导航60%</t>
  </si>
  <si>
    <t>特种载具（直升机）60%</t>
  </si>
  <si>
    <t>科学（气象学）50%</t>
  </si>
  <si>
    <t>特种载具</t>
  </si>
  <si>
    <t>陆军SOCOM / 情报支持行动处</t>
  </si>
  <si>
    <t>信号情报50%</t>
  </si>
  <si>
    <t>空军 / 第41救援中队</t>
  </si>
  <si>
    <t>飞行员</t>
  </si>
  <si>
    <t>特种载具（直升机）</t>
  </si>
  <si>
    <t>故障排除手册，飞行器检查清单，可以访问机密的地理空间数据和摄影材料。</t>
  </si>
  <si>
    <t>空军 / 614航空航天运营中心</t>
  </si>
  <si>
    <t>工艺（微电子）</t>
  </si>
  <si>
    <t>可以访问夏安山，以及从国防到民用领域的有关太空的机密报告。</t>
  </si>
  <si>
    <t>空军 / 432d行动小组</t>
  </si>
  <si>
    <t>特种载具（无人机）</t>
  </si>
  <si>
    <t>工艺（电子学）</t>
  </si>
  <si>
    <t>故障排除手册，飞行检查清单，可以访问机密的地理空间数据和摄影材料。</t>
  </si>
  <si>
    <t>空军 / 第70情报、监视和侦察（ISR）联队</t>
  </si>
  <si>
    <t>科学（数学）</t>
  </si>
  <si>
    <t>空军 / 第354战斗机中队</t>
  </si>
  <si>
    <t>特种载具（飞机）</t>
  </si>
  <si>
    <t>故障排除手册，飞行检查清单，可以访问飞机以及相关业务设施。</t>
  </si>
  <si>
    <t>空军 / 第318网络空间运营小组</t>
  </si>
  <si>
    <t>空军SOCOM / 第24特战联队，第720特种战术大队</t>
  </si>
  <si>
    <t>海军 / 罪案调查处（NCIS）</t>
  </si>
  <si>
    <t>海军 / 爆炸品处理部队（EOD）</t>
  </si>
  <si>
    <t>爆破60%</t>
  </si>
  <si>
    <t>军事科学（海军）50%</t>
  </si>
  <si>
    <t>特种载具（任选）40%</t>
  </si>
  <si>
    <t>机械和工程工具，个人防护装备（PPE），硬化手套和护目镜，一个大型的物理科学、化学和爆破学图书馆。</t>
  </si>
  <si>
    <t>海军 / 医务兵</t>
  </si>
  <si>
    <t>便携式医疗器械。</t>
  </si>
  <si>
    <t>海军SOCOM / 特种作战开发群&amp;三栖特战队第一小队</t>
  </si>
  <si>
    <t>特种载具（小船）40%</t>
  </si>
  <si>
    <t>生存60%</t>
  </si>
  <si>
    <t>海军陆战队 / 武装侦察部队</t>
  </si>
  <si>
    <t>潜藏60%</t>
  </si>
  <si>
    <t>海军陆战队 / 公共事务处战地摄影师</t>
  </si>
  <si>
    <t>艺术（摄影，或摄像）50%</t>
  </si>
  <si>
    <t>计算机科学30%</t>
  </si>
  <si>
    <t>工艺（电子学）30%</t>
  </si>
  <si>
    <t>生存40%</t>
  </si>
  <si>
    <t>艺术（任选）50%</t>
  </si>
  <si>
    <t>艺术（摄影或摄像）</t>
  </si>
  <si>
    <t>海军陆战队 / 海上特殊目的部队</t>
  </si>
  <si>
    <t>照相机或摄像机，制作及监控设备。</t>
  </si>
  <si>
    <t>海军陆战队 / 海军陆战保安团</t>
  </si>
  <si>
    <t>海军陆战队SOCOM / 陆战队突击团</t>
  </si>
  <si>
    <t>CIA / 行动处（DO）</t>
  </si>
  <si>
    <t>能调阅机密报告。</t>
  </si>
  <si>
    <t>CIA / 特别活动处特种作战组（SAD/SOG）</t>
  </si>
  <si>
    <t>军事科学（陆军）50%</t>
  </si>
  <si>
    <t>CIA / 特别活动处政治行动组（SAD/PAG）</t>
  </si>
  <si>
    <t>乔装40%</t>
  </si>
  <si>
    <t>CIA / 分析科（DA）</t>
  </si>
  <si>
    <t>DOS / 西半球事务局</t>
  </si>
  <si>
    <t>外事官员</t>
  </si>
  <si>
    <t>调阅其所负责区域的机密报告。笔记本电脑，卫星电话，能连接DOS非密系统的手机。</t>
  </si>
  <si>
    <t>DOS / 外交安全局（FSO）</t>
  </si>
  <si>
    <t>DOS / 外交信使</t>
  </si>
  <si>
    <t>数额惊人的航空常客里程和酒店积分。</t>
  </si>
  <si>
    <t>DOS / 国际毒品与执法事务局（INL）</t>
  </si>
  <si>
    <t>DOS / 情报研究局（INR）</t>
  </si>
  <si>
    <t>调阅机密情报库，包括其他组织的。</t>
  </si>
  <si>
    <t>CDC / 预防和应对中心</t>
  </si>
  <si>
    <t>科学（合适的专业）</t>
  </si>
  <si>
    <t>CDC / 紧急行动中心</t>
  </si>
  <si>
    <t>一个大型的专业图书馆；诊断实验室设备；医疗和/或保健设备（主要为便携式或加固的外出用设备），包括防护服和个人防护装备。</t>
  </si>
  <si>
    <t>CDC / 全球快速反应小组（RRT）</t>
  </si>
  <si>
    <t>便携式诊断实验室设备；医疗和/或保健设备（主要为便携式或加固的外出用设备）；电子图书馆，内容包括药品、毒理学、野外诊断、野外生存野外指南、解剖学和外语；以及一本带有若干出入境印章的护照。</t>
  </si>
  <si>
    <t>CDC / 公共卫生服务军官团（PHSCC）</t>
  </si>
  <si>
    <t>护士</t>
  </si>
  <si>
    <t>EPA / 刑事执法、司法鉴证与培训处（OCEFT）</t>
  </si>
  <si>
    <t>科学（生物、化学或环境) 40%</t>
  </si>
  <si>
    <t>科学（生物/化学/环境）</t>
  </si>
  <si>
    <t>EPA / 区域办事处专家</t>
  </si>
  <si>
    <t>科学（化学或环境学）60%</t>
  </si>
  <si>
    <t>科学（植物学或生物学）50%</t>
  </si>
  <si>
    <t>环境监测设备，如化学嗅探器和取样设备、政府发放的笔记本电脑、呼吸器、B级危险品防护服和能够防护到脚趾的防护靴。</t>
  </si>
  <si>
    <t>CBP / 边境保护（预先清关或入国审查）（OFO/P）</t>
  </si>
  <si>
    <t>CBP / 海上拦截（AMO/MI）</t>
  </si>
  <si>
    <t>外语（西班牙语）50%</t>
  </si>
  <si>
    <t>特种载具（船）60%</t>
  </si>
  <si>
    <t>CBP / 检测犬项目（OFO/K9）</t>
  </si>
  <si>
    <t>工艺（训犬）</t>
  </si>
  <si>
    <t>科学（兽医学）</t>
  </si>
  <si>
    <t>CBP / 边境巡逻队</t>
  </si>
  <si>
    <t>CBP / 边境巡逻队战术单位（SOG/BORTAC）</t>
  </si>
  <si>
    <t>行政20%</t>
  </si>
  <si>
    <t>外语（西班牙语）40%</t>
  </si>
  <si>
    <t>军事科学（陆军）</t>
  </si>
  <si>
    <t>CBP / 边境巡逻队搜索、创伤与救援单位（SOG/BORSTAR）</t>
  </si>
  <si>
    <t>科学（生物学）50%</t>
  </si>
  <si>
    <t>CBP / 国家空中安全行动（AMO/NASO）</t>
  </si>
  <si>
    <t>特种载具（飞机或无人机）</t>
  </si>
  <si>
    <t>故障排除手册、飞行检查清单，并有权使用P3侦察机或进入安全间操作无人机。</t>
  </si>
  <si>
    <t>ATF / 特种犬项目（SRT/K9）</t>
  </si>
  <si>
    <t>ATF / 特种医疗项目（SRT/TMP）</t>
  </si>
  <si>
    <t>医学30%</t>
  </si>
  <si>
    <t>科学（生物/兽医）</t>
  </si>
  <si>
    <t>ATF / 特种行动（SRT/TO）</t>
  </si>
  <si>
    <t>闪避60%</t>
  </si>
  <si>
    <t>ATF / 外勤行动及调查办公室（OFO）</t>
  </si>
  <si>
    <t>ATF / 刑事侦查分析员</t>
  </si>
  <si>
    <t>精神治疗30%</t>
  </si>
  <si>
    <t>科学（数学）50%</t>
  </si>
  <si>
    <t>可以访问FBI和ATF的数据库和档案，阅读心理学和行为科学的学术研究，以及一个颇为丰富犯罪行为资料库。</t>
  </si>
  <si>
    <t>ATF / 爆炸物专家</t>
  </si>
  <si>
    <t>科学（化学/物理学）</t>
  </si>
  <si>
    <t>USSS / 保护情报和评估处（PID）</t>
  </si>
  <si>
    <t>能阅读整个情报界的机密报告。</t>
  </si>
  <si>
    <t>USSS / 贴身警卫处（PPD）</t>
  </si>
  <si>
    <t>USSS / 反突击组（CAT）</t>
  </si>
  <si>
    <t>USSS / 财务行政、专业和技术支助（F-ATP）</t>
  </si>
  <si>
    <t>律师或商务主管</t>
  </si>
  <si>
    <t>能阅读整个情报界的重要机密报告。</t>
  </si>
  <si>
    <t>USCG / 搜救组（SAR）</t>
  </si>
  <si>
    <t>外语（西班牙语）20%</t>
  </si>
  <si>
    <t>特种载具（小船）50%</t>
  </si>
  <si>
    <t>特种载具（直升机）30%</t>
  </si>
  <si>
    <t>便携式搜救装备、水上生存装备、防寒潜水服、游泳装备。</t>
  </si>
  <si>
    <t>USCG / 响应政策办公室（CG-5R）</t>
  </si>
  <si>
    <t>军事科学（海军）</t>
  </si>
  <si>
    <t>能联系上军队各部门，并可查阅恐怖主义或军事行动的机密档案。</t>
  </si>
  <si>
    <t>USCG / 调查和伤亡分析办公室（INV）</t>
  </si>
  <si>
    <t>工艺（电工或机械）</t>
  </si>
  <si>
    <t>一个规模庞大的灾害历史和数据（车祸、飓风、洪水等）线上资料库及图书馆。</t>
  </si>
  <si>
    <t>USCG / 直升机拦截战术中队（HITRON）</t>
  </si>
  <si>
    <t>工艺（电工）50%</t>
  </si>
  <si>
    <t>工艺（机械）50%</t>
  </si>
  <si>
    <t>特种载具（直升机）50%</t>
  </si>
  <si>
    <t>工艺（机械）</t>
  </si>
  <si>
    <t>USCG / 战术执法分队（TACLET）</t>
  </si>
  <si>
    <t>军事科学（小船）</t>
  </si>
  <si>
    <t>USCG / 海上安全和保安队（MSST）</t>
  </si>
  <si>
    <t>特种载具（小船）60%</t>
  </si>
  <si>
    <t>搜寻30%</t>
  </si>
  <si>
    <t>USCG / 海上保安应变队（MSRT）</t>
  </si>
  <si>
    <t>军事科学（海军）60%</t>
  </si>
  <si>
    <t>USCG / 国家打击部队（NSF）</t>
  </si>
  <si>
    <t>科学（环境学）</t>
  </si>
  <si>
    <t>科学（气象学）</t>
  </si>
  <si>
    <t>环境和化学品监测和技术装备。</t>
  </si>
  <si>
    <t>额外技能包名</t>
  </si>
  <si>
    <t>固定额外技能名</t>
  </si>
  <si>
    <t>自由额外技能技能数</t>
  </si>
  <si>
    <t>自由额外技能</t>
  </si>
  <si>
    <t>（自选）</t>
  </si>
  <si>
    <t>艺术家，演员或音乐家</t>
  </si>
  <si>
    <t>工艺（任选）</t>
  </si>
  <si>
    <t>艺术（任选）</t>
  </si>
  <si>
    <t>作家，编辑或新闻撰稿人</t>
  </si>
  <si>
    <t>潜入训练</t>
  </si>
  <si>
    <t>工艺（电工）</t>
  </si>
  <si>
    <t>工艺（锁匠）</t>
  </si>
  <si>
    <t>蓝领工人</t>
  </si>
  <si>
    <t>政府官员</t>
  </si>
  <si>
    <t>另一项个人特长</t>
  </si>
  <si>
    <t>神职人员</t>
  </si>
  <si>
    <t>外语（任择三项）</t>
  </si>
  <si>
    <t>老兵</t>
  </si>
  <si>
    <t>电脑狂热者或黑客</t>
  </si>
  <si>
    <t>另四项个人特长</t>
  </si>
  <si>
    <t>顾问</t>
  </si>
  <si>
    <t>刑事专家</t>
  </si>
  <si>
    <t>消防员</t>
  </si>
  <si>
    <t>黑帮或卧底</t>
  </si>
  <si>
    <t>审讯官</t>
  </si>
  <si>
    <t>人文学科学位</t>
  </si>
  <si>
    <t>人类学或考古学</t>
  </si>
  <si>
    <t>另三项个人特长</t>
  </si>
  <si>
    <t>军官</t>
  </si>
  <si>
    <t>军事科学（任选）</t>
  </si>
  <si>
    <t>特种载具（任选）</t>
  </si>
  <si>
    <t>工商管理硕士</t>
  </si>
  <si>
    <t>护士，辅助医护人员或医学本科学位</t>
  </si>
  <si>
    <t>神秘事件调查员或阴谋论家</t>
  </si>
  <si>
    <t>野外探险家</t>
  </si>
  <si>
    <t>摄影师</t>
  </si>
  <si>
    <t>艺术（摄影）</t>
  </si>
  <si>
    <t>另两项个人特长</t>
  </si>
  <si>
    <t>飞行员或水手</t>
  </si>
  <si>
    <t>警官</t>
  </si>
  <si>
    <t>理科研究生</t>
  </si>
  <si>
    <t>社会工作者或刑事司法</t>
  </si>
  <si>
    <t>陆军或海军陆战队</t>
  </si>
  <si>
    <t>翻译</t>
  </si>
  <si>
    <t>城市探险家</t>
  </si>
  <si>
    <t>艺术</t>
  </si>
  <si>
    <t>工艺</t>
  </si>
  <si>
    <t>科学</t>
  </si>
  <si>
    <t>演艺</t>
  </si>
  <si>
    <t>电工</t>
  </si>
  <si>
    <t>陆军</t>
  </si>
  <si>
    <t>飞机</t>
  </si>
  <si>
    <t>天文学</t>
  </si>
  <si>
    <t>创意写作</t>
  </si>
  <si>
    <t>电子</t>
  </si>
  <si>
    <t>空军</t>
  </si>
  <si>
    <t>无人机</t>
  </si>
  <si>
    <t>生物学</t>
  </si>
  <si>
    <t>造假</t>
  </si>
  <si>
    <t>机械</t>
  </si>
  <si>
    <t>海军</t>
  </si>
  <si>
    <t>直升机</t>
  </si>
  <si>
    <t>植物学</t>
  </si>
  <si>
    <t>绘画</t>
  </si>
  <si>
    <t>锁匠</t>
  </si>
  <si>
    <t>小船</t>
  </si>
  <si>
    <t>化学</t>
  </si>
  <si>
    <t>舞蹈</t>
  </si>
  <si>
    <t>枪匠</t>
  </si>
  <si>
    <t>大船</t>
  </si>
  <si>
    <t>工程学</t>
  </si>
  <si>
    <t>唱歌</t>
  </si>
  <si>
    <t>木工</t>
  </si>
  <si>
    <t>航天飞机</t>
  </si>
  <si>
    <t>基因科学</t>
  </si>
  <si>
    <t>雕塑</t>
  </si>
  <si>
    <t>建筑学</t>
  </si>
  <si>
    <t>宇航服</t>
  </si>
  <si>
    <t>地质学</t>
  </si>
  <si>
    <t>小提琴</t>
  </si>
  <si>
    <t>微电子</t>
  </si>
  <si>
    <t>飞行器</t>
  </si>
  <si>
    <t>数学</t>
  </si>
  <si>
    <t>摄像</t>
  </si>
  <si>
    <t>管道工</t>
  </si>
  <si>
    <t>气象学</t>
  </si>
  <si>
    <t>摄影</t>
  </si>
  <si>
    <t>金属加工</t>
  </si>
  <si>
    <t>物理学</t>
  </si>
  <si>
    <t>训犬</t>
  </si>
  <si>
    <t>行星科学</t>
  </si>
  <si>
    <t>工程</t>
  </si>
  <si>
    <t>动物学</t>
  </si>
  <si>
    <t>微生物学</t>
  </si>
  <si>
    <t>环境学</t>
  </si>
  <si>
    <t>生态学</t>
  </si>
  <si>
    <t>免疫学</t>
  </si>
  <si>
    <t>海洋生物学</t>
  </si>
  <si>
    <t>兽医学</t>
  </si>
  <si>
    <t>逻辑学</t>
  </si>
  <si>
    <t>地理学</t>
  </si>
  <si>
    <t>核物理学</t>
  </si>
  <si>
    <t>天体物理学</t>
  </si>
  <si>
    <t>弹道学</t>
  </si>
  <si>
    <t>系统论</t>
  </si>
  <si>
    <t>量子理论</t>
  </si>
  <si>
    <t>航空工程</t>
  </si>
  <si>
    <t>计入暂降后的数值</t>
  </si>
  <si>
    <t>重要关系</t>
  </si>
  <si>
    <t>职业选择</t>
  </si>
  <si>
    <t>实际模板</t>
  </si>
  <si>
    <t>初步有子模板</t>
  </si>
  <si>
    <t>最终有子模板</t>
  </si>
  <si>
    <t>总模板号</t>
  </si>
  <si>
    <t>实际模板号</t>
  </si>
  <si>
    <t>正确模板</t>
  </si>
  <si>
    <t>职业技能列</t>
  </si>
  <si>
    <t>自由：</t>
  </si>
  <si>
    <t>推荐：</t>
  </si>
  <si>
    <t>特殊</t>
  </si>
  <si>
    <t>【额外】</t>
  </si>
  <si>
    <t>（额外职业并非典型的DG新人职业，一队中不应过多，请与掌局者商议后选择）</t>
  </si>
  <si>
    <t>（自定义职业请在掌局者同意后商议定制）</t>
  </si>
  <si>
    <t>自定义职业描述：</t>
  </si>
  <si>
    <t>自选额外技能描述</t>
  </si>
  <si>
    <t>任选10个本职技能，分配350</t>
  </si>
  <si>
    <t>选择8个技能（除了非自</t>
  </si>
  <si>
    <t>技能点，额外加在基础值上，</t>
  </si>
  <si>
    <t>然知识），为每一个加上</t>
  </si>
  <si>
    <t>最高至60%。重要关系自4个开</t>
  </si>
  <si>
    <t>20点。不能超过80%。可</t>
  </si>
  <si>
    <t>始每少一个（最少1个），增</t>
  </si>
  <si>
    <t>重复选择。</t>
  </si>
  <si>
    <t>加50本职技能点。</t>
  </si>
  <si>
    <t>额外技能包选择</t>
  </si>
  <si>
    <t>额外技能包列</t>
  </si>
  <si>
    <t>子模板映射</t>
  </si>
  <si>
    <t>参见《特工手册》的“本职装备：联邦探员”</t>
  </si>
  <si>
    <t>参见《特工手册》的“本职装备：特警部队”</t>
  </si>
  <si>
    <t>参见《特工手册》的“本职装备：警局警员”</t>
  </si>
  <si>
    <t>参见《特工手册》的“本职装备：特种作战员”</t>
  </si>
  <si>
    <t>（参见《特工手册》的“项目群经理”）</t>
  </si>
  <si>
    <t>创伤背景</t>
  </si>
  <si>
    <t>（无）</t>
  </si>
  <si>
    <t>极端暴力</t>
  </si>
  <si>
    <t>神秘学+10%</t>
  </si>
  <si>
    <t>理智-5</t>
  </si>
  <si>
    <t>魅力-3</t>
  </si>
  <si>
    <t>因魅力降低，每个重要关系值-3</t>
  </si>
  <si>
    <t>适应暴力行为</t>
  </si>
  <si>
    <t>与掌局者商讨背景细节</t>
  </si>
  <si>
    <t>关押或入狱</t>
  </si>
  <si>
    <t>意志-3（不影响理智）</t>
  </si>
  <si>
    <t>适应无助感</t>
  </si>
  <si>
    <t>艰苦经历</t>
  </si>
  <si>
    <t>再选5个技能+10%（非自然知识除外）</t>
  </si>
  <si>
    <t>（可提升至最多90%）</t>
  </si>
  <si>
    <t>移除一个重要关系</t>
  </si>
  <si>
    <t>神秘学+20%</t>
  </si>
  <si>
    <t>非自然知识+10%</t>
  </si>
  <si>
    <t>从理智中扣除意志</t>
  </si>
  <si>
    <t>崩溃点重置至新理智减去意志</t>
  </si>
  <si>
    <t>罹患一项由非自然现象引起的精神疾病</t>
  </si>
  <si>
    <t>人物卡输出</t>
  </si>
  <si>
    <t>职业列表</t>
  </si>
  <si>
    <t>当前模板原始行</t>
  </si>
  <si>
    <t>任选数量</t>
  </si>
  <si>
    <t>已勾数量</t>
  </si>
  <si>
    <t>有效数量</t>
  </si>
  <si>
    <t>待补固定细项</t>
  </si>
  <si>
    <t>主卡状态</t>
  </si>
  <si>
    <t>V14</t>
  </si>
  <si>
    <t>AY14</t>
  </si>
  <si>
    <t>V15</t>
  </si>
  <si>
    <t>AY15</t>
  </si>
  <si>
    <t>V16</t>
  </si>
  <si>
    <t>AY16</t>
  </si>
  <si>
    <t>V17</t>
  </si>
  <si>
    <t>AY17</t>
  </si>
  <si>
    <t>V18</t>
  </si>
  <si>
    <t>AY18</t>
  </si>
  <si>
    <t>V19</t>
  </si>
  <si>
    <t>AY19</t>
  </si>
  <si>
    <t>V20</t>
  </si>
  <si>
    <t>AY20</t>
  </si>
  <si>
    <t>V21</t>
  </si>
  <si>
    <t>AY21</t>
  </si>
  <si>
    <t>V22</t>
  </si>
  <si>
    <t>AY22</t>
  </si>
  <si>
    <t>V23</t>
  </si>
  <si>
    <t>AY23</t>
  </si>
  <si>
    <t>V24</t>
  </si>
  <si>
    <t>AY24</t>
  </si>
  <si>
    <t>V25</t>
  </si>
  <si>
    <t>AY25</t>
  </si>
  <si>
    <t>V26</t>
  </si>
  <si>
    <t>AY26</t>
  </si>
  <si>
    <t>V27</t>
  </si>
  <si>
    <t>AY27</t>
  </si>
  <si>
    <t>V28</t>
  </si>
  <si>
    <t>AY28</t>
  </si>
  <si>
    <t>V29</t>
  </si>
  <si>
    <t>AY29</t>
  </si>
  <si>
    <t>V30</t>
  </si>
  <si>
    <t>AY30</t>
  </si>
  <si>
    <t>V31</t>
  </si>
  <si>
    <t>AY31</t>
  </si>
  <si>
    <t>V32</t>
  </si>
  <si>
    <t>AY32</t>
  </si>
  <si>
    <t>V33</t>
  </si>
  <si>
    <t>AY33</t>
  </si>
  <si>
    <t>V34</t>
  </si>
  <si>
    <t>AY34</t>
  </si>
  <si>
    <t>V35</t>
  </si>
  <si>
    <t>AY35</t>
  </si>
  <si>
    <t>V36</t>
  </si>
  <si>
    <t>AY36</t>
  </si>
  <si>
    <t>V37</t>
  </si>
  <si>
    <t>AY37</t>
  </si>
  <si>
    <t>V38</t>
  </si>
  <si>
    <t>AY38</t>
  </si>
  <si>
    <t>V39</t>
  </si>
  <si>
    <t>V40</t>
  </si>
  <si>
    <t>V41</t>
  </si>
  <si>
    <t>V42</t>
  </si>
  <si>
    <t>V43</t>
  </si>
  <si>
    <t>fixed</t>
  </si>
  <si>
    <t>D2</t>
  </si>
  <si>
    <t>E2</t>
  </si>
  <si>
    <t>F2</t>
  </si>
  <si>
    <t>G2</t>
  </si>
  <si>
    <t>H2</t>
  </si>
  <si>
    <t>I2</t>
  </si>
  <si>
    <t>J2</t>
  </si>
  <si>
    <t>K2</t>
  </si>
  <si>
    <t>L2</t>
  </si>
  <si>
    <t>M2</t>
  </si>
  <si>
    <t>N2</t>
  </si>
  <si>
    <t>O2</t>
  </si>
  <si>
    <t>P2</t>
  </si>
  <si>
    <t>Q2</t>
  </si>
  <si>
    <t>R2</t>
  </si>
  <si>
    <t>S2</t>
  </si>
  <si>
    <t>free</t>
  </si>
  <si>
    <t>U2</t>
  </si>
  <si>
    <t>V2</t>
  </si>
  <si>
    <t>W2</t>
  </si>
  <si>
    <t>X2</t>
  </si>
  <si>
    <t>Y2</t>
  </si>
  <si>
    <t>Z2</t>
  </si>
  <si>
    <t>AA2</t>
  </si>
  <si>
    <t>AB2</t>
  </si>
  <si>
    <t>AC2</t>
  </si>
  <si>
    <t>AD2</t>
  </si>
  <si>
    <t>AE2</t>
  </si>
  <si>
    <t>required</t>
  </si>
  <si>
    <t>skill</t>
  </si>
  <si>
    <t>人类学|考古学</t>
  </si>
  <si>
    <t>二选一</t>
  </si>
  <si>
    <t>P62</t>
  </si>
  <si>
    <t>D8</t>
  </si>
  <si>
    <t>E8</t>
  </si>
  <si>
    <t>any</t>
  </si>
  <si>
    <t>英语|法语|德语|西班牙语|俄语|日语|阿拉伯语|汉语|韩语|意大利语|葡萄牙语|拉丁语</t>
  </si>
  <si>
    <t>外语1</t>
  </si>
  <si>
    <t>J36</t>
  </si>
  <si>
    <t>F8</t>
  </si>
  <si>
    <t>外语2</t>
  </si>
  <si>
    <t>J37</t>
  </si>
  <si>
    <t>G8</t>
  </si>
  <si>
    <t>H8</t>
  </si>
  <si>
    <t>I8</t>
  </si>
  <si>
    <t>J8</t>
  </si>
  <si>
    <t>K8</t>
  </si>
  <si>
    <t>L8</t>
  </si>
  <si>
    <t>M8</t>
  </si>
  <si>
    <t>N8</t>
  </si>
  <si>
    <t>O8</t>
  </si>
  <si>
    <t>P8</t>
  </si>
  <si>
    <t>Q8</t>
  </si>
  <si>
    <t>R8</t>
  </si>
  <si>
    <t>S8</t>
  </si>
  <si>
    <t>U8</t>
  </si>
  <si>
    <t>V8</t>
  </si>
  <si>
    <t>W8</t>
  </si>
  <si>
    <t>X8</t>
  </si>
  <si>
    <t>Y8</t>
  </si>
  <si>
    <t>Z8</t>
  </si>
  <si>
    <t>AA8</t>
  </si>
  <si>
    <t>AB8</t>
  </si>
  <si>
    <t>AC8</t>
  </si>
  <si>
    <t>AD8</t>
  </si>
  <si>
    <t>AE8</t>
  </si>
  <si>
    <t>D9</t>
  </si>
  <si>
    <t>工艺1</t>
  </si>
  <si>
    <t>J25</t>
  </si>
  <si>
    <t>E9</t>
  </si>
  <si>
    <t>工艺2</t>
  </si>
  <si>
    <t>J26</t>
  </si>
  <si>
    <t>F9</t>
  </si>
  <si>
    <t>工艺3</t>
  </si>
  <si>
    <t>J27</t>
  </si>
  <si>
    <t>G9</t>
  </si>
  <si>
    <t>科学1</t>
  </si>
  <si>
    <t>AM29</t>
  </si>
  <si>
    <t>H9</t>
  </si>
  <si>
    <t>I9</t>
  </si>
  <si>
    <t>J9</t>
  </si>
  <si>
    <t>K9</t>
  </si>
  <si>
    <t>L9</t>
  </si>
  <si>
    <t>M9</t>
  </si>
  <si>
    <t>N9</t>
  </si>
  <si>
    <t>O9</t>
  </si>
  <si>
    <t>P9</t>
  </si>
  <si>
    <t>Q9</t>
  </si>
  <si>
    <t>R9</t>
  </si>
  <si>
    <t>S9</t>
  </si>
  <si>
    <t>U9</t>
  </si>
  <si>
    <t>V9</t>
  </si>
  <si>
    <t>电工|电子|机械|锁匠|枪匠|木工|建筑学|微电子|管道工|金属加工|训犬|工程</t>
  </si>
  <si>
    <t>工艺4</t>
  </si>
  <si>
    <t>J28</t>
  </si>
  <si>
    <t>W9</t>
  </si>
  <si>
    <t>X9</t>
  </si>
  <si>
    <t>Y9</t>
  </si>
  <si>
    <t>Z9</t>
  </si>
  <si>
    <t>天文学|生物学|植物学|化学|工程学|基因科学|地质学|数学|气象学|物理学|行星科学|动物学|微生物学|环境学|生态学|免疫学|海洋生物学|兽医学|逻辑学|地理学|核物理学|天体物理学|弹道学|系统论|量子理论|航空工程</t>
  </si>
  <si>
    <t>科学2</t>
  </si>
  <si>
    <t>AM30</t>
  </si>
  <si>
    <t>AA9</t>
  </si>
  <si>
    <t>AB9</t>
  </si>
  <si>
    <t>AC9</t>
  </si>
  <si>
    <t>AD9</t>
  </si>
  <si>
    <t>AE9</t>
  </si>
  <si>
    <t>D10</t>
  </si>
  <si>
    <t>E10</t>
  </si>
  <si>
    <t>F10</t>
  </si>
  <si>
    <t>G10</t>
  </si>
  <si>
    <t>H10</t>
  </si>
  <si>
    <t>I10</t>
  </si>
  <si>
    <t>J10</t>
  </si>
  <si>
    <t>K10</t>
  </si>
  <si>
    <t>L10</t>
  </si>
  <si>
    <t>M10</t>
  </si>
  <si>
    <t>N10</t>
  </si>
  <si>
    <t>O10</t>
  </si>
  <si>
    <t>P10</t>
  </si>
  <si>
    <t>Q10</t>
  </si>
  <si>
    <t>R10</t>
  </si>
  <si>
    <t>S10</t>
  </si>
  <si>
    <t>U10</t>
  </si>
  <si>
    <t>V10</t>
  </si>
  <si>
    <t>W10</t>
  </si>
  <si>
    <t>X10</t>
  </si>
  <si>
    <t>Y10</t>
  </si>
  <si>
    <t>Z10</t>
  </si>
  <si>
    <t>AA10</t>
  </si>
  <si>
    <t>AB10</t>
  </si>
  <si>
    <t>AC10</t>
  </si>
  <si>
    <t>AD10</t>
  </si>
  <si>
    <t>AE10</t>
  </si>
  <si>
    <t>D11</t>
  </si>
  <si>
    <t>E11</t>
  </si>
  <si>
    <t>F11</t>
  </si>
  <si>
    <t>G11</t>
  </si>
  <si>
    <t>H11</t>
  </si>
  <si>
    <t>I11</t>
  </si>
  <si>
    <t>J11</t>
  </si>
  <si>
    <t>K11</t>
  </si>
  <si>
    <t>L11</t>
  </si>
  <si>
    <t>M11</t>
  </si>
  <si>
    <t>N11</t>
  </si>
  <si>
    <t>O11</t>
  </si>
  <si>
    <t>P11</t>
  </si>
  <si>
    <t>Q11</t>
  </si>
  <si>
    <t>R11</t>
  </si>
  <si>
    <t>S11</t>
  </si>
  <si>
    <t>U11</t>
  </si>
  <si>
    <t>V11</t>
  </si>
  <si>
    <t>W11</t>
  </si>
  <si>
    <t>X11</t>
  </si>
  <si>
    <t>Y11</t>
  </si>
  <si>
    <t>Z11</t>
  </si>
  <si>
    <t>AA11</t>
  </si>
  <si>
    <t>AB11</t>
  </si>
  <si>
    <t>AC11</t>
  </si>
  <si>
    <t>AD11</t>
  </si>
  <si>
    <t>AE11</t>
  </si>
  <si>
    <t>D12</t>
  </si>
  <si>
    <t>E12</t>
  </si>
  <si>
    <t>F12</t>
  </si>
  <si>
    <t>G12</t>
  </si>
  <si>
    <t>科学3</t>
  </si>
  <si>
    <t>AM31</t>
  </si>
  <si>
    <t>H12</t>
  </si>
  <si>
    <t>I12</t>
  </si>
  <si>
    <t>J12</t>
  </si>
  <si>
    <t>K12</t>
  </si>
  <si>
    <t>L12</t>
  </si>
  <si>
    <t>M12</t>
  </si>
  <si>
    <t>N12</t>
  </si>
  <si>
    <t>O12</t>
  </si>
  <si>
    <t>P12</t>
  </si>
  <si>
    <t>Q12</t>
  </si>
  <si>
    <t>R12</t>
  </si>
  <si>
    <t>S12</t>
  </si>
  <si>
    <t>U12</t>
  </si>
  <si>
    <t>V12</t>
  </si>
  <si>
    <t>W12</t>
  </si>
  <si>
    <t>X12</t>
  </si>
  <si>
    <t>Y12</t>
  </si>
  <si>
    <t>Z12</t>
  </si>
  <si>
    <t>AA12</t>
  </si>
  <si>
    <t>AB12</t>
  </si>
  <si>
    <t>AC12</t>
  </si>
  <si>
    <t>AD12</t>
  </si>
  <si>
    <t>AE12</t>
  </si>
  <si>
    <t>D13</t>
  </si>
  <si>
    <t>E13</t>
  </si>
  <si>
    <t>F13</t>
  </si>
  <si>
    <t>G13</t>
  </si>
  <si>
    <t>H13</t>
  </si>
  <si>
    <t>I13</t>
  </si>
  <si>
    <t>军事科学1</t>
  </si>
  <si>
    <t>AM17</t>
  </si>
  <si>
    <t>J13</t>
  </si>
  <si>
    <t>K13</t>
  </si>
  <si>
    <t>L13</t>
  </si>
  <si>
    <t>M13</t>
  </si>
  <si>
    <t>N13</t>
  </si>
  <si>
    <t>O13</t>
  </si>
  <si>
    <t>P13</t>
  </si>
  <si>
    <t>Q13</t>
  </si>
  <si>
    <t>R13</t>
  </si>
  <si>
    <t>S13</t>
  </si>
  <si>
    <t>U13</t>
  </si>
  <si>
    <t>V13</t>
  </si>
  <si>
    <t>W13</t>
  </si>
  <si>
    <t>X13</t>
  </si>
  <si>
    <t>Y13</t>
  </si>
  <si>
    <t>Z13</t>
  </si>
  <si>
    <t>AA13</t>
  </si>
  <si>
    <t>AB13</t>
  </si>
  <si>
    <t>AC13</t>
  </si>
  <si>
    <t>AD13</t>
  </si>
  <si>
    <t>AE13</t>
  </si>
  <si>
    <t>D14</t>
  </si>
  <si>
    <t>E14</t>
  </si>
  <si>
    <t>F14</t>
  </si>
  <si>
    <t>G14</t>
  </si>
  <si>
    <t>H14</t>
  </si>
  <si>
    <t>I14</t>
  </si>
  <si>
    <t>J14</t>
  </si>
  <si>
    <t>K14</t>
  </si>
  <si>
    <t>L14</t>
  </si>
  <si>
    <t>M14</t>
  </si>
  <si>
    <t>N14</t>
  </si>
  <si>
    <t>O14</t>
  </si>
  <si>
    <t>P14</t>
  </si>
  <si>
    <t>Q14</t>
  </si>
  <si>
    <t>R14</t>
  </si>
  <si>
    <t>S14</t>
  </si>
  <si>
    <t>U14</t>
  </si>
  <si>
    <t>W14</t>
  </si>
  <si>
    <t>X14</t>
  </si>
  <si>
    <t>Y14</t>
  </si>
  <si>
    <t>Z14</t>
  </si>
  <si>
    <t>AA14</t>
  </si>
  <si>
    <t>AB14</t>
  </si>
  <si>
    <t>AC14</t>
  </si>
  <si>
    <t>AD14</t>
  </si>
  <si>
    <t>AE14</t>
  </si>
  <si>
    <t>D15</t>
  </si>
  <si>
    <t>E15</t>
  </si>
  <si>
    <t>F15</t>
  </si>
  <si>
    <t>G15</t>
  </si>
  <si>
    <t>H15</t>
  </si>
  <si>
    <t>I15</t>
  </si>
  <si>
    <t>J15</t>
  </si>
  <si>
    <t>K15</t>
  </si>
  <si>
    <t>L15</t>
  </si>
  <si>
    <t>M15</t>
  </si>
  <si>
    <t>N15</t>
  </si>
  <si>
    <t>O15</t>
  </si>
  <si>
    <t>P15</t>
  </si>
  <si>
    <t>Q15</t>
  </si>
  <si>
    <t>R15</t>
  </si>
  <si>
    <t>S15</t>
  </si>
  <si>
    <t>U15</t>
  </si>
  <si>
    <t>W15</t>
  </si>
  <si>
    <t>X15</t>
  </si>
  <si>
    <t>Y15</t>
  </si>
  <si>
    <t>Z15</t>
  </si>
  <si>
    <t>AA15</t>
  </si>
  <si>
    <t>AB15</t>
  </si>
  <si>
    <t>AC15</t>
  </si>
  <si>
    <t>AD15</t>
  </si>
  <si>
    <t>AE15</t>
  </si>
  <si>
    <t>D16</t>
  </si>
  <si>
    <t>E16</t>
  </si>
  <si>
    <t>F16</t>
  </si>
  <si>
    <t>G16</t>
  </si>
  <si>
    <t>H16</t>
  </si>
  <si>
    <t>外语3</t>
  </si>
  <si>
    <t>J38</t>
  </si>
  <si>
    <t>I16</t>
  </si>
  <si>
    <t>J16</t>
  </si>
  <si>
    <t>K16</t>
  </si>
  <si>
    <t>L16</t>
  </si>
  <si>
    <t>M16</t>
  </si>
  <si>
    <t>N16</t>
  </si>
  <si>
    <t>O16</t>
  </si>
  <si>
    <t>P16</t>
  </si>
  <si>
    <t>Q16</t>
  </si>
  <si>
    <t>R16</t>
  </si>
  <si>
    <t>S16</t>
  </si>
  <si>
    <t>U16</t>
  </si>
  <si>
    <t>W16</t>
  </si>
  <si>
    <t>X16</t>
  </si>
  <si>
    <t>Y16</t>
  </si>
  <si>
    <t>Z16</t>
  </si>
  <si>
    <t>AA16</t>
  </si>
  <si>
    <t>AB16</t>
  </si>
  <si>
    <t>AC16</t>
  </si>
  <si>
    <t>AD16</t>
  </si>
  <si>
    <t>AE16</t>
  </si>
  <si>
    <t>D17</t>
  </si>
  <si>
    <t>E17</t>
  </si>
  <si>
    <t>F17</t>
  </si>
  <si>
    <t>G17</t>
  </si>
  <si>
    <t>H17</t>
  </si>
  <si>
    <t>I17</t>
  </si>
  <si>
    <t>J17</t>
  </si>
  <si>
    <t>K17</t>
  </si>
  <si>
    <t>L17</t>
  </si>
  <si>
    <t>M17</t>
  </si>
  <si>
    <t>N17</t>
  </si>
  <si>
    <t>O17</t>
  </si>
  <si>
    <t>P17</t>
  </si>
  <si>
    <t>Q17</t>
  </si>
  <si>
    <t>R17</t>
  </si>
  <si>
    <t>S17</t>
  </si>
  <si>
    <t>U17</t>
  </si>
  <si>
    <t>W17</t>
  </si>
  <si>
    <t>X17</t>
  </si>
  <si>
    <t>Y17</t>
  </si>
  <si>
    <t>Z17</t>
  </si>
  <si>
    <t>AA17</t>
  </si>
  <si>
    <t>AB17</t>
  </si>
  <si>
    <t>AC17</t>
  </si>
  <si>
    <t>AD17</t>
  </si>
  <si>
    <t>AE17</t>
  </si>
  <si>
    <t>D18</t>
  </si>
  <si>
    <t>E18</t>
  </si>
  <si>
    <t>F18</t>
  </si>
  <si>
    <t>G18</t>
  </si>
  <si>
    <t>H18</t>
  </si>
  <si>
    <t>I18</t>
  </si>
  <si>
    <t>J18</t>
  </si>
  <si>
    <t>K18</t>
  </si>
  <si>
    <t>L18</t>
  </si>
  <si>
    <t>M18</t>
  </si>
  <si>
    <t>N18</t>
  </si>
  <si>
    <t>O18</t>
  </si>
  <si>
    <t>P18</t>
  </si>
  <si>
    <t>Q18</t>
  </si>
  <si>
    <t>R18</t>
  </si>
  <si>
    <t>S18</t>
  </si>
  <si>
    <t>U18</t>
  </si>
  <si>
    <t>W18</t>
  </si>
  <si>
    <t>X18</t>
  </si>
  <si>
    <t>Y18</t>
  </si>
  <si>
    <t>Z18</t>
  </si>
  <si>
    <t>AA18</t>
  </si>
  <si>
    <t>AB18</t>
  </si>
  <si>
    <t>AC18</t>
  </si>
  <si>
    <t>AD18</t>
  </si>
  <si>
    <t>AE18</t>
  </si>
  <si>
    <t>D19</t>
  </si>
  <si>
    <t>E19</t>
  </si>
  <si>
    <t>F19</t>
  </si>
  <si>
    <t>G19</t>
  </si>
  <si>
    <t>H19</t>
  </si>
  <si>
    <t>I19</t>
  </si>
  <si>
    <t>J19</t>
  </si>
  <si>
    <t>K19</t>
  </si>
  <si>
    <t>L19</t>
  </si>
  <si>
    <t>M19</t>
  </si>
  <si>
    <t>N19</t>
  </si>
  <si>
    <t>O19</t>
  </si>
  <si>
    <t>P19</t>
  </si>
  <si>
    <t>Q19</t>
  </si>
  <si>
    <t>R19</t>
  </si>
  <si>
    <t>S19</t>
  </si>
  <si>
    <t>U19</t>
  </si>
  <si>
    <t>W19</t>
  </si>
  <si>
    <t>X19</t>
  </si>
  <si>
    <t>Y19</t>
  </si>
  <si>
    <t>Z19</t>
  </si>
  <si>
    <t>AA19</t>
  </si>
  <si>
    <t>AB19</t>
  </si>
  <si>
    <t>AC19</t>
  </si>
  <si>
    <t>AD19</t>
  </si>
  <si>
    <t>AE19</t>
  </si>
  <si>
    <t>演艺|创意写作|造假|绘画|舞蹈|唱歌|雕塑|小提琴|摄像|摄影</t>
  </si>
  <si>
    <t>艺术1</t>
  </si>
  <si>
    <t>D20</t>
  </si>
  <si>
    <t>E20</t>
  </si>
  <si>
    <t>F20</t>
  </si>
  <si>
    <t>G20</t>
  </si>
  <si>
    <t>H20</t>
  </si>
  <si>
    <t>I20</t>
  </si>
  <si>
    <t>J20</t>
  </si>
  <si>
    <t>K20</t>
  </si>
  <si>
    <t>L20</t>
  </si>
  <si>
    <t>M20</t>
  </si>
  <si>
    <t>N20</t>
  </si>
  <si>
    <t>O20</t>
  </si>
  <si>
    <t>P20</t>
  </si>
  <si>
    <t>Q20</t>
  </si>
  <si>
    <t>R20</t>
  </si>
  <si>
    <t>S20</t>
  </si>
  <si>
    <t>U20</t>
  </si>
  <si>
    <t>艺术2</t>
  </si>
  <si>
    <t>W20</t>
  </si>
  <si>
    <t>X20</t>
  </si>
  <si>
    <t>Y20</t>
  </si>
  <si>
    <t>Z20</t>
  </si>
  <si>
    <t>AA20</t>
  </si>
  <si>
    <t>AB20</t>
  </si>
  <si>
    <t>陆军|空军|海军</t>
  </si>
  <si>
    <t>AC20</t>
  </si>
  <si>
    <t>AD20</t>
  </si>
  <si>
    <t>AE20</t>
  </si>
  <si>
    <t>D21</t>
  </si>
  <si>
    <t>E21</t>
  </si>
  <si>
    <t>F21</t>
  </si>
  <si>
    <t>G21</t>
  </si>
  <si>
    <t>H21</t>
  </si>
  <si>
    <t>I21</t>
  </si>
  <si>
    <t>J21</t>
  </si>
  <si>
    <t>K21</t>
  </si>
  <si>
    <t>L21</t>
  </si>
  <si>
    <t>M21</t>
  </si>
  <si>
    <t>N21</t>
  </si>
  <si>
    <t>O21</t>
  </si>
  <si>
    <t>P21</t>
  </si>
  <si>
    <t>Q21</t>
  </si>
  <si>
    <t>R21</t>
  </si>
  <si>
    <t>S21</t>
  </si>
  <si>
    <t>U21</t>
  </si>
  <si>
    <t>W21</t>
  </si>
  <si>
    <t>X21</t>
  </si>
  <si>
    <t>Y21</t>
  </si>
  <si>
    <t>Z21</t>
  </si>
  <si>
    <t>AA21</t>
  </si>
  <si>
    <t>AB21</t>
  </si>
  <si>
    <t>AC21</t>
  </si>
  <si>
    <t>AD21</t>
  </si>
  <si>
    <t>AE21</t>
  </si>
  <si>
    <t>D22</t>
  </si>
  <si>
    <t>E22</t>
  </si>
  <si>
    <t>F22</t>
  </si>
  <si>
    <t>G22</t>
  </si>
  <si>
    <t>H22</t>
  </si>
  <si>
    <t>飞机|无人机|直升机|小船|大船|航天飞机|宇航服|飞行器</t>
  </si>
  <si>
    <t>特种载具1</t>
  </si>
  <si>
    <t>AM24</t>
  </si>
  <si>
    <t>I22</t>
  </si>
  <si>
    <t>J22</t>
  </si>
  <si>
    <t>K22</t>
  </si>
  <si>
    <t>L22</t>
  </si>
  <si>
    <t>M22</t>
  </si>
  <si>
    <t>N22</t>
  </si>
  <si>
    <t>O22</t>
  </si>
  <si>
    <t>P22</t>
  </si>
  <si>
    <t>Q22</t>
  </si>
  <si>
    <t>R22</t>
  </si>
  <si>
    <t>S22</t>
  </si>
  <si>
    <t>U22</t>
  </si>
  <si>
    <t>特种载具2</t>
  </si>
  <si>
    <t>AM25</t>
  </si>
  <si>
    <t>W22</t>
  </si>
  <si>
    <t>X22</t>
  </si>
  <si>
    <t>Y22</t>
  </si>
  <si>
    <t>Z22</t>
  </si>
  <si>
    <t>AA22</t>
  </si>
  <si>
    <t>AB22</t>
  </si>
  <si>
    <t>AC22</t>
  </si>
  <si>
    <t>AD22</t>
  </si>
  <si>
    <t>AE22</t>
  </si>
  <si>
    <t>D23</t>
  </si>
  <si>
    <t>E23</t>
  </si>
  <si>
    <t>F23</t>
  </si>
  <si>
    <t>G23</t>
  </si>
  <si>
    <t>H23</t>
  </si>
  <si>
    <t>I23</t>
  </si>
  <si>
    <t>J23</t>
  </si>
  <si>
    <t>K23</t>
  </si>
  <si>
    <t>L23</t>
  </si>
  <si>
    <t>M23</t>
  </si>
  <si>
    <t>N23</t>
  </si>
  <si>
    <t>O23</t>
  </si>
  <si>
    <t>P23</t>
  </si>
  <si>
    <t>Q23</t>
  </si>
  <si>
    <t>R23</t>
  </si>
  <si>
    <t>S23</t>
  </si>
  <si>
    <t>U23</t>
  </si>
  <si>
    <t>W23</t>
  </si>
  <si>
    <t>X23</t>
  </si>
  <si>
    <t>Y23</t>
  </si>
  <si>
    <t>Z23</t>
  </si>
  <si>
    <t>AA23</t>
  </si>
  <si>
    <t>AB23</t>
  </si>
  <si>
    <t>AC23</t>
  </si>
  <si>
    <t>AD23</t>
  </si>
  <si>
    <t>AE23</t>
  </si>
  <si>
    <t>D24</t>
  </si>
  <si>
    <t>E24</t>
  </si>
  <si>
    <t>F24</t>
  </si>
  <si>
    <t>G24</t>
  </si>
  <si>
    <t>H24</t>
  </si>
  <si>
    <t>I24</t>
  </si>
  <si>
    <t>J24</t>
  </si>
  <si>
    <t>K24</t>
  </si>
  <si>
    <t>L24</t>
  </si>
  <si>
    <t>M24</t>
  </si>
  <si>
    <t>N24</t>
  </si>
  <si>
    <t>O24</t>
  </si>
  <si>
    <t>P24</t>
  </si>
  <si>
    <t>Q24</t>
  </si>
  <si>
    <t>R24</t>
  </si>
  <si>
    <t>S24</t>
  </si>
  <si>
    <t>U24</t>
  </si>
  <si>
    <t>W24</t>
  </si>
  <si>
    <t>X24</t>
  </si>
  <si>
    <t>Y24</t>
  </si>
  <si>
    <t>Z24</t>
  </si>
  <si>
    <t>AA24</t>
  </si>
  <si>
    <t>AB24</t>
  </si>
  <si>
    <t>AC24</t>
  </si>
  <si>
    <t>AD24</t>
  </si>
  <si>
    <t>AE24</t>
  </si>
  <si>
    <t>D25</t>
  </si>
  <si>
    <t>E25</t>
  </si>
  <si>
    <t>F25</t>
  </si>
  <si>
    <t>G25</t>
  </si>
  <si>
    <t>H25</t>
  </si>
  <si>
    <t>I25</t>
  </si>
  <si>
    <t>K25</t>
  </si>
  <si>
    <t>L25</t>
  </si>
  <si>
    <t>M25</t>
  </si>
  <si>
    <t>N25</t>
  </si>
  <si>
    <t>O25</t>
  </si>
  <si>
    <t>P25</t>
  </si>
  <si>
    <t>Q25</t>
  </si>
  <si>
    <t>R25</t>
  </si>
  <si>
    <t>S25</t>
  </si>
  <si>
    <t>U25</t>
  </si>
  <si>
    <t>W25</t>
  </si>
  <si>
    <t>X25</t>
  </si>
  <si>
    <t>Y25</t>
  </si>
  <si>
    <t>Z25</t>
  </si>
  <si>
    <t>AA25</t>
  </si>
  <si>
    <t>AB25</t>
  </si>
  <si>
    <t>AC25</t>
  </si>
  <si>
    <t>AD25</t>
  </si>
  <si>
    <t>AE25</t>
  </si>
  <si>
    <t>D30</t>
  </si>
  <si>
    <t>E30</t>
  </si>
  <si>
    <t>F30</t>
  </si>
  <si>
    <t>G30</t>
  </si>
  <si>
    <t>H30</t>
  </si>
  <si>
    <t>I30</t>
  </si>
  <si>
    <t>J30</t>
  </si>
  <si>
    <t>K30</t>
  </si>
  <si>
    <t>L30</t>
  </si>
  <si>
    <t>M30</t>
  </si>
  <si>
    <t>N30</t>
  </si>
  <si>
    <t>O30</t>
  </si>
  <si>
    <t>P30</t>
  </si>
  <si>
    <t>Q30</t>
  </si>
  <si>
    <t>R30</t>
  </si>
  <si>
    <t>S30</t>
  </si>
  <si>
    <t>U30</t>
  </si>
  <si>
    <t>W30</t>
  </si>
  <si>
    <t>X30</t>
  </si>
  <si>
    <t>Y30</t>
  </si>
  <si>
    <t>Z30</t>
  </si>
  <si>
    <t>AA30</t>
  </si>
  <si>
    <t>AB30</t>
  </si>
  <si>
    <t>AC30</t>
  </si>
  <si>
    <t>AD30</t>
  </si>
  <si>
    <t>AE30</t>
  </si>
  <si>
    <t>D34</t>
  </si>
  <si>
    <t>E34</t>
  </si>
  <si>
    <t>F34</t>
  </si>
  <si>
    <t>G34</t>
  </si>
  <si>
    <t>H34</t>
  </si>
  <si>
    <t>I34</t>
  </si>
  <si>
    <t>J34</t>
  </si>
  <si>
    <t>K34</t>
  </si>
  <si>
    <t>L34</t>
  </si>
  <si>
    <t>M34</t>
  </si>
  <si>
    <t>N34</t>
  </si>
  <si>
    <t>O34</t>
  </si>
  <si>
    <t>P34</t>
  </si>
  <si>
    <t>Q34</t>
  </si>
  <si>
    <t>R34</t>
  </si>
  <si>
    <t>S34</t>
  </si>
  <si>
    <t>U34</t>
  </si>
  <si>
    <t>W34</t>
  </si>
  <si>
    <t>X34</t>
  </si>
  <si>
    <t>Y34</t>
  </si>
  <si>
    <t>Z34</t>
  </si>
  <si>
    <t>AA34</t>
  </si>
  <si>
    <t>AB34</t>
  </si>
  <si>
    <t>AC34</t>
  </si>
  <si>
    <t>AD34</t>
  </si>
  <si>
    <t>AE34</t>
  </si>
  <si>
    <t>D37</t>
  </si>
  <si>
    <t>E37</t>
  </si>
  <si>
    <t>F37</t>
  </si>
  <si>
    <t>G37</t>
  </si>
  <si>
    <t>H37</t>
  </si>
  <si>
    <t>I37</t>
  </si>
  <si>
    <t>K37</t>
  </si>
  <si>
    <t>L37</t>
  </si>
  <si>
    <t>M37</t>
  </si>
  <si>
    <t>N37</t>
  </si>
  <si>
    <t>O37</t>
  </si>
  <si>
    <t>P37</t>
  </si>
  <si>
    <t>Q37</t>
  </si>
  <si>
    <t>R37</t>
  </si>
  <si>
    <t>S37</t>
  </si>
  <si>
    <t>U37</t>
  </si>
  <si>
    <t>W37</t>
  </si>
  <si>
    <t>X37</t>
  </si>
  <si>
    <t>Y37</t>
  </si>
  <si>
    <t>Z37</t>
  </si>
  <si>
    <t>AA37</t>
  </si>
  <si>
    <t>AB37</t>
  </si>
  <si>
    <t>AC37</t>
  </si>
  <si>
    <t>AD37</t>
  </si>
  <si>
    <t>AE37</t>
  </si>
  <si>
    <t>D40</t>
  </si>
  <si>
    <t>E40</t>
  </si>
  <si>
    <t>F40</t>
  </si>
  <si>
    <t>G40</t>
  </si>
  <si>
    <t>H40</t>
  </si>
  <si>
    <t>I40</t>
  </si>
  <si>
    <t>J40</t>
  </si>
  <si>
    <t>K40</t>
  </si>
  <si>
    <t>L40</t>
  </si>
  <si>
    <t>M40</t>
  </si>
  <si>
    <t>N40</t>
  </si>
  <si>
    <t>O40</t>
  </si>
  <si>
    <t>P40</t>
  </si>
  <si>
    <t>Q40</t>
  </si>
  <si>
    <t>R40</t>
  </si>
  <si>
    <t>S40</t>
  </si>
  <si>
    <t>U40</t>
  </si>
  <si>
    <t>W40</t>
  </si>
  <si>
    <t>X40</t>
  </si>
  <si>
    <t>Y40</t>
  </si>
  <si>
    <t>Z40</t>
  </si>
  <si>
    <t>AA40</t>
  </si>
  <si>
    <t>AB40</t>
  </si>
  <si>
    <t>AC40</t>
  </si>
  <si>
    <t>AD40</t>
  </si>
  <si>
    <t>AE40</t>
  </si>
  <si>
    <t>D43</t>
  </si>
  <si>
    <t>E43</t>
  </si>
  <si>
    <t>F43</t>
  </si>
  <si>
    <t>G43</t>
  </si>
  <si>
    <t>H43</t>
  </si>
  <si>
    <t>I43</t>
  </si>
  <si>
    <t>J43</t>
  </si>
  <si>
    <t>K43</t>
  </si>
  <si>
    <t>L43</t>
  </si>
  <si>
    <t>M43</t>
  </si>
  <si>
    <t>N43</t>
  </si>
  <si>
    <t>O43</t>
  </si>
  <si>
    <t>P43</t>
  </si>
  <si>
    <t>Q43</t>
  </si>
  <si>
    <t>R43</t>
  </si>
  <si>
    <t>S43</t>
  </si>
  <si>
    <t>U43</t>
  </si>
  <si>
    <t>W43</t>
  </si>
  <si>
    <t>X43</t>
  </si>
  <si>
    <t>Y43</t>
  </si>
  <si>
    <t>Z43</t>
  </si>
  <si>
    <t>AA43</t>
  </si>
  <si>
    <t>AB43</t>
  </si>
  <si>
    <t>AC43</t>
  </si>
  <si>
    <t>AD43</t>
  </si>
  <si>
    <t>AE43</t>
  </si>
  <si>
    <t>D44</t>
  </si>
  <si>
    <t>E44</t>
  </si>
  <si>
    <t>F44</t>
  </si>
  <si>
    <t>G44</t>
  </si>
  <si>
    <t>H44</t>
  </si>
  <si>
    <t>I44</t>
  </si>
  <si>
    <t>J44</t>
  </si>
  <si>
    <t>K44</t>
  </si>
  <si>
    <t>unknown</t>
  </si>
  <si>
    <t>L44</t>
  </si>
  <si>
    <t>M44</t>
  </si>
  <si>
    <t>N44</t>
  </si>
  <si>
    <t>O44</t>
  </si>
  <si>
    <t>P44</t>
  </si>
  <si>
    <t>Q44</t>
  </si>
  <si>
    <t>R44</t>
  </si>
  <si>
    <t>S44</t>
  </si>
  <si>
    <t>U44</t>
  </si>
  <si>
    <t>V44</t>
  </si>
  <si>
    <t>W44</t>
  </si>
  <si>
    <t>X44</t>
  </si>
  <si>
    <t>Y44</t>
  </si>
  <si>
    <t>Z44</t>
  </si>
  <si>
    <t>AA44</t>
  </si>
  <si>
    <t>AB44</t>
  </si>
  <si>
    <t>AC44</t>
  </si>
  <si>
    <t>AD44</t>
  </si>
  <si>
    <t>AE44</t>
  </si>
  <si>
    <t>D46</t>
  </si>
  <si>
    <t>E46</t>
  </si>
  <si>
    <t>F46</t>
  </si>
  <si>
    <t>G46</t>
  </si>
  <si>
    <t>H46</t>
  </si>
  <si>
    <t>I46</t>
  </si>
  <si>
    <t>J46</t>
  </si>
  <si>
    <t>K46</t>
  </si>
  <si>
    <t>L46</t>
  </si>
  <si>
    <t>M46</t>
  </si>
  <si>
    <t>N46</t>
  </si>
  <si>
    <t>O46</t>
  </si>
  <si>
    <t>P46</t>
  </si>
  <si>
    <t>Q46</t>
  </si>
  <si>
    <t>R46</t>
  </si>
  <si>
    <t>S46</t>
  </si>
  <si>
    <t>U46</t>
  </si>
  <si>
    <t>V46</t>
  </si>
  <si>
    <t>W46</t>
  </si>
  <si>
    <t>X46</t>
  </si>
  <si>
    <t>Y46</t>
  </si>
  <si>
    <t>Z46</t>
  </si>
  <si>
    <t>AA46</t>
  </si>
  <si>
    <t>AB46</t>
  </si>
  <si>
    <t>AC46</t>
  </si>
  <si>
    <t>AD46</t>
  </si>
  <si>
    <t>AE46</t>
  </si>
  <si>
    <t>D48</t>
  </si>
  <si>
    <t>E48</t>
  </si>
  <si>
    <t>F48</t>
  </si>
  <si>
    <t>G48</t>
  </si>
  <si>
    <t>H48</t>
  </si>
  <si>
    <t>I48</t>
  </si>
  <si>
    <t>J48</t>
  </si>
  <si>
    <t>K48</t>
  </si>
  <si>
    <t>L48</t>
  </si>
  <si>
    <t>M48</t>
  </si>
  <si>
    <t>N48</t>
  </si>
  <si>
    <t>O48</t>
  </si>
  <si>
    <t>P48</t>
  </si>
  <si>
    <t>Q48</t>
  </si>
  <si>
    <t>R48</t>
  </si>
  <si>
    <t>S48</t>
  </si>
  <si>
    <t>U48</t>
  </si>
  <si>
    <t>V48</t>
  </si>
  <si>
    <t>W48</t>
  </si>
  <si>
    <t>X48</t>
  </si>
  <si>
    <t>Y48</t>
  </si>
  <si>
    <t>Z48</t>
  </si>
  <si>
    <t>AA48</t>
  </si>
  <si>
    <t>AB48</t>
  </si>
  <si>
    <t>AC48</t>
  </si>
  <si>
    <t>AD48</t>
  </si>
  <si>
    <t>AE48</t>
  </si>
  <si>
    <t>D49</t>
  </si>
  <si>
    <t>E49</t>
  </si>
  <si>
    <t>F49</t>
  </si>
  <si>
    <t>G49</t>
  </si>
  <si>
    <t>H49</t>
  </si>
  <si>
    <t>I49</t>
  </si>
  <si>
    <t>J49</t>
  </si>
  <si>
    <t>军事科学（空军）</t>
  </si>
  <si>
    <t>K49</t>
  </si>
  <si>
    <t>军事科学2</t>
  </si>
  <si>
    <t>AM18</t>
  </si>
  <si>
    <t>L49</t>
  </si>
  <si>
    <t>M49</t>
  </si>
  <si>
    <t>N49</t>
  </si>
  <si>
    <t>O49</t>
  </si>
  <si>
    <t>P49</t>
  </si>
  <si>
    <t>Q49</t>
  </si>
  <si>
    <t>R49</t>
  </si>
  <si>
    <t>S49</t>
  </si>
  <si>
    <t>U49</t>
  </si>
  <si>
    <t>V49</t>
  </si>
  <si>
    <t>W49</t>
  </si>
  <si>
    <t>X49</t>
  </si>
  <si>
    <t>Y49</t>
  </si>
  <si>
    <t>Z49</t>
  </si>
  <si>
    <t>AA49</t>
  </si>
  <si>
    <t>AB49</t>
  </si>
  <si>
    <t>AC49</t>
  </si>
  <si>
    <t>AD49</t>
  </si>
  <si>
    <t>AE49</t>
  </si>
  <si>
    <t>D50</t>
  </si>
  <si>
    <t>E50</t>
  </si>
  <si>
    <t>F50</t>
  </si>
  <si>
    <t>G50</t>
  </si>
  <si>
    <t>H50</t>
  </si>
  <si>
    <t>I50</t>
  </si>
  <si>
    <t>J50</t>
  </si>
  <si>
    <t>K50</t>
  </si>
  <si>
    <t>L50</t>
  </si>
  <si>
    <t>M50</t>
  </si>
  <si>
    <t>N50</t>
  </si>
  <si>
    <t>O50</t>
  </si>
  <si>
    <t>P50</t>
  </si>
  <si>
    <t>Q50</t>
  </si>
  <si>
    <t>R50</t>
  </si>
  <si>
    <t>S50</t>
  </si>
  <si>
    <t>U50</t>
  </si>
  <si>
    <t>V50</t>
  </si>
  <si>
    <t>W50</t>
  </si>
  <si>
    <t>X50</t>
  </si>
  <si>
    <t>Y50</t>
  </si>
  <si>
    <t>Z50</t>
  </si>
  <si>
    <t>AA50</t>
  </si>
  <si>
    <t>AB50</t>
  </si>
  <si>
    <t>AC50</t>
  </si>
  <si>
    <t>AD50</t>
  </si>
  <si>
    <t>AE50</t>
  </si>
  <si>
    <t>D57</t>
  </si>
  <si>
    <t>E57</t>
  </si>
  <si>
    <t>F57</t>
  </si>
  <si>
    <t>G57</t>
  </si>
  <si>
    <t>H57</t>
  </si>
  <si>
    <t>I57</t>
  </si>
  <si>
    <t>J57</t>
  </si>
  <si>
    <t>K57</t>
  </si>
  <si>
    <t>L57</t>
  </si>
  <si>
    <t>M57</t>
  </si>
  <si>
    <t>N57</t>
  </si>
  <si>
    <t>O57</t>
  </si>
  <si>
    <t>P57</t>
  </si>
  <si>
    <t>Q57</t>
  </si>
  <si>
    <t>R57</t>
  </si>
  <si>
    <t>S57</t>
  </si>
  <si>
    <t>U57</t>
  </si>
  <si>
    <t>V57</t>
  </si>
  <si>
    <t>W57</t>
  </si>
  <si>
    <t>X57</t>
  </si>
  <si>
    <t>Y57</t>
  </si>
  <si>
    <t>Z57</t>
  </si>
  <si>
    <t>AA57</t>
  </si>
  <si>
    <t>AB57</t>
  </si>
  <si>
    <t>AC57</t>
  </si>
  <si>
    <t>AD57</t>
  </si>
  <si>
    <t>AE57</t>
  </si>
  <si>
    <t>D59</t>
  </si>
  <si>
    <t>E59</t>
  </si>
  <si>
    <t>F59</t>
  </si>
  <si>
    <t>G59</t>
  </si>
  <si>
    <t>H59</t>
  </si>
  <si>
    <t>I59</t>
  </si>
  <si>
    <t>J59</t>
  </si>
  <si>
    <t>K59</t>
  </si>
  <si>
    <t>L59</t>
  </si>
  <si>
    <t>M59</t>
  </si>
  <si>
    <t>N59</t>
  </si>
  <si>
    <t>O59</t>
  </si>
  <si>
    <t>P59</t>
  </si>
  <si>
    <t>Q59</t>
  </si>
  <si>
    <t>R59</t>
  </si>
  <si>
    <t>S59</t>
  </si>
  <si>
    <t>U59</t>
  </si>
  <si>
    <t>V59</t>
  </si>
  <si>
    <t>W59</t>
  </si>
  <si>
    <t>X59</t>
  </si>
  <si>
    <t>Y59</t>
  </si>
  <si>
    <t>Z59</t>
  </si>
  <si>
    <t>AA59</t>
  </si>
  <si>
    <t>AB59</t>
  </si>
  <si>
    <t>AC59</t>
  </si>
  <si>
    <t>AD59</t>
  </si>
  <si>
    <t>AE59</t>
  </si>
  <si>
    <t>D60</t>
  </si>
  <si>
    <t>E60</t>
  </si>
  <si>
    <t>F60</t>
  </si>
  <si>
    <t>G60</t>
  </si>
  <si>
    <t>H60</t>
  </si>
  <si>
    <t>I60</t>
  </si>
  <si>
    <t>J60</t>
  </si>
  <si>
    <t>K60</t>
  </si>
  <si>
    <t>L60</t>
  </si>
  <si>
    <t>M60</t>
  </si>
  <si>
    <t>N60</t>
  </si>
  <si>
    <t>O60</t>
  </si>
  <si>
    <t>P60</t>
  </si>
  <si>
    <t>Q60</t>
  </si>
  <si>
    <t>R60</t>
  </si>
  <si>
    <t>S60</t>
  </si>
  <si>
    <t>U60</t>
  </si>
  <si>
    <t>V60</t>
  </si>
  <si>
    <t>W60</t>
  </si>
  <si>
    <t>X60</t>
  </si>
  <si>
    <t>Y60</t>
  </si>
  <si>
    <t>Z60</t>
  </si>
  <si>
    <t>AA60</t>
  </si>
  <si>
    <t>AB60</t>
  </si>
  <si>
    <t>AC60</t>
  </si>
  <si>
    <t>AD60</t>
  </si>
  <si>
    <t>AE60</t>
  </si>
  <si>
    <t>D61</t>
  </si>
  <si>
    <t>E61</t>
  </si>
  <si>
    <t>F61</t>
  </si>
  <si>
    <t>G61</t>
  </si>
  <si>
    <t>H61</t>
  </si>
  <si>
    <t>I61</t>
  </si>
  <si>
    <t>J61</t>
  </si>
  <si>
    <t>K61</t>
  </si>
  <si>
    <t>特种载具（小船）</t>
  </si>
  <si>
    <t>L61</t>
  </si>
  <si>
    <t>M61</t>
  </si>
  <si>
    <t>N61</t>
  </si>
  <si>
    <t>O61</t>
  </si>
  <si>
    <t>P61</t>
  </si>
  <si>
    <t>Q61</t>
  </si>
  <si>
    <t>R61</t>
  </si>
  <si>
    <t>S61</t>
  </si>
  <si>
    <t>U61</t>
  </si>
  <si>
    <t>V61</t>
  </si>
  <si>
    <t>W61</t>
  </si>
  <si>
    <t>X61</t>
  </si>
  <si>
    <t>Y61</t>
  </si>
  <si>
    <t>Z61</t>
  </si>
  <si>
    <t>AA61</t>
  </si>
  <si>
    <t>AB61</t>
  </si>
  <si>
    <t>AC61</t>
  </si>
  <si>
    <t>AD61</t>
  </si>
  <si>
    <t>AE61</t>
  </si>
  <si>
    <t>D62</t>
  </si>
  <si>
    <t>E62</t>
  </si>
  <si>
    <t>F62</t>
  </si>
  <si>
    <t>G62</t>
  </si>
  <si>
    <t>H62</t>
  </si>
  <si>
    <t>I62</t>
  </si>
  <si>
    <t>J62</t>
  </si>
  <si>
    <t>K62</t>
  </si>
  <si>
    <t>L62</t>
  </si>
  <si>
    <t>M62</t>
  </si>
  <si>
    <t>N62</t>
  </si>
  <si>
    <t>O62</t>
  </si>
  <si>
    <t>Q62</t>
  </si>
  <si>
    <t>R62</t>
  </si>
  <si>
    <t>S62</t>
  </si>
  <si>
    <t>U62</t>
  </si>
  <si>
    <t>V62</t>
  </si>
  <si>
    <t>W62</t>
  </si>
  <si>
    <t>X62</t>
  </si>
  <si>
    <t>Y62</t>
  </si>
  <si>
    <t>Z62</t>
  </si>
  <si>
    <t>AA62</t>
  </si>
  <si>
    <t>AB62</t>
  </si>
  <si>
    <t>AC62</t>
  </si>
  <si>
    <t>AD62</t>
  </si>
  <si>
    <t>AE62</t>
  </si>
  <si>
    <t>limited</t>
  </si>
  <si>
    <t>摄影|摄像</t>
  </si>
  <si>
    <t>D63</t>
  </si>
  <si>
    <t>E63</t>
  </si>
  <si>
    <t>F63</t>
  </si>
  <si>
    <t>G63</t>
  </si>
  <si>
    <t>电子学</t>
  </si>
  <si>
    <t>H63</t>
  </si>
  <si>
    <t>I63</t>
  </si>
  <si>
    <t>J63</t>
  </si>
  <si>
    <t>K63</t>
  </si>
  <si>
    <t>L63</t>
  </si>
  <si>
    <t>M63</t>
  </si>
  <si>
    <t>N63</t>
  </si>
  <si>
    <t>O63</t>
  </si>
  <si>
    <t>P63</t>
  </si>
  <si>
    <t>Q63</t>
  </si>
  <si>
    <t>R63</t>
  </si>
  <si>
    <t>S63</t>
  </si>
  <si>
    <t>U63</t>
  </si>
  <si>
    <t>V63</t>
  </si>
  <si>
    <t>W63</t>
  </si>
  <si>
    <t>X63</t>
  </si>
  <si>
    <t>Y63</t>
  </si>
  <si>
    <t>Z63</t>
  </si>
  <si>
    <t>AA63</t>
  </si>
  <si>
    <t>AB63</t>
  </si>
  <si>
    <t>AC63</t>
  </si>
  <si>
    <t>AD63</t>
  </si>
  <si>
    <t>AE63</t>
  </si>
  <si>
    <t>D64</t>
  </si>
  <si>
    <t>E64</t>
  </si>
  <si>
    <t>F64</t>
  </si>
  <si>
    <t>G64</t>
  </si>
  <si>
    <t>H64</t>
  </si>
  <si>
    <t>I64</t>
  </si>
  <si>
    <t>J64</t>
  </si>
  <si>
    <t>K64</t>
  </si>
  <si>
    <t>L64</t>
  </si>
  <si>
    <t>M64</t>
  </si>
  <si>
    <t>N64</t>
  </si>
  <si>
    <t>O64</t>
  </si>
  <si>
    <t>P64</t>
  </si>
  <si>
    <t>Q64</t>
  </si>
  <si>
    <t>R64</t>
  </si>
  <si>
    <t>S64</t>
  </si>
  <si>
    <t>U64</t>
  </si>
  <si>
    <t>V64</t>
  </si>
  <si>
    <t>W64</t>
  </si>
  <si>
    <t>X64</t>
  </si>
  <si>
    <t>Y64</t>
  </si>
  <si>
    <t>Z64</t>
  </si>
  <si>
    <t>AA64</t>
  </si>
  <si>
    <t>AB64</t>
  </si>
  <si>
    <t>AC64</t>
  </si>
  <si>
    <t>AD64</t>
  </si>
  <si>
    <t>AE64</t>
  </si>
  <si>
    <t>D65</t>
  </si>
  <si>
    <t>E65</t>
  </si>
  <si>
    <t>F65</t>
  </si>
  <si>
    <t>G65</t>
  </si>
  <si>
    <t>H65</t>
  </si>
  <si>
    <t>I65</t>
  </si>
  <si>
    <t>J65</t>
  </si>
  <si>
    <t>K65</t>
  </si>
  <si>
    <t>L65</t>
  </si>
  <si>
    <t>M65</t>
  </si>
  <si>
    <t>N65</t>
  </si>
  <si>
    <t>O65</t>
  </si>
  <si>
    <t>P65</t>
  </si>
  <si>
    <t>Q65</t>
  </si>
  <si>
    <t>R65</t>
  </si>
  <si>
    <t>S65</t>
  </si>
  <si>
    <t>U65</t>
  </si>
  <si>
    <t>V65</t>
  </si>
  <si>
    <t>W65</t>
  </si>
  <si>
    <t>X65</t>
  </si>
  <si>
    <t>Y65</t>
  </si>
  <si>
    <t>Z65</t>
  </si>
  <si>
    <t>AA65</t>
  </si>
  <si>
    <t>AB65</t>
  </si>
  <si>
    <t>AC65</t>
  </si>
  <si>
    <t>AD65</t>
  </si>
  <si>
    <t>AE65</t>
  </si>
  <si>
    <t>D66</t>
  </si>
  <si>
    <t>E66</t>
  </si>
  <si>
    <t>F66</t>
  </si>
  <si>
    <t>G66</t>
  </si>
  <si>
    <t>H66</t>
  </si>
  <si>
    <t>I66</t>
  </si>
  <si>
    <t>J66</t>
  </si>
  <si>
    <t>K66</t>
  </si>
  <si>
    <t>L66</t>
  </si>
  <si>
    <t>M66</t>
  </si>
  <si>
    <t>N66</t>
  </si>
  <si>
    <t>O66</t>
  </si>
  <si>
    <t>P66</t>
  </si>
  <si>
    <t>Q66</t>
  </si>
  <si>
    <t>R66</t>
  </si>
  <si>
    <t>S66</t>
  </si>
  <si>
    <t>U66</t>
  </si>
  <si>
    <t>V66</t>
  </si>
  <si>
    <t>W66</t>
  </si>
  <si>
    <t>X66</t>
  </si>
  <si>
    <t>Y66</t>
  </si>
  <si>
    <t>Z66</t>
  </si>
  <si>
    <t>AA66</t>
  </si>
  <si>
    <t>AB66</t>
  </si>
  <si>
    <t>AC66</t>
  </si>
  <si>
    <t>AD66</t>
  </si>
  <si>
    <t>AE66</t>
  </si>
  <si>
    <t>D68</t>
  </si>
  <si>
    <t>E68</t>
  </si>
  <si>
    <t>F68</t>
  </si>
  <si>
    <t>G68</t>
  </si>
  <si>
    <t>H68</t>
  </si>
  <si>
    <t>I68</t>
  </si>
  <si>
    <t>J68</t>
  </si>
  <si>
    <t>K68</t>
  </si>
  <si>
    <t>L68</t>
  </si>
  <si>
    <t>M68</t>
  </si>
  <si>
    <t>N68</t>
  </si>
  <si>
    <t>O68</t>
  </si>
  <si>
    <t>P68</t>
  </si>
  <si>
    <t>Q68</t>
  </si>
  <si>
    <t>R68</t>
  </si>
  <si>
    <t>S68</t>
  </si>
  <si>
    <t>U68</t>
  </si>
  <si>
    <t>V68</t>
  </si>
  <si>
    <t>W68</t>
  </si>
  <si>
    <t>X68</t>
  </si>
  <si>
    <t>Y68</t>
  </si>
  <si>
    <t>Z68</t>
  </si>
  <si>
    <t>AA68</t>
  </si>
  <si>
    <t>AB68</t>
  </si>
  <si>
    <t>AC68</t>
  </si>
  <si>
    <t>AD68</t>
  </si>
  <si>
    <t>AE68</t>
  </si>
  <si>
    <t>D69</t>
  </si>
  <si>
    <t>E69</t>
  </si>
  <si>
    <t>F69</t>
  </si>
  <si>
    <t>G69</t>
  </si>
  <si>
    <t>H69</t>
  </si>
  <si>
    <t>I69</t>
  </si>
  <si>
    <t>J69</t>
  </si>
  <si>
    <t>K69</t>
  </si>
  <si>
    <t>L69</t>
  </si>
  <si>
    <t>M69</t>
  </si>
  <si>
    <t>N69</t>
  </si>
  <si>
    <t>O69</t>
  </si>
  <si>
    <t>P69</t>
  </si>
  <si>
    <t>Q69</t>
  </si>
  <si>
    <t>R69</t>
  </si>
  <si>
    <t>S69</t>
  </si>
  <si>
    <t>U69</t>
  </si>
  <si>
    <t>V69</t>
  </si>
  <si>
    <t>W69</t>
  </si>
  <si>
    <t>X69</t>
  </si>
  <si>
    <t>Y69</t>
  </si>
  <si>
    <t>Z69</t>
  </si>
  <si>
    <t>AA69</t>
  </si>
  <si>
    <t>AB69</t>
  </si>
  <si>
    <t>AC69</t>
  </si>
  <si>
    <t>AD69</t>
  </si>
  <si>
    <t>AE69</t>
  </si>
  <si>
    <t>D80</t>
  </si>
  <si>
    <t>E80</t>
  </si>
  <si>
    <t>F80</t>
  </si>
  <si>
    <t>G80</t>
  </si>
  <si>
    <t>H80</t>
  </si>
  <si>
    <t>I80</t>
  </si>
  <si>
    <t>J80</t>
  </si>
  <si>
    <t>K80</t>
  </si>
  <si>
    <t>L80</t>
  </si>
  <si>
    <t>生物|化学|环境</t>
  </si>
  <si>
    <t>M80</t>
  </si>
  <si>
    <t>N80</t>
  </si>
  <si>
    <t>O80</t>
  </si>
  <si>
    <t>P80</t>
  </si>
  <si>
    <t>Q80</t>
  </si>
  <si>
    <t>R80</t>
  </si>
  <si>
    <t>S80</t>
  </si>
  <si>
    <t>U80</t>
  </si>
  <si>
    <t>V80</t>
  </si>
  <si>
    <t>W80</t>
  </si>
  <si>
    <t>X80</t>
  </si>
  <si>
    <t>Y80</t>
  </si>
  <si>
    <t>Z80</t>
  </si>
  <si>
    <t>AA80</t>
  </si>
  <si>
    <t>AB80</t>
  </si>
  <si>
    <t>AC80</t>
  </si>
  <si>
    <t>AD80</t>
  </si>
  <si>
    <t>AE80</t>
  </si>
  <si>
    <t>D81</t>
  </si>
  <si>
    <t>E81</t>
  </si>
  <si>
    <t>F81</t>
  </si>
  <si>
    <t>G81</t>
  </si>
  <si>
    <t>化学|环境学</t>
  </si>
  <si>
    <t>H81</t>
  </si>
  <si>
    <t>植物学|生物学</t>
  </si>
  <si>
    <t>I81</t>
  </si>
  <si>
    <t>J81</t>
  </si>
  <si>
    <t>K81</t>
  </si>
  <si>
    <t>L81</t>
  </si>
  <si>
    <t>M81</t>
  </si>
  <si>
    <t>N81</t>
  </si>
  <si>
    <t>O81</t>
  </si>
  <si>
    <t>P81</t>
  </si>
  <si>
    <t>Q81</t>
  </si>
  <si>
    <t>R81</t>
  </si>
  <si>
    <t>S81</t>
  </si>
  <si>
    <t>U81</t>
  </si>
  <si>
    <t>V81</t>
  </si>
  <si>
    <t>W81</t>
  </si>
  <si>
    <t>X81</t>
  </si>
  <si>
    <t>Y81</t>
  </si>
  <si>
    <t>Z81</t>
  </si>
  <si>
    <t>AA81</t>
  </si>
  <si>
    <t>AB81</t>
  </si>
  <si>
    <t>AC81</t>
  </si>
  <si>
    <t>AD81</t>
  </si>
  <si>
    <t>AE81</t>
  </si>
  <si>
    <t>D83</t>
  </si>
  <si>
    <t>E83</t>
  </si>
  <si>
    <t>F83</t>
  </si>
  <si>
    <t>G83</t>
  </si>
  <si>
    <t>H83</t>
  </si>
  <si>
    <t>I83</t>
  </si>
  <si>
    <t>西班牙语</t>
  </si>
  <si>
    <t>外语（西班牙语）</t>
  </si>
  <si>
    <t>J83</t>
  </si>
  <si>
    <t>K83</t>
  </si>
  <si>
    <t>L83</t>
  </si>
  <si>
    <t>M83</t>
  </si>
  <si>
    <t>N83</t>
  </si>
  <si>
    <t>船</t>
  </si>
  <si>
    <t>特种载具（船）</t>
  </si>
  <si>
    <t>O83</t>
  </si>
  <si>
    <t>P83</t>
  </si>
  <si>
    <t>Q83</t>
  </si>
  <si>
    <t>R83</t>
  </si>
  <si>
    <t>S83</t>
  </si>
  <si>
    <t>U83</t>
  </si>
  <si>
    <t>V83</t>
  </si>
  <si>
    <t>W83</t>
  </si>
  <si>
    <t>X83</t>
  </si>
  <si>
    <t>Y83</t>
  </si>
  <si>
    <t>Z83</t>
  </si>
  <si>
    <t>AA83</t>
  </si>
  <si>
    <t>AB83</t>
  </si>
  <si>
    <t>AC83</t>
  </si>
  <si>
    <t>AD83</t>
  </si>
  <si>
    <t>AE83</t>
  </si>
  <si>
    <t>D86</t>
  </si>
  <si>
    <t>E86</t>
  </si>
  <si>
    <t>F86</t>
  </si>
  <si>
    <t>G86</t>
  </si>
  <si>
    <t>H86</t>
  </si>
  <si>
    <t>I86</t>
  </si>
  <si>
    <t>J86</t>
  </si>
  <si>
    <t>K86</t>
  </si>
  <si>
    <t>L86</t>
  </si>
  <si>
    <t>M86</t>
  </si>
  <si>
    <t>N86</t>
  </si>
  <si>
    <t>O86</t>
  </si>
  <si>
    <t>P86</t>
  </si>
  <si>
    <t>Q86</t>
  </si>
  <si>
    <t>R86</t>
  </si>
  <si>
    <t>S86</t>
  </si>
  <si>
    <t>U86</t>
  </si>
  <si>
    <t>V86</t>
  </si>
  <si>
    <t>W86</t>
  </si>
  <si>
    <t>X86</t>
  </si>
  <si>
    <t>Y86</t>
  </si>
  <si>
    <t>Z86</t>
  </si>
  <si>
    <t>AA86</t>
  </si>
  <si>
    <t>AB86</t>
  </si>
  <si>
    <t>AC86</t>
  </si>
  <si>
    <t>AD86</t>
  </si>
  <si>
    <t>AE86</t>
  </si>
  <si>
    <t>D87</t>
  </si>
  <si>
    <t>E87</t>
  </si>
  <si>
    <t>F87</t>
  </si>
  <si>
    <t>G87</t>
  </si>
  <si>
    <t>H87</t>
  </si>
  <si>
    <t>I87</t>
  </si>
  <si>
    <t>J87</t>
  </si>
  <si>
    <t>K87</t>
  </si>
  <si>
    <t>L87</t>
  </si>
  <si>
    <t>M87</t>
  </si>
  <si>
    <t>N87</t>
  </si>
  <si>
    <t>O87</t>
  </si>
  <si>
    <t>P87</t>
  </si>
  <si>
    <t>Q87</t>
  </si>
  <si>
    <t>R87</t>
  </si>
  <si>
    <t>S87</t>
  </si>
  <si>
    <t>U87</t>
  </si>
  <si>
    <t>V87</t>
  </si>
  <si>
    <t>W87</t>
  </si>
  <si>
    <t>X87</t>
  </si>
  <si>
    <t>Y87</t>
  </si>
  <si>
    <t>Z87</t>
  </si>
  <si>
    <t>AA87</t>
  </si>
  <si>
    <t>AB87</t>
  </si>
  <si>
    <t>AC87</t>
  </si>
  <si>
    <t>AD87</t>
  </si>
  <si>
    <t>AE87</t>
  </si>
  <si>
    <t>D90</t>
  </si>
  <si>
    <t>E90</t>
  </si>
  <si>
    <t>F90</t>
  </si>
  <si>
    <t>G90</t>
  </si>
  <si>
    <t>H90</t>
  </si>
  <si>
    <t>I90</t>
  </si>
  <si>
    <t>J90</t>
  </si>
  <si>
    <t>K90</t>
  </si>
  <si>
    <t>L90</t>
  </si>
  <si>
    <t>M90</t>
  </si>
  <si>
    <t>N90</t>
  </si>
  <si>
    <t>O90</t>
  </si>
  <si>
    <t>P90</t>
  </si>
  <si>
    <t>Q90</t>
  </si>
  <si>
    <t>R90</t>
  </si>
  <si>
    <t>S90</t>
  </si>
  <si>
    <t>U90</t>
  </si>
  <si>
    <t>V90</t>
  </si>
  <si>
    <t>W90</t>
  </si>
  <si>
    <t>X90</t>
  </si>
  <si>
    <t>Y90</t>
  </si>
  <si>
    <t>Z90</t>
  </si>
  <si>
    <t>AA90</t>
  </si>
  <si>
    <t>AB90</t>
  </si>
  <si>
    <t>AC90</t>
  </si>
  <si>
    <t>AD90</t>
  </si>
  <si>
    <t>AE90</t>
  </si>
  <si>
    <t>D91</t>
  </si>
  <si>
    <t>E91</t>
  </si>
  <si>
    <t>F91</t>
  </si>
  <si>
    <t>G91</t>
  </si>
  <si>
    <t>H91</t>
  </si>
  <si>
    <t>I91</t>
  </si>
  <si>
    <t>J91</t>
  </si>
  <si>
    <t>K91</t>
  </si>
  <si>
    <t>L91</t>
  </si>
  <si>
    <t>M91</t>
  </si>
  <si>
    <t>N91</t>
  </si>
  <si>
    <t>O91</t>
  </si>
  <si>
    <t>P91</t>
  </si>
  <si>
    <t>Q91</t>
  </si>
  <si>
    <t>R91</t>
  </si>
  <si>
    <t>S91</t>
  </si>
  <si>
    <t>U91</t>
  </si>
  <si>
    <t>V91</t>
  </si>
  <si>
    <t>W91</t>
  </si>
  <si>
    <t>X91</t>
  </si>
  <si>
    <t>Y91</t>
  </si>
  <si>
    <t>Z91</t>
  </si>
  <si>
    <t>AA91</t>
  </si>
  <si>
    <t>AB91</t>
  </si>
  <si>
    <t>AC91</t>
  </si>
  <si>
    <t>AD91</t>
  </si>
  <si>
    <t>AE91</t>
  </si>
  <si>
    <t>D93</t>
  </si>
  <si>
    <t>E93</t>
  </si>
  <si>
    <t>F93</t>
  </si>
  <si>
    <t>G93</t>
  </si>
  <si>
    <t>H93</t>
  </si>
  <si>
    <t>I93</t>
  </si>
  <si>
    <t>J93</t>
  </si>
  <si>
    <t>K93</t>
  </si>
  <si>
    <t>L93</t>
  </si>
  <si>
    <t>M93</t>
  </si>
  <si>
    <t>N93</t>
  </si>
  <si>
    <t>O93</t>
  </si>
  <si>
    <t>P93</t>
  </si>
  <si>
    <t>Q93</t>
  </si>
  <si>
    <t>R93</t>
  </si>
  <si>
    <t>S93</t>
  </si>
  <si>
    <t>U93</t>
  </si>
  <si>
    <t>V93</t>
  </si>
  <si>
    <t>W93</t>
  </si>
  <si>
    <t>X93</t>
  </si>
  <si>
    <t>Y93</t>
  </si>
  <si>
    <t>Z93</t>
  </si>
  <si>
    <t>AA93</t>
  </si>
  <si>
    <t>AB93</t>
  </si>
  <si>
    <t>AC93</t>
  </si>
  <si>
    <t>AD93</t>
  </si>
  <si>
    <t>AE93</t>
  </si>
  <si>
    <t>D94</t>
  </si>
  <si>
    <t>E94</t>
  </si>
  <si>
    <t>F94</t>
  </si>
  <si>
    <t>G94</t>
  </si>
  <si>
    <t>H94</t>
  </si>
  <si>
    <t>I94</t>
  </si>
  <si>
    <t>J94</t>
  </si>
  <si>
    <t>K94</t>
  </si>
  <si>
    <t>L94</t>
  </si>
  <si>
    <t>M94</t>
  </si>
  <si>
    <t>N94</t>
  </si>
  <si>
    <t>O94</t>
  </si>
  <si>
    <t>P94</t>
  </si>
  <si>
    <t>Q94</t>
  </si>
  <si>
    <t>R94</t>
  </si>
  <si>
    <t>S94</t>
  </si>
  <si>
    <t>U94</t>
  </si>
  <si>
    <t>V94</t>
  </si>
  <si>
    <t>W94</t>
  </si>
  <si>
    <t>X94</t>
  </si>
  <si>
    <t>Y94</t>
  </si>
  <si>
    <t>Z94</t>
  </si>
  <si>
    <t>AA94</t>
  </si>
  <si>
    <t>AB94</t>
  </si>
  <si>
    <t>AC94</t>
  </si>
  <si>
    <t>AD94</t>
  </si>
  <si>
    <t>AE94</t>
  </si>
  <si>
    <t>D96</t>
  </si>
  <si>
    <t>E96</t>
  </si>
  <si>
    <t>F96</t>
  </si>
  <si>
    <t>G96</t>
  </si>
  <si>
    <t>H96</t>
  </si>
  <si>
    <t>I96</t>
  </si>
  <si>
    <t>J96</t>
  </si>
  <si>
    <t>K96</t>
  </si>
  <si>
    <t>L96</t>
  </si>
  <si>
    <t>M96</t>
  </si>
  <si>
    <t>N96</t>
  </si>
  <si>
    <t>O96</t>
  </si>
  <si>
    <t>P96</t>
  </si>
  <si>
    <t>Q96</t>
  </si>
  <si>
    <t>R96</t>
  </si>
  <si>
    <t>S96</t>
  </si>
  <si>
    <t>U96</t>
  </si>
  <si>
    <t>V96</t>
  </si>
  <si>
    <t>W96</t>
  </si>
  <si>
    <t>X96</t>
  </si>
  <si>
    <t>Y96</t>
  </si>
  <si>
    <t>Z96</t>
  </si>
  <si>
    <t>AA96</t>
  </si>
  <si>
    <t>AB96</t>
  </si>
  <si>
    <t>AC96</t>
  </si>
  <si>
    <t>AD96</t>
  </si>
  <si>
    <t>AE96</t>
  </si>
  <si>
    <t>D97</t>
  </si>
  <si>
    <t>E97</t>
  </si>
  <si>
    <t>F97</t>
  </si>
  <si>
    <t>G97</t>
  </si>
  <si>
    <t>H97</t>
  </si>
  <si>
    <t>I97</t>
  </si>
  <si>
    <t>J97</t>
  </si>
  <si>
    <t>K97</t>
  </si>
  <si>
    <t>L97</t>
  </si>
  <si>
    <t>M97</t>
  </si>
  <si>
    <t>N97</t>
  </si>
  <si>
    <t>O97</t>
  </si>
  <si>
    <t>P97</t>
  </si>
  <si>
    <t>Q97</t>
  </si>
  <si>
    <t>R97</t>
  </si>
  <si>
    <t>S97</t>
  </si>
  <si>
    <t>U97</t>
  </si>
  <si>
    <t>V97</t>
  </si>
  <si>
    <t>W97</t>
  </si>
  <si>
    <t>X97</t>
  </si>
  <si>
    <t>Y97</t>
  </si>
  <si>
    <t>Z97</t>
  </si>
  <si>
    <t>AA97</t>
  </si>
  <si>
    <t>AB97</t>
  </si>
  <si>
    <t>AC97</t>
  </si>
  <si>
    <t>AD97</t>
  </si>
  <si>
    <t>AE97</t>
  </si>
  <si>
    <t>D99</t>
  </si>
  <si>
    <t>E99</t>
  </si>
  <si>
    <t>F99</t>
  </si>
  <si>
    <t>G99</t>
  </si>
  <si>
    <t>H99</t>
  </si>
  <si>
    <t>I99</t>
  </si>
  <si>
    <t>J99</t>
  </si>
  <si>
    <t>K99</t>
  </si>
  <si>
    <t>L99</t>
  </si>
  <si>
    <t>M99</t>
  </si>
  <si>
    <t>N99</t>
  </si>
  <si>
    <t>O99</t>
  </si>
  <si>
    <t>P99</t>
  </si>
  <si>
    <t>Q99</t>
  </si>
  <si>
    <t>R99</t>
  </si>
  <si>
    <t>S99</t>
  </si>
  <si>
    <t>U99</t>
  </si>
  <si>
    <t>V99</t>
  </si>
  <si>
    <t>W99</t>
  </si>
  <si>
    <t>X99</t>
  </si>
  <si>
    <t>Y99</t>
  </si>
  <si>
    <t>Z99</t>
  </si>
  <si>
    <t>AA99</t>
  </si>
  <si>
    <t>AB99</t>
  </si>
  <si>
    <t>AC99</t>
  </si>
  <si>
    <t>AD99</t>
  </si>
  <si>
    <t>AE99</t>
  </si>
  <si>
    <t>D102</t>
  </si>
  <si>
    <t>E102</t>
  </si>
  <si>
    <t>F102</t>
  </si>
  <si>
    <t>G102</t>
  </si>
  <si>
    <t>H102</t>
  </si>
  <si>
    <t>I102</t>
  </si>
  <si>
    <t>J102</t>
  </si>
  <si>
    <t>K102</t>
  </si>
  <si>
    <t>L102</t>
  </si>
  <si>
    <t>M102</t>
  </si>
  <si>
    <t>N102</t>
  </si>
  <si>
    <t>O102</t>
  </si>
  <si>
    <t>P102</t>
  </si>
  <si>
    <t>Q102</t>
  </si>
  <si>
    <t>R102</t>
  </si>
  <si>
    <t>S102</t>
  </si>
  <si>
    <t>U102</t>
  </si>
  <si>
    <t>V102</t>
  </si>
  <si>
    <t>W102</t>
  </si>
  <si>
    <t>X102</t>
  </si>
  <si>
    <t>Y102</t>
  </si>
  <si>
    <t>Z102</t>
  </si>
  <si>
    <t>AA102</t>
  </si>
  <si>
    <t>AB102</t>
  </si>
  <si>
    <t>AC102</t>
  </si>
  <si>
    <t>AD102</t>
  </si>
  <si>
    <t>AE102</t>
  </si>
  <si>
    <t>D103</t>
  </si>
  <si>
    <t>E103</t>
  </si>
  <si>
    <t>F103</t>
  </si>
  <si>
    <t>G103</t>
  </si>
  <si>
    <t>H103</t>
  </si>
  <si>
    <t>I103</t>
  </si>
  <si>
    <t>J103</t>
  </si>
  <si>
    <t>K103</t>
  </si>
  <si>
    <t>L103</t>
  </si>
  <si>
    <t>M103</t>
  </si>
  <si>
    <t>N103</t>
  </si>
  <si>
    <t>O103</t>
  </si>
  <si>
    <t>P103</t>
  </si>
  <si>
    <t>Q103</t>
  </si>
  <si>
    <t>R103</t>
  </si>
  <si>
    <t>S103</t>
  </si>
  <si>
    <t>U103</t>
  </si>
  <si>
    <t>V103</t>
  </si>
  <si>
    <t>W103</t>
  </si>
  <si>
    <t>X103</t>
  </si>
  <si>
    <t>Y103</t>
  </si>
  <si>
    <t>Z103</t>
  </si>
  <si>
    <t>AA103</t>
  </si>
  <si>
    <t>AB103</t>
  </si>
  <si>
    <t>AC103</t>
  </si>
  <si>
    <t>AD103</t>
  </si>
  <si>
    <t>AE103</t>
  </si>
  <si>
    <t>D104</t>
  </si>
  <si>
    <t>E104</t>
  </si>
  <si>
    <t>F104</t>
  </si>
  <si>
    <t>G104</t>
  </si>
  <si>
    <t>H104</t>
  </si>
  <si>
    <t>I104</t>
  </si>
  <si>
    <t>J104</t>
  </si>
  <si>
    <t>K104</t>
  </si>
  <si>
    <t>L104</t>
  </si>
  <si>
    <t>M104</t>
  </si>
  <si>
    <t>N104</t>
  </si>
  <si>
    <t>O104</t>
  </si>
  <si>
    <t>P104</t>
  </si>
  <si>
    <t>Q104</t>
  </si>
  <si>
    <t>R104</t>
  </si>
  <si>
    <t>S104</t>
  </si>
  <si>
    <t>U104</t>
  </si>
  <si>
    <t>V104</t>
  </si>
  <si>
    <t>W104</t>
  </si>
  <si>
    <t>X104</t>
  </si>
  <si>
    <t>Y104</t>
  </si>
  <si>
    <t>Z104</t>
  </si>
  <si>
    <t>AA104</t>
  </si>
  <si>
    <t>AB104</t>
  </si>
  <si>
    <t>AC104</t>
  </si>
  <si>
    <t>AD104</t>
  </si>
  <si>
    <t>AE104</t>
  </si>
  <si>
    <t>D105</t>
  </si>
  <si>
    <t>E105</t>
  </si>
  <si>
    <t>F105</t>
  </si>
  <si>
    <t>G105</t>
  </si>
  <si>
    <t>H105</t>
  </si>
  <si>
    <t>I105</t>
  </si>
  <si>
    <t>J105</t>
  </si>
  <si>
    <t>K105</t>
  </si>
  <si>
    <t>L105</t>
  </si>
  <si>
    <t>M105</t>
  </si>
  <si>
    <t>N105</t>
  </si>
  <si>
    <t>O105</t>
  </si>
  <si>
    <t>P105</t>
  </si>
  <si>
    <t>Q105</t>
  </si>
  <si>
    <t>R105</t>
  </si>
  <si>
    <t>S105</t>
  </si>
  <si>
    <t>U105</t>
  </si>
  <si>
    <t>V105</t>
  </si>
  <si>
    <t>W105</t>
  </si>
  <si>
    <t>X105</t>
  </si>
  <si>
    <t>Y105</t>
  </si>
  <si>
    <t>Z105</t>
  </si>
  <si>
    <t>AA105</t>
  </si>
  <si>
    <t>AB105</t>
  </si>
  <si>
    <t>AC105</t>
  </si>
  <si>
    <t>AD105</t>
  </si>
  <si>
    <t>AE105</t>
  </si>
  <si>
    <t>P26</t>
  </si>
  <si>
    <t>Y26</t>
  </si>
  <si>
    <t>P27</t>
  </si>
  <si>
    <t>Y27</t>
  </si>
  <si>
    <t>P28</t>
  </si>
  <si>
    <t>Y28</t>
  </si>
  <si>
    <t>P29</t>
  </si>
  <si>
    <t>Y29</t>
  </si>
  <si>
    <t>P31</t>
  </si>
  <si>
    <t>Y31</t>
  </si>
  <si>
    <t>P32</t>
  </si>
  <si>
    <t>Y32</t>
  </si>
  <si>
    <t>P33</t>
  </si>
  <si>
    <t>Y33</t>
  </si>
  <si>
    <t>P35</t>
  </si>
  <si>
    <t>Y35</t>
  </si>
  <si>
    <t>P36</t>
  </si>
  <si>
    <t>Y36</t>
  </si>
  <si>
    <t>P38</t>
  </si>
  <si>
    <t>Y38</t>
  </si>
  <si>
    <t>P39</t>
  </si>
  <si>
    <t>Y39</t>
  </si>
  <si>
    <t>P41</t>
  </si>
  <si>
    <t>Y41</t>
  </si>
  <si>
    <t>P42</t>
  </si>
  <si>
    <t>Y42</t>
  </si>
  <si>
    <t>AS14</t>
  </si>
  <si>
    <t>BB14</t>
  </si>
  <si>
    <t>AS15</t>
  </si>
  <si>
    <t>BB15</t>
  </si>
  <si>
    <t>AS16</t>
  </si>
  <si>
    <t>BB16</t>
  </si>
  <si>
    <t>AS17</t>
  </si>
  <si>
    <t>BB17</t>
  </si>
  <si>
    <t>AS18</t>
  </si>
  <si>
    <t>BB18</t>
  </si>
  <si>
    <t>AS19</t>
  </si>
  <si>
    <t>BB19</t>
  </si>
  <si>
    <t>AS20</t>
  </si>
  <si>
    <t>BB20</t>
  </si>
  <si>
    <t>AS21</t>
  </si>
  <si>
    <t>BB21</t>
  </si>
  <si>
    <t>AS22</t>
  </si>
  <si>
    <t>BB22</t>
  </si>
  <si>
    <t>AS23</t>
  </si>
  <si>
    <t>BB23</t>
  </si>
  <si>
    <t>AS24</t>
  </si>
  <si>
    <t>BB24</t>
  </si>
  <si>
    <t>AS25</t>
  </si>
  <si>
    <t>BB25</t>
  </si>
  <si>
    <t>AS26</t>
  </si>
  <si>
    <t>BB26</t>
  </si>
  <si>
    <t>AS27</t>
  </si>
  <si>
    <t>BB27</t>
  </si>
  <si>
    <t>AS28</t>
  </si>
  <si>
    <t>BB28</t>
  </si>
  <si>
    <t>AS29</t>
  </si>
  <si>
    <t>BB29</t>
  </si>
  <si>
    <t>AS30</t>
  </si>
  <si>
    <t>BB30</t>
  </si>
  <si>
    <t>AS31</t>
  </si>
  <si>
    <t>BB31</t>
  </si>
  <si>
    <t>AS32</t>
  </si>
  <si>
    <t>BB32</t>
  </si>
  <si>
    <t>AS33</t>
  </si>
  <si>
    <t>BB33</t>
  </si>
  <si>
    <t>AS34</t>
  </si>
  <si>
    <t>BB34</t>
  </si>
  <si>
    <t>AS35</t>
  </si>
  <si>
    <t>BB35</t>
  </si>
  <si>
    <t>AS36</t>
  </si>
  <si>
    <t>BB36</t>
  </si>
  <si>
    <t>AS37</t>
  </si>
  <si>
    <t>BB37</t>
  </si>
  <si>
    <t>AS38</t>
  </si>
  <si>
    <t>BB38</t>
  </si>
  <si>
    <t>AS40</t>
  </si>
  <si>
    <t>BB40</t>
  </si>
  <si>
    <t>AS41</t>
  </si>
  <si>
    <t>BB41</t>
  </si>
  <si>
    <t>AS42</t>
  </si>
  <si>
    <t>BB42</t>
  </si>
  <si>
    <t>AS43</t>
  </si>
  <si>
    <t>BB43</t>
  </si>
  <si>
    <t>自选技能1（+20）</t>
  </si>
  <si>
    <t>自选技能2（+20）</t>
  </si>
  <si>
    <t>自选技能3（+20）</t>
  </si>
  <si>
    <t>自选技能4（+20）</t>
  </si>
  <si>
    <t>自选技能5（+20）</t>
  </si>
  <si>
    <t>自选技能6（+20）</t>
  </si>
  <si>
    <t>自选技能7（+20）</t>
  </si>
  <si>
    <t>自选技能8（+20）</t>
  </si>
  <si>
    <t>group</t>
  </si>
  <si>
    <t>|工艺*|</t>
  </si>
  <si>
    <t>|艺术*|</t>
  </si>
  <si>
    <t>个人特长（可重复）</t>
  </si>
  <si>
    <t>|外语*|</t>
  </si>
  <si>
    <t>候选任选1</t>
  </si>
  <si>
    <t>|运动|外语*|射击|人源情报|近战武器|药学|徒手搏斗|</t>
  </si>
  <si>
    <t>候选任选2</t>
  </si>
  <si>
    <t>|人类学|考古学|</t>
  </si>
  <si>
    <t>|军事科学*|</t>
  </si>
  <si>
    <t>|炮术|重型机械|重型武器|人源情报|特种载具*|信号情报|</t>
  </si>
  <si>
    <t>|特种载具*|</t>
  </si>
  <si>
    <t>|科学*|</t>
  </si>
  <si>
    <t>|会计学|法证学|法律|药学|</t>
  </si>
  <si>
    <t>失忆症</t>
  </si>
  <si>
    <t>人格解体障碍</t>
  </si>
  <si>
    <t>抑郁症</t>
  </si>
  <si>
    <t>分离性人格障碍</t>
  </si>
  <si>
    <t>漫游症</t>
  </si>
  <si>
    <t>自大狂</t>
  </si>
  <si>
    <t>偏执</t>
  </si>
  <si>
    <t>睡眠障碍</t>
  </si>
  <si>
    <t>赤手空拳</t>
  </si>
  <si>
    <t>1D4-1</t>
  </si>
  <si>
    <t>不适用</t>
  </si>
  <si>
    <t>近战</t>
  </si>
  <si>
    <t>无</t>
  </si>
  <si>
    <t>黄铜指虎，重型手电筒，钢趾靴</t>
  </si>
  <si>
    <t>1D4</t>
  </si>
  <si>
    <t>细微</t>
  </si>
  <si>
    <t>绞具</t>
  </si>
  <si>
    <t>特殊：只在出其不意时可用；成功后目标被钳制；持续效果每战斗轮1D6伤害，直到目标挣脱。</t>
  </si>
  <si>
    <t>3</t>
  </si>
  <si>
    <t>短柄斧</t>
  </si>
  <si>
    <t>大型匕首或格斗短剑</t>
  </si>
  <si>
    <t>1D6</t>
  </si>
  <si>
    <t>高尔夫球棒，木棍，警棍或伸缩警棍</t>
  </si>
  <si>
    <t>大砍刀，印第安战斧或剑</t>
  </si>
  <si>
    <t>1D8</t>
  </si>
  <si>
    <t>棒球棍或步枪枪托</t>
  </si>
  <si>
    <t>长矛或刺刀</t>
  </si>
  <si>
    <t>伐木斧</t>
  </si>
  <si>
    <t>1D10</t>
  </si>
  <si>
    <t>长剑</t>
  </si>
  <si>
    <t>常规</t>
  </si>
  <si>
    <t>双手剑</t>
  </si>
  <si>
    <t>1D12</t>
  </si>
  <si>
    <t>需要特训。</t>
  </si>
  <si>
    <t>胡椒喷雾钥匙扣</t>
  </si>
  <si>
    <t>敏捷×5</t>
  </si>
  <si>
    <t>AK5</t>
  </si>
  <si>
    <t>眩晕</t>
  </si>
  <si>
    <t>1 米</t>
  </si>
  <si>
    <t>单体</t>
  </si>
  <si>
    <t>目标体质×5检定失败时眩晕；通过则无眩晕且惩罚时长减半（手册纸页93）。</t>
  </si>
  <si>
    <t>胡椒喷雾罐</t>
  </si>
  <si>
    <t>3 米</t>
  </si>
  <si>
    <t>两个目标</t>
  </si>
  <si>
    <t>投掷用催泪瓦斯手雷</t>
  </si>
  <si>
    <t>20 米</t>
  </si>
  <si>
    <t>10 米</t>
  </si>
  <si>
    <t>需要特训。游戏效果：目标体质×5检定决定眩晕与惩罚时长；攻击修正详见手册纸页93。</t>
  </si>
  <si>
    <t>发射用催泪瓦斯爆弹</t>
  </si>
  <si>
    <t>50 米</t>
  </si>
  <si>
    <t>游戏效果：目标体质×5检定决定眩晕与惩罚时长；攻击修正详见手册纸页93。</t>
  </si>
  <si>
    <t>投掷用闪光弹</t>
  </si>
  <si>
    <t>需要特训。室外有效半径5米；眩晕结束后−40%持续1D6轮（防护可能减轻）。</t>
  </si>
  <si>
    <t>发射用闪光弹</t>
  </si>
  <si>
    <t>室外有效半径5米；眩晕结束后−40%持续1D6轮（防护可能减轻）。</t>
  </si>
  <si>
    <t>电击枪</t>
  </si>
  <si>
    <t>目标体质×5检定抵抗眩晕；眩晕后惩罚−20%持续1D20轮。</t>
  </si>
  <si>
    <t>电棍</t>
  </si>
  <si>
    <t>投射式电击枪</t>
  </si>
  <si>
    <t>4 米</t>
  </si>
  <si>
    <t>需要特训。目标体质×5检定抵抗眩晕；眩晕后惩罚−20%持续1D20轮。</t>
  </si>
  <si>
    <t>轻型手枪</t>
  </si>
  <si>
    <t>转轮型装弹量6；基础行按详表装弹量。</t>
  </si>
  <si>
    <t>中型手枪</t>
  </si>
  <si>
    <t>15 米</t>
  </si>
  <si>
    <t>重型手枪</t>
  </si>
  <si>
    <t>霰弹枪（独头弹）</t>
  </si>
  <si>
    <t>2D8</t>
  </si>
  <si>
    <t>75 米</t>
  </si>
  <si>
    <t>手册纸页97：基础距离以外伤害为2D6；双管霰弹枪装弹量2。</t>
  </si>
  <si>
    <t>霰弹枪（霰弹弹丸）</t>
  </si>
  <si>
    <t>手册纸页97：基础距离以外造成一半伤害。星号为此条脚注；本行为12口径基础档。</t>
  </si>
  <si>
    <t>霰弹枪（非致命弹药）</t>
  </si>
  <si>
    <t>1D6 并击昏</t>
  </si>
  <si>
    <t>1D6并击昏。</t>
  </si>
  <si>
    <t>轻型步枪或卡宾枪</t>
  </si>
  <si>
    <t>1D12 / 10%</t>
  </si>
  <si>
    <t>100 米</t>
  </si>
  <si>
    <t>通常伤害1D12；弹幕用10%致死；较大口径版本的1D12+1为明确变体，不覆盖基础行。</t>
  </si>
  <si>
    <t>冲锋枪（SMG）</t>
  </si>
  <si>
    <t>1D10 / 10%</t>
  </si>
  <si>
    <t>通常伤害1D10；弹幕用10%致死。</t>
  </si>
  <si>
    <t>显著</t>
  </si>
  <si>
    <t>重型步枪</t>
  </si>
  <si>
    <t>1D12+2 / 10%</t>
  </si>
  <si>
    <t>5</t>
  </si>
  <si>
    <t>150 米</t>
  </si>
  <si>
    <t>通常伤害1D12+2；弹幕用10%致死（以纸页97武器详表为准）。</t>
  </si>
  <si>
    <t>超重型步枪</t>
  </si>
  <si>
    <t>20%</t>
  </si>
  <si>
    <t>250 米</t>
  </si>
  <si>
    <t>重大</t>
  </si>
  <si>
    <t>手榴弹</t>
  </si>
  <si>
    <t>15%</t>
  </si>
  <si>
    <t>火箭推进榴弹发射器（RPG）</t>
  </si>
  <si>
    <t>30%</t>
  </si>
  <si>
    <t>20</t>
  </si>
  <si>
    <t>200 米</t>
  </si>
  <si>
    <t>手持式喷火器</t>
  </si>
  <si>
    <t>10%</t>
  </si>
  <si>
    <t>5 米</t>
  </si>
  <si>
    <t>军用喷火器</t>
  </si>
  <si>
    <t>2 米</t>
  </si>
  <si>
    <t>通用机关枪（GPMG）</t>
  </si>
  <si>
    <t>300 米</t>
  </si>
  <si>
    <t>视射击模式</t>
  </si>
  <si>
    <t>半径视射击模式（手册纸页56/PDF57）。下拉保留常见缩写GPMG；指定手册表中原文拼为GPMP。</t>
  </si>
  <si>
    <t>榴弹发射器（GL）</t>
  </si>
  <si>
    <t>转轮型装弹量6；基础行装弹量1。</t>
  </si>
  <si>
    <t>榴弹炮机关枪</t>
  </si>
  <si>
    <t>15% / 20%*</t>
  </si>
  <si>
    <t>通常致死15%；弹幕变体（5发）致死20%。</t>
  </si>
  <si>
    <t>重型机关枪（HMG）</t>
  </si>
  <si>
    <t>400 米</t>
  </si>
  <si>
    <t>半径视射击模式（指定手册纸页56/PDF57），未固定为3米。</t>
  </si>
  <si>
    <t>轻型机关枪（LMG）</t>
  </si>
  <si>
    <t>自动火炮</t>
  </si>
  <si>
    <t>极端</t>
  </si>
  <si>
    <t>转轮机枪/机炮</t>
  </si>
  <si>
    <t>3 米（需连续扫射）</t>
  </si>
  <si>
    <t>3米击杀半径需连续扫射。</t>
  </si>
  <si>
    <t>铵油炸药</t>
  </si>
  <si>
    <t>C4 塑胶炸药包，570 克。</t>
  </si>
  <si>
    <t>简易爆炸装置（IED）</t>
  </si>
  <si>
    <t>这是游戏武器分类。较大型变体游戏数值为30%致死、20米半径，不能覆盖基础15%/10米行。</t>
  </si>
  <si>
    <t>大型简易爆炸装置（大型 IED）</t>
  </si>
  <si>
    <t>60%</t>
  </si>
  <si>
    <t>重型反坦克地雷</t>
  </si>
  <si>
    <t>25%</t>
  </si>
  <si>
    <t>通用炸弹</t>
  </si>
  <si>
    <t>70%</t>
  </si>
  <si>
    <t>10</t>
  </si>
  <si>
    <t>空投</t>
  </si>
  <si>
    <t>需要特训。基础射程栏原文为“空投”。</t>
  </si>
  <si>
    <t>重型迫击炮</t>
  </si>
  <si>
    <t>35%</t>
  </si>
  <si>
    <t>4 千米</t>
  </si>
  <si>
    <t>轻型迫击炮</t>
  </si>
  <si>
    <t>2 千米</t>
  </si>
  <si>
    <t>25 米</t>
  </si>
  <si>
    <t>反坦克制导导弹（ATGM）</t>
  </si>
  <si>
    <t>45%</t>
  </si>
  <si>
    <t>25</t>
  </si>
  <si>
    <t>火炮</t>
  </si>
  <si>
    <t>50%</t>
  </si>
  <si>
    <t>5 千米</t>
  </si>
  <si>
    <t>巡航导弹</t>
  </si>
  <si>
    <t>80%</t>
  </si>
  <si>
    <t>15</t>
  </si>
  <si>
    <t>100 千米</t>
  </si>
  <si>
    <t>防暴头盔（护甲+1）</t>
  </si>
  <si>
    <t>凯夫拉尔头盔（护甲+1）</t>
  </si>
  <si>
    <t>凯夫拉尔防弹背心（护甲3）</t>
  </si>
  <si>
    <t>增强凯夫拉尔防弹背心（护甲4）</t>
  </si>
  <si>
    <t>战术防弹衣（护甲5）</t>
  </si>
  <si>
    <t>防爆服（护甲10）</t>
  </si>
  <si>
    <t>检定与对抗</t>
  </si>
  <si>
    <t>追逐</t>
  </si>
  <si>
    <t>毅力与劳累</t>
  </si>
  <si>
    <t>战斗流程</t>
  </si>
  <si>
    <t>防御</t>
  </si>
  <si>
    <t>伤害与治疗</t>
  </si>
  <si>
    <t>致死与护甲</t>
  </si>
  <si>
    <t>射击模式</t>
  </si>
  <si>
    <t>其他伤害</t>
  </si>
  <si>
    <t>理智与疯狂</t>
  </si>
  <si>
    <t>创建创伤</t>
  </si>
  <si>
    <t>使用说明</t>
  </si>
  <si>
    <t>绿色三角洲关系</t>
  </si>
  <si>
    <t>大失败后果示例</t>
  </si>
  <si>
    <t>搜捕</t>
  </si>
  <si>
    <t>审讯</t>
  </si>
  <si>
    <t>医疗救治</t>
  </si>
  <si>
    <t>破坏证据</t>
  </si>
  <si>
    <t>处理尸体</t>
  </si>
  <si>
    <t>警察执法权限</t>
  </si>
  <si>
    <t>秘密行动</t>
  </si>
  <si>
    <t>监控行动</t>
  </si>
  <si>
    <t>追踪</t>
  </si>
  <si>
    <t>破门潜入行动</t>
  </si>
  <si>
    <t>战斗防护</t>
  </si>
  <si>
    <t>灼烧</t>
  </si>
  <si>
    <t>身体护甲</t>
  </si>
  <si>
    <t>地面载具</t>
  </si>
  <si>
    <t>水路载具</t>
  </si>
  <si>
    <t>空中载具</t>
  </si>
  <si>
    <t>护甲与开销</t>
  </si>
  <si>
    <t>申请总结</t>
  </si>
  <si>
    <t>徒手武器</t>
  </si>
  <si>
    <t>催泪瓦斯和胡椒喷雾</t>
  </si>
  <si>
    <t>震撼弹</t>
  </si>
  <si>
    <t>电击武器</t>
  </si>
  <si>
    <t>枪械</t>
  </si>
  <si>
    <t>重型武器续表</t>
  </si>
  <si>
    <t>爆炸物</t>
  </si>
  <si>
    <t>理智损失｜非自然现象</t>
  </si>
  <si>
    <t>理智损失｜经受暴力</t>
  </si>
  <si>
    <t>理智损失｜施行暴力</t>
  </si>
  <si>
    <t>理智损失｜无力感来源</t>
  </si>
  <si>
    <t>战斗修正</t>
  </si>
  <si>
    <t>毒素示例</t>
  </si>
  <si>
    <t>疾病示例</t>
  </si>
  <si>
    <t>装备权衡</t>
  </si>
  <si>
    <t>监控装备</t>
  </si>
  <si>
    <t>照明与视野</t>
  </si>
  <si>
    <t>破门潜入装备</t>
  </si>
  <si>
    <t>急救和生存</t>
  </si>
  <si>
    <t>地下医疗</t>
  </si>
  <si>
    <t>武器配件</t>
  </si>
  <si>
    <t>执法机构申请</t>
  </si>
  <si>
    <t>交通工具</t>
  </si>
  <si>
    <t>住宿</t>
  </si>
  <si>
    <t>身份与背景伪造</t>
  </si>
  <si>
    <t>储存</t>
  </si>
  <si>
    <t>镣铐机具</t>
  </si>
  <si>
    <t>研究</t>
  </si>
  <si>
    <t>通讯与计算机</t>
  </si>
  <si>
    <t>军事部门申请</t>
  </si>
  <si>
    <t>仅限正式申请</t>
  </si>
  <si>
    <t>情报部门申请</t>
  </si>
  <si>
    <t>公共安全申请</t>
  </si>
  <si>
    <t>分类</t>
  </si>
  <si>
    <t>条目</t>
  </si>
  <si>
    <t>何时掷骰</t>
  </si>
  <si>
    <t>由掌局者决定。行为困难、局面不可预料或失败会付出代价时才检定；有充分技能及时间时，可以直接判定成功。</t>
  </si>
  <si>
    <t>技能检定</t>
  </si>
  <si>
    <t>掷百分骰01—00（00为100）。结果小于或等于技能等级成功；大于技能等级失败。0%技能不可尝试。</t>
  </si>
  <si>
    <t>属性检定</t>
  </si>
  <si>
    <t>不依赖专门训练的困难行为可用相应属性×5：力量（蛮力）、体质（耐力）、敏捷（灵巧）、智力（注意力）、意志（精神韧性）、魅力（社交）。</t>
  </si>
  <si>
    <t>大成功 / 大失败</t>
  </si>
  <si>
    <t>01，或成功且两骰相同，为大成功；00，或失败且两骰相同，为大失败。例：技能50%时，01/11/22/33/44大成功，55/66/77/88/99/00大失败。</t>
  </si>
  <si>
    <t>奖罚与上下限</t>
  </si>
  <si>
    <t>常用±10%或±20%，少数情况±40%；修正后成功率最低1%、最高99%。攻击奖励最高叠加至+40%，攻击惩罚无叠加限制。</t>
  </si>
  <si>
    <t>多人行动</t>
  </si>
  <si>
    <t>人越多越有利：用团队最高技能；人多反而妨碍：用最低技能；需要逐人判断结果：每人各检定。</t>
  </si>
  <si>
    <t>幸运检定</t>
  </si>
  <si>
    <t>基础成功率50%，不取决于角色属性；适用大成功和大失败。</t>
  </si>
  <si>
    <t>对抗：双方成功</t>
  </si>
  <si>
    <t>大成功胜过普通成功；其余情况下成功点数较高者获胜。无需掷骰的技能对抗比较技能等级。</t>
  </si>
  <si>
    <t>对抗：一方或双方失败</t>
  </si>
  <si>
    <t>一成一败：成功方胜；双方失败：双方都未成功，或较低点数者胜，由掌局者决定。追逐中双方失败时必须由较低点数者胜。</t>
  </si>
  <si>
    <t>结束条件与抵消</t>
  </si>
  <si>
    <t>最简单追逐：一次胜利即追上/逃脱；长追逐可需两次或三次净胜。双方胜利互相抵消；大成功计两次胜利，大失败计两次失败。</t>
  </si>
  <si>
    <t>行动与战斗轮</t>
  </si>
  <si>
    <t>一次追逐对抗相当于一战斗轮。乘客可先攻击再进行追逐；驾驶员或徒步者选择攻击而不追逐时，仍在追赶/逃离的对手自动成功。</t>
  </si>
  <si>
    <t>精疲力尽</t>
  </si>
  <si>
    <t>先损失1D6毅力；由掌局者判定所有技能、属性和理智检定−10%或−20%。再次彻夜不眠/高强度工作再损失1D6毅力；一整晚睡眠消除状态。</t>
  </si>
  <si>
    <t>行动顺序</t>
  </si>
  <si>
    <t>按敏捷从高到低行动；同敏捷可同时行动或由掌局者定顺序。每轮每人仅一个行为，一次检定可代表数秒内的多次动作。</t>
  </si>
  <si>
    <t>瞄准</t>
  </si>
  <si>
    <t>消耗一轮，不检定；下一轮攻击+20%。到下一轮之后仍未攻击，或攻击前受到任何伤害，则加成消失。</t>
  </si>
  <si>
    <t>攻击技能</t>
  </si>
  <si>
    <t>枪械用射击；投掷武器用运动，可能需特训；近战武器用近战武器；拳脚用徒手搏斗。一次攻击一般只进行一次命中检定和一次伤害骰。</t>
  </si>
  <si>
    <t>精准攻击</t>
  </si>
  <si>
    <t>用于绕开护甲或掩体等特定部位攻击。目标约半身被覆盖：−20%；仅头部/部分肢体暴露：−40%。自动武器的精准效果仅对第一个目标有效。</t>
  </si>
  <si>
    <t>除械与钳制</t>
  </si>
  <si>
    <t>均用徒手搏斗，须双手空闲且目标在近身范围。除械使物品脱手；钳制使目标不能移动，且只能尝试挣脱。针对被钳制者的徒手/近战攻击+20%。</t>
  </si>
  <si>
    <t>挣脱</t>
  </si>
  <si>
    <t>用力量×5或徒手搏斗中较高者对抗对方攻击；对方不攻击则普通检定。成功可脱离，并将结果用于本轮其他攻击防御；失败则不能防御。</t>
  </si>
  <si>
    <t>移动</t>
  </si>
  <si>
    <t>一轮慢跑10米、中速跑20米或疾跑30米；执行其他行为同时约可移动3米。中速/疾跑可能需敏捷×5，失败跌倒，需一轮恢复姿态。</t>
  </si>
  <si>
    <t>等待与其他行为</t>
  </si>
  <si>
    <t>等待后可在下一个行动顺序前插入自己的行动，不能插进已开始的行动结算。装填、拾物、起身等均可消耗一轮。</t>
  </si>
  <si>
    <t>闪避 / 反击占用行动</t>
  </si>
  <si>
    <t>尚未行动时，可在自己的敏捷顺序前声明闪避或反击，作为本轮唯一行动；已经行动则不能另行声明。必须意识到攻击且物理上可以防御。</t>
  </si>
  <si>
    <t>闪避如何生效</t>
  </si>
  <si>
    <t>一次闪避结果用于对抗本轮全部近战攻击；不反伤。可闪避弓箭/投掷物；面对枪弹/爆炸只能闪避到附近掩体，附近无掩体则无效。</t>
  </si>
  <si>
    <t>反击与攻击后防御</t>
  </si>
  <si>
    <t>反击结果抵御本轮来袭近战，并对其中一人声明攻击/精准攻击/除械/钳制。自己的近战攻击结果也可用于后续近战防御，持续至下一次行动。射击结果不能防御。</t>
  </si>
  <si>
    <t>近身推枪与限制</t>
  </si>
  <si>
    <t>反击通常不能防御远程攻击，除非持枪者就在近身范围可把枪推开。被钳制者、正在钳制他人的特工、未察觉攻击者均不能进行相应防御。</t>
  </si>
  <si>
    <t>暴击</t>
  </si>
  <si>
    <t>攻击大成功造成双倍伤害。致死武器则致死等级翻倍；若致死检定失败，两骰相加得到的体力伤害也翻倍。</t>
  </si>
  <si>
    <t>近战伤害加值</t>
  </si>
  <si>
    <t>力量1—4：−2；5—8：−1；9—12：0；13—16：+1；17—18：+2。近战伤害最低0。</t>
  </si>
  <si>
    <t>一次攻击损失当前体力的一半，或受相应眩晕效果时不能行动。轮到自己时可体质×5恢复，成功后下一轮正常行动。</t>
  </si>
  <si>
    <t>昏迷、伤残、死亡</t>
  </si>
  <si>
    <t>体力≤2陷入昏迷；恢复到≥3或经过一小时可苏醒。每次降至≤2时体质×5，失败可能永久伤残。体力降至0死亡，不能低于0。</t>
  </si>
  <si>
    <t>永久伤残的属性损失</t>
  </si>
  <si>
    <t>体质检定失败时，掌局者选一属性永久降低；降低量为该次百分骰两颗D10中较小值，最少3。力量/体质改变时同步调整体力。</t>
  </si>
  <si>
    <t>复苏</t>
  </si>
  <si>
    <t>掌局者认为可复苏时，在死亡后体质数值所对应的分钟内进行急救。成功恢复1D4体力，大成功翻倍；失败则永久死亡，不能再次复苏。</t>
  </si>
  <si>
    <t>稳定伤情（急救）</t>
  </si>
  <si>
    <t>成功恢复1D4体力；大成功翻倍；大失败改为造成1D4伤害。无论成功失败，直到再受伤前不能再次接受急救。</t>
  </si>
  <si>
    <t>诊疗</t>
  </si>
  <si>
    <t>有充足设施药品时，医生每周一次手术/医学尝试；成功恢复1D4体力，大成功翻倍，大失败造成1D4伤害。手术处理严重伤口，医学处理毒病与持续恢复。</t>
  </si>
  <si>
    <t>休养与暂降属性</t>
  </si>
  <si>
    <t>安全、食水充足并休息：每日一次体质×5，成功恢复1体力，大成功恢复1D4，大失败失去1；可与诊疗叠加。暂降属性通常每天恢复1点。</t>
  </si>
  <si>
    <t>并发症</t>
  </si>
  <si>
    <t>接受医院或救助站诊疗后，在体力完全恢复前进行剧烈活动（如身体属性/技能检定），可因伤口恶化损失1D4体力。</t>
  </si>
  <si>
    <t>致死检定</t>
  </si>
  <si>
    <t>命中后按武器致死等级掷百分骰：成功令普通人类目标体力归零；失败将两颗骰各视为D10相加，0计10，造成2—20伤害。致死检定本身无大成功/大失败。</t>
  </si>
  <si>
    <t>击杀半径</t>
  </si>
  <si>
    <t>成功攻击影响以目标为中心、半径内所有角色；失败落在目标的击杀半径外，一般不造成伤害，但仍可能压制。爆炸性武器因范围获得+20%命中奖励。</t>
  </si>
  <si>
    <t>压制</t>
  </si>
  <si>
    <t>意识到自己处于所攻击的击杀半径内，即使命中失败也受压制；下一轮必须找掩体或卧倒，或付1理智正常行动。适应暴力者免此理智代价。</t>
  </si>
  <si>
    <t>身体护甲与掩体</t>
  </si>
  <si>
    <t>多个护甲来源可叠加。身体护甲只减普通伤害及失败致死的伤害，不阻止致死成功。掩体使致死自动失败，再从两骰相加伤害中减护甲。</t>
  </si>
  <si>
    <t>穿甲与巨型目标</t>
  </si>
  <si>
    <t>按武器数据降低有效护甲；爆炸穿甲只作用于指定目标，半径内其他人不适用。巨型目标遭致死攻击时按致死等级数值承受固定伤害，再计护甲。</t>
  </si>
  <si>
    <t>短点射</t>
  </si>
  <si>
    <t>3发；致死10%；单目标，无击杀半径。仅适用于支持该模式的武器。</t>
  </si>
  <si>
    <t>长点射 / 短连射 / 长连射</t>
  </si>
  <si>
    <t>长点射5发、1米；短连射10发、2米；长连射20发、3米；该模式表的致死等级均10%。请同时参照具体武器数据与可用模式。</t>
  </si>
  <si>
    <t>毒素</t>
  </si>
  <si>
    <t>伤害间隔后进行一次致死检定；若失败，再体质×5：成功伤害减半，大成功仅1伤害，大失败伤害翻倍。住院治疗体质检定+20%。</t>
  </si>
  <si>
    <t>疾病</t>
  </si>
  <si>
    <t>伤害间隔后体质×5：成功伤害减半并康复，大成功免伤；失败全伤并在下一间隔重检，大失败伤害翻倍。疾病期间不能恢复体力；住院+20%。</t>
  </si>
  <si>
    <t>解毒剂 / 抗生素</t>
  </si>
  <si>
    <t>伤害起效前，具备药物并成功医学/药学检定可阻止伤害；起效后用解毒剂可使致死等级及体力伤害减半。</t>
  </si>
  <si>
    <t>坠落</t>
  </si>
  <si>
    <t>1—3米一般1D6伤害，尤其不受控制时2D6；更高时每米计1%致死。存活者体质×5，失败眩晕。</t>
  </si>
  <si>
    <t>冲撞</t>
  </si>
  <si>
    <t>窒息</t>
  </si>
  <si>
    <t>事先深呼吸可坚持体质数值的战斗轮数；之后每轮体质×5，成功损失1体力，失败1D6。未深呼吸立即开始；护甲无效。</t>
  </si>
  <si>
    <t>着火</t>
  </si>
  <si>
    <t>中等及以上灼烧后敏捷×5；失败全身着火，每轮承受对应等级一半伤害直至扑灭。大火包围也可能因缺氧窒息。</t>
  </si>
  <si>
    <t>理智检定与记法</t>
  </si>
  <si>
    <t>以当前理智作百分骰检定；X/Y分别为成功/失败损失。大成功损失成功分支最小值；大失败损失失败分支最大值。</t>
  </si>
  <si>
    <t>临时疯狂</t>
  </si>
  <si>
    <t>单次检定损失至少5理智，暂时失控，反应为逃跑、搏命或屈服。安定环境下，其他人可用精神治疗成功使其恢复；否则等待相应反应结束。</t>
  </si>
  <si>
    <t>触及崩溃点</t>
  </si>
  <si>
    <t>理智降至或低于崩溃点时获得新精神疾病；新崩溃点＝当前理智−意志。理智恢复也不撤销疾病或恢复旧崩溃点。触及崩溃点本身不等于临时疯狂。</t>
  </si>
  <si>
    <t>永久疯狂与上限</t>
  </si>
  <si>
    <t>理智0：永久疯狂，角色归掌局者控制。理智上限＝99−非自然知识。</t>
  </si>
  <si>
    <t>适应进度</t>
  </si>
  <si>
    <t>暴力、无力感分别记录：连续三次因该类损失理智且未临时疯狂/触及崩溃点，获得适应；进度完成前若因该类疯狂或触及崩溃点，清空该类勾选。</t>
  </si>
  <si>
    <t>适应的效果与代价</t>
  </si>
  <si>
    <t>适应后相应理智检定自动成功，仍承担成功分支损失。暴力适应永久−1D6魅力且所有关系减相同值；无力感适应永久−1D6意志。非自然不可适应。</t>
  </si>
  <si>
    <t>将损失投射至关系</t>
  </si>
  <si>
    <t>损失理智时可掷1D4并消耗同量毅力；消耗后须至少剩1毅力。理智损失减同量（最低0），一项重要关系减同量，并描述关系受损。</t>
  </si>
  <si>
    <t>抑制临时疯狂 / 急性发作</t>
  </si>
  <si>
    <t>消耗1D4毅力且仍剩至少1，描述依靠重要关系；该关系减同量。随后再理智检定，成功才压制症状并正常行动。</t>
  </si>
  <si>
    <t>精神治疗与恢复</t>
  </si>
  <si>
    <t>成功精神治疗可用数分钟缓解急性发作。消灭非自然威胁时，掌局者可让直接参与者恢复其较小理智损失分支对应的数值，不得超过理智上限。</t>
  </si>
  <si>
    <t>神秘学+10%；理智−5；魅力−3；每项重要关系−3；适应暴力。创建时采用固定−3，不再另掷游戏过程中完成适应的1D6代价。</t>
  </si>
  <si>
    <t>神秘学+10%；理智−5；意志−3，但这次意志下降不影响理智计算；适应无力感。创建时固定−3，不再额外投1D6。</t>
  </si>
  <si>
    <t>神秘学及任选五个技能各+10%（非自然知识除外），此过程最高至90%；理智−5；去掉一项重要关系。</t>
  </si>
  <si>
    <t>获得10%非自然知识、20%神秘学；理智减去意志数值；获得一项非自然相关精神疾病；崩溃点重置为新理智−意志。</t>
  </si>
  <si>
    <t>普通理智下降与崩溃点</t>
  </si>
  <si>
    <t>页码与开销用词</t>
  </si>
  <si>
    <t>特殊重要关系：绿色三角洲</t>
  </si>
  <si>
    <t>互相依靠以求生存的人之间会形成强大的重要关系。只有共同经历沧桑的他们才会理解你经历了什么。你们的特工之间迟早会比家人更加彼此依赖。</t>
  </si>
  <si>
    <t>每当你的特工团队中的一员经历了灾难性的创伤时，你的特工都有机会与他或她的队友们建立或深化重要关系。这样的创伤包括：</t>
  </si>
  <si>
    <t>队伍的一员成员遭受临时疯狂。</t>
  </si>
  <si>
    <t>队伍的一员获得新的精神疾病。</t>
  </si>
  <si>
    <t>队伍的一员因为伤残而失去行动能力。</t>
  </si>
  <si>
    <t>队伍的一员死亡。</t>
  </si>
  <si>
    <t>任何掌局者视为足够严重的其他压力。</t>
  </si>
  <si>
    <t>当危机结束，事情归于平静时，你的特工必须进行一次理智检定。若检定成功则没有效果，失败时，你的特工会与每名共度危机的队友（最多五个）建立新的重要关系，或是加强与他们之间已有的关系。</t>
  </si>
  <si>
    <t>对每一位不是重要之人的队友添加一个新的个人重要关系。写下那个角色的名字，并它旁边标注上“绿色三角洲”，关系值等于你特工魅力的一半。你的特工立即从另一个（非绿色三角洲）的重要关系上减去 1D4 点（如果你还有别的重要关系的话）。</t>
  </si>
  <si>
    <t>每个与你已经有重要关系的队友将会获得 1D4 点关系值，并在由你选择的一个（非绿色三角洲的）重要关系上减去 1。</t>
  </si>
  <si>
    <t>示例：路易斯建立的特工在第一次任务中，一位队友被杀死了。路易斯进行理智检定，以判断他是否与存活的队友——克拉拉和丹尼尔——建立新的重要关系。理智检定失败了，所以他会分别获得与克拉拉和丹尼尔的重要关系。作为代价，他在两个重要关系上失去 1D4 点，或是在一个重要关系上减去两次 1D4。</t>
  </si>
  <si>
    <t>特殊重要关系：绿色三角洲（续1）</t>
  </si>
  <si>
    <t>他为自己与未婚妻的重要关系骰出 3（将它从 10 降到 7）；并为他的儿子骰出 1（从 10 降到 9）。</t>
  </si>
  <si>
    <t>耗尽毅力</t>
  </si>
  <si>
    <t>当毅力达到0点时，特工失去控制，可能崩溃、哭泣、发泄或昏倒；掌局者控制角色直到毅力恢复至至少1点。0毅力时任何检定都不能成功，包括理智检定。此后会入睡直到恢复毅力。</t>
  </si>
  <si>
    <t>当特工的毅力达到 0 点时，他精神全然崩溃，完全丧失行动能力并可能陷入昏迷。掌局者将控制你的特工直到毅力回升至 1 点或以上。0 点毅力的特工将不可能成功任何检定——包括理智检定。</t>
  </si>
  <si>
    <t>恢复毅力</t>
  </si>
  <si>
    <t>当你的特工睡了一整晚后，他或她能恢复 1D6 点毅力（24 小时内只能进行一次）。如果你能扮演出你特工的个人动机，并让掌局者认为合情合理，你的特工将恢复 1 点毅力。</t>
  </si>
  <si>
    <t>身体劳损</t>
  </si>
  <si>
    <t>损失 1D6 的体力或是暂时性地损失 1D4 的力量、体质或敏捷。</t>
  </si>
  <si>
    <t>精神萎靡</t>
  </si>
  <si>
    <t>损失 1D6 的毅力或是暂时性地损失 1D4 的智力、意志或魅力。</t>
  </si>
  <si>
    <t>格格不入</t>
  </si>
  <si>
    <t>冒犯了一位重要的 NPC。在任务结束前，所有对这位 NPC 的魅力或说服检定都将自动失败。</t>
  </si>
  <si>
    <t>精神涣散</t>
  </si>
  <si>
    <t>下一次检定需承受 −20% 的惩罚。</t>
  </si>
  <si>
    <t>迷惑不解</t>
  </si>
  <si>
    <t>你犯了一个重大错误并得到了错误信息。</t>
  </si>
  <si>
    <t>使用哪项技能</t>
  </si>
  <si>
    <t>徒步追逐使用运动，驾驶载具追逐使用机动车驾驶、特种载具乃至重型机械；在水中使用游泳；在马背上使用骑术。</t>
  </si>
  <si>
    <t>支援与优势</t>
  </si>
  <si>
    <t>追逐者有时能获得优势。例如，多名追逐者间具有协作（无论他们是否相见或是在通过无线电交流），有无线电通信的空中支援，或是载具的速度和/或操纵能力显著领先于对方等情况。具有优势时，可以在每次追逐检定中获得 +20% 的奖励，如果优势极大则可获得 +40%。</t>
  </si>
  <si>
    <t>想方设法</t>
  </si>
  <si>
    <t>除了通过常规骰点来追上或逃离以外，追逐者或是逃离者可能会尝试用一些合适的检定来获得优势，譬如警觉、导航、潜藏、生存或者通过其他合适的策略。如果这些检定在对抗中成功，不计为“胜利”，而是在下一次追逐骰点中获得 +20% 的奖励，如果是大成功则获得 +40%。失败或是大失败的影响照常。</t>
  </si>
  <si>
    <t>追逐中的战斗</t>
  </si>
  <si>
    <t>为逮捕嫌疑人或获取搜查令想出合适的借口</t>
  </si>
  <si>
    <t>所需技能：法律；可能的对抗技能：法律</t>
  </si>
  <si>
    <t>想出可能促使对象配合的方法</t>
  </si>
  <si>
    <t>所需技能：人源情报；可能的对抗技能：说服</t>
  </si>
  <si>
    <t>说服对象吐露信息</t>
  </si>
  <si>
    <t>所需技能：说服；可能的对抗技能：说服</t>
  </si>
  <si>
    <t>为伤情编出可信的借口进给医院</t>
  </si>
  <si>
    <t>所需技能：法律或说服；可能的对抗技能：法律或人源情报</t>
  </si>
  <si>
    <t>提供误导性细节以阻止可能的调查</t>
  </si>
  <si>
    <t>所需技能：行政；可能的对抗技能：行政</t>
  </si>
  <si>
    <t>说服医生或护士使其同意提供医治而不通知警方</t>
  </si>
  <si>
    <t>所需技能：说服；可能的对抗技能：说服或人源情报</t>
  </si>
  <si>
    <t>寻找愿意提供非法地下医治的医生或兽医</t>
  </si>
  <si>
    <t>所需技能：犯罪学；可能的对抗技能：无</t>
  </si>
  <si>
    <t>在证物被收走前取得证物</t>
  </si>
  <si>
    <t>所需技能：潜藏；可能的对抗技能：警觉</t>
  </si>
  <si>
    <t>从证物柜取得证物且不引起怀疑</t>
  </si>
  <si>
    <t>所需技能：行政或法律；可能的对抗技能：行政或法律</t>
  </si>
  <si>
    <t>修改证据且不引起怀疑</t>
  </si>
  <si>
    <t>所需技能：法证学；可能的对抗技能：法证学</t>
  </si>
  <si>
    <t>修改案宗且不引起怀疑</t>
  </si>
  <si>
    <t>所需技能：会计学、行政、计算机科学或法律；可能的对抗技能：会计学、行政、计算机科学、犯罪学或法律</t>
  </si>
  <si>
    <t>切碎尸体以便分散埋葬或由食腐动物处置</t>
  </si>
  <si>
    <t>所需技能：法证学；可能的对抗技能：搜寻</t>
  </si>
  <si>
    <t>安全地将尸体融化进酸液</t>
  </si>
  <si>
    <t>所需技能：三次敏捷 × 5 或科学（化学）检定以避免伤害；可能的对抗技能：无</t>
  </si>
  <si>
    <t>使用生石灰焚烧尸体</t>
  </si>
  <si>
    <t>所需技能：法证学；可能的对抗技能：法证学或搜寻</t>
  </si>
  <si>
    <t>使用焚化炉焚烧尸体并避免留下痕迹</t>
  </si>
  <si>
    <t>将尸体融进工业坩埚</t>
  </si>
  <si>
    <t>所需技能：工艺（金属加工）或重型机械以避免伤害；可能的对抗技能：无</t>
  </si>
  <si>
    <t>将尸体丢入远海或静止的深水中</t>
  </si>
  <si>
    <t>所需技能：法证学以清理踪迹；可能的对抗技能：法证学</t>
  </si>
  <si>
    <t>市镇警察</t>
  </si>
  <si>
    <t>市镇法规：可；郡县法规：可；州法：可；部落法：不可；联邦法律：不可</t>
  </si>
  <si>
    <t>县警</t>
  </si>
  <si>
    <t>市镇法规：不可；郡县法规：可；州法：可；部落法：不可；联邦法律：不可</t>
  </si>
  <si>
    <t>州警</t>
  </si>
  <si>
    <t>市镇法规：不可；郡县法规：不可；州法：可；部落法：不可；联邦法律：不可</t>
  </si>
  <si>
    <t>部落警察</t>
  </si>
  <si>
    <t>市镇法规：不可；郡县法规：不可；州法：可；部落法：可；联邦法律：不可</t>
  </si>
  <si>
    <t>联邦执法官</t>
  </si>
  <si>
    <t>市镇法规：不可；郡县法规：不可；州法：不可；部落法：可；联邦法律：可</t>
  </si>
  <si>
    <t>为行动编造合法的借口</t>
  </si>
  <si>
    <t>构造假身份</t>
  </si>
  <si>
    <t>在网上伪造历史</t>
  </si>
  <si>
    <t>所需技能：人源情报（以及计算机科学）；可能的对抗技能：人源情报</t>
  </si>
  <si>
    <t>回调历史数据日期</t>
  </si>
  <si>
    <t>所需技能：计算机科学；可能的对抗技能：计算机科学</t>
  </si>
  <si>
    <t>伪造文件</t>
  </si>
  <si>
    <t>所需技能：艺术（造假）；可能的对抗技能：艺术（造假）</t>
  </si>
  <si>
    <t>争取合作或消除猜疑</t>
  </si>
  <si>
    <t>躲避监控或岗哨</t>
  </si>
  <si>
    <t>清理犯罪现场</t>
  </si>
  <si>
    <t>放置隐蔽麦克风或摄像机</t>
  </si>
  <si>
    <t>所需技能：潜藏；可能的对抗技能：搜寻</t>
  </si>
  <si>
    <t>跟踪目标不被发现</t>
  </si>
  <si>
    <t>驾车跟踪目标不被发现</t>
  </si>
  <si>
    <t>所需技能：潜藏或机动车驾驶，取较低值；可能的对抗技能：警觉</t>
  </si>
  <si>
    <t>进入办公室不被发现</t>
  </si>
  <si>
    <t>说服他人放行且不引起怀疑</t>
  </si>
  <si>
    <t>所需技能：说服；可能的对抗技能：人源情报</t>
  </si>
  <si>
    <t>植入计算机病毒或木马</t>
  </si>
  <si>
    <t>使用 IMSI 追踪及窃听移动通信</t>
  </si>
  <si>
    <t>所需技能：信号情报；可能的对抗技能：信号情报</t>
  </si>
  <si>
    <t>破译所监听到的数字信号</t>
  </si>
  <si>
    <t>拿到 NSA 所监听到的数字或语音信息，但不留下本次申请的记录</t>
  </si>
  <si>
    <t>所需技能：行政或法律，取较低值；可能的对抗技能：行政</t>
  </si>
  <si>
    <t>跑步追赶或逃逸</t>
  </si>
  <si>
    <t>所需技能：运动；可能的对抗技能：运动</t>
  </si>
  <si>
    <t>驾驶追赶或逃逸</t>
  </si>
  <si>
    <t>所需技能：机动车驾驶或特种载具；可能的对抗技能：机动车驾驶或特种载具</t>
  </si>
  <si>
    <t>躲避守卫或摄像头</t>
  </si>
  <si>
    <t>爬墙</t>
  </si>
  <si>
    <t>所需技能：运动；可能的对抗技能：无</t>
  </si>
  <si>
    <t>开锁</t>
  </si>
  <si>
    <t>所需技能：特训（开锁工具）或工艺（锁匠）；可能的对抗技能：无</t>
  </si>
  <si>
    <t>破解电子安保系统</t>
  </si>
  <si>
    <t>所需技能：特训（电子安保系统）或工艺（电工）；可能的对抗技能：无</t>
  </si>
  <si>
    <t>消除工具痕迹及侵入迹象</t>
  </si>
  <si>
    <t>失防</t>
  </si>
  <si>
    <t>普通伤害效果：体力减至 0；致死攻击成功效果：体力减至 0；致死攻击失败效果：体力减至 0</t>
  </si>
  <si>
    <t>暴露</t>
  </si>
  <si>
    <t>普通伤害效果：掷骰决定伤害；若有护甲，从伤害中减去护甲等级；致死攻击成功效果：体力减至 0；致死攻击失败效果：将致死检定两骰相加作为体力伤害；若有护甲，从伤害中减去护甲等级</t>
  </si>
  <si>
    <t>在掩体后</t>
  </si>
  <si>
    <t>普通伤害效果：掷骰决定伤害，并从伤害中减去护甲等级；致死攻击成功效果：致死检定两骰相加作为体力伤害，并从伤害中减去护甲等级；致死攻击失败效果：致死检定两骰相加作为体力伤害，并从伤害中减去护甲等级</t>
  </si>
  <si>
    <t>巨型</t>
  </si>
  <si>
    <t>普通伤害效果：掷骰决定伤害；若有护甲，从伤害中减去护甲等级；致死攻击成功效果：将致死等级作为体力伤害；若有护甲，从伤害中减去护甲等级；致死攻击失败效果：将致死等级作为体力伤害；若有护甲，从伤害中减去护甲等级</t>
  </si>
  <si>
    <t>超然</t>
  </si>
  <si>
    <t>普通伤害效果：不受伤害；致死攻击成功效果：不受伤害；致死攻击失败效果：不受伤害</t>
  </si>
  <si>
    <t>轻微</t>
  </si>
  <si>
    <t>示例：蜡烛；伤害：每轮 1 点</t>
  </si>
  <si>
    <t>中等</t>
  </si>
  <si>
    <t>示例：火把；短暂暴露于更大的火中；伤害：每轮 1D6</t>
  </si>
  <si>
    <t>强烈</t>
  </si>
  <si>
    <t>示例：营火；伤害：每轮 2D6</t>
  </si>
  <si>
    <t>示例：滚烫的蒸汽；篝火；高炉；伤害：每轮 10% 致死</t>
  </si>
  <si>
    <t>防暴头盔</t>
  </si>
  <si>
    <t>护甲等级：+1；开销：常规</t>
  </si>
  <si>
    <t>与其他任意护甲叠加。仅对近战武器，投掷武器和徒手搏斗有效。无法隐藏。</t>
  </si>
  <si>
    <t>凯夫拉尔头盔</t>
  </si>
  <si>
    <t>与其他任意护甲叠加。无法隐藏。</t>
  </si>
  <si>
    <t>凯夫拉尔防弹背心</t>
  </si>
  <si>
    <t>护甲等级：3；开销：常规</t>
  </si>
  <si>
    <t>如果穿戴在其他外衣之下，察觉到它需要通过警觉检定。</t>
  </si>
  <si>
    <t>增强凯夫拉尔防弹背心</t>
  </si>
  <si>
    <t>护甲等级：4；开销：显著</t>
  </si>
  <si>
    <t>如果穿戴在其他外衣之下，察觉到它需要通过警觉+20% 检定。</t>
  </si>
  <si>
    <t>战术防弹衣</t>
  </si>
  <si>
    <t>护甲等级：5；开销：显著</t>
  </si>
  <si>
    <t>无法隐藏。</t>
  </si>
  <si>
    <t>防爆服</t>
  </si>
  <si>
    <t>护甲等级：10；开销：极端</t>
  </si>
  <si>
    <t>包含头盔。无法隐藏。</t>
  </si>
  <si>
    <t>摩托车</t>
  </si>
  <si>
    <t>耐久度：15 至 20；护甲：0；地面速度：快速；开销：重大</t>
  </si>
  <si>
    <t>小轿车</t>
  </si>
  <si>
    <t>耐久度：25 至 30；护甲：3；地面速度：均速；开销：重大</t>
  </si>
  <si>
    <t>皮卡或 SUV</t>
  </si>
  <si>
    <t>耐久度：30 至 35；护甲：3；地面速度：均速；开销：重大</t>
  </si>
  <si>
    <t>装甲 SUV</t>
  </si>
  <si>
    <t>耐久度：35；护甲：10；地面速度：均速；开销：极端</t>
  </si>
  <si>
    <t>悍马</t>
  </si>
  <si>
    <t>耐久度：40；护甲：3；地面速度：均速；开销：极端</t>
  </si>
  <si>
    <t>装甲悍马</t>
  </si>
  <si>
    <t>耐久度：40；护甲：10；地面速度：慢速；开销：极端</t>
  </si>
  <si>
    <t>小型卡车</t>
  </si>
  <si>
    <t>耐久度：45；护甲：3；地面速度：慢速；开销：极端</t>
  </si>
  <si>
    <t>防地雷反伏击装甲车</t>
  </si>
  <si>
    <t>耐久度：60；护甲：20；地面速度：慢速；开销：极端</t>
  </si>
  <si>
    <t>装甲运兵车</t>
  </si>
  <si>
    <t>耐久度：80；护甲：20；地面速度：慢速；开销：极端</t>
  </si>
  <si>
    <t>20 世纪中叶坦克</t>
  </si>
  <si>
    <t>耐久度：90；护甲：20；地面速度：慢速；开销：极端</t>
  </si>
  <si>
    <t>现代坦克</t>
  </si>
  <si>
    <t>耐久度：100；护甲：25；地面速度：慢速；开销：极端</t>
  </si>
  <si>
    <t>橡皮突击作战快艇</t>
  </si>
  <si>
    <t>耐久度：10；护甲：0；地面速度：慢速；开销：显著</t>
  </si>
  <si>
    <t>硬壳充气艇</t>
  </si>
  <si>
    <t>耐久度：20；护甲：0；地面速度：慢速；开销：重大</t>
  </si>
  <si>
    <t>江河巡逻艇</t>
  </si>
  <si>
    <t>耐久度：30；护甲：0；地面速度：慢速；开销：极端</t>
  </si>
  <si>
    <t>快艇</t>
  </si>
  <si>
    <t>耐久度：25；护甲：0；地面速度：均速；开销：极端</t>
  </si>
  <si>
    <t>民用直升机</t>
  </si>
  <si>
    <t>耐久度：20；护甲：0；地面速度：均速；开销：极端</t>
  </si>
  <si>
    <t>通勤客机</t>
  </si>
  <si>
    <t>警用直升机</t>
  </si>
  <si>
    <t>耐久度：30；护甲：0；地面速度：快速；开销：极端</t>
  </si>
  <si>
    <t>武装直升机</t>
  </si>
  <si>
    <t>耐久度：30；护甲：10；地面速度：快速；开销：极端</t>
  </si>
  <si>
    <t>喷气式客机</t>
  </si>
  <si>
    <t>耐久度：50；护甲：0；地面速度：特殊；开销：极端</t>
  </si>
  <si>
    <t>喷气式战斗机</t>
  </si>
  <si>
    <t>耐久度：40；护甲：0；地面速度：特殊；开销：极端</t>
  </si>
  <si>
    <t>凯夫拉尔头盔（在其他护甲基础上增加减伤效果）</t>
  </si>
  <si>
    <t>等级：+1</t>
  </si>
  <si>
    <t>凯夫拉尔背心（穿着时隐藏）</t>
  </si>
  <si>
    <t>等级：3</t>
  </si>
  <si>
    <t>增强型凯夫拉尔背心（常见于制服警察）</t>
  </si>
  <si>
    <t>等级：4</t>
  </si>
  <si>
    <t>战术防弹背心（常见于士兵及特警）；墙或厚门；临时载具掩体</t>
  </si>
  <si>
    <t>等级：5</t>
  </si>
  <si>
    <t>防爆衣；厚墙、混凝土或中型岩石；轻型车用装甲</t>
  </si>
  <si>
    <t>等级：10</t>
  </si>
  <si>
    <t>加固墙、大型岩石或沙袋；中型车用装甲</t>
  </si>
  <si>
    <t>等级：15</t>
  </si>
  <si>
    <t>重型车用装甲或轻型坦克装甲</t>
  </si>
  <si>
    <t>等级：20</t>
  </si>
  <si>
    <t>重型坦克装甲</t>
  </si>
  <si>
    <t>等级：25</t>
  </si>
  <si>
    <t>修正：+0%；用时（通常）：1 到 2 天；用时（加速）：数小时 （注）；招致审查：若物品受限；或是加速但魅力 × 5 检定失败；滥用的后果：警告</t>
  </si>
  <si>
    <t>修正：+0%；用时（通常）：数天；用时（加速）：1 到 2 天 （注）；招致审查：若物品受限；或是加速但魅力 × 5 检定失败；滥用的后果：警告</t>
  </si>
  <si>
    <t>修正：−20%；用时（通常）：数周；用时（加速）：数天；招致审查：总是；滥用的后果：停职以及/或者降职</t>
  </si>
  <si>
    <t>修正：−40%；用时（通常）：数月；用时（加速）：数天；招致审查：总是；滥用的后果：开除以及/或者诉讼</t>
  </si>
  <si>
    <t>常规或显著开销级物品能通过催促官方来加速获取。</t>
  </si>
  <si>
    <t>重大或极端开销级物品能在高优先级任务中加速获取。</t>
  </si>
  <si>
    <t>技能：徒手搏斗；伤害：1D4-1；护甲穿透：不适用；开销：无</t>
  </si>
  <si>
    <t>技能：徒手搏斗；伤害：1D4；护甲穿透：不适用；开销：细微</t>
  </si>
  <si>
    <t>技能：徒手搏斗；伤害：特殊；护甲穿透：不适用；开销：细微</t>
  </si>
  <si>
    <t>只能用于出其不意时。如果成功了，目标将被钳住并无法发出声音。绞具每个战斗轮将造成 1D6 点伤害，直到目标成功挣脱或死亡。由凯夫拉尔纤维制成的绞具能割开索带式塑料手铐。</t>
  </si>
  <si>
    <t>技能：近战武器；伤害：1D4；护甲穿透：3；开销：细微</t>
  </si>
  <si>
    <t>技能：近战武器；伤害：1D4；护甲穿透：不适用；开销：细微</t>
  </si>
  <si>
    <t>技能：近战武器；伤害：1D6；护甲穿透：3；开销：细微</t>
  </si>
  <si>
    <t>技能：近战武器；伤害：1D6；护甲穿透：不适用；开销：细微</t>
  </si>
  <si>
    <t>技能：近战武器；伤害：1D8；护甲穿透：不适用；开销：细微</t>
  </si>
  <si>
    <t>技能：近战武器；伤害：1D8；护甲穿透：3；开销：细微</t>
  </si>
  <si>
    <t>技能：近战武器；伤害：1D10；护甲穿透：不适用；开销：细微</t>
  </si>
  <si>
    <t>技能：近战武器；伤害：1D10；护甲穿透：不适用；开销：常规</t>
  </si>
  <si>
    <t>技能：近战武器；伤害：1D12；护甲穿透：不适用；开销：常规</t>
  </si>
  <si>
    <t>技能：敏捷 × 5；射程：1 米；使用次数：1；有效半径：单体；目标惩罚：−20%，持续 1 小时；开销：细微</t>
  </si>
  <si>
    <t>技能：敏捷 × 5；射程：3 米；使用次数：12；有效半径：两个目标；目标惩罚：−20%，持续 1 小时；开销：细微</t>
  </si>
  <si>
    <t>技能：运动；射程：20 米；使用次数：1；有效半径：10 米；目标惩罚：−40%，持续 1 小时；开销：细微</t>
  </si>
  <si>
    <t>受限制。需要特训。</t>
  </si>
  <si>
    <t>技能：重型武器；射程：50 米；使用次数：1；有效半径：10 米；目标惩罚：−40%，持续 1 小时；开销：细微</t>
  </si>
  <si>
    <t>受限制。</t>
  </si>
  <si>
    <t>技能：运动；射程：20 米；使用次数：1；有效半径：10 米；目标惩罚：−40%；开销：细微</t>
  </si>
  <si>
    <t>受限制。需要特训。室外时有效半径减半。目标惩罚持续 1D6 个战斗轮。</t>
  </si>
  <si>
    <t>技能：重型武器；射程：50 米；使用次数：1；有效半径：10 米；目标惩罚：−40%；开销：细微</t>
  </si>
  <si>
    <t>受限制。室外时有效半径减半。目标惩罚持续 1D6 个战斗轮。</t>
  </si>
  <si>
    <t>技能：敏捷 × 5；射程：1 米；使用次数：10；目标惩罚：−20%，持续 1D20 战斗轮；开销：细微</t>
  </si>
  <si>
    <t>技能：敏捷 × 5；射程：1 米；使用次数：200；目标惩罚：−20%，持续 1D20 战斗轮；开销：细微</t>
  </si>
  <si>
    <t>技能：射击；射程：4 米；使用次数：4；目标惩罚：−20%，持续 1D20 战斗轮；开销：常规</t>
  </si>
  <si>
    <t>技能：射击；基础射程：10 米；伤害：1D8；致死等级：不适用；装弹量：7；护甲穿透：不适用；开销：常规</t>
  </si>
  <si>
    <t>转轮型装弹量：6。例如：.22 LR，.32 ACP，.380 ACP，.38 特殊：S&amp;W Model 36 Chief’s Special，Walther PPK。</t>
  </si>
  <si>
    <t>技能：射击；基础射程：15 米；伤害：1D10；致死等级：不适用；装弹量：15；护甲穿透：不适用；开销：常规</t>
  </si>
  <si>
    <t>转轮型装弹量：6。例如：9×19mm，.40 S&amp;W，.45 ACP：Beretta Mod 92FS（M9），Colt M1911A1，Glock 17，Glock 22。</t>
  </si>
  <si>
    <t>技能：射击；基础射程：20 米；伤害：1D12；致死等级：不适用；装弹量：10；护甲穿透：不适用；开销：常规</t>
  </si>
  <si>
    <t>转轮型装弹量：6。例如：10×25mm Auto，.357 Magnum，.44 Magnum，.50 AE：Colt Delta Elite，Glock 20，S&amp;W Model 13。</t>
  </si>
  <si>
    <t>技能：射击；基础射程：75 米；伤害：2D8；致死等级：不适用；装弹量：5；护甲穿透：不适用；开销：常规</t>
  </si>
  <si>
    <t>12 口径霰弹枪例如：Mossberg Model 500，Remington Model 870，Ruger Red Label。双管霰弹枪装弹量：2。 基础距离以外伤害为2D6。</t>
  </si>
  <si>
    <t>技能：射击；基础射程：75 米；伤害：2D8（注）；致死等级：不适用；装弹量：5；护甲穿透：不适用；开销：常规</t>
  </si>
  <si>
    <t>基础距离以外造成一半伤害。</t>
  </si>
  <si>
    <t>技能：射击；基础射程：10 米；伤害：1D6 并击昏；致死等级：不适用；装弹量：5；护甲穿透：不适用；开销：常规</t>
  </si>
  <si>
    <t>技能：射击；基础射程：100 米；伤害：1D12；致死等级：10%；装弹量：10 或 30；护甲穿透：3；开销：常规</t>
  </si>
  <si>
    <t>全自动版受限制。如果发射弹幕则使用致死等级。例如：5.45×39mm，5.56mm NATO：AR-15，Colt M4，FN SCAR-L，更大口径的诸如 7.62×39mm（AK-47）以及.30-30 Winchester 造成 1D12+1 伤害。</t>
  </si>
  <si>
    <t>技能：射击；基础射程：50 米；伤害：1D10；致死等级：10%；装弹量：30；护甲穿透：不适用；开销：显著</t>
  </si>
  <si>
    <t>全自动版受限制。如果发射弹幕则使用致死等级。例如：5.7×28mm，9×19mm，.45 ACP：B&amp;T MP9，FN P90，H&amp;K MP5，IMI Uzi，KRISS Vector，MAC-Ingram M10。</t>
  </si>
  <si>
    <t>技能：射击；基础射程：150 米；伤害：1D12+2；致死等级：10%；装弹量：10 或 20；护甲穿透：5；开销：显著</t>
  </si>
  <si>
    <t>全自动版受限制。如果发射弹幕则使用致死等级。例如：7.62mm NATO，7.62×54mm，.30-06：H&amp;K G3，FN FAL，Izhmash SVD，M1 Garand，Remington Model 700（M24）。</t>
  </si>
  <si>
    <t>技能：射击；基础射程：250 米；伤害：不适用；致死等级：20%；装弹量：10；护甲穿透：5；开销：重大</t>
  </si>
  <si>
    <t>枪械举例：.408 CheyTac，.50 Browning：Barrett Model 82A1，CheyTac M200。</t>
  </si>
  <si>
    <t>技能：运动；基础射程：20 米；致死等级：15%；击杀半径：10 米；装弹量：不适用；护甲穿透：不适用；开销：细微</t>
  </si>
  <si>
    <t>受限制。举例：M67，RGO。</t>
  </si>
  <si>
    <t>技能：重型武器；基础射程：200 米；致死等级：30%；击杀半径：10 米；装弹量：1；护甲穿透：20；开销：常规</t>
  </si>
  <si>
    <t>受限制。例如：ATK M72 LAW，Bazalt RPG-7V，Bofors AT4（M136）。</t>
  </si>
  <si>
    <t>技能：重型武器；基础射程：5 米；致死等级：10%；击杀半径：1 米；装弹量：20；护甲穿透：不适用；开销：显著</t>
  </si>
  <si>
    <t>举例：Ion XM42。</t>
  </si>
  <si>
    <t>技能：重型武器；基础射程：10 米；致死等级：10%；击杀半径：2 米；装弹量：5；护甲穿透：不适用；开销：显著</t>
  </si>
  <si>
    <t>受限制。例如：AEC M9A1-7。</t>
  </si>
  <si>
    <t>通用机关枪（GPMP）</t>
  </si>
  <si>
    <t>技能：重型武器；基础射程：300 米；致死等级：15%；击杀半径：视射击模式（第 56 页）；装弹量：100；护甲穿透：3；开销：重大</t>
  </si>
  <si>
    <t>受限制。例如：FN MAG（M240），Kovrov PKM，Saco M60。</t>
  </si>
  <si>
    <t>技能：重型武器；基础射程：150 米；致死等级：15%；击杀半径：10 米；装弹量：1；护甲穿透：不适用；开销：重大</t>
  </si>
  <si>
    <t>受限制。转轮型装弹量：6。例如：Colt M203，H&amp;K M320，Milkor M32，Springfield M79。</t>
  </si>
  <si>
    <t>技能：重型武器；基础射程：300 米；致死等级：15%（注）；击杀半径：10 米；装弹量：30；护甲穿透：不适用；开销：重大</t>
  </si>
  <si>
    <t>受限制。 如果发射弹幕（5 发榴弹），致死等级为 20%。例如：H&amp;K GMG，Saco MK 19 MOD 3，KBP AGS-17。</t>
  </si>
  <si>
    <t>技能：重型武器；基础射程：400 米；致死等级：20%；击杀半径：视射击模式（第 56 页）；装弹量：100；护甲穿透：5；开销：重大</t>
  </si>
  <si>
    <t>受限制。例如：Browning M2HB，Degtyaryov DShKM，Kovrov NSV。</t>
  </si>
  <si>
    <t>技能：重型武器；基础射程：200 米；致死等级：10%；击杀半径：视射击模式（第 56 页）；装弹量：100 或 200；护甲穿透：3；开销：重大</t>
  </si>
  <si>
    <t>受限制。例如：FN MINIMI（M249 SAW），Molot RPK。</t>
  </si>
  <si>
    <t>技能：重型武器；基础射程：400 米；致死等级：30%；击杀半径：3 米；装弹量：100；护甲穿透：5；开销：极端</t>
  </si>
  <si>
    <t>受限制。例如：ATK M242 Bushmaster，KBP 2A70。</t>
  </si>
  <si>
    <t>技能：重型武器；基础射程：300 米；致死等级：20%；击杀半径：3 米（需连续扫射）；装弹量：4000；护甲穿透：5；开销：极端</t>
  </si>
  <si>
    <t>受限制。例如：Dillon GAU-17/A，GE M134，KBP GShG-7.62。</t>
  </si>
  <si>
    <t>技能：爆破；基础射程：不适用；致死等级：30%；击杀半径：20 米；装弹量：不适用；护甲穿透：不适用；开销：细微</t>
  </si>
  <si>
    <t>以硝酸铵作为燃料，譬如柴油和化肥；需要科学（化学）技能和爆破技能。</t>
  </si>
  <si>
    <t>技能：爆破；基础射程：不适用；致死等级：30%；击杀半径：2 米；装弹量：不适用；护甲穿透：不适用；开销：细微</t>
  </si>
  <si>
    <t>受限制。例如：M112。</t>
  </si>
  <si>
    <t>技能：爆破；基础射程：不适用；致死等级：15%；击杀半径：10 米；装弹量：不适用；护甲穿透：不适用；开销：细微</t>
  </si>
  <si>
    <t>受限制，尽管原材料通常并不受限制。例如：管状炸弹。一个较大型的炸药（炸弹背心）有 30% 的致死等级和 20 米的击杀半径。</t>
  </si>
  <si>
    <t>技能：爆破；基础射程：不适用；致死等级：60%；击杀半径：75 米；装弹量：不适用；护甲穿透：不适用；开销：常规</t>
  </si>
  <si>
    <t>受限制，尽管原材料通常并不受限制。例如：汽车炸弹。</t>
  </si>
  <si>
    <t>技能：爆破；基础射程：不适用；致死等级：25%；击杀半径：10 米；装弹量：不适用；护甲穿透：20；开销：常规</t>
  </si>
  <si>
    <t>受限制。例如：M21。</t>
  </si>
  <si>
    <t>技能：炮术；基础射程：空投；致死等级：70%；击杀半径：100 米；装弹量：不适用；护甲穿透：10；开销：显著</t>
  </si>
  <si>
    <t>受限制。需要特训。例如：MK82，FAB-250。</t>
  </si>
  <si>
    <t>技能：炮术；基础射程：4 千米；致死等级：35%；击杀半径：50 米；装弹量：1；护甲穿透：5；开销：重大</t>
  </si>
  <si>
    <t>受限制。例如：M120，2B11 Sani。</t>
  </si>
  <si>
    <t>技能：炮术；基础射程：2 千米；致死等级：20%；击杀半径：25 米；装弹量：1；护甲穿透：不适用；开销：重大</t>
  </si>
  <si>
    <t>受限制。例如：M224，Hirtenberger M6。</t>
  </si>
  <si>
    <t>技能：炮术；基础射程：4 千米；致死等级：45%；击杀半径：50 米；装弹量：不适用；护甲穿透：25；开销：极端</t>
  </si>
  <si>
    <t>受限制。例如：AGM-114 Hellfire，9M120 Ataka。</t>
  </si>
  <si>
    <t>技能：炮术；基础射程：5 千米；致死等级：50%；击杀半径：100 米；装弹量：1；护甲穿透：10；开销：极端</t>
  </si>
  <si>
    <t>受限制。例如：M109，M777，2A65 Msta-B，2S19 Msta-S。</t>
  </si>
  <si>
    <t>技能：炮术；基础射程：100 千米；致死等级：80%；击杀半径：150 米；装弹量：不适用；护甲穿透：15；开销：极端</t>
  </si>
  <si>
    <t>受限制。需要特训。例如：BGM-109 Tomahawk，Kh-55SM。</t>
  </si>
  <si>
    <t>尝试对一名由于非自然现象而受到理智损失的角色进行精神治疗</t>
  </si>
  <si>
    <t>损失：0/1</t>
  </si>
  <si>
    <t>目睹一起温和的超自然现象</t>
  </si>
  <si>
    <t>目睹一起剧烈的超自然现象</t>
  </si>
  <si>
    <t>损失：0/1D6</t>
  </si>
  <si>
    <t>目睹一具行走的尸体</t>
  </si>
  <si>
    <t>亲身经历一起明显的超自然现象</t>
  </si>
  <si>
    <t>经受一次剧烈的超自然袭击</t>
  </si>
  <si>
    <t>损失：1/1D8 或更多</t>
  </si>
  <si>
    <t>遭受火力埋伏</t>
  </si>
  <si>
    <t>发现死尸或者面目全非的动物</t>
  </si>
  <si>
    <t>发现被残杀的婴儿或者重要之人</t>
  </si>
  <si>
    <t>损失：0/1D4</t>
  </si>
  <si>
    <t>受到刺伤，扼喉或者枪伤</t>
  </si>
  <si>
    <t>遭受永久性伤残</t>
  </si>
  <si>
    <t>体力降至 2 点或更低</t>
  </si>
  <si>
    <t>遭受酷刑</t>
  </si>
  <si>
    <t>损失：0/1D8</t>
  </si>
  <si>
    <t>造成无辜者的残疾</t>
  </si>
  <si>
    <t>将同伴的尸体扔进焚烧炉以阻碍调查</t>
  </si>
  <si>
    <t>为保护自己或者他人而杀人 （注）</t>
  </si>
  <si>
    <t>冷血地杀死一位残暴的敌人 （注）</t>
  </si>
  <si>
    <t>对人施以酷刑</t>
  </si>
  <si>
    <t>意外地杀死一个无辜的人</t>
  </si>
  <si>
    <t>冷血地杀死一个无辜的人，哪怕有很好的理由 （注）</t>
  </si>
  <si>
    <t>损失：1/1D10</t>
  </si>
  <si>
    <t>对于失败的检定，除第一人以外每多杀一人，损失加 1，最终损失不超过相应最大值：1D4 最大损失 4，1D6 最大损失 6，等等。</t>
  </si>
  <si>
    <t>被炒鱿鱼</t>
  </si>
  <si>
    <t>差点让重要之人受伤或者被杀</t>
  </si>
  <si>
    <t>意料之外地破产</t>
  </si>
  <si>
    <t>朋友受到了永久损伤或者精神失常</t>
  </si>
  <si>
    <t>重要关系的值降至 0</t>
  </si>
  <si>
    <t>被判入狱</t>
  </si>
  <si>
    <t>醒来时发现自己瘫痪或者失明了</t>
  </si>
  <si>
    <t>发现朋友的遗体</t>
  </si>
  <si>
    <t>重要之人受到了永久损伤或者精神失常</t>
  </si>
  <si>
    <t>损失：1/1D4</t>
  </si>
  <si>
    <t>掉进尸体堆中</t>
  </si>
  <si>
    <t>目睹或听说朋友令人胆寒的死亡</t>
  </si>
  <si>
    <t>了解到重要之人的死亡</t>
  </si>
  <si>
    <t>损失：1/1D6</t>
  </si>
  <si>
    <t>目睹或听说重要之人令人胆寒的死亡</t>
  </si>
  <si>
    <t>损失：1/1D8</t>
  </si>
  <si>
    <t>距离极近或极远</t>
  </si>
  <si>
    <t>+20% 奖励：零距离射击（3 米以内）；−20% 惩罚：超出基础射程（不到 2 倍）；−40% 惩罚：超出 2 倍射程（不到 5 倍）</t>
  </si>
  <si>
    <t>目标可见性异常或隐藏</t>
  </si>
  <si>
    <t>+20% 奖励：激光瞄准器；−20% 惩罚：因烟尘或黑暗而难以观察；−40% 惩罚：几乎不可见</t>
  </si>
  <si>
    <t>精准攻击或范围攻击</t>
  </si>
  <si>
    <t>+20% 奖励：爆炸性武器；−20% 惩罚：目标被覆盖约一半，或比人类体型更小；−40% 惩罚：目标几乎被全覆盖，或体型非常小</t>
  </si>
  <si>
    <t>目标状况异常（远程攻击）</t>
  </si>
  <si>
    <t>+20% 奖励：目标完全站定；−20% 惩罚：目标卧倒或跑动；−40% 惩罚：目标如疾驰飞车一般高速移动</t>
  </si>
  <si>
    <t>目标状况异常（近程攻击）</t>
  </si>
  <si>
    <t>+20% 奖励：目标已被固定或完全站定；−20% 惩罚：目标在载具中或跑动；−40% 惩罚：目标如疾驰飞车一般高速移动</t>
  </si>
  <si>
    <t>攻击者状况异常</t>
  </si>
  <si>
    <t>+20% 奖励：花费一个战斗轮仔细瞄准；−20% 惩罚：受辣椒喷雾或电击枪影响；精疲力尽；−40% 惩罚：受催泪弹或闪光弹影响</t>
  </si>
  <si>
    <t>蜘蛛毒液</t>
  </si>
  <si>
    <t>中毒方式：咬伤；伤害间隔：1D6 小时；致死等级：5%；症状：疼痛，发冷，恶心，可能坏死；解毒剂？：有</t>
  </si>
  <si>
    <t>使用危险的药物治疗时药学检定失败</t>
  </si>
  <si>
    <t>中毒方式：多种；伤害间隔：1D6 小时；致死等级：5%；症状：多为疼痛，腹泻，惊厥，窒息；解毒剂？：有</t>
  </si>
  <si>
    <t>砒霜</t>
  </si>
  <si>
    <t>中毒方式：服用；伤害间隔：1D6 小时；致死等级：10%；症状：疼痛，腹泻，抽筋；解毒剂？：无</t>
  </si>
  <si>
    <t>蝎子或响尾蛇毒液</t>
  </si>
  <si>
    <t>中毒方式：咬伤或刺伤；伤害间隔：1D6 小时；致死等级：10%；症状：疼痛，虚弱，出血；解毒剂？：有</t>
  </si>
  <si>
    <t>光气</t>
  </si>
  <si>
    <t>中毒方式：吸入；伤害间隔：2D6 小时；致死等级：15%；症状：水泡，咳血，窒息；解毒剂？：无</t>
  </si>
  <si>
    <t>氰化氢气体</t>
  </si>
  <si>
    <t>中毒方式：吸入；伤害间隔：1D6 战斗轮；致死等级：20%；症状：窒息；解毒剂？：有</t>
  </si>
  <si>
    <t>沙林毒气</t>
  </si>
  <si>
    <t>中毒方式：吸入或皮肤吸收；伤害间隔：2D6 战斗轮；致死等级：20%；症状：肌肉收缩，痉挛，窒息；解毒剂？：有</t>
  </si>
  <si>
    <t>蓖麻毒素</t>
  </si>
  <si>
    <t>中毒方式：注射或粉末吸入；伤害间隔：2D6 小时；致死等级：20%；症状：腹泻，休克，癫痫发作，循环系统衰竭；解毒剂？：无</t>
  </si>
  <si>
    <t>细菌性脑膜炎</t>
  </si>
  <si>
    <t>传播途径：空气传播；伤害间隔：1D6 天；体质检定惩罚：−40；伤害：1D4；症状：颈部僵硬，反胃，神志不清；治疗方式：抗生素</t>
  </si>
  <si>
    <t>细菌性肺炎</t>
  </si>
  <si>
    <t>传播途径：吸入；伤害间隔：1D6 天；体质检定惩罚：无；伤害：1D6；症状：咳嗽，发烧，发冷；治疗方式：抗生素</t>
  </si>
  <si>
    <t>坏疽</t>
  </si>
  <si>
    <t>传播途径：伤口清洁不当；伤害间隔：1D6 天；体质检定惩罚：−20；伤害：1D4；症状：变色，渗液，麻木；治疗方式：抗生素、切除或截肢</t>
  </si>
  <si>
    <t>鼠疫</t>
  </si>
  <si>
    <t>传播途径：跳蚤叮咬（腺鼠疫），吸入（肺鼠疫）；伤害间隔：1D6 天；体质检定惩罚：无；伤害：1D6；症状：发烧，发冷，淋巴结肿大，咳嗽（肺鼠疫），休克；治疗方式：抗生素</t>
  </si>
  <si>
    <t>艾滋病/HIV</t>
  </si>
  <si>
    <t>传播途径：注射或无保护性行为；伤害间隔：1D6 月；体质检定惩罚：无；伤害：1D6；症状：消瘦，发烧，淋巴结肿大，免疫系统崩溃；治疗方式：无法治疗；顽疾；抗病毒药可控制病情</t>
  </si>
  <si>
    <t>埃博拉病毒</t>
  </si>
  <si>
    <t>传播途径：接触受感染的血液、尸体或肉类；伤害间隔：1D6 天；体质检定惩罚：−40；伤害：1D6；症状：发烧，腹泻，反胃，流血，休克；治疗方式：无</t>
  </si>
  <si>
    <t>联邦特工</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</si>
  <si>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t>
  </si>
  <si>
    <t>联邦特工（续1）</t>
  </si>
  <si>
    <t>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</si>
  <si>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特警部队</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</si>
  <si>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t>
  </si>
  <si>
    <t>特警部队（续1）</t>
  </si>
  <si>
    <t>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</si>
  <si>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t>
  </si>
  <si>
    <t>特种作战员（续1）</t>
  </si>
  <si>
    <t>以及 GPS。</t>
  </si>
  <si>
    <t>警局警员</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</si>
  <si>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t>
  </si>
  <si>
    <t>警局警员（续1）</t>
  </si>
  <si>
    <t>大部分警员会携带一把轻型备用手枪放在脚踝处或是内衬里，额外的备用子弹，皮革手套，多功能工具，止血凝胶，应急绷带和自救止血器。</t>
  </si>
  <si>
    <t>警局警员（续2）</t>
  </si>
  <si>
    <t>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t>
  </si>
  <si>
    <t>警局警员（续3）</t>
  </si>
  <si>
    <t>各式各样的工具和对抗恶劣天气的装备，写字夹板，表格和文书用具，地图册和参考册（药品识别，危险品编号，恐怖主义应对策略），瓶装水，能量棒，和抗菌凝胶。</t>
  </si>
  <si>
    <t>典型的警用应急包</t>
  </si>
  <si>
    <t>急救套件，自救止血器，止血凝胶，衣服，几盒弹药，额外的手枪和/或卡宾枪的弹匣，手电筒，折叠匕首，基础工具，制门器，粉笔，瓶装水，能量棒，电池，防晒霜，和抗菌凝胶。</t>
  </si>
  <si>
    <t>简易定向麦克风</t>
  </si>
  <si>
    <t>开销：细微</t>
  </si>
  <si>
    <t>在典型的市区环境中有效半径为 10 米。</t>
  </si>
  <si>
    <t>窃听嗅探器</t>
  </si>
  <si>
    <t>开销：常规</t>
  </si>
  <si>
    <t>纤维内窥镜</t>
  </si>
  <si>
    <t>GPS 干扰器</t>
  </si>
  <si>
    <t>声控录音机</t>
  </si>
  <si>
    <t>定向麦克风及音频软件</t>
  </si>
  <si>
    <t>在典型的市区环境中有效半径为 20 米。先进型号的有效半径为 50 米，开销为显著开销。</t>
  </si>
  <si>
    <t>基础无人机，能在市场上购得</t>
  </si>
  <si>
    <t>需要特训（敏捷）。</t>
  </si>
  <si>
    <t>音频干扰器（射频/蜂窝）</t>
  </si>
  <si>
    <t>开销：显著</t>
  </si>
  <si>
    <t>GPS 跟踪设备</t>
  </si>
  <si>
    <t>先进无人机</t>
  </si>
  <si>
    <t>需要特种载具（无人机）技能。</t>
  </si>
  <si>
    <t>探地雷达</t>
  </si>
  <si>
    <t>开销：重大</t>
  </si>
  <si>
    <t>和一台割草机差不多大；需要特训（智力）。</t>
  </si>
  <si>
    <t>军用无人机</t>
  </si>
  <si>
    <t>开销：极端</t>
  </si>
  <si>
    <t>需要特种载具（无人机）技能；能装配武器。</t>
  </si>
  <si>
    <t>大型手电筒</t>
  </si>
  <si>
    <t>有效距离为 100 米。能连续使用 10 个小时。</t>
  </si>
  <si>
    <t>战术灯或武器挂灯</t>
  </si>
  <si>
    <t>有效距离为 50 米。能连续使用 1 个小时。可选装配红外线或紫外线滤波器。红外线仅能被夜视眼镜或夜视瞄准镜捕获。紫外线会使“不可见”的证据显形，譬如人体体液以及特殊墨水。</t>
  </si>
  <si>
    <t>普通双筒望远镜</t>
  </si>
  <si>
    <t>10 倍放大倍率；允许在更远的距离进行警觉检定。</t>
  </si>
  <si>
    <t>民用夜视眼镜（NVG）</t>
  </si>
  <si>
    <t>允许在低可视环境下行动。能连续使用 100 个小时。大部分技能检定，诸如机动车驾驶，特种载具以及远程攻击，需要承受 −20% 的惩罚。如果夜视眼镜和处于红外线模式下的激光指示器一同使用，可以避免攻击检定的惩罚。</t>
  </si>
  <si>
    <t>先进双筒望远镜或望远镜</t>
  </si>
  <si>
    <t>20 倍放大倍率；允许在更远的距离进行警觉检定。</t>
  </si>
  <si>
    <t>强力望远镜</t>
  </si>
  <si>
    <t>50 倍放大倍率；允许在更远的距离进行警觉检定。</t>
  </si>
  <si>
    <t>军用夜视眼镜</t>
  </si>
  <si>
    <t>受限制。 允许在低可视环境下行动。大部分技能检定无需承受惩罚。如果进行高精度行为则需要承受 −20% 的惩罚。</t>
  </si>
  <si>
    <t>开锁套件</t>
  </si>
  <si>
    <t>哈利根撬棍</t>
  </si>
  <si>
    <t>通过较为结实的障碍物时需要进行力量检定。</t>
  </si>
  <si>
    <t>抖锁器</t>
  </si>
  <si>
    <t>仅适用于简单的弹簧锁。</t>
  </si>
  <si>
    <t>个人急救套件</t>
  </si>
  <si>
    <t>为单个急救增加 +20% 的奖励。</t>
  </si>
  <si>
    <t>小型灭火器（CO₂）</t>
  </si>
  <si>
    <t>熄灭小型火焰。能通过敏捷 × 5 检定来朝诸如狗一类的动物脸上喷射，使它们逃跑。</t>
  </si>
  <si>
    <t>手持 GPS</t>
  </si>
  <si>
    <t>不需要无线电信号。电池寿命为 14 到 25 小时。</t>
  </si>
  <si>
    <t>基本露营装备</t>
  </si>
  <si>
    <t>廉价背包，露营袋，救生毯，纽扣指南针，手电筒，火柴，代餐棒，净水片。为 3 天内的生存检定增加 +20% 的奖励。</t>
  </si>
  <si>
    <t>个人防护装备（PPE）</t>
  </si>
  <si>
    <t>围裙，眼镜，手套，呼吸面罩；对于化学物质以及酸性物质的喷溅和烟雾提供 2 点护甲。</t>
  </si>
  <si>
    <t>重型灭火器</t>
  </si>
  <si>
    <t>熄灭约一室量的火焰。</t>
  </si>
  <si>
    <t>防毒面具</t>
  </si>
  <si>
    <t>有效阻止空气传播的威胁。</t>
  </si>
  <si>
    <t>危险物品防护服</t>
  </si>
  <si>
    <t>有效阻止空气传播或接触传播的威胁。需要 30 分钟来安全地穿戴。（不要忘记黏上胶带。）</t>
  </si>
  <si>
    <t>急救人员医疗套件</t>
  </si>
  <si>
    <t>绷带，静脉输液套件和输液，药品（麻醉药品（译注：指任意能减少疼痛，诱发睡眠以及可能调节心情或行为的药物），麻醉药（译注：指专业的医用药物，用于减轻疼痛或使之失去知觉的药物），抗生素等），听诊器，缝线和插管套件，止血凝胶，人工呼吸急救苏醒球。为四次急救检定增加 +20% 的奖励。</t>
  </si>
  <si>
    <t>扩展露营装备</t>
  </si>
  <si>
    <t>大型背包，睡袋，帐篷，指南针，头灯，点火器，脱水食品，水过滤器，气罐炉，远足服。为 14 天内的生存检定增加 +20% 的奖励。</t>
  </si>
  <si>
    <t>水下呼吸装备</t>
  </si>
  <si>
    <t>需要特训（游泳）。</t>
  </si>
  <si>
    <t>装满酸液的聚丙烯桶</t>
  </si>
  <si>
    <t>足以让尸体变成烂泥。记得穿好个人防护装备！</t>
  </si>
  <si>
    <t>地下急救，闭口不问</t>
  </si>
  <si>
    <t>需要犯罪学来找到职业道德较为宽松的专业医疗人员。</t>
  </si>
  <si>
    <t>地下药品或小手术，闭口不问</t>
  </si>
  <si>
    <t>地下大手术，闭口不问</t>
  </si>
  <si>
    <t>贿赂焚烧厂，火葬场，或熔炉工人，让他们对你焚烧尸体的行为视而不见</t>
  </si>
  <si>
    <t>需要犯罪学来找到愿意合作的工人。</t>
  </si>
  <si>
    <t>全息瞄准镜</t>
  </si>
  <si>
    <t>只要在上一轮行为之后没有受到过伤害，就能得到额外 +20% 的命中率。</t>
  </si>
  <si>
    <t>夜视瞄准镜</t>
  </si>
  <si>
    <t>允许在诸如星光等光线黯淡的情况下瞄准。有效半径为 400 米。能连续使用 100 个小时。如果你的特工在上一轮中进行瞄准，那么在夜间时可以使武器的基础射程翻倍。</t>
  </si>
  <si>
    <t>消声器</t>
  </si>
  <si>
    <t>受限制。 隔着墙或是门时需要通过警觉检定才能听到枪声。对于特别安静的射击，譬如作用在轻型手枪上时，警觉检定需要承受 −20% 的惩罚。</t>
  </si>
  <si>
    <t>激光指示器</t>
  </si>
  <si>
    <t>只要在上一轮行为之后没有受到过伤害，就能得到额外 +20% 的命中率。你的特工不需要将枪抬到眼睛处。有效半径为 200 米。能连续使用 100 个小时。有开销等级为显著开销的红外线型号，这种型号只能被夜视眼镜或夜视瞄准镜看到。</t>
  </si>
  <si>
    <t>缩放瞄准镜</t>
  </si>
  <si>
    <t>如果你的特工在上一轮中进行瞄准，那么可以使武器的基础射程翻倍。</t>
  </si>
  <si>
    <t>先进战斗光学瞄准镜（ACOG）</t>
  </si>
  <si>
    <t>将全息瞄准镜和缩放瞄准镜融为一体。</t>
  </si>
  <si>
    <t>热成像瞄准镜（TWS）</t>
  </si>
  <si>
    <t>允许在完全黑暗的情况下瞄准。有效半径为 400 米。能连续使用 2 个小时。如果你的特工在上一轮中进行瞄准，那么可以使武器的基础射程翻倍。</t>
  </si>
  <si>
    <t>黑枪设备：带有配套软件的重型台式 3D 打印机</t>
  </si>
  <si>
    <t>可以将铝研磨成下机匣用于制造枪械。其他枪械部件可以在无需证件的情况下以显著开销购得。枪械装配需要通过智力 × 5 检定以及特训，或是通过工艺（枪匠）检定。如果检定失败，那么枪械是不可靠的；参见废铜烂铁。</t>
  </si>
  <si>
    <t>访问非机密但受限制的文件，诸如刑事或财务记录</t>
  </si>
  <si>
    <t>无理由地将一名囚犯关押 24 小时</t>
  </si>
  <si>
    <t>借用 1 天机构用车，巡逻车或 SUV</t>
  </si>
  <si>
    <t>请求获取不相关案件的资料</t>
  </si>
  <si>
    <t>使用无人机监控嫌疑人 1 到 2 天</t>
  </si>
  <si>
    <t>公交车单日票</t>
  </si>
  <si>
    <t>小轿车或 SUV，租借一周</t>
  </si>
  <si>
    <t>国内航班或火车单日票</t>
  </si>
  <si>
    <t>目的地为发达国家的国际航班单日票</t>
  </si>
  <si>
    <t>单程直升机包机</t>
  </si>
  <si>
    <t>目的地为发展中国家的国际航班单日票</t>
  </si>
  <si>
    <t>单程喷气式飞机包机</t>
  </si>
  <si>
    <t>廉价汽车旅馆住宿 1 到 2 晚</t>
  </si>
  <si>
    <t>汽车旅馆住宿一周或短租公寓</t>
  </si>
  <si>
    <t>星级酒店住宿一周</t>
  </si>
  <si>
    <t>高档度假村住宿一周</t>
  </si>
  <si>
    <t>最高档度假圣地享受私人食宿</t>
  </si>
  <si>
    <t>伪造的护照或身份证明文件</t>
  </si>
  <si>
    <t>需要正式申请或犯罪学来找到可靠来源。</t>
  </si>
  <si>
    <t>G-7 国家的伪造护照（加拿大，欧盟，日本，美国，英国）</t>
  </si>
  <si>
    <t>全新的合法身份证明</t>
  </si>
  <si>
    <t>公共储存柜，一个月</t>
  </si>
  <si>
    <t>公共储存柜，一年</t>
  </si>
  <si>
    <t>大型公共储存柜，一年</t>
  </si>
  <si>
    <t>索带式塑料手铐</t>
  </si>
  <si>
    <t>需要刀片或剪刀才能割开。通过力量 × 5 + 20% 检定能挣脱临时用束线带制成的手铐。</t>
  </si>
  <si>
    <t>手铐</t>
  </si>
  <si>
    <t>需要手铐钥匙才能打开；经过特训并持有开锁器，或工艺（锁匠）技能也能打开；或通过敏捷 × 5 − 20%。</t>
  </si>
  <si>
    <t>使用付费期刊以及专业公开设施</t>
  </si>
  <si>
    <t>从专家或科研人员处获取专业建议</t>
  </si>
  <si>
    <t>独自进入限制区域的身份资格</t>
  </si>
  <si>
    <t>来自科研专家的第三方验证或审核</t>
  </si>
  <si>
    <t>从外部来源获取专用的科研设备或制品用于“测试和检查”</t>
  </si>
  <si>
    <t>一次性电话</t>
  </si>
  <si>
    <t>短途对讲机或早期的移动电话</t>
  </si>
  <si>
    <t>现成的常用黑客软件</t>
  </si>
  <si>
    <t>需要计算机科学；失败的幸运检定意味着软件有缺陷（见破铜烂铁）。</t>
  </si>
  <si>
    <t>耳机通讯套件</t>
  </si>
  <si>
    <t>普通的计算机</t>
  </si>
  <si>
    <t>平板电脑或智能手机</t>
  </si>
  <si>
    <t>3D 打印机（塑料）</t>
  </si>
  <si>
    <t>卫星电话</t>
  </si>
  <si>
    <t>雇用黑客来破解基础加密系统</t>
  </si>
  <si>
    <t>如果行动是非法的，需要计算机科学或犯罪学来找到可靠的来源。</t>
  </si>
  <si>
    <t>高级计算机</t>
  </si>
  <si>
    <t>顶尖的加密系统或数据挖掘软件</t>
  </si>
  <si>
    <t>受限制。 需要计算机科学或特训（智力）。</t>
  </si>
  <si>
    <t>先进数据分析软件</t>
  </si>
  <si>
    <t>需要计算机科学或特训（智力）。</t>
  </si>
  <si>
    <t>3D 打印机（金属）</t>
  </si>
  <si>
    <t>雇用黑客来破解先进加密系统</t>
  </si>
  <si>
    <t>如果行动是非法的，需要犯罪学来找到可靠的来源。</t>
  </si>
  <si>
    <t>用于监控手机的便携式国际移动用户识别码捕获器</t>
  </si>
  <si>
    <t>受限制。 需要计算机科学或特训（智力）。有效半径为 2 千米。另一种能藏在衣服下的型号有效半径为 200 米。车载型号的有效半径为 30 千米，开销为极端开销。</t>
  </si>
  <si>
    <t>独享一颗专用通信卫星</t>
  </si>
  <si>
    <t>借用 1 天机构用四轮全地形车，巡逻艇，或其他小型特种船只</t>
  </si>
  <si>
    <t>派遣 2-5 名身着制服的当地警员</t>
  </si>
  <si>
    <t>监控一件进行中案件的资料</t>
  </si>
  <si>
    <t>申请一个窃听器</t>
  </si>
  <si>
    <t>征用一周一辆装甲 SUV</t>
  </si>
  <si>
    <t>呼叫当地的 FBI SWAT 小队进行突袭</t>
  </si>
  <si>
    <t>在已安排好的支援航班上保有一个座位（仅限有多余座位时）</t>
  </si>
  <si>
    <t>呼叫一支特种作战小队进行安保或撤离行动</t>
  </si>
  <si>
    <t>直升机支援（运载或监控）</t>
  </si>
  <si>
    <t>导弹空袭</t>
  </si>
  <si>
    <t>这些执法机构，军事，情报部门和公共安全的项目是无法购买的。这里的“开销”代表通过行政或军事科学技能获取的难度等级，审批所需时间，以及可能招致的官方审查的严重程度。</t>
  </si>
  <si>
    <t>访问另一个机构的机密文件（与国土安全无关）</t>
  </si>
  <si>
    <t>包括来源于 NarusInsight（FBI）或 Xkeyscore（NSA）的数字通讯数据。（译注：NarusInsight 和 Xkeyscore 都是为美国政府服务的信息监控与分析系统。）</t>
  </si>
  <si>
    <t>无人机低空飞越并监控一块特定区域</t>
  </si>
  <si>
    <t>将一名囚犯关押在“黑狱”中 48 小时</t>
  </si>
  <si>
    <t>特工首先需要知晓黑狱的存在。</t>
  </si>
  <si>
    <t>申请审讯或汇报时的在场许可</t>
  </si>
  <si>
    <t>申请足以以假乱真的伪造档案</t>
  </si>
  <si>
    <t>访问与国土安全相关和机密文件（特工本不应知道）</t>
  </si>
  <si>
    <t>从技术层面上属于间谍行为。如果被发现，可能招致开除以及/或者起诉。</t>
  </si>
  <si>
    <t>无人机或卫星扩展性监控一块特定区域（不仅限于一次短途低空飞越）</t>
  </si>
  <si>
    <t>呼叫秘密行动队在区域内提供支援</t>
  </si>
  <si>
    <t>访问特工职责之外的敏感文件</t>
  </si>
  <si>
    <t>向地方执法机构提出逮捕申请（以正当理由）</t>
  </si>
  <si>
    <t>以所谓的环境犯罪为名义，获取进入工地的许可</t>
  </si>
  <si>
    <t>临时性地关闭一处工地进行环境犯罪调查</t>
  </si>
  <si>
    <t>隔离一块区域</t>
  </si>
  <si>
    <t>1. 姓名</t>
  </si>
  <si>
    <t>2. 职业（军衔，若适用）</t>
  </si>
  <si>
    <t>3. 雇主</t>
  </si>
  <si>
    <t>4. 国籍</t>
  </si>
  <si>
    <t>5. 性别</t>
  </si>
  <si>
    <t>6. 年龄及生日</t>
  </si>
  <si>
    <t>7. 教育及职业历史</t>
  </si>
  <si>
    <t>8. 属性</t>
  </si>
  <si>
    <t>突出特征</t>
  </si>
  <si>
    <t>11. 重要关系</t>
  </si>
  <si>
    <t>关系值</t>
  </si>
  <si>
    <t>力量（STR）</t>
  </si>
  <si>
    <t>体质（CON）</t>
  </si>
  <si>
    <t>敏捷（DEX）</t>
  </si>
  <si>
    <t>智力（INT）</t>
  </si>
  <si>
    <t>意志（POW）</t>
  </si>
  <si>
    <t>魅力（CHA）</t>
  </si>
  <si>
    <t>在受损伤的重要关系前打钩，直到下次幕间活动结束。</t>
  </si>
  <si>
    <t>9. 衍生属性</t>
  </si>
  <si>
    <t>最大</t>
  </si>
  <si>
    <t>当前</t>
  </si>
  <si>
    <t>12. 人生动力与精神创伤</t>
  </si>
  <si>
    <t>体力（HP）</t>
  </si>
  <si>
    <t>毅力（WP）</t>
  </si>
  <si>
    <t>理智（SAN）</t>
  </si>
  <si>
    <t>崩溃点（BP）</t>
  </si>
  <si>
    <t>10. 外观描述</t>
  </si>
  <si>
    <t>13. 未引起疯狂的理智损失次数</t>
  </si>
  <si>
    <t>技能（括号内为基础等级）</t>
  </si>
  <si>
    <t>%</t>
  </si>
  <si>
    <t>体力最大值＝（力量＋体质）÷2，向上取整；毅力最大值＝意志；理智最大值＝99－非自然知识；关系6—7见背面。</t>
  </si>
  <si>
    <t>TOP SECRET//ORCON//SPECIAL ACCESS REQUIRED—DELTA GREEN  ·  本作品纯属虚构</t>
  </si>
  <si>
    <t>14. 伤口与病痛</t>
  </si>
  <si>
    <t>上次受伤后是否接受过急救？  ☐ 是：仅能通过医学、手术或长期休养来得到进一步改进。</t>
  </si>
  <si>
    <t>15. 护甲与装备</t>
  </si>
  <si>
    <t>身体护甲能降低各种攻击的伤害，除了精准射击及检定成功的致死攻击。</t>
  </si>
  <si>
    <t>16.</t>
  </si>
  <si>
    <t>武器</t>
  </si>
  <si>
    <t>技能 %</t>
  </si>
  <si>
    <t>伤害</t>
  </si>
  <si>
    <t>护甲穿透</t>
  </si>
  <si>
    <t>致死等级</t>
  </si>
  <si>
    <t>弹药</t>
  </si>
  <si>
    <t>(a)</t>
  </si>
  <si>
    <t>(b)</t>
  </si>
  <si>
    <t>(c)</t>
  </si>
  <si>
    <t>(d)</t>
  </si>
  <si>
    <t>(e)</t>
  </si>
  <si>
    <t>(f)</t>
  </si>
  <si>
    <t>(g)</t>
  </si>
  <si>
    <t>17. 个人详情及备注</t>
  </si>
  <si>
    <t>18. 影响到家庭及日常生活的变故</t>
  </si>
  <si>
    <t>19. 特训（全部9项）</t>
  </si>
  <si>
    <t>重要关系续栏（6—7）</t>
  </si>
  <si>
    <t>请说明这名特工为何会被招募，以及特工为何同意了加入。</t>
  </si>
  <si>
    <t>20. 批准人签字</t>
  </si>
  <si>
    <t>21. 特工签字</t>
  </si>
  <si>
    <t>DD  FORM</t>
  </si>
  <si>
    <t>315</t>
  </si>
  <si>
    <t>UNITED STATES
AGENT DOCUMENTATION SHEET</t>
  </si>
  <si>
    <t>112382</t>
  </si>
  <si>
    <t>TOP SECRET//ORCON//SPECIAL ACCESS REQUIRED—DELTA GREEN</t>
  </si>
  <si>
    <t>本作品纯属虚构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</si>
</sst>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quot;"/>
    <numFmt numFmtId="177" formatCode="0&quot;/72&quot;"/>
    <numFmt numFmtId="178" formatCode="0&quot;/160&quot;"/>
    <numFmt numFmtId="179" formatCode="&quot;/&quot;0"/>
    <x:numFmt xmlns:x="http://schemas.openxmlformats.org/spreadsheetml/2006/main" numFmtId="180" formatCode="yyyy-mm-dd"/>
    <x:numFmt xmlns:x="http://schemas.openxmlformats.org/spreadsheetml/2006/main" numFmtId="181" formatCode="0"/>
    <x:numFmt xmlns:x="http://schemas.openxmlformats.org/spreadsheetml/2006/main" numFmtId="182" formatCode="yyyy-mm-dd"/>
  </numFmts>
  <fonts count="171">
    <font>
      <sz val="11"/>
      <color theme="1"/>
      <name val="等线"/>
      <charset val="134"/>
      <scheme val="minor"/>
    </font>
    <font>
      <b/>
      <sz val="26"/>
      <color rgb="FFFFFFFF"/>
      <name val="微软雅黑"/>
      <charset val="134"/>
    </font>
    <font>
      <sz val="11"/>
      <color theme="1"/>
      <name val="等线"/>
      <charset val="134"/>
      <scheme val="minor"/>
    </font>
    <font>
      <b/>
      <sz val="8"/>
      <color rgb="FF000000"/>
      <name val="微软雅黑"/>
      <charset val="134"/>
    </font>
    <font>
      <sz val="11"/>
      <color rgb="FF000000"/>
      <name val="微软雅黑"/>
      <charset val="134"/>
    </font>
    <font>
      <sz val="8.5"/>
      <color rgb="FF000000"/>
      <name val="微软雅黑"/>
      <charset val="134"/>
    </font>
    <font>
      <sz val="8"/>
      <color rgb="FF000000"/>
      <name val="微软雅黑"/>
      <charset val="134"/>
    </font>
    <font>
      <sz val="7.5"/>
      <color rgb="FF000000"/>
      <name val="微软雅黑"/>
      <charset val="134"/>
    </font>
    <font>
      <sz val="6.5"/>
      <color rgb="FF000000"/>
      <name val="微软雅黑"/>
      <charset val="134"/>
    </font>
    <font>
      <sz val="9"/>
      <color rgb="FF000000"/>
      <name val="微软雅黑"/>
      <charset val="134"/>
    </font>
    <font>
      <sz val="7.2"/>
      <color rgb="FF000000"/>
      <name val="微软雅黑"/>
      <charset val="134"/>
    </font>
    <font>
      <sz val="7"/>
      <color rgb="FF000000"/>
      <name val="微软雅黑"/>
      <charset val="134"/>
    </font>
    <font>
      <b/>
      <sz val="23"/>
      <color rgb="FFFFFFFF"/>
      <name val="微软雅黑"/>
      <charset val="134"/>
    </font>
    <font>
      <b/>
      <sz val="13"/>
      <color rgb="FF000000"/>
      <name val="微软雅黑"/>
      <charset val="134"/>
    </font>
    <font>
      <b/>
      <sz val="18"/>
      <color rgb="FF000000"/>
      <name val="微软雅黑"/>
      <charset val="134"/>
    </font>
    <font>
      <b/>
      <sz val="16"/>
      <color rgb="FF000000"/>
      <name val="微软雅黑"/>
      <charset val="134"/>
    </font>
    <font>
      <b/>
      <sz val="20"/>
      <color rgb="FFFFFFFF"/>
      <name val="微软雅黑"/>
      <charset val="134"/>
    </font>
    <font>
      <sz val="9"/>
      <color rgb="FF444444"/>
      <name val="微软雅黑"/>
      <charset val="134"/>
    </font>
    <font>
      <b/>
      <sz val="10"/>
      <name val="微软雅黑"/>
      <charset val="134"/>
    </font>
    <font>
      <u/>
      <sz val="9"/>
      <color rgb="FF245B45"/>
      <name val="微软雅黑"/>
      <charset val="134"/>
    </font>
    <font>
      <b/>
      <sz val="10"/>
      <color rgb="FFFFFFFF"/>
      <name val="微软雅黑"/>
      <charset val="134"/>
    </font>
    <font>
      <sz val="10"/>
      <color rgb="FF17251E"/>
      <name val="微软雅黑"/>
      <charset val="134"/>
    </font>
    <font>
      <b/>
      <sz val="10"/>
      <color rgb="FF17251E"/>
      <name val="微软雅黑"/>
      <charset val="134"/>
    </font>
    <font>
      <sz val="11"/>
      <color theme="1"/>
      <name val="宋体"/>
      <charset val="134"/>
    </font>
    <font>
      <sz val="11"/>
      <color theme="1"/>
      <name val="Arial"/>
      <charset val="134"/>
    </font>
    <font>
      <sz val="9"/>
      <color theme="1"/>
      <name val="宋体"/>
      <charset val="134"/>
    </font>
    <font>
      <u/>
      <sz val="9"/>
      <color theme="10"/>
      <name val="等线"/>
      <charset val="134"/>
      <scheme val="minor"/>
    </font>
    <font>
      <u/>
      <sz val="11"/>
      <color theme="10"/>
      <name val="等线"/>
      <charset val="134"/>
      <scheme val="minor"/>
    </font>
    <font>
      <b/>
      <i/>
      <sz val="11"/>
      <color theme="1"/>
      <name val="微软雅黑"/>
      <charset val="134"/>
    </font>
    <font>
      <b/>
      <i/>
      <sz val="11"/>
      <color theme="1"/>
      <name val="等线"/>
      <charset val="134"/>
      <scheme val="minor"/>
    </font>
    <font>
      <i/>
      <sz val="11"/>
      <color theme="1"/>
      <name val="等线"/>
      <charset val="134"/>
      <scheme val="minor"/>
    </font>
    <font>
      <b/>
      <sz val="11"/>
      <color theme="1"/>
      <name val="等线"/>
      <charset val="134"/>
      <scheme val="minor"/>
    </font>
    <font>
      <sz val="11"/>
      <color theme="0"/>
      <name val="等线"/>
      <charset val="134"/>
      <scheme val="minor"/>
    </font>
    <font>
      <sz val="11"/>
      <color rgb="FFFF0000"/>
      <name val="等线"/>
      <charset val="134"/>
      <scheme val="minor"/>
    </font>
    <font>
      <sz val="10"/>
      <color theme="1"/>
      <name val="等线"/>
      <charset val="134"/>
      <scheme val="minor"/>
    </font>
    <font>
      <sz val="9"/>
      <color theme="1"/>
      <name val="微软雅黑"/>
      <charset val="134"/>
    </font>
    <font>
      <sz val="9"/>
      <color theme="0"/>
      <name val="微软雅黑"/>
      <charset val="134"/>
    </font>
    <font>
      <sz val="8"/>
      <color theme="0" tint="-0.349986266670736"/>
      <name val="微软雅黑"/>
      <charset val="134"/>
    </font>
    <font>
      <sz val="9"/>
      <color theme="0" tint="-0.349986266670736"/>
      <name val="微软雅黑"/>
      <charset val="134"/>
    </font>
    <font>
      <sz val="9"/>
      <name val="微软雅黑"/>
      <charset val="134"/>
    </font>
    <font>
      <sz val="8"/>
      <color theme="0" tint="-0.249977111117893"/>
      <name val="微软雅黑"/>
      <charset val="134"/>
    </font>
    <font>
      <sz val="8"/>
      <color theme="1"/>
      <name val="微软雅黑"/>
      <charset val="134"/>
    </font>
    <font>
      <sz val="9"/>
      <color theme="1"/>
      <name val="等线"/>
      <charset val="134"/>
      <scheme val="minor"/>
    </font>
    <font>
      <sz val="8"/>
      <color theme="0"/>
      <name val="微软雅黑"/>
      <charset val="134"/>
    </font>
    <font>
      <b/>
      <sz val="9"/>
      <color theme="0"/>
      <name val="微软雅黑"/>
      <charset val="134"/>
    </font>
    <font>
      <b/>
      <sz val="9"/>
      <color theme="1"/>
      <name val="微软雅黑"/>
      <charset val="134"/>
    </font>
    <font>
      <sz val="8"/>
      <color rgb="FF666666"/>
      <name val="微软雅黑"/>
      <charset val="134"/>
    </font>
    <font>
      <i/>
      <sz val="9"/>
      <color theme="0" tint="-0.249977111117893"/>
      <name val="微软雅黑"/>
      <charset val="134"/>
    </font>
    <font>
      <sz val="9"/>
      <color rgb="FF333333"/>
      <name val="微软雅黑"/>
      <charset val="134"/>
    </font>
    <font>
      <sz val="9"/>
      <color rgb="FF205A8A"/>
      <name val="微软雅黑"/>
      <charset val="134"/>
    </font>
    <font>
      <sz val="9"/>
      <color theme="0" tint="-0.249977111117893"/>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name val="微软雅黑"/>
      <charset val="134"/>
    </font>
    <font>
      <sz val="10"/>
      <color theme="0" tint="-0.349986266670736"/>
      <name val="微软雅黑"/>
      <charset val="134"/>
    </font>
    <font>
      <sz val="8"/>
      <name val="微软雅黑"/>
      <charset val="134"/>
    </font>
    <font>
      <sz val="8"/>
      <color rgb="FF202020"/>
      <name val="微软雅黑"/>
      <charset val="134"/>
    </font>
    <font>
      <b/>
      <sz val="9"/>
      <color rgb="FF202020"/>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x:font xmlns:x="http://schemas.openxmlformats.org/spreadsheetml/2006/main">
      <x:b/>
      <x:sz val="10"/>
      <x:color rgb="FF375548"/>
      <x:name val="微软雅黑"/>
    </x:font>
    <x:font xmlns:x="http://schemas.openxmlformats.org/spreadsheetml/2006/main">
      <x:b/>
      <x:sz val="10"/>
      <x:color rgb="FF22312B"/>
      <x:name val="微软雅黑"/>
    </x: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font>
      <sz val="9"/>
      <name val="微软雅黑"/>
      <charset val="134"/>
      <scheme val="minor"/>
      <color rgb="FF1F6650"/>
      <u val="single"/>
    </font>
    <font>
      <sz val="9.5"/>
      <color rgb="FF17251E"/>
      <name val="微软雅黑"/>
      <charset val="134"/>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
      <sz val="9"/>
      <name val="微软雅黑"/>
      <charset val="134"/>
      <scheme val="minor"/>
      <color rgb="FF0563C1"/>
      <u val="single"/>
    </font>
    <font>
      <b/>
      <sz val="11"/>
      <color theme="1"/>
      <name val="微软雅黑"/>
      <charset val="134"/>
    </font>
    <font>
      <sz val="10"/>
      <color theme="1"/>
      <name val="微软雅黑"/>
      <charset val="134"/>
    </font>
    <font>
      <sz val="11"/>
      <color theme="1"/>
      <name val="微软雅黑"/>
      <charset val="134"/>
    </font>
    <font>
      <sz val="11"/>
      <color rgb="FFFFFFFF"/>
      <name val="微软雅黑"/>
      <charset val="134"/>
      <b/>
    </font>
    <font>
      <sz val="11"/>
      <color rgb="FFFF0000"/>
      <name val="微软雅黑"/>
      <charset val="134"/>
    </font>
    <font>
      <sz val="11"/>
      <color theme="0"/>
      <name val="微软雅黑"/>
      <charset val="134"/>
    </font>
    <font>
      <b/>
      <i/>
      <sz val="11"/>
      <color rgb="FFFFFFFF"/>
      <name val="微软雅黑"/>
      <charset val="134"/>
    </font>
    <font>
      <i/>
      <sz val="11"/>
      <color theme="1"/>
      <name val="微软雅黑"/>
      <charset val="134"/>
    </font>
    <font>
      <b/>
      <sz val="16"/>
      <color rgb="FFFFFFFF"/>
      <name val="微软雅黑"/>
    </font>
    <font>
      <sz val="11"/>
      <color rgb="FF202020"/>
      <name val="微软雅黑"/>
    </font>
    <font>
      <b/>
      <sz val="11"/>
      <color rgb="FF303030"/>
      <name val="微软雅黑"/>
    </font>
    <font>
      <sz val="11"/>
      <color rgb="FF0563C1"/>
      <name val="微软雅黑"/>
    </font>
    <font>
      <b/>
      <sz val="11"/>
      <color rgb="FFFFFFFF"/>
      <name val="微软雅黑"/>
    </font>
    <font>
      <b/>
      <sz val="11"/>
      <color rgb="FF202020"/>
      <name val="微软雅黑"/>
    </font>
    <font>
      <sz val="9"/>
      <name val="微软雅黑"/>
      <charset val="134"/>
      <color rgb="FF0563C1"/>
      <u val="single"/>
    </font>
    <font>
      <sz val="10"/>
      <color rgb="FF333333"/>
      <name val="微软雅黑"/>
      <charset val="134"/>
    </font>
    <font>
      <b/>
      <sz val="10"/>
      <color rgb="FF000000"/>
      <name val="微软雅黑"/>
      <charset val="134"/>
    </font>
    <font>
      <sz val="9.5"/>
      <color rgb="FF333333"/>
      <name val="微软雅黑"/>
      <charset val="134"/>
    </font>
    <font>
      <sz val="10"/>
      <color rgb="FF333333"/>
      <name val="微软雅黑"/>
    </font>
    <font>
      <b/>
      <sz val="15"/>
      <color rgb="FF000000"/>
      <name val="微软雅黑"/>
    </font>
    <font>
      <sz val="10"/>
      <color rgb="FF0563C1"/>
      <name val="微软雅黑"/>
    </font>
    <font>
      <b/>
      <sz val="10"/>
      <color rgb="FF000000"/>
      <name val="微软雅黑"/>
    </font>
    <font>
      <b/>
      <sz val="15"/>
      <color rgb="FFFFFFFF"/>
      <name val="微软雅黑"/>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0"/>
      <x:color rgb="FF222222"/>
      <x:name val="微软雅黑"/>
    </x:font>
    <x:font xmlns:x="http://schemas.openxmlformats.org/spreadsheetml/2006/main">
      <x:b/>
      <x:sz val="15"/>
      <x:color rgb="FFFFFFFF"/>
      <x:name val="微软雅黑"/>
    </x:font>
    <x:font xmlns:x="http://schemas.openxmlformats.org/spreadsheetml/2006/main">
      <x:sz val="10"/>
      <x:color rgb="FF0563C1"/>
      <x:name val="微软雅黑"/>
    </x:font>
    <x:font xmlns:x="http://schemas.openxmlformats.org/spreadsheetml/2006/main">
      <x:b/>
      <x:sz val="10"/>
      <x:color rgb="FF222222"/>
      <x:name val="微软雅黑"/>
    </x:font>
    <x:font xmlns:x="http://schemas.openxmlformats.org/spreadsheetml/2006/main">
      <x:sz val="10"/>
      <x:color rgb="FF666666"/>
      <x:name val="微软雅黑"/>
    </x:font>
    <x:font xmlns:x="http://schemas.openxmlformats.org/spreadsheetml/2006/main">
      <x:b/>
      <x:sz val="11"/>
      <x:color rgb="FFFFFFFF"/>
      <x:name val="微软雅黑"/>
    </x:font>
    <x:font xmlns:x="http://schemas.openxmlformats.org/spreadsheetml/2006/main">
      <x:b/>
      <x:sz val="10"/>
      <x:color rgb="FFFFFFFF"/>
      <x:name val="微软雅黑"/>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s>
  <fills count="87">
    <fill>
      <patternFill patternType="none"/>
    </fill>
    <fill>
      <patternFill patternType="gray125"/>
    </fill>
    <fill>
      <patternFill patternType="solid">
        <fgColor indexed="65"/>
        <bgColor indexed="64"/>
      </patternFill>
    </fill>
    <fill>
      <patternFill patternType="solid">
        <fgColor rgb="FFE8E8E8"/>
        <bgColor indexed="64"/>
      </patternFill>
    </fill>
    <fill>
      <patternFill patternType="solid">
        <fgColor rgb="FF234B3B"/>
        <bgColor indexed="64"/>
      </patternFill>
    </fill>
    <fill>
      <patternFill patternType="solid">
        <fgColor rgb="FFE9F0EB"/>
        <bgColor indexed="64"/>
      </patternFill>
    </fill>
    <fill>
      <patternFill patternType="solid">
        <fgColor rgb="FFFFFFFF"/>
        <bgColor indexed="64"/>
      </patternFill>
    </fill>
    <fill>
      <patternFill patternType="solid">
        <fgColor rgb="FFF5F7F5"/>
        <bgColor indexed="64"/>
      </patternFill>
    </fill>
    <fill>
      <patternFill patternType="solid">
        <fgColor theme="1"/>
        <bgColor indexed="64"/>
      </patternFill>
    </fill>
    <fill>
      <patternFill patternType="solid">
        <fgColor theme="7" tint="0.799890133365886"/>
        <bgColor indexed="64"/>
      </patternFill>
    </fill>
    <fill>
      <patternFill patternType="solid">
        <fgColor theme="0"/>
        <bgColor indexed="64"/>
      </patternFill>
    </fill>
    <fill>
      <patternFill patternType="solid">
        <fgColor rgb="FFE8EDF8"/>
        <bgColor indexed="64"/>
      </patternFill>
    </fill>
    <fill>
      <patternFill patternType="solid">
        <fgColor rgb="FFB4C6E7"/>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0" tint="-0.149906918546098"/>
        <bgColor indexed="64"/>
      </patternFill>
    </fill>
    <fill>
      <patternFill patternType="solid">
        <fgColor rgb="FFEDF5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EAF0EB"/>
      </x:patternFill>
    </x:fill>
    <x:fill xmlns:x="http://schemas.openxmlformats.org/spreadsheetml/2006/main">
      <x:patternFill patternType="solid">
        <x:fgColor rgb="FFF6F8F6"/>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F4F7F4"/>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
      <patternFill patternType="solid">
        <fgColor rgb="FF000000"/>
        <bgColor indexed="64"/>
      </patternFill>
    </fill>
    <fill>
      <patternFill patternType="solid">
        <fgColor rgb="FFF5F6F8"/>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FFFFFF"/>
      </x:patternFill>
    </x:fill>
    <x:fill xmlns:x="http://schemas.openxmlformats.org/spreadsheetml/2006/main">
      <x:patternFill patternType="solid">
        <x:fgColor rgb="FF1F4D3A"/>
      </x:patternFill>
    </x:fill>
    <x:fill xmlns:x="http://schemas.openxmlformats.org/spreadsheetml/2006/main">
      <x:patternFill patternType="solid">
        <x:fgColor rgb="FFEDF5FC"/>
      </x:patternFill>
    </x:fill>
    <x:fill xmlns:x="http://schemas.openxmlformats.org/spreadsheetml/2006/main">
      <x:patternFill patternType="solid">
        <x:fgColor rgb="FFF4F5F7"/>
      </x:patternFill>
    </x:fill>
    <x:fill xmlns:x="http://schemas.openxmlformats.org/spreadsheetml/2006/main">
      <x:patternFill patternType="solid">
        <x:fgColor rgb="FFE8EDF8"/>
      </x:patternFill>
    </x:fill>
    <x:fill xmlns:x="http://schemas.openxmlformats.org/spreadsheetml/2006/main">
      <x:patternFill patternType="solid">
        <x:fgColor rgb="FF30343A"/>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
      <patternFill patternType="solid">
        <fgColor rgb="FF173F35"/>
        <bgColor indexed="64"/>
      </patternFill>
    </fill>
  </fills>
  <borders count="23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CFD8D3"/>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0" tint="-0.149876400036622"/>
      </bottom>
      <diagonal/>
    </border>
    <border>
      <left style="thin">
        <color theme="0"/>
      </left>
      <right style="thin">
        <color theme="0"/>
      </right>
      <top/>
      <bottom style="thin">
        <color theme="0" tint="-0.149876400036622"/>
      </bottom>
      <diagonal/>
    </border>
    <border>
      <left style="thin">
        <color theme="0" tint="-0.149876400036622"/>
      </left>
      <right style="thin">
        <color theme="0"/>
      </right>
      <top style="thin">
        <color theme="0" tint="-0.149876400036622"/>
      </top>
      <bottom style="thin">
        <color theme="0" tint="-0.149876400036622"/>
      </bottom>
      <diagonal/>
    </border>
    <border>
      <left style="thin">
        <color theme="0"/>
      </left>
      <right style="thin">
        <color theme="0"/>
      </right>
      <top style="thin">
        <color theme="0" tint="-0.149876400036622"/>
      </top>
      <bottom style="thin">
        <color theme="0" tint="-0.149876400036622"/>
      </bottom>
      <diagonal/>
    </border>
    <border>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tint="-0.149876400036622"/>
      </bottom>
      <diagonal/>
    </border>
    <border>
      <left style="thin">
        <color theme="0"/>
      </left>
      <right style="thin">
        <color theme="0"/>
      </right>
      <top/>
      <bottom/>
      <diagonal/>
    </border>
    <border>
      <left style="thin">
        <color theme="0"/>
      </left>
      <right style="thin">
        <color theme="0"/>
      </right>
      <top style="thin">
        <color auto="1"/>
      </top>
      <bottom/>
      <diagonal/>
    </border>
    <border>
      <left style="thin">
        <color theme="0"/>
      </left>
      <right/>
      <top style="thin">
        <color auto="1"/>
      </top>
      <bottom/>
      <diagonal/>
    </border>
    <border>
      <left/>
      <right/>
      <top style="thin">
        <color auto="1"/>
      </top>
      <bottom/>
      <diagonal/>
    </border>
    <border>
      <left/>
      <right style="thin">
        <color theme="0"/>
      </right>
      <top style="thin">
        <color auto="1"/>
      </top>
      <bottom/>
      <diagonal/>
    </border>
    <border>
      <left/>
      <right style="thin">
        <color theme="0"/>
      </right>
      <top/>
      <bottom/>
      <diagonal/>
    </border>
    <border>
      <left style="thin">
        <color theme="0"/>
      </left>
      <right style="dashed">
        <color theme="0" tint="-0.0499893185216834"/>
      </right>
      <top style="thin">
        <color auto="1"/>
      </top>
      <bottom/>
      <diagonal/>
    </border>
    <border>
      <left style="dashed">
        <color theme="0" tint="-0.0499893185216834"/>
      </left>
      <right style="dashed">
        <color theme="0" tint="-0.0499893185216834"/>
      </right>
      <top style="thin">
        <color auto="1"/>
      </top>
      <bottom/>
      <diagonal/>
    </border>
    <border>
      <left style="dashed">
        <color theme="0" tint="-0.0499893185216834"/>
      </left>
      <right style="thin">
        <color auto="1"/>
      </right>
      <top style="thin">
        <color auto="1"/>
      </top>
      <bottom/>
      <diagonal/>
    </border>
    <border>
      <left/>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right>
      <top style="thin">
        <color auto="1"/>
      </top>
      <bottom style="thin">
        <color auto="1"/>
      </bottom>
      <diagonal/>
    </border>
    <border>
      <left style="thin">
        <color auto="1"/>
      </left>
      <right style="thin">
        <color theme="0" tint="-0.149876400036622"/>
      </right>
      <top/>
      <bottom style="thin">
        <color theme="0" tint="-0.149876400036622"/>
      </bottom>
      <diagonal/>
    </border>
    <border>
      <left style="thin">
        <color theme="0" tint="-0.149876400036622"/>
      </left>
      <right style="thin">
        <color theme="0" tint="-0.149876400036622"/>
      </right>
      <top/>
      <bottom style="thin">
        <color theme="0" tint="-0.149876400036622"/>
      </bottom>
      <diagonal/>
    </border>
    <border>
      <left style="thin">
        <color theme="0" tint="-0.149876400036622"/>
      </left>
      <right style="thin">
        <color auto="1"/>
      </right>
      <top/>
      <bottom style="thin">
        <color theme="0" tint="-0.149876400036622"/>
      </bottom>
      <diagonal/>
    </border>
    <border>
      <left style="thin">
        <color theme="0" tint="-0.149876400036622"/>
      </left>
      <right style="thin">
        <color theme="0"/>
      </right>
      <top/>
      <bottom style="thin">
        <color theme="0" tint="-0.149876400036622"/>
      </bottom>
      <diagonal/>
    </border>
    <border>
      <left/>
      <right style="thin">
        <color theme="0" tint="-0.149876400036622"/>
      </right>
      <top/>
      <bottom style="thin">
        <color theme="0" tint="-0.149876400036622"/>
      </bottom>
      <diagonal/>
    </border>
    <border>
      <left style="thin">
        <color theme="0" tint="-0.149876400036622"/>
      </left>
      <right/>
      <top style="thin">
        <color auto="1"/>
      </top>
      <bottom style="thin">
        <color theme="0" tint="-0.149876400036622"/>
      </bottom>
      <diagonal/>
    </border>
    <border>
      <left/>
      <right/>
      <top style="thin">
        <color auto="1"/>
      </top>
      <bottom style="thin">
        <color theme="0" tint="-0.149876400036622"/>
      </bottom>
      <diagonal/>
    </border>
    <border>
      <left/>
      <right style="thin">
        <color auto="1"/>
      </right>
      <top style="thin">
        <color auto="1"/>
      </top>
      <bottom style="thin">
        <color theme="0" tint="-0.149876400036622"/>
      </bottom>
      <diagonal/>
    </border>
    <border>
      <left style="thin">
        <color theme="0" tint="-0.499984740745262"/>
      </left>
      <right/>
      <top/>
      <bottom/>
      <diagonal/>
    </border>
    <border>
      <left/>
      <right style="thin">
        <color theme="0" tint="-0.499984740745262"/>
      </right>
      <top/>
      <bottom/>
      <diagonal/>
    </border>
    <border>
      <left style="thin">
        <color rgb="FFC00000"/>
      </left>
      <right style="thin">
        <color theme="0" tint="-0.149876400036622"/>
      </right>
      <top style="thin">
        <color auto="1"/>
      </top>
      <bottom style="thin">
        <color theme="0" tint="-0.149876400036622"/>
      </bottom>
      <diagonal/>
    </border>
    <border>
      <left style="thin">
        <color theme="0" tint="-0.149876400036622"/>
      </left>
      <right style="thin">
        <color theme="0" tint="-0.149876400036622"/>
      </right>
      <top style="thin">
        <color auto="1"/>
      </top>
      <bottom style="thin">
        <color theme="0" tint="-0.149876400036622"/>
      </bottom>
      <diagonal/>
    </border>
    <border>
      <left style="thin">
        <color theme="0" tint="-0.149876400036622"/>
      </left>
      <right style="thin">
        <color rgb="FFC00000"/>
      </right>
      <top style="thin">
        <color auto="1"/>
      </top>
      <bottom style="thin">
        <color theme="0" tint="-0.149876400036622"/>
      </bottom>
      <diagonal/>
    </border>
    <border>
      <left style="thin">
        <color auto="1"/>
      </left>
      <right/>
      <top style="thin">
        <color auto="1"/>
      </top>
      <bottom/>
      <diagonal/>
    </border>
    <border>
      <left style="thin">
        <color theme="0" tint="-0.0499893185216834"/>
      </left>
      <right/>
      <top style="thin">
        <color auto="1"/>
      </top>
      <bottom/>
      <diagonal/>
    </border>
    <border>
      <left/>
      <right style="thin">
        <color auto="1"/>
      </right>
      <top style="thin">
        <color auto="1"/>
      </top>
      <bottom/>
      <diagonal/>
    </border>
    <border>
      <left style="thin">
        <color auto="1"/>
      </left>
      <right style="thin">
        <color theme="0" tint="-0.149876400036622"/>
      </right>
      <top style="thin">
        <color theme="0" tint="-0.149876400036622"/>
      </top>
      <bottom style="thin">
        <color theme="0" tint="-0.149876400036622"/>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876400036622"/>
      </left>
      <right/>
      <top style="thin">
        <color theme="0" tint="-0.149876400036622"/>
      </top>
      <bottom style="thin">
        <color theme="0" tint="-0.149876400036622"/>
      </bottom>
      <diagonal/>
    </border>
    <border>
      <left/>
      <right/>
      <top style="thin">
        <color theme="0" tint="-0.149876400036622"/>
      </top>
      <bottom style="thin">
        <color theme="0" tint="-0.149876400036622"/>
      </bottom>
      <diagonal/>
    </border>
    <border>
      <left/>
      <right style="thin">
        <color auto="1"/>
      </right>
      <top style="thin">
        <color theme="0" tint="-0.149876400036622"/>
      </top>
      <bottom style="thin">
        <color theme="0" tint="-0.149876400036622"/>
      </bottom>
      <diagonal/>
    </border>
    <border>
      <left/>
      <right style="thin">
        <color theme="0" tint="-0.149876400036622"/>
      </right>
      <top style="thin">
        <color theme="0" tint="-0.149876400036622"/>
      </top>
      <bottom style="thin">
        <color theme="0" tint="-0.149876400036622"/>
      </bottom>
      <diagonal/>
    </border>
    <border>
      <left style="thin">
        <color rgb="FFC00000"/>
      </left>
      <right style="thin">
        <color theme="0" tint="-0.149876400036622"/>
      </right>
      <top style="thin">
        <color theme="0" tint="-0.149876400036622"/>
      </top>
      <bottom style="thin">
        <color theme="0" tint="-0.149876400036622"/>
      </bottom>
      <diagonal/>
    </border>
    <border>
      <left style="thin">
        <color theme="0" tint="-0.149876400036622"/>
      </left>
      <right style="thin">
        <color rgb="FFC00000"/>
      </right>
      <top style="thin">
        <color theme="0" tint="-0.149876400036622"/>
      </top>
      <bottom style="thin">
        <color theme="0" tint="-0.149876400036622"/>
      </bottom>
      <diagonal/>
    </border>
    <border>
      <left style="thin">
        <color auto="1"/>
      </left>
      <right/>
      <top/>
      <bottom/>
      <diagonal/>
    </border>
    <border>
      <left style="thin">
        <color theme="0" tint="-0.0499893185216834"/>
      </left>
      <right/>
      <top/>
      <bottom/>
      <diagonal/>
    </border>
    <border>
      <left/>
      <right style="thin">
        <color auto="1"/>
      </right>
      <top/>
      <bottom/>
      <diagonal/>
    </border>
    <border>
      <left style="thin">
        <color theme="0" tint="-0.149876400036622"/>
      </left>
      <right style="thin">
        <color auto="1"/>
      </right>
      <top style="thin">
        <color theme="0" tint="-0.149876400036622"/>
      </top>
      <bottom style="thin">
        <color theme="0" tint="-0.149876400036622"/>
      </bottom>
      <diagonal/>
    </border>
    <border>
      <left style="thin">
        <color auto="1"/>
      </left>
      <right style="thin">
        <color theme="0" tint="-0.149876400036622"/>
      </right>
      <top style="thin">
        <color theme="0" tint="-0.149876400036622"/>
      </top>
      <bottom style="thin">
        <color auto="1"/>
      </bottom>
      <diagonal/>
    </border>
    <border>
      <left style="thin">
        <color theme="0" tint="-0.149876400036622"/>
      </left>
      <right style="thin">
        <color theme="0" tint="-0.149876400036622"/>
      </right>
      <top style="thin">
        <color theme="0" tint="-0.149876400036622"/>
      </top>
      <bottom style="thin">
        <color auto="1"/>
      </bottom>
      <diagonal/>
    </border>
    <border>
      <left style="thin">
        <color theme="0" tint="-0.149876400036622"/>
      </left>
      <right/>
      <top style="thin">
        <color theme="0" tint="-0.149876400036622"/>
      </top>
      <bottom style="thin">
        <color auto="1"/>
      </bottom>
      <diagonal/>
    </border>
    <border>
      <left/>
      <right/>
      <top style="thin">
        <color theme="0" tint="-0.149876400036622"/>
      </top>
      <bottom style="thin">
        <color auto="1"/>
      </bottom>
      <diagonal/>
    </border>
    <border>
      <left/>
      <right style="thin">
        <color auto="1"/>
      </right>
      <top style="thin">
        <color theme="0" tint="-0.149876400036622"/>
      </top>
      <bottom style="thin">
        <color auto="1"/>
      </bottom>
      <diagonal/>
    </border>
    <border>
      <left style="thin">
        <color auto="1"/>
      </left>
      <right style="thin">
        <color auto="1"/>
      </right>
      <top style="thin">
        <color theme="0"/>
      </top>
      <bottom style="thin">
        <color theme="0"/>
      </bottom>
      <diagonal/>
    </border>
    <border>
      <left/>
      <right style="thin">
        <color theme="0" tint="-0.149876400036622"/>
      </right>
      <top style="thin">
        <color theme="0" tint="-0.149876400036622"/>
      </top>
      <bottom style="thin">
        <color auto="1"/>
      </bottom>
      <diagonal/>
    </border>
    <border>
      <left style="thin">
        <color theme="0"/>
      </left>
      <right/>
      <top style="thin">
        <color auto="1"/>
      </top>
      <bottom style="thin">
        <color auto="1"/>
      </bottom>
      <diagonal/>
    </border>
    <border>
      <left/>
      <right style="thin">
        <color theme="0"/>
      </right>
      <top/>
      <bottom style="thin">
        <color auto="1"/>
      </bottom>
      <diagonal/>
    </border>
    <border>
      <left style="thin">
        <color theme="0"/>
      </left>
      <right style="thin">
        <color theme="0"/>
      </right>
      <top style="thin">
        <color auto="1"/>
      </top>
      <bottom style="thin">
        <color auto="1"/>
      </bottom>
      <diagonal/>
    </border>
    <border>
      <left style="thin">
        <color theme="0"/>
      </left>
      <right/>
      <top/>
      <bottom style="thin">
        <color theme="0"/>
      </bottom>
      <diagonal/>
    </border>
    <border>
      <left/>
      <right style="thin">
        <color rgb="FFE8EDF8"/>
      </right>
      <top style="thin">
        <color auto="1"/>
      </top>
      <bottom/>
      <diagonal/>
    </border>
    <border>
      <left style="thin">
        <color rgb="FFE8EDF8"/>
      </left>
      <right/>
      <top style="thin">
        <color auto="1"/>
      </top>
      <bottom/>
      <diagonal/>
    </border>
    <border>
      <left/>
      <right style="double">
        <color theme="0" tint="-0.499984740745262"/>
      </right>
      <top style="thin">
        <color auto="1"/>
      </top>
      <bottom/>
      <diagonal/>
    </border>
    <border>
      <left style="double">
        <color theme="0" tint="-0.499984740745262"/>
      </left>
      <right/>
      <top style="thin">
        <color auto="1"/>
      </top>
      <bottom/>
      <diagonal/>
    </border>
    <border>
      <left/>
      <right style="thin">
        <color rgb="FFB4C6E7"/>
      </right>
      <top style="thin">
        <color auto="1"/>
      </top>
      <bottom/>
      <diagonal/>
    </border>
    <border>
      <left style="thin">
        <color rgb="FFB4C6E7"/>
      </left>
      <right/>
      <top style="thin">
        <color auto="1"/>
      </top>
      <bottom/>
      <diagonal/>
    </border>
    <border>
      <left/>
      <right style="double">
        <color theme="1"/>
      </right>
      <top style="thin">
        <color auto="1"/>
      </top>
      <bottom/>
      <diagonal/>
    </border>
    <border>
      <left style="double">
        <color theme="1"/>
      </left>
      <right/>
      <top style="thin">
        <color auto="1"/>
      </top>
      <bottom/>
      <diagonal/>
    </border>
    <border>
      <left/>
      <right style="double">
        <color auto="1"/>
      </right>
      <top style="thin">
        <color auto="1"/>
      </top>
      <bottom/>
      <diagonal/>
    </border>
    <border>
      <left/>
      <right style="thin">
        <color theme="0" tint="-0.149876400036622"/>
      </right>
      <top style="thin">
        <color auto="1"/>
      </top>
      <bottom style="thin">
        <color theme="0" tint="-0.499984740745262"/>
      </bottom>
      <diagonal/>
    </border>
    <border>
      <left style="thin">
        <color theme="0" tint="-0.149876400036622"/>
      </left>
      <right style="thin">
        <color theme="0" tint="-0.149876400036622"/>
      </right>
      <top style="thin">
        <color auto="1"/>
      </top>
      <bottom style="thin">
        <color theme="0" tint="-0.499984740745262"/>
      </bottom>
      <diagonal/>
    </border>
    <border>
      <left style="thin">
        <color theme="0" tint="-0.149876400036622"/>
      </left>
      <right style="thin">
        <color auto="1"/>
      </right>
      <top style="thin">
        <color auto="1"/>
      </top>
      <bottom style="thin">
        <color theme="0" tint="-0.499984740745262"/>
      </bottom>
      <diagonal/>
    </border>
    <border>
      <left style="thin">
        <color auto="1"/>
      </left>
      <right/>
      <top/>
      <bottom style="thin">
        <color auto="1"/>
      </bottom>
      <diagonal/>
    </border>
    <border>
      <left/>
      <right/>
      <top/>
      <bottom style="thin">
        <color auto="1"/>
      </bottom>
      <diagonal/>
    </border>
    <border>
      <left/>
      <right style="thin">
        <color rgb="FFE8EDF8"/>
      </right>
      <top/>
      <bottom style="thin">
        <color auto="1"/>
      </bottom>
      <diagonal/>
    </border>
    <border>
      <left style="thin">
        <color rgb="FFE8EDF8"/>
      </left>
      <right/>
      <top/>
      <bottom style="thin">
        <color auto="1"/>
      </bottom>
      <diagonal/>
    </border>
    <border>
      <left/>
      <right style="double">
        <color theme="0" tint="-0.499984740745262"/>
      </right>
      <top/>
      <bottom style="thin">
        <color auto="1"/>
      </bottom>
      <diagonal/>
    </border>
    <border>
      <left style="double">
        <color theme="0" tint="-0.499984740745262"/>
      </left>
      <right/>
      <top/>
      <bottom style="thin">
        <color auto="1"/>
      </bottom>
      <diagonal/>
    </border>
    <border>
      <left/>
      <right style="thin">
        <color rgb="FFB4C6E7"/>
      </right>
      <top/>
      <bottom style="thin">
        <color auto="1"/>
      </bottom>
      <diagonal/>
    </border>
    <border>
      <left style="thin">
        <color rgb="FFB4C6E7"/>
      </left>
      <right/>
      <top/>
      <bottom style="thin">
        <color auto="1"/>
      </bottom>
      <diagonal/>
    </border>
    <border>
      <left/>
      <right style="double">
        <color theme="1"/>
      </right>
      <top/>
      <bottom style="thin">
        <color auto="1"/>
      </bottom>
      <diagonal/>
    </border>
    <border>
      <left style="double">
        <color theme="1"/>
      </left>
      <right/>
      <top/>
      <bottom style="thin">
        <color auto="1"/>
      </bottom>
      <diagonal/>
    </border>
    <border>
      <left/>
      <right style="double">
        <color auto="1"/>
      </right>
      <top/>
      <bottom style="thin">
        <color auto="1"/>
      </bottom>
      <diagonal/>
    </border>
    <border>
      <left/>
      <right style="thin">
        <color theme="0" tint="-0.149876400036622"/>
      </right>
      <top style="thin">
        <color theme="0" tint="-0.499984740745262"/>
      </top>
      <bottom style="thin">
        <color auto="1"/>
      </bottom>
      <diagonal/>
    </border>
    <border>
      <left style="thin">
        <color theme="0" tint="-0.149876400036622"/>
      </left>
      <right style="thin">
        <color theme="0" tint="-0.149876400036622"/>
      </right>
      <top style="thin">
        <color theme="0" tint="-0.499984740745262"/>
      </top>
      <bottom style="thin">
        <color auto="1"/>
      </bottom>
      <diagonal/>
    </border>
    <border>
      <left style="thin">
        <color theme="0" tint="-0.149876400036622"/>
      </left>
      <right style="thin">
        <color auto="1"/>
      </right>
      <top style="thin">
        <color theme="0" tint="-0.499984740745262"/>
      </top>
      <bottom style="thin">
        <color auto="1"/>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C00000"/>
      </left>
      <right style="thin">
        <color theme="0" tint="-0.149876400036622"/>
      </right>
      <top style="thin">
        <color theme="0" tint="-0.149876400036622"/>
      </top>
      <bottom style="thin">
        <color rgb="FFC00000"/>
      </bottom>
      <diagonal/>
    </border>
    <border>
      <left style="thin">
        <color theme="0" tint="-0.149876400036622"/>
      </left>
      <right style="thin">
        <color theme="0" tint="-0.149876400036622"/>
      </right>
      <top style="thin">
        <color theme="0" tint="-0.149876400036622"/>
      </top>
      <bottom style="thin">
        <color rgb="FFC00000"/>
      </bottom>
      <diagonal/>
    </border>
    <border>
      <left style="thin">
        <color theme="0" tint="-0.149876400036622"/>
      </left>
      <right style="thin">
        <color rgb="FFC00000"/>
      </right>
      <top style="thin">
        <color theme="0" tint="-0.149876400036622"/>
      </top>
      <bottom style="thin">
        <color rgb="FFC00000"/>
      </bottom>
      <diagonal/>
    </border>
    <border>
      <left style="thin">
        <color theme="0" tint="-0.0499893185216834"/>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theme="0" tint="-0.149876400036622"/>
      </right>
      <top style="thin">
        <color auto="1"/>
      </top>
      <bottom style="thin">
        <color theme="0" tint="-0.149876400036622"/>
      </bottom>
      <diagonal/>
    </border>
    <border>
      <left style="thin">
        <color theme="0" tint="-0.149876400036622"/>
      </left>
      <right style="double">
        <color theme="0" tint="-0.499984740745262"/>
      </right>
      <top style="thin">
        <color auto="1"/>
      </top>
      <bottom style="thin">
        <color theme="0" tint="-0.149876400036622"/>
      </bottom>
      <diagonal/>
    </border>
    <border>
      <left style="double">
        <color theme="0" tint="-0.499984740745262"/>
      </left>
      <right style="thin">
        <color theme="0" tint="-0.149876400036622"/>
      </right>
      <top style="thin">
        <color auto="1"/>
      </top>
      <bottom style="thin">
        <color theme="0" tint="-0.149876400036622"/>
      </bottom>
      <diagonal/>
    </border>
    <border>
      <left style="thin">
        <color theme="0" tint="-0.149876400036622"/>
      </left>
      <right style="thin">
        <color theme="1"/>
      </right>
      <top style="thin">
        <color auto="1"/>
      </top>
      <bottom style="thin">
        <color theme="0" tint="-0.149876400036622"/>
      </bottom>
      <diagonal/>
    </border>
    <border>
      <left style="thin">
        <color theme="0" tint="-0.149876400036622"/>
      </left>
      <right style="thin">
        <color auto="1"/>
      </right>
      <top style="thin">
        <color auto="1"/>
      </top>
      <bottom style="thin">
        <color theme="0" tint="-0.149876400036622"/>
      </bottom>
      <diagonal/>
    </border>
    <border>
      <left style="thin">
        <color theme="1"/>
      </left>
      <right style="thin">
        <color theme="0" tint="-0.149876400036622"/>
      </right>
      <top style="thin">
        <color theme="1"/>
      </top>
      <bottom style="thin">
        <color theme="0" tint="-0.149876400036622"/>
      </bottom>
      <diagonal/>
    </border>
    <border>
      <left style="thin">
        <color theme="0" tint="-0.149876400036622"/>
      </left>
      <right style="thin">
        <color theme="0" tint="-0.149876400036622"/>
      </right>
      <top style="thin">
        <color theme="1"/>
      </top>
      <bottom style="thin">
        <color theme="0" tint="-0.149876400036622"/>
      </bottom>
      <diagonal/>
    </border>
    <border>
      <left style="thin">
        <color theme="0" tint="-0.149876400036622"/>
      </left>
      <right style="thin">
        <color theme="1"/>
      </right>
      <top style="thin">
        <color theme="1"/>
      </top>
      <bottom style="thin">
        <color theme="0" tint="-0.149876400036622"/>
      </bottom>
      <diagonal/>
    </border>
    <border>
      <left style="thin">
        <color theme="0" tint="-0.149876400036622"/>
      </left>
      <right style="double">
        <color theme="0" tint="-0.499984740745262"/>
      </right>
      <top style="thin">
        <color theme="0" tint="-0.149876400036622"/>
      </top>
      <bottom style="thin">
        <color theme="0" tint="-0.149876400036622"/>
      </bottom>
      <diagonal/>
    </border>
    <border>
      <left style="double">
        <color theme="0" tint="-0.499984740745262"/>
      </left>
      <right style="thin">
        <color theme="0" tint="-0.149876400036622"/>
      </right>
      <top style="thin">
        <color theme="0" tint="-0.149876400036622"/>
      </top>
      <bottom style="thin">
        <color theme="0" tint="-0.149876400036622"/>
      </bottom>
      <diagonal/>
    </border>
    <border>
      <left style="thin">
        <color theme="0" tint="-0.149876400036622"/>
      </left>
      <right style="thin">
        <color theme="1"/>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0" tint="-0.149876400036622"/>
      </bottom>
      <diagonal/>
    </border>
    <border>
      <left style="thin">
        <color theme="1"/>
      </left>
      <right style="thin">
        <color theme="0"/>
      </right>
      <top style="thin">
        <color theme="0"/>
      </top>
      <bottom style="thin">
        <color theme="0"/>
      </bottom>
      <diagonal/>
    </border>
    <border>
      <left style="thin">
        <color theme="0"/>
      </left>
      <right style="thin">
        <color theme="0" tint="-0.149876400036622"/>
      </right>
      <top style="thin">
        <color theme="0" tint="-0.149876400036622"/>
      </top>
      <bottom style="thin">
        <color theme="0" tint="-0.149876400036622"/>
      </bottom>
      <diagonal/>
    </border>
    <border>
      <left style="thin">
        <color theme="0" tint="-0.149876400036622"/>
      </left>
      <right style="thin">
        <color rgb="FFE8EDF8"/>
      </right>
      <top style="thin">
        <color theme="0" tint="-0.149876400036622"/>
      </top>
      <bottom style="thin">
        <color theme="0" tint="-0.149876400036622"/>
      </bottom>
      <diagonal/>
    </border>
    <border>
      <left style="thin">
        <color rgb="FFE8EDF8"/>
      </left>
      <right style="thin">
        <color rgb="FFE8EDF8"/>
      </right>
      <top style="thin">
        <color theme="0" tint="-0.149876400036622"/>
      </top>
      <bottom style="thin">
        <color theme="0" tint="-0.149876400036622"/>
      </bottom>
      <diagonal/>
    </border>
    <border>
      <left style="thin">
        <color rgb="FFE8EDF8"/>
      </left>
      <right style="thin">
        <color theme="0" tint="-0.149876400036622"/>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1"/>
      </bottom>
      <diagonal/>
    </border>
    <border>
      <left style="thin">
        <color theme="0" tint="-0.149876400036622"/>
      </left>
      <right style="thin">
        <color theme="0" tint="-0.149876400036622"/>
      </right>
      <top style="thin">
        <color theme="0" tint="-0.149876400036622"/>
      </top>
      <bottom style="thin">
        <color theme="1"/>
      </bottom>
      <diagonal/>
    </border>
    <border>
      <left style="thin">
        <color theme="0" tint="-0.149876400036622"/>
      </left>
      <right style="thin">
        <color theme="1"/>
      </right>
      <top style="thin">
        <color theme="0" tint="-0.149876400036622"/>
      </top>
      <bottom style="thin">
        <color theme="1"/>
      </bottom>
      <diagonal/>
    </border>
    <border>
      <left style="thin">
        <color theme="1"/>
      </left>
      <right style="thin">
        <color theme="0" tint="-0.149876400036622"/>
      </right>
      <top style="thin">
        <color auto="1"/>
      </top>
      <bottom style="thin">
        <color theme="0" tint="-0.149876400036622"/>
      </bottom>
      <diagonal/>
    </border>
    <border>
      <left style="thin">
        <color theme="0" tint="-0.149876400036622"/>
      </left>
      <right/>
      <top style="thin">
        <color theme="0" tint="-0.149876400036622"/>
      </top>
      <bottom/>
      <diagonal/>
    </border>
    <border>
      <left/>
      <right style="thin">
        <color theme="0" tint="-0.149876400036622"/>
      </right>
      <top style="thin">
        <color theme="0" tint="-0.149876400036622"/>
      </top>
      <bottom/>
      <diagonal/>
    </border>
    <border>
      <left style="thin">
        <color theme="0" tint="-0.149876400036622"/>
      </left>
      <right/>
      <top/>
      <bottom style="thin">
        <color theme="0" tint="-0.149876400036622"/>
      </bottom>
      <diagonal/>
    </border>
    <border>
      <left style="thin">
        <color auto="1"/>
      </left>
      <right style="thin">
        <color theme="0" tint="-0.149876400036622"/>
      </right>
      <top style="thin">
        <color theme="0" tint="-0.149876400036622"/>
      </top>
      <bottom style="thin">
        <color theme="1"/>
      </bottom>
      <diagonal/>
    </border>
    <border>
      <left style="thin">
        <color theme="0" tint="-0.149876400036622"/>
      </left>
      <right style="double">
        <color theme="0" tint="-0.499984740745262"/>
      </right>
      <top style="thin">
        <color theme="0" tint="-0.149876400036622"/>
      </top>
      <bottom style="thin">
        <color theme="1"/>
      </bottom>
      <diagonal/>
    </border>
    <border>
      <left style="double">
        <color theme="0" tint="-0.499984740745262"/>
      </left>
      <right style="thin">
        <color theme="0" tint="-0.149876400036622"/>
      </right>
      <top style="thin">
        <color theme="0" tint="-0.149876400036622"/>
      </top>
      <bottom style="thin">
        <color theme="1"/>
      </bottom>
      <diagonal/>
    </border>
    <border>
      <left style="thin">
        <color theme="0" tint="-0.149876400036622"/>
      </left>
      <right style="thin">
        <color auto="1"/>
      </right>
      <top style="thin">
        <color theme="0" tint="-0.149876400036622"/>
      </top>
      <bottom style="thin">
        <color auto="1"/>
      </bottom>
      <diagonal/>
    </border>
    <border>
      <left style="thin">
        <color theme="1"/>
      </left>
      <right style="thin">
        <color theme="0" tint="-0.149876400036622"/>
      </right>
      <top style="thin">
        <color theme="0" tint="-0.149876400036622"/>
      </top>
      <bottom style="thin">
        <color auto="1"/>
      </bottom>
      <diagonal/>
    </border>
    <border>
      <left style="thin">
        <color theme="0" tint="-0.149876400036622"/>
      </left>
      <right/>
      <top/>
      <bottom style="thin">
        <color auto="1"/>
      </bottom>
      <diagonal/>
    </border>
    <border>
      <left/>
      <right style="thin">
        <color theme="0" tint="-0.149876400036622"/>
      </right>
      <top/>
      <bottom style="thin">
        <color auto="1"/>
      </bottom>
      <diagonal/>
    </border>
    <border>
      <left style="thin">
        <color theme="0"/>
      </left>
      <right style="thin">
        <color theme="0"/>
      </right>
      <top style="thin">
        <color theme="0"/>
      </top>
      <bottom/>
      <diagonal/>
    </border>
    <border>
      <left/>
      <right style="thin">
        <color theme="1" tint="0.499984740745262"/>
      </right>
      <top style="thin">
        <color auto="1"/>
      </top>
      <bottom style="thin">
        <color auto="1"/>
      </bottom>
      <diagonal/>
    </border>
    <border>
      <left style="thin">
        <color theme="1" tint="0.499984740745262"/>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tint="0.499984740745262"/>
      </right>
      <top style="thin">
        <color theme="1"/>
      </top>
      <bottom style="thin">
        <color theme="1"/>
      </bottom>
      <diagonal/>
    </border>
    <border>
      <left style="thin">
        <color theme="1" tint="0.499984740745262"/>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theme="0"/>
      </right>
      <top style="thin">
        <color theme="1"/>
      </top>
      <bottom style="thin">
        <color auto="1"/>
      </bottom>
      <diagonal/>
    </border>
    <border>
      <left style="thin">
        <color theme="0"/>
      </left>
      <right style="thin">
        <color theme="0"/>
      </right>
      <top style="thin">
        <color theme="1"/>
      </top>
      <bottom style="thin">
        <color auto="1"/>
      </bottom>
      <diagonal/>
    </border>
    <border>
      <left style="thin">
        <color theme="0"/>
      </left>
      <right style="thin">
        <color theme="1"/>
      </right>
      <top style="thin">
        <color theme="1"/>
      </top>
      <bottom style="thin">
        <color auto="1"/>
      </bottom>
      <diagonal/>
    </border>
    <border>
      <left/>
      <right style="thin">
        <color theme="0" tint="-0.149876400036622"/>
      </right>
      <top style="thin">
        <color auto="1"/>
      </top>
      <bottom style="thin">
        <color auto="1"/>
      </bottom>
      <diagonal/>
    </border>
    <border>
      <left/>
      <right/>
      <top/>
      <bottom style="thin">
        <color theme="0"/>
      </bottom>
      <diagonal/>
    </border>
    <border>
      <left style="thin">
        <color theme="0"/>
      </left>
      <right style="thin">
        <color theme="1"/>
      </right>
      <top/>
      <bottom style="thin">
        <color theme="0"/>
      </bottom>
      <diagonal/>
    </border>
    <border>
      <left/>
      <right/>
      <top style="thin">
        <color auto="1"/>
      </top>
      <bottom style="thin">
        <color theme="0"/>
      </bottom>
      <diagonal/>
    </border>
    <border>
      <left/>
      <right style="thin">
        <color theme="1"/>
      </right>
      <top style="thin">
        <color auto="1"/>
      </top>
      <bottom style="thin">
        <color theme="0"/>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theme="0"/>
      </left>
      <right style="thin">
        <color theme="1"/>
      </right>
      <top style="thin">
        <color theme="0"/>
      </top>
      <bottom style="thin">
        <color theme="0"/>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theme="1"/>
      </left>
      <right style="medium">
        <color theme="1"/>
      </right>
      <top style="medium">
        <color theme="1"/>
      </top>
      <bottom style="medium">
        <color theme="1"/>
      </bottom>
      <diagonal/>
    </border>
    <x:border xmlns:x="http://schemas.openxmlformats.org/spreadsheetml/2006/main"/>
    <x:border xmlns:x="http://schemas.openxmlformats.org/spreadsheetml/2006/main">
      <x:bottom style="thin">
        <x:color rgb="FFD2DBD4"/>
      </x:bottom>
    </x: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x:border xmlns:x="http://schemas.openxmlformats.org/spreadsheetml/2006/main"/>
    <x:border xmlns:x="http://schemas.openxmlformats.org/spreadsheetml/2006/main">
      <x:bottom style="thin">
        <x:color rgb="FFD2DBD4"/>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bottom style="thin">
        <x:color rgb="FFD3DAE2"/>
      </x:bottom>
    </x:border>
    <x:border xmlns:x="http://schemas.openxmlformats.org/spreadsheetml/2006/main">
      <x:left style="thin">
        <x:color rgb="FFA6B8CC"/>
      </x:left>
      <x:right style="thin">
        <x:color rgb="FFA6B8CC"/>
      </x:right>
      <x:top style="thin">
        <x:color rgb="FFA6B8CC"/>
      </x:top>
      <x:bottom style="thin">
        <x:color rgb="FFA6B8CC"/>
      </x:bottom>
    </x:border>
    <x:border xmlns:x="http://schemas.openxmlformats.org/spreadsheetml/2006/main">
      <x:left style="thin">
        <x:color rgb="FFD3DAE2"/>
      </x:left>
      <x:right style="thin">
        <x:color rgb="FFD3DAE2"/>
      </x:right>
      <x:top style="thin">
        <x:color rgb="FFD3DAE2"/>
      </x:top>
      <x:bottom style="thin">
        <x:color rgb="FFD3DAE2"/>
      </x:bottom>
    </x:border>
    <x:border xmlns:x="http://schemas.openxmlformats.org/spreadsheetml/2006/main">
      <x:left style="thin">
        <x:color rgb="FFFFFFFF"/>
      </x:left>
      <x:right style="thin">
        <x:color rgb="FFFFFFFF"/>
      </x:right>
      <x:top style="thin">
        <x:color rgb="FFFFFFFF"/>
      </x:top>
      <x:bottom style="thin">
        <x:color rgb="FFFFFFFF"/>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s>
  <cellStyleXfs count="6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51" fillId="0" borderId="0" applyNumberFormat="0" applyFill="0" applyBorder="0" applyAlignment="0" applyProtection="0">
      <alignment vertical="center"/>
    </xf>
    <xf numFmtId="0" fontId="0" fillId="17" borderId="180"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81" applyNumberFormat="0" applyFill="0" applyAlignment="0" applyProtection="0">
      <alignment vertical="center"/>
    </xf>
    <xf numFmtId="0" fontId="56" fillId="0" borderId="181" applyNumberFormat="0" applyFill="0" applyAlignment="0" applyProtection="0">
      <alignment vertical="center"/>
    </xf>
    <xf numFmtId="0" fontId="57" fillId="0" borderId="182" applyNumberFormat="0" applyFill="0" applyAlignment="0" applyProtection="0">
      <alignment vertical="center"/>
    </xf>
    <xf numFmtId="0" fontId="57" fillId="0" borderId="0" applyNumberFormat="0" applyFill="0" applyBorder="0" applyAlignment="0" applyProtection="0">
      <alignment vertical="center"/>
    </xf>
    <xf numFmtId="0" fontId="58" fillId="18" borderId="183" applyNumberFormat="0" applyAlignment="0" applyProtection="0">
      <alignment vertical="center"/>
    </xf>
    <xf numFmtId="0" fontId="59" fillId="19" borderId="184" applyNumberFormat="0" applyAlignment="0" applyProtection="0">
      <alignment vertical="center"/>
    </xf>
    <xf numFmtId="0" fontId="60" fillId="19" borderId="183" applyNumberFormat="0" applyAlignment="0" applyProtection="0">
      <alignment vertical="center"/>
    </xf>
    <xf numFmtId="0" fontId="61" fillId="20" borderId="185" applyNumberFormat="0" applyAlignment="0" applyProtection="0">
      <alignment vertical="center"/>
    </xf>
    <xf numFmtId="0" fontId="62" fillId="0" borderId="186" applyNumberFormat="0" applyFill="0" applyAlignment="0" applyProtection="0">
      <alignment vertical="center"/>
    </xf>
    <xf numFmtId="0" fontId="63" fillId="0" borderId="187" applyNumberFormat="0" applyFill="0" applyAlignment="0" applyProtection="0">
      <alignment vertical="center"/>
    </xf>
    <xf numFmtId="0" fontId="64" fillId="21" borderId="0" applyNumberFormat="0" applyBorder="0" applyAlignment="0" applyProtection="0">
      <alignment vertical="center"/>
    </xf>
    <xf numFmtId="0" fontId="65" fillId="22" borderId="0" applyNumberFormat="0" applyBorder="0" applyAlignment="0" applyProtection="0">
      <alignment vertical="center"/>
    </xf>
    <xf numFmtId="0" fontId="66" fillId="23" borderId="0" applyNumberFormat="0" applyBorder="0" applyAlignment="0" applyProtection="0">
      <alignment vertical="center"/>
    </xf>
    <xf numFmtId="0" fontId="67" fillId="24" borderId="0" applyNumberFormat="0" applyBorder="0" applyAlignment="0" applyProtection="0">
      <alignment vertical="center"/>
    </xf>
    <xf numFmtId="0" fontId="68" fillId="25" borderId="0" applyNumberFormat="0" applyBorder="0" applyAlignment="0" applyProtection="0">
      <alignment vertical="center"/>
    </xf>
    <xf numFmtId="0" fontId="68" fillId="13" borderId="0" applyNumberFormat="0" applyBorder="0" applyAlignment="0" applyProtection="0">
      <alignment vertical="center"/>
    </xf>
    <xf numFmtId="0" fontId="67" fillId="26" borderId="0" applyNumberFormat="0" applyBorder="0" applyAlignment="0" applyProtection="0">
      <alignment vertical="center"/>
    </xf>
    <xf numFmtId="0" fontId="67" fillId="27" borderId="0" applyNumberFormat="0" applyBorder="0" applyAlignment="0" applyProtection="0">
      <alignment vertical="center"/>
    </xf>
    <xf numFmtId="0" fontId="68" fillId="28" borderId="0" applyNumberFormat="0" applyBorder="0" applyAlignment="0" applyProtection="0">
      <alignment vertical="center"/>
    </xf>
    <xf numFmtId="0" fontId="68" fillId="29"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8" fillId="32" borderId="0" applyNumberFormat="0" applyBorder="0" applyAlignment="0" applyProtection="0">
      <alignment vertical="center"/>
    </xf>
    <xf numFmtId="0" fontId="68" fillId="33"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8" fillId="36" borderId="0" applyNumberFormat="0" applyBorder="0" applyAlignment="0" applyProtection="0">
      <alignment vertical="center"/>
    </xf>
    <xf numFmtId="0" fontId="68" fillId="37" borderId="0" applyNumberFormat="0" applyBorder="0" applyAlignment="0" applyProtection="0">
      <alignment vertical="center"/>
    </xf>
    <xf numFmtId="0" fontId="67" fillId="38" borderId="0" applyNumberFormat="0" applyBorder="0" applyAlignment="0" applyProtection="0">
      <alignment vertical="center"/>
    </xf>
    <xf numFmtId="0" fontId="67" fillId="39" borderId="0" applyNumberFormat="0" applyBorder="0" applyAlignment="0" applyProtection="0">
      <alignment vertical="center"/>
    </xf>
    <xf numFmtId="0" fontId="68" fillId="40" borderId="0" applyNumberFormat="0" applyBorder="0" applyAlignment="0" applyProtection="0">
      <alignment vertical="center"/>
    </xf>
    <xf numFmtId="0" fontId="68" fillId="41" borderId="0" applyNumberFormat="0" applyBorder="0" applyAlignment="0" applyProtection="0">
      <alignment vertical="center"/>
    </xf>
    <xf numFmtId="0" fontId="67" fillId="42" borderId="0" applyNumberFormat="0" applyBorder="0" applyAlignment="0" applyProtection="0">
      <alignment vertical="center"/>
    </xf>
    <xf numFmtId="0" fontId="67" fillId="43" borderId="0" applyNumberFormat="0" applyBorder="0" applyAlignment="0" applyProtection="0">
      <alignment vertical="center"/>
    </xf>
    <xf numFmtId="0" fontId="68" fillId="44" borderId="0" applyNumberFormat="0" applyBorder="0" applyAlignment="0" applyProtection="0">
      <alignment vertical="center"/>
    </xf>
    <xf numFmtId="0" fontId="68" fillId="45" borderId="0" applyNumberFormat="0" applyBorder="0" applyAlignment="0" applyProtection="0">
      <alignment vertical="center"/>
    </xf>
    <xf numFmtId="0" fontId="67" fillId="46" borderId="0" applyNumberFormat="0" applyBorder="0" applyAlignment="0" applyProtection="0">
      <alignment vertical="center"/>
    </xf>
    <xf numFmtId="0" fontId="0" fillId="0" borderId="0"/>
    <xf numFmtId="0" fontId="69" fillId="8" borderId="0" applyBorder="0">
      <alignment horizontal="center"/>
    </xf>
    <xf numFmtId="0" fontId="70" fillId="8" borderId="0" applyBorder="0">
      <alignment horizontal="center"/>
    </xf>
    <xf numFmtId="0" fontId="69" fillId="0" borderId="188" applyNumberFormat="0" applyFont="0" applyFill="0" applyAlignment="0" applyProtection="0">
      <alignment horizontal="left"/>
    </xf>
    <x:xf xmlns:x="http://schemas.openxmlformats.org/spreadsheetml/2006/main" numFmtId="0" fontId="74" fillId="47" borderId="189"/>
    <x:xf xmlns:x="http://schemas.openxmlformats.org/spreadsheetml/2006/main" numFmtId="0" fontId="103" fillId="52" borderId="213"/>
    <x:xf xmlns:x="http://schemas.openxmlformats.org/spreadsheetml/2006/main" numFmtId="0" fontId="111" fillId="56" borderId="215"/>
    <x:xf xmlns:x="http://schemas.openxmlformats.org/spreadsheetml/2006/main" numFmtId="0" fontId="142" fillId="63" borderId="220"/>
    <x:xf xmlns:x="http://schemas.openxmlformats.org/spreadsheetml/2006/main" numFmtId="0" fontId="149" fillId="68" borderId="223"/>
    <x:xf xmlns:x="http://schemas.openxmlformats.org/spreadsheetml/2006/main" numFmtId="0" fontId="156" fillId="73" borderId="226"/>
    <x:xf xmlns:x="http://schemas.openxmlformats.org/spreadsheetml/2006/main" numFmtId="0" fontId="164" fillId="81" borderId="231"/>
  </cellStyleXfs>
  <cellXfs count="740">
    <xf numFmtId="0" fontId="0" fillId="0" borderId="0" xfId="0"/>
    <xf numFmtId="0" fontId="1" fillId="2" borderId="1" xfId="0" applyFont="1" applyFill="1" applyBorder="1" applyAlignment="1">
      <alignment horizontal="center" vertical="center" shrinkToFi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3" fillId="3" borderId="1" xfId="0" applyFont="1" applyFill="1" applyBorder="1" applyAlignment="1">
      <alignment horizontal="left" vertical="center" indent="1" shrinkToFit="1"/>
    </xf>
    <xf numFmtId="0" fontId="2" fillId="0" borderId="9" xfId="0" applyFont="1" applyBorder="1"/>
    <xf numFmtId="0" fontId="2" fillId="0" borderId="10" xfId="0" applyFont="1" applyBorder="1"/>
    <xf numFmtId="0" fontId="4" fillId="0" borderId="1" xfId="0" applyFont="1" applyBorder="1" applyAlignment="1">
      <alignment horizontal="left" vertical="center" indent="1" shrinkToFit="1"/>
    </xf>
    <xf numFmtId="0" fontId="5" fillId="0" borderId="1" xfId="0" applyFont="1" applyBorder="1" applyAlignment="1">
      <alignment horizontal="left" vertical="center" indent="1" shrinkToFit="1"/>
    </xf>
    <xf numFmtId="0" fontId="6" fillId="0" borderId="1" xfId="0" applyFont="1" applyBorder="1" applyAlignment="1">
      <alignment horizontal="left" vertical="center" indent="1" shrinkToFit="1"/>
    </xf>
    <xf numFmtId="0" fontId="5" fillId="0" borderId="1" xfId="0" applyFont="1" applyBorder="1" applyAlignment="1">
      <alignment horizontal="center" vertical="center" shrinkToFit="1"/>
    </xf>
    <xf numFmtId="0" fontId="7" fillId="0" borderId="1" xfId="0" applyFont="1" applyBorder="1" applyAlignment="1">
      <alignment horizontal="left" vertical="center" indent="1" shrinkToFit="1"/>
    </xf>
    <xf numFmtId="0" fontId="8" fillId="0" borderId="1" xfId="0" applyFont="1" applyBorder="1" applyAlignment="1">
      <alignment horizontal="left" vertical="center" indent="1" shrinkToFit="1"/>
    </xf>
    <xf numFmtId="0" fontId="6" fillId="0" borderId="1" xfId="0" applyFont="1" applyBorder="1" applyAlignment="1">
      <alignment horizontal="left" vertical="top" wrapText="1" indent="1" shrinkToFit="1"/>
    </xf>
    <xf numFmtId="0" fontId="7" fillId="0" borderId="1" xfId="0" applyFont="1" applyBorder="1" applyAlignment="1">
      <alignment horizontal="center" vertical="center" shrinkToFit="1"/>
    </xf>
    <xf numFmtId="0" fontId="9" fillId="0" borderId="1" xfId="0" applyFont="1" applyBorder="1" applyAlignment="1">
      <alignment horizontal="center" vertical="center" shrinkToFit="1"/>
    </xf>
    <xf numFmtId="0" fontId="6" fillId="0" borderId="1" xfId="0" applyFont="1" applyBorder="1" applyAlignment="1">
      <alignment horizontal="left" vertical="center" wrapText="1" indent="1" shrinkToFit="1"/>
    </xf>
    <xf numFmtId="0" fontId="10" fillId="0" borderId="0" xfId="0" applyFont="1" applyAlignment="1">
      <alignment horizontal="left" vertical="center" indent="1" shrinkToFit="1"/>
    </xf>
    <xf numFmtId="0" fontId="6" fillId="0" borderId="0" xfId="0" applyFont="1" applyAlignment="1">
      <alignment horizontal="left" vertical="center" indent="1" shrinkToFit="1"/>
    </xf>
    <xf numFmtId="0" fontId="11" fillId="0" borderId="0" xfId="0" applyFont="1" applyAlignment="1">
      <alignment horizontal="center" vertical="center" shrinkToFit="1"/>
    </xf>
    <xf numFmtId="0" fontId="12" fillId="2" borderId="1" xfId="0" applyFont="1" applyFill="1" applyBorder="1" applyAlignment="1">
      <alignment horizontal="center" vertical="center" shrinkToFit="1"/>
    </xf>
    <xf numFmtId="0" fontId="5" fillId="0" borderId="1" xfId="0" applyFont="1" applyBorder="1" applyAlignment="1">
      <alignment horizontal="left" vertical="top" wrapText="1" indent="1" shrinkToFit="1"/>
    </xf>
    <xf numFmtId="0" fontId="6" fillId="0" borderId="1" xfId="0" applyFont="1" applyBorder="1" applyAlignment="1">
      <alignment horizontal="center" vertical="center" shrinkToFit="1"/>
    </xf>
    <xf numFmtId="0" fontId="13" fillId="0" borderId="1" xfId="0" applyFont="1" applyBorder="1" applyAlignment="1">
      <alignment horizontal="center" vertical="center" shrinkToFit="1"/>
    </xf>
    <xf numFmtId="0" fontId="14" fillId="0" borderId="1" xfId="0" applyFont="1" applyBorder="1" applyAlignment="1">
      <alignment horizontal="center" vertical="center" shrinkToFit="1"/>
    </xf>
    <xf numFmtId="0" fontId="11" fillId="0" borderId="1" xfId="0" applyFont="1" applyBorder="1" applyAlignment="1">
      <alignment horizontal="center" vertical="center" wrapText="1" shrinkToFit="1"/>
    </xf>
    <xf numFmtId="0" fontId="15" fillId="0" borderId="1" xfId="0" applyFont="1" applyBorder="1" applyAlignment="1">
      <alignment horizontal="center" vertical="center" shrinkToFit="1"/>
    </xf>
    <xf numFmtId="0" fontId="16" fillId="4" borderId="0" xfId="0" applyFont="1" applyFill="1" applyAlignment="1">
      <alignment vertical="center" indent="1"/>
    </xf>
    <xf numFmtId="0" fontId="17" fillId="0" borderId="0" xfId="0" applyFont="1" applyAlignment="1">
      <alignment vertical="center" wrapText="1"/>
    </xf>
    <xf numFmtId="0" fontId="18" fillId="0" borderId="0" xfId="0" applyFont="1"/>
    <xf numFmtId="0" fontId="19" fillId="0" borderId="0" xfId="0" applyFont="1" applyAlignment="1">
      <alignment vertical="center" wrapText="1"/>
    </xf>
    <xf numFmtId="0" fontId="20" fillId="4" borderId="0" xfId="0" applyFont="1" applyFill="1" applyAlignment="1">
      <alignment vertical="center"/>
    </xf>
    <xf numFmtId="0" fontId="21" fillId="5" borderId="11" xfId="0" applyFont="1" applyFill="1" applyBorder="1" applyAlignment="1">
      <alignment vertical="top" wrapText="1"/>
    </xf>
    <xf numFmtId="0" fontId="22" fillId="5" borderId="11" xfId="0" applyFont="1" applyFill="1" applyBorder="1" applyAlignment="1">
      <alignment vertical="top" wrapText="1"/>
    </xf>
    <xf numFmtId="0" fontId="21" fillId="6" borderId="11" xfId="0" applyFont="1" applyFill="1" applyBorder="1" applyAlignment="1">
      <alignment vertical="top" wrapText="1"/>
    </xf>
    <xf numFmtId="0" fontId="22" fillId="6" borderId="11" xfId="0" applyFont="1" applyFill="1" applyBorder="1" applyAlignment="1">
      <alignment vertical="top" wrapText="1"/>
    </xf>
    <xf numFmtId="0" fontId="21" fillId="7" borderId="11" xfId="0" applyFont="1" applyFill="1" applyBorder="1" applyAlignment="1">
      <alignment vertical="top" wrapText="1"/>
    </xf>
    <xf numFmtId="0" fontId="22" fillId="7" borderId="11" xfId="0" applyFont="1" applyFill="1" applyBorder="1" applyAlignment="1">
      <alignment vertical="top" wrapText="1"/>
    </xf>
    <xf numFmtId="0" fontId="23" fillId="0" borderId="12" xfId="0" applyFont="1" applyBorder="1"/>
    <xf numFmtId="0" fontId="23" fillId="0" borderId="13" xfId="0" applyFont="1" applyBorder="1"/>
    <xf numFmtId="0" fontId="23" fillId="0" borderId="14" xfId="0" applyFont="1" applyBorder="1"/>
    <xf numFmtId="0" fontId="23" fillId="0" borderId="15" xfId="0" applyFont="1" applyBorder="1"/>
    <xf numFmtId="0" fontId="23" fillId="0" borderId="16" xfId="0" applyFont="1" applyBorder="1"/>
    <xf numFmtId="0" fontId="23" fillId="0" borderId="17" xfId="0" applyFont="1" applyBorder="1"/>
    <xf numFmtId="0" fontId="23" fillId="0" borderId="18" xfId="0" applyFont="1" applyBorder="1"/>
    <xf numFmtId="0" fontId="24" fillId="0" borderId="12" xfId="0" applyFont="1" applyBorder="1"/>
    <xf numFmtId="0" fontId="25" fillId="0" borderId="12" xfId="0" applyFont="1" applyBorder="1" applyAlignment="1">
      <alignment horizontal="right"/>
    </xf>
    <xf numFmtId="49" fontId="25" fillId="0" borderId="19" xfId="0" applyNumberFormat="1" applyFont="1" applyBorder="1" applyAlignment="1">
      <alignment horizontal="left"/>
    </xf>
    <xf numFmtId="49" fontId="25" fillId="0" borderId="20" xfId="0" applyNumberFormat="1" applyFont="1" applyBorder="1" applyAlignment="1">
      <alignment horizontal="left"/>
    </xf>
    <xf numFmtId="49" fontId="26" fillId="0" borderId="19" xfId="6" applyNumberFormat="1" applyFont="1" applyBorder="1" applyAlignment="1">
      <alignment horizontal="left"/>
    </xf>
    <xf numFmtId="49" fontId="26" fillId="0" borderId="20" xfId="6" applyNumberFormat="1" applyFont="1" applyBorder="1" applyAlignment="1">
      <alignment horizontal="left"/>
    </xf>
    <xf numFmtId="0" fontId="23" fillId="0" borderId="20" xfId="0" applyFont="1" applyBorder="1"/>
    <xf numFmtId="0" fontId="27" fillId="0" borderId="13" xfId="6" applyBorder="1"/>
    <xf numFmtId="0" fontId="23" fillId="0" borderId="21" xfId="0" applyFont="1" applyBorder="1"/>
    <xf numFmtId="49" fontId="0" fillId="0" borderId="0" xfId="0" applyNumberFormat="1"/>
    <xf numFmtId="0" fontId="28" fillId="0" borderId="0" xfId="0" applyFont="1"/>
    <xf numFmtId="0" fontId="29" fillId="0" borderId="0" xfId="0" applyFont="1"/>
    <xf numFmtId="0" fontId="30" fillId="0" borderId="0" xfId="0" applyFont="1"/>
    <xf numFmtId="0" fontId="31" fillId="0" borderId="0" xfId="0" applyFont="1"/>
    <xf numFmtId="0" fontId="0" fillId="0" borderId="0" xfId="0" applyFont="1"/>
    <xf numFmtId="0" fontId="0" fillId="0" borderId="0" xfId="0" applyAlignment="1">
      <alignment horizontal="center"/>
    </xf>
    <xf numFmtId="0" fontId="32" fillId="8" borderId="0" xfId="0" applyFont="1" applyFill="1" applyAlignment="1">
      <alignment horizontal="left"/>
    </xf>
    <xf numFmtId="0" fontId="0" fillId="0" borderId="0" xfId="0" applyAlignment="1">
      <alignment wrapText="1"/>
    </xf>
    <xf numFmtId="0" fontId="0" fillId="9" borderId="0" xfId="0" applyFill="1"/>
    <xf numFmtId="49" fontId="0" fillId="9" borderId="0" xfId="0" applyNumberFormat="1" applyFill="1" applyProtection="1">
      <protection locked="0"/>
    </xf>
    <xf numFmtId="0" fontId="0" fillId="9" borderId="0" xfId="0" applyFill="1" applyProtection="1">
      <protection locked="0"/>
    </xf>
    <xf numFmtId="0" fontId="33" fillId="0" borderId="0" xfId="0" applyFont="1"/>
    <xf numFmtId="0" fontId="0" fillId="0" borderId="0" xfId="0" applyProtection="1">
      <protection locked="0"/>
    </xf>
    <xf numFmtId="0" fontId="31" fillId="0" borderId="0" xfId="0" applyFont="1" applyProtection="1">
      <protection locked="0"/>
    </xf>
    <xf numFmtId="0" fontId="34" fillId="0" borderId="0" xfId="0" applyFont="1" applyAlignment="1" applyProtection="1">
      <alignment vertical="top" wrapText="1"/>
      <protection locked="0"/>
    </xf>
    <xf numFmtId="0" fontId="0" fillId="0" borderId="0" xfId="0" applyAlignment="1" applyProtection="1">
      <alignment vertical="top" wrapText="1"/>
      <protection locked="0"/>
    </xf>
    <xf numFmtId="0" fontId="35" fillId="0" borderId="12" xfId="0" applyFont="1" applyBorder="1"/>
    <xf numFmtId="0" fontId="35" fillId="0" borderId="20" xfId="0" applyFont="1" applyBorder="1"/>
    <xf numFmtId="0" fontId="35" fillId="0" borderId="13" xfId="0" applyFont="1" applyBorder="1"/>
    <xf numFmtId="0" fontId="35" fillId="0" borderId="18" xfId="0" applyFont="1" applyBorder="1"/>
    <xf numFmtId="0" fontId="35" fillId="0" borderId="22" xfId="0" applyFont="1" applyBorder="1"/>
    <xf numFmtId="0" fontId="35" fillId="0" borderId="23" xfId="0" applyFont="1" applyBorder="1"/>
    <xf numFmtId="0" fontId="35" fillId="0" borderId="24" xfId="0" applyFont="1" applyBorder="1" applyAlignment="1">
      <alignment horizontal="center"/>
    </xf>
    <xf numFmtId="0" fontId="35" fillId="0" borderId="25" xfId="0" applyFont="1" applyBorder="1" applyAlignment="1">
      <alignment horizontal="center"/>
    </xf>
    <xf numFmtId="0" fontId="35" fillId="0" borderId="26" xfId="0" applyFont="1" applyBorder="1" applyAlignment="1">
      <alignment horizontal="center"/>
    </xf>
    <xf numFmtId="0" fontId="35" fillId="0" borderId="27" xfId="0" applyFont="1" applyBorder="1"/>
    <xf numFmtId="0" fontId="36" fillId="0" borderId="23" xfId="50" applyFont="1" applyFill="1" applyBorder="1" applyAlignment="1">
      <alignment vertical="center" textRotation="255" wrapText="1"/>
    </xf>
    <xf numFmtId="0" fontId="36" fillId="0" borderId="23" xfId="50" applyFont="1" applyFill="1" applyBorder="1" applyAlignment="1">
      <alignment vertical="center" textRotation="255"/>
    </xf>
    <xf numFmtId="0" fontId="35" fillId="0" borderId="23" xfId="0" applyFont="1" applyBorder="1" applyAlignment="1">
      <alignment vertical="top"/>
    </xf>
    <xf numFmtId="0" fontId="35" fillId="0" borderId="28" xfId="0" applyFont="1" applyBorder="1" applyAlignment="1">
      <alignment vertical="top"/>
    </xf>
    <xf numFmtId="0" fontId="35" fillId="0" borderId="29" xfId="0" applyFont="1" applyBorder="1" applyAlignment="1">
      <alignment vertical="top"/>
    </xf>
    <xf numFmtId="0" fontId="35" fillId="0" borderId="30" xfId="0" applyFont="1" applyBorder="1" applyAlignment="1">
      <alignment vertical="top"/>
    </xf>
    <xf numFmtId="0" fontId="35" fillId="0" borderId="31" xfId="0" applyFont="1" applyBorder="1"/>
    <xf numFmtId="0" fontId="36" fillId="8" borderId="32" xfId="50" applyFont="1" applyBorder="1" applyAlignment="1">
      <alignment horizontal="left" vertical="center"/>
    </xf>
    <xf numFmtId="0" fontId="36" fillId="8" borderId="33" xfId="50" applyFont="1" applyBorder="1" applyAlignment="1">
      <alignment horizontal="left" vertical="center"/>
    </xf>
    <xf numFmtId="0" fontId="36" fillId="8" borderId="34" xfId="50" applyFont="1" applyBorder="1" applyAlignment="1">
      <alignment horizontal="left" vertical="center"/>
    </xf>
    <xf numFmtId="0" fontId="37" fillId="8" borderId="33" xfId="51" applyFont="1" applyBorder="1" applyAlignment="1">
      <alignment horizontal="center" vertical="center"/>
    </xf>
    <xf numFmtId="0" fontId="37" fillId="8" borderId="34" xfId="51" applyFont="1" applyBorder="1" applyAlignment="1">
      <alignment horizontal="center" vertical="center"/>
    </xf>
    <xf numFmtId="0" fontId="38" fillId="0" borderId="31" xfId="0" applyFont="1" applyBorder="1" applyAlignment="1">
      <alignment vertical="center"/>
    </xf>
    <xf numFmtId="0" fontId="38" fillId="0" borderId="35" xfId="0" applyFont="1" applyBorder="1" applyAlignment="1">
      <alignment horizontal="center" vertical="center"/>
    </xf>
    <xf numFmtId="0" fontId="38" fillId="0" borderId="36" xfId="0" applyFont="1" applyBorder="1" applyAlignment="1">
      <alignment horizontal="center" vertical="center"/>
    </xf>
    <xf numFmtId="0" fontId="38" fillId="0" borderId="37" xfId="0" applyFont="1" applyBorder="1" applyAlignment="1">
      <alignment horizontal="center" vertical="center"/>
    </xf>
    <xf numFmtId="0" fontId="37" fillId="8" borderId="33" xfId="50" applyFont="1" applyBorder="1" applyAlignment="1">
      <alignment horizontal="center" vertical="center"/>
    </xf>
    <xf numFmtId="0" fontId="37" fillId="8" borderId="34" xfId="50" applyFont="1" applyBorder="1" applyAlignment="1">
      <alignment horizontal="center" vertical="center"/>
    </xf>
    <xf numFmtId="0" fontId="36" fillId="8" borderId="32" xfId="50" applyFont="1" applyBorder="1" applyAlignment="1">
      <alignment horizontal="left"/>
    </xf>
    <xf numFmtId="0" fontId="36" fillId="8" borderId="33" xfId="50" applyFont="1" applyBorder="1" applyAlignment="1">
      <alignment horizontal="left"/>
    </xf>
    <xf numFmtId="0" fontId="36" fillId="8" borderId="38" xfId="50" applyFont="1" applyBorder="1" applyAlignment="1">
      <alignment horizontal="left"/>
    </xf>
    <xf numFmtId="0" fontId="35" fillId="0" borderId="39" xfId="0" applyFont="1" applyBorder="1" applyAlignment="1">
      <alignment horizontal="center" vertical="center"/>
    </xf>
    <xf numFmtId="0" fontId="35" fillId="0" borderId="40" xfId="0" applyFont="1" applyBorder="1" applyAlignment="1">
      <alignment horizontal="center" vertical="center"/>
    </xf>
    <xf numFmtId="0" fontId="35" fillId="0" borderId="40" xfId="0" applyFont="1" applyBorder="1" applyAlignment="1" applyProtection="1">
      <alignment horizontal="left" vertical="top"/>
      <protection locked="0"/>
    </xf>
    <xf numFmtId="0" fontId="35" fillId="0" borderId="41" xfId="0" applyFont="1" applyBorder="1" applyAlignment="1" applyProtection="1">
      <alignment horizontal="left" vertical="top"/>
      <protection locked="0"/>
    </xf>
    <xf numFmtId="0" fontId="35" fillId="0" borderId="42" xfId="0" applyFont="1" applyBorder="1" applyAlignment="1">
      <alignment horizontal="center" vertical="center"/>
    </xf>
    <xf numFmtId="0" fontId="35" fillId="0" borderId="43" xfId="0" applyFont="1" applyBorder="1" applyAlignment="1">
      <alignment horizontal="left" vertical="center"/>
    </xf>
    <xf numFmtId="0" fontId="35" fillId="0" borderId="40" xfId="0" applyFont="1" applyBorder="1" applyAlignment="1">
      <alignment horizontal="left" vertical="center"/>
    </xf>
    <xf numFmtId="0" fontId="35" fillId="0" borderId="40" xfId="0" applyFont="1" applyBorder="1" applyAlignment="1" applyProtection="1">
      <alignment horizontal="right" vertical="center"/>
      <protection locked="0"/>
    </xf>
    <xf numFmtId="176" fontId="35" fillId="0" borderId="40" xfId="0" applyNumberFormat="1" applyFont="1" applyBorder="1" applyAlignment="1">
      <alignment horizontal="right" vertical="center"/>
    </xf>
    <xf numFmtId="0" fontId="35" fillId="0" borderId="44" xfId="0" applyFont="1" applyBorder="1" applyAlignment="1" applyProtection="1">
      <alignment horizontal="center" vertical="center"/>
      <protection locked="0"/>
    </xf>
    <xf numFmtId="0" fontId="35" fillId="0" borderId="45" xfId="0" applyFont="1" applyBorder="1" applyAlignment="1" applyProtection="1">
      <alignment horizontal="center" vertical="center"/>
      <protection locked="0"/>
    </xf>
    <xf numFmtId="0" fontId="35" fillId="0" borderId="46" xfId="0" applyFont="1" applyBorder="1" applyAlignment="1" applyProtection="1">
      <alignment horizontal="center" vertical="center"/>
      <protection locked="0"/>
    </xf>
    <xf numFmtId="0" fontId="38" fillId="0" borderId="47" xfId="0" applyFont="1" applyBorder="1" applyAlignment="1">
      <alignment horizontal="center" vertical="center"/>
    </xf>
    <xf numFmtId="0" fontId="38" fillId="0" borderId="0" xfId="0" applyFont="1" applyAlignment="1">
      <alignment horizontal="center" vertical="center"/>
    </xf>
    <xf numFmtId="0" fontId="38" fillId="0" borderId="48" xfId="0" applyFont="1" applyBorder="1" applyAlignment="1">
      <alignment horizontal="center" vertical="center"/>
    </xf>
    <xf numFmtId="0" fontId="39" fillId="0" borderId="49" xfId="0" applyFont="1" applyBorder="1" applyAlignment="1" applyProtection="1">
      <alignment horizontal="center" vertical="center"/>
      <protection locked="0"/>
    </xf>
    <xf numFmtId="0" fontId="39" fillId="0" borderId="50" xfId="0" applyFont="1" applyBorder="1" applyAlignment="1" applyProtection="1">
      <alignment horizontal="center" vertical="center"/>
      <protection locked="0"/>
    </xf>
    <xf numFmtId="0" fontId="39" fillId="0" borderId="50" xfId="0" applyFont="1" applyBorder="1" applyAlignment="1" applyProtection="1">
      <alignment horizontal="center"/>
      <protection locked="0"/>
    </xf>
    <xf numFmtId="0" fontId="39" fillId="0" borderId="51" xfId="0" applyFont="1" applyBorder="1" applyAlignment="1" applyProtection="1">
      <alignment horizontal="center"/>
      <protection locked="0"/>
    </xf>
    <xf numFmtId="0" fontId="39" fillId="10" borderId="52" xfId="50" applyFont="1" applyFill="1" applyBorder="1" applyAlignment="1" applyProtection="1">
      <alignment horizontal="left" vertical="top" wrapText="1"/>
      <protection locked="0"/>
    </xf>
    <xf numFmtId="0" fontId="39" fillId="10" borderId="25" xfId="50" applyFont="1" applyFill="1" applyBorder="1" applyAlignment="1" applyProtection="1">
      <alignment horizontal="left" vertical="top" wrapText="1"/>
      <protection locked="0"/>
    </xf>
    <xf numFmtId="0" fontId="39" fillId="0" borderId="53" xfId="0" applyFont="1" applyBorder="1" applyAlignment="1" applyProtection="1">
      <alignment horizontal="left" vertical="top" wrapText="1"/>
      <protection locked="0"/>
    </xf>
    <xf numFmtId="0" fontId="39" fillId="0" borderId="25" xfId="0" applyFont="1" applyBorder="1" applyAlignment="1" applyProtection="1">
      <alignment horizontal="left" vertical="top" wrapText="1"/>
      <protection locked="0"/>
    </xf>
    <xf numFmtId="0" fontId="39" fillId="0" borderId="54" xfId="0" applyFont="1" applyBorder="1" applyAlignment="1" applyProtection="1">
      <alignment horizontal="left" vertical="top" wrapText="1"/>
      <protection locked="0"/>
    </xf>
    <xf numFmtId="0" fontId="35" fillId="0" borderId="55" xfId="0" applyFont="1" applyBorder="1" applyAlignment="1">
      <alignment horizontal="center" vertical="center"/>
    </xf>
    <xf numFmtId="0" fontId="35" fillId="0" borderId="56" xfId="0" applyFont="1" applyBorder="1" applyAlignment="1">
      <alignment horizontal="center" vertical="center"/>
    </xf>
    <xf numFmtId="0" fontId="35" fillId="0" borderId="57" xfId="0" applyFont="1" applyBorder="1" applyAlignment="1" applyProtection="1">
      <alignment horizontal="left" vertical="center"/>
      <protection locked="0"/>
    </xf>
    <xf numFmtId="0" fontId="35" fillId="0" borderId="58" xfId="0" applyFont="1" applyBorder="1" applyAlignment="1" applyProtection="1">
      <alignment horizontal="left" vertical="center"/>
      <protection locked="0"/>
    </xf>
    <xf numFmtId="0" fontId="35" fillId="0" borderId="59" xfId="0" applyFont="1" applyBorder="1" applyAlignment="1" applyProtection="1">
      <alignment horizontal="left" vertical="center"/>
      <protection locked="0"/>
    </xf>
    <xf numFmtId="0" fontId="35" fillId="0" borderId="57" xfId="0" applyFont="1" applyBorder="1" applyAlignment="1">
      <alignment horizontal="center" vertical="center"/>
    </xf>
    <xf numFmtId="0" fontId="35" fillId="0" borderId="60" xfId="0" applyFont="1" applyBorder="1" applyAlignment="1">
      <alignment horizontal="left" vertical="center"/>
    </xf>
    <xf numFmtId="0" fontId="35" fillId="0" borderId="56" xfId="0" applyFont="1" applyBorder="1" applyAlignment="1">
      <alignment horizontal="left" vertical="center"/>
    </xf>
    <xf numFmtId="0" fontId="35" fillId="0" borderId="56" xfId="0" applyFont="1" applyBorder="1" applyAlignment="1" applyProtection="1">
      <alignment horizontal="right" vertical="center"/>
      <protection locked="0"/>
    </xf>
    <xf numFmtId="0" fontId="35" fillId="0" borderId="57" xfId="0" applyFont="1" applyBorder="1" applyAlignment="1" applyProtection="1">
      <alignment horizontal="center" vertical="center"/>
      <protection locked="0"/>
    </xf>
    <xf numFmtId="0" fontId="35" fillId="0" borderId="58" xfId="0" applyFont="1" applyBorder="1" applyAlignment="1" applyProtection="1">
      <alignment horizontal="center" vertical="center"/>
      <protection locked="0"/>
    </xf>
    <xf numFmtId="0" fontId="35" fillId="0" borderId="59" xfId="0" applyFont="1" applyBorder="1" applyAlignment="1" applyProtection="1">
      <alignment horizontal="center" vertical="center"/>
      <protection locked="0"/>
    </xf>
    <xf numFmtId="0" fontId="39" fillId="0" borderId="61" xfId="0" applyFont="1" applyBorder="1" applyAlignment="1" applyProtection="1">
      <alignment horizontal="center" vertical="center"/>
      <protection locked="0"/>
    </xf>
    <xf numFmtId="0" fontId="39" fillId="0" borderId="56" xfId="0" applyFont="1" applyBorder="1" applyAlignment="1" applyProtection="1">
      <alignment horizontal="center" vertical="center"/>
      <protection locked="0"/>
    </xf>
    <xf numFmtId="0" fontId="39" fillId="0" borderId="56" xfId="0" applyFont="1" applyBorder="1" applyAlignment="1" applyProtection="1">
      <alignment horizontal="center"/>
      <protection locked="0"/>
    </xf>
    <xf numFmtId="0" fontId="39" fillId="0" borderId="62" xfId="0" applyFont="1" applyBorder="1" applyAlignment="1" applyProtection="1">
      <alignment horizontal="center"/>
      <protection locked="0"/>
    </xf>
    <xf numFmtId="0" fontId="39" fillId="10" borderId="63" xfId="50" applyFont="1" applyFill="1" applyBorder="1" applyAlignment="1" applyProtection="1">
      <alignment horizontal="left" vertical="top" wrapText="1"/>
      <protection locked="0"/>
    </xf>
    <xf numFmtId="0" fontId="39" fillId="10" borderId="0" xfId="50" applyFont="1" applyFill="1" applyBorder="1" applyAlignment="1" applyProtection="1">
      <alignment horizontal="left" vertical="top" wrapText="1"/>
      <protection locked="0"/>
    </xf>
    <xf numFmtId="0" fontId="39" fillId="0" borderId="64" xfId="0" applyFont="1" applyBorder="1" applyAlignment="1" applyProtection="1">
      <alignment horizontal="left" vertical="top" wrapText="1"/>
      <protection locked="0"/>
    </xf>
    <xf numFmtId="0" fontId="39" fillId="0" borderId="0" xfId="0" applyFont="1" applyAlignment="1" applyProtection="1">
      <alignment horizontal="left" vertical="top" wrapText="1"/>
      <protection locked="0"/>
    </xf>
    <xf numFmtId="0" fontId="39" fillId="0" borderId="65" xfId="0" applyFont="1" applyBorder="1" applyAlignment="1" applyProtection="1">
      <alignment horizontal="left" vertical="top" wrapText="1"/>
      <protection locked="0"/>
    </xf>
    <xf numFmtId="0" fontId="35" fillId="0" borderId="57" xfId="0" applyFont="1" applyBorder="1" applyAlignment="1" applyProtection="1">
      <alignment horizontal="left" vertical="top"/>
      <protection locked="0"/>
    </xf>
    <xf numFmtId="0" fontId="35" fillId="0" borderId="58" xfId="0" applyFont="1" applyBorder="1" applyAlignment="1" applyProtection="1">
      <alignment horizontal="left" vertical="top"/>
      <protection locked="0"/>
    </xf>
    <xf numFmtId="0" fontId="35" fillId="0" borderId="60" xfId="0" applyFont="1" applyBorder="1" applyAlignment="1" applyProtection="1">
      <alignment horizontal="left" vertical="top"/>
      <protection locked="0"/>
    </xf>
    <xf numFmtId="0" fontId="35" fillId="0" borderId="57" xfId="0" applyFont="1" applyBorder="1" applyAlignment="1" applyProtection="1">
      <alignment horizontal="center" vertical="top"/>
      <protection locked="0"/>
    </xf>
    <xf numFmtId="0" fontId="35" fillId="0" borderId="58" xfId="0" applyFont="1" applyBorder="1" applyAlignment="1" applyProtection="1">
      <alignment horizontal="center" vertical="top"/>
      <protection locked="0"/>
    </xf>
    <xf numFmtId="0" fontId="35" fillId="0" borderId="60" xfId="0" applyFont="1" applyBorder="1" applyAlignment="1" applyProtection="1">
      <alignment horizontal="center" vertical="top"/>
      <protection locked="0"/>
    </xf>
    <xf numFmtId="0" fontId="35" fillId="0" borderId="59" xfId="0" applyFont="1" applyBorder="1" applyAlignment="1" applyProtection="1">
      <alignment horizontal="left" vertical="top"/>
      <protection locked="0"/>
    </xf>
    <xf numFmtId="0" fontId="35" fillId="0" borderId="16" xfId="0" applyFont="1" applyBorder="1" applyAlignment="1">
      <alignment horizontal="center" vertical="center"/>
    </xf>
    <xf numFmtId="0" fontId="35" fillId="0" borderId="56" xfId="0" applyFont="1" applyBorder="1" applyAlignment="1" applyProtection="1">
      <alignment horizontal="left" vertical="top"/>
      <protection locked="0"/>
    </xf>
    <xf numFmtId="0" fontId="35" fillId="0" borderId="66" xfId="0" applyFont="1" applyBorder="1" applyAlignment="1" applyProtection="1">
      <alignment horizontal="left" vertical="top"/>
      <protection locked="0"/>
    </xf>
    <xf numFmtId="0" fontId="35" fillId="0" borderId="67" xfId="0" applyFont="1" applyBorder="1" applyAlignment="1">
      <alignment horizontal="center" vertical="center"/>
    </xf>
    <xf numFmtId="0" fontId="35" fillId="0" borderId="68" xfId="0" applyFont="1" applyBorder="1" applyAlignment="1">
      <alignment horizontal="center" vertical="center"/>
    </xf>
    <xf numFmtId="0" fontId="35" fillId="0" borderId="69" xfId="0" applyFont="1" applyBorder="1" applyAlignment="1" applyProtection="1">
      <alignment horizontal="left" vertical="top"/>
      <protection locked="0"/>
    </xf>
    <xf numFmtId="0" fontId="35" fillId="0" borderId="70" xfId="0" applyFont="1" applyBorder="1" applyAlignment="1" applyProtection="1">
      <alignment horizontal="left" vertical="top"/>
      <protection locked="0"/>
    </xf>
    <xf numFmtId="0" fontId="35" fillId="0" borderId="71" xfId="0" applyFont="1" applyBorder="1" applyAlignment="1" applyProtection="1">
      <alignment horizontal="left" vertical="top"/>
      <protection locked="0"/>
    </xf>
    <xf numFmtId="0" fontId="35" fillId="0" borderId="72" xfId="0" applyFont="1" applyBorder="1"/>
    <xf numFmtId="0" fontId="35" fillId="0" borderId="69" xfId="0" applyFont="1" applyBorder="1" applyAlignment="1">
      <alignment horizontal="center" vertical="center"/>
    </xf>
    <xf numFmtId="0" fontId="35" fillId="0" borderId="73" xfId="0" applyFont="1" applyBorder="1" applyAlignment="1">
      <alignment horizontal="left" vertical="center"/>
    </xf>
    <xf numFmtId="0" fontId="35" fillId="0" borderId="68" xfId="0" applyFont="1" applyBorder="1" applyAlignment="1">
      <alignment horizontal="left" vertical="center"/>
    </xf>
    <xf numFmtId="0" fontId="35" fillId="0" borderId="68" xfId="0" applyFont="1" applyBorder="1" applyAlignment="1" applyProtection="1">
      <alignment horizontal="right" vertical="center"/>
      <protection locked="0"/>
    </xf>
    <xf numFmtId="176" fontId="35" fillId="0" borderId="68" xfId="0" applyNumberFormat="1" applyFont="1" applyBorder="1" applyAlignment="1">
      <alignment horizontal="right" vertical="center"/>
    </xf>
    <xf numFmtId="0" fontId="35" fillId="0" borderId="69" xfId="0" applyFont="1" applyBorder="1" applyAlignment="1" applyProtection="1">
      <alignment horizontal="center" vertical="center"/>
      <protection locked="0"/>
    </xf>
    <xf numFmtId="0" fontId="35" fillId="0" borderId="70" xfId="0" applyFont="1" applyBorder="1" applyAlignment="1" applyProtection="1">
      <alignment horizontal="center" vertical="center"/>
      <protection locked="0"/>
    </xf>
    <xf numFmtId="0" fontId="35" fillId="0" borderId="71" xfId="0" applyFont="1" applyBorder="1" applyAlignment="1" applyProtection="1">
      <alignment horizontal="center" vertical="center"/>
      <protection locked="0"/>
    </xf>
    <xf numFmtId="0" fontId="36" fillId="8" borderId="0" xfId="50" applyFont="1" applyBorder="1" applyAlignment="1">
      <alignment horizontal="center" vertical="center" textRotation="255" wrapText="1"/>
    </xf>
    <xf numFmtId="0" fontId="35" fillId="0" borderId="22" xfId="0" applyFont="1" applyBorder="1" applyAlignment="1">
      <alignment vertical="center"/>
    </xf>
    <xf numFmtId="0" fontId="40" fillId="0" borderId="74" xfId="0" applyFont="1" applyBorder="1" applyAlignment="1">
      <alignment horizontal="right" vertical="center"/>
    </xf>
    <xf numFmtId="0" fontId="40" fillId="0" borderId="33" xfId="0" applyFont="1" applyBorder="1" applyAlignment="1">
      <alignment horizontal="right" vertical="center"/>
    </xf>
    <xf numFmtId="0" fontId="40" fillId="0" borderId="38" xfId="0" applyFont="1" applyBorder="1" applyAlignment="1">
      <alignment horizontal="right" vertical="center"/>
    </xf>
    <xf numFmtId="177" fontId="40" fillId="0" borderId="74" xfId="0" applyNumberFormat="1" applyFont="1" applyBorder="1" applyAlignment="1">
      <alignment horizontal="left" vertical="center"/>
    </xf>
    <xf numFmtId="177" fontId="40" fillId="0" borderId="33" xfId="0" applyNumberFormat="1" applyFont="1" applyBorder="1" applyAlignment="1">
      <alignment horizontal="left" vertical="center"/>
    </xf>
    <xf numFmtId="177" fontId="40" fillId="0" borderId="75" xfId="0" applyNumberFormat="1" applyFont="1" applyBorder="1" applyAlignment="1">
      <alignment horizontal="left" vertical="center"/>
    </xf>
    <xf numFmtId="1" fontId="40" fillId="0" borderId="74" xfId="0" applyNumberFormat="1" applyFont="1" applyBorder="1" applyAlignment="1">
      <alignment horizontal="left" vertical="center"/>
    </xf>
    <xf numFmtId="1" fontId="40" fillId="0" borderId="33" xfId="0" applyNumberFormat="1" applyFont="1" applyBorder="1" applyAlignment="1">
      <alignment horizontal="left" vertical="center"/>
    </xf>
    <xf numFmtId="1" fontId="40" fillId="0" borderId="38" xfId="0" applyNumberFormat="1" applyFont="1" applyBorder="1" applyAlignment="1">
      <alignment horizontal="left" vertical="center"/>
    </xf>
    <xf numFmtId="49" fontId="40" fillId="0" borderId="76" xfId="0" applyNumberFormat="1" applyFont="1" applyBorder="1" applyAlignment="1">
      <alignment horizontal="left" vertical="center"/>
    </xf>
    <xf numFmtId="0" fontId="40" fillId="0" borderId="76" xfId="0" applyFont="1" applyBorder="1" applyAlignment="1">
      <alignment horizontal="right" vertical="center"/>
    </xf>
    <xf numFmtId="178" fontId="40" fillId="0" borderId="76" xfId="0" applyNumberFormat="1" applyFont="1" applyBorder="1" applyAlignment="1">
      <alignment horizontal="center" vertical="center"/>
    </xf>
    <xf numFmtId="0" fontId="35" fillId="0" borderId="77" xfId="0" applyFont="1" applyBorder="1"/>
    <xf numFmtId="0" fontId="35" fillId="11" borderId="52" xfId="0" applyFont="1" applyFill="1" applyBorder="1" applyAlignment="1">
      <alignment horizontal="center"/>
    </xf>
    <xf numFmtId="0" fontId="35" fillId="11" borderId="25" xfId="0" applyFont="1" applyFill="1" applyBorder="1" applyAlignment="1">
      <alignment horizontal="center"/>
    </xf>
    <xf numFmtId="0" fontId="35" fillId="11" borderId="25" xfId="0" applyFont="1" applyFill="1" applyBorder="1" applyAlignment="1" applyProtection="1">
      <alignment horizontal="right" vertical="center"/>
      <protection locked="0"/>
    </xf>
    <xf numFmtId="0" fontId="35" fillId="11" borderId="78" xfId="0" applyFont="1" applyFill="1" applyBorder="1" applyAlignment="1" applyProtection="1">
      <alignment horizontal="right" vertical="center"/>
      <protection locked="0"/>
    </xf>
    <xf numFmtId="179" fontId="35" fillId="11" borderId="79" xfId="0" applyNumberFormat="1" applyFont="1" applyFill="1" applyBorder="1" applyAlignment="1">
      <alignment horizontal="left" vertical="center"/>
    </xf>
    <xf numFmtId="179" fontId="35" fillId="11" borderId="25" xfId="0" applyNumberFormat="1" applyFont="1" applyFill="1" applyBorder="1" applyAlignment="1">
      <alignment horizontal="left" vertical="center"/>
    </xf>
    <xf numFmtId="179" fontId="35" fillId="11" borderId="80" xfId="0" applyNumberFormat="1" applyFont="1" applyFill="1" applyBorder="1" applyAlignment="1">
      <alignment horizontal="left" vertical="center"/>
    </xf>
    <xf numFmtId="0" fontId="35" fillId="12" borderId="81" xfId="0" applyFont="1" applyFill="1" applyBorder="1" applyAlignment="1">
      <alignment horizontal="center"/>
    </xf>
    <xf numFmtId="0" fontId="35" fillId="12" borderId="25" xfId="0" applyFont="1" applyFill="1" applyBorder="1" applyAlignment="1">
      <alignment horizontal="center"/>
    </xf>
    <xf numFmtId="0" fontId="35" fillId="12" borderId="82" xfId="0" applyFont="1" applyFill="1" applyBorder="1" applyAlignment="1">
      <alignment horizontal="center"/>
    </xf>
    <xf numFmtId="0" fontId="35" fillId="12" borderId="83" xfId="0" applyFont="1" applyFill="1" applyBorder="1" applyAlignment="1" applyProtection="1">
      <alignment horizontal="right" vertical="center"/>
      <protection locked="0"/>
    </xf>
    <xf numFmtId="0" fontId="35" fillId="12" borderId="25" xfId="0" applyFont="1" applyFill="1" applyBorder="1" applyAlignment="1" applyProtection="1">
      <alignment horizontal="right" vertical="center"/>
      <protection locked="0"/>
    </xf>
    <xf numFmtId="0" fontId="35" fillId="12" borderId="82" xfId="0" applyFont="1" applyFill="1" applyBorder="1" applyAlignment="1" applyProtection="1">
      <alignment horizontal="right" vertical="center"/>
      <protection locked="0"/>
    </xf>
    <xf numFmtId="179" fontId="35" fillId="12" borderId="83" xfId="0" applyNumberFormat="1" applyFont="1" applyFill="1" applyBorder="1" applyAlignment="1">
      <alignment horizontal="left" vertical="center"/>
    </xf>
    <xf numFmtId="179" fontId="35" fillId="12" borderId="25" xfId="0" applyNumberFormat="1" applyFont="1" applyFill="1" applyBorder="1" applyAlignment="1">
      <alignment horizontal="left" vertical="center"/>
    </xf>
    <xf numFmtId="179" fontId="35" fillId="12" borderId="84" xfId="0" applyNumberFormat="1" applyFont="1" applyFill="1" applyBorder="1" applyAlignment="1">
      <alignment horizontal="left" vertical="center"/>
    </xf>
    <xf numFmtId="0" fontId="35" fillId="11" borderId="85" xfId="0" applyFont="1" applyFill="1" applyBorder="1" applyAlignment="1">
      <alignment horizontal="center"/>
    </xf>
    <xf numFmtId="0" fontId="35" fillId="11" borderId="78" xfId="0" applyFont="1" applyFill="1" applyBorder="1" applyAlignment="1">
      <alignment horizontal="center"/>
    </xf>
    <xf numFmtId="0" fontId="35" fillId="11" borderId="79" xfId="0" applyFont="1" applyFill="1" applyBorder="1" applyAlignment="1" applyProtection="1">
      <alignment horizontal="right" vertical="center"/>
      <protection locked="0"/>
    </xf>
    <xf numFmtId="179" fontId="35" fillId="11" borderId="26" xfId="0" applyNumberFormat="1" applyFont="1" applyFill="1" applyBorder="1" applyAlignment="1">
      <alignment horizontal="left" vertical="center"/>
    </xf>
    <xf numFmtId="0" fontId="35" fillId="13" borderId="81" xfId="0" applyFont="1" applyFill="1" applyBorder="1" applyAlignment="1">
      <alignment horizontal="center"/>
    </xf>
    <xf numFmtId="0" fontId="35" fillId="13" borderId="25" xfId="0" applyFont="1" applyFill="1" applyBorder="1" applyAlignment="1">
      <alignment horizontal="center"/>
    </xf>
    <xf numFmtId="0" fontId="35" fillId="13" borderId="83" xfId="0" applyFont="1" applyFill="1" applyBorder="1" applyAlignment="1" applyProtection="1">
      <alignment horizontal="center" vertical="center"/>
      <protection locked="0"/>
    </xf>
    <xf numFmtId="0" fontId="35" fillId="13" borderId="25" xfId="0" applyFont="1" applyFill="1" applyBorder="1" applyAlignment="1" applyProtection="1">
      <alignment horizontal="center" vertical="center"/>
      <protection locked="0"/>
    </xf>
    <xf numFmtId="0" fontId="35" fillId="13" borderId="86" xfId="0" applyFont="1" applyFill="1" applyBorder="1" applyAlignment="1" applyProtection="1">
      <alignment horizontal="center" vertical="center"/>
      <protection locked="0"/>
    </xf>
    <xf numFmtId="0" fontId="35" fillId="13" borderId="87" xfId="0" applyFont="1" applyFill="1" applyBorder="1" applyAlignment="1">
      <alignment horizontal="center" vertical="center"/>
    </xf>
    <xf numFmtId="0" fontId="35" fillId="13" borderId="88" xfId="0" applyFont="1" applyFill="1" applyBorder="1" applyAlignment="1">
      <alignment horizontal="center" vertical="center"/>
    </xf>
    <xf numFmtId="0" fontId="35" fillId="13" borderId="88" xfId="0" applyFont="1" applyFill="1" applyBorder="1" applyAlignment="1" applyProtection="1">
      <alignment horizontal="center" vertical="center"/>
      <protection locked="0"/>
    </xf>
    <xf numFmtId="0" fontId="35" fillId="13" borderId="89" xfId="0" applyFont="1" applyFill="1" applyBorder="1" applyAlignment="1" applyProtection="1">
      <alignment horizontal="center" vertical="center"/>
      <protection locked="0"/>
    </xf>
    <xf numFmtId="0" fontId="35" fillId="0" borderId="19" xfId="0" applyFont="1" applyBorder="1"/>
    <xf numFmtId="0" fontId="41" fillId="11" borderId="90" xfId="0" applyFont="1" applyFill="1" applyBorder="1" applyAlignment="1">
      <alignment horizontal="center" vertical="top"/>
    </xf>
    <xf numFmtId="0" fontId="41" fillId="11" borderId="91" xfId="0" applyFont="1" applyFill="1" applyBorder="1" applyAlignment="1">
      <alignment horizontal="center" vertical="top"/>
    </xf>
    <xf numFmtId="0" fontId="35" fillId="11" borderId="91" xfId="0" applyFont="1" applyFill="1" applyBorder="1" applyAlignment="1" applyProtection="1">
      <alignment horizontal="right" vertical="center"/>
      <protection locked="0"/>
    </xf>
    <xf numFmtId="0" fontId="35" fillId="11" borderId="92" xfId="0" applyFont="1" applyFill="1" applyBorder="1" applyAlignment="1" applyProtection="1">
      <alignment horizontal="right" vertical="center"/>
      <protection locked="0"/>
    </xf>
    <xf numFmtId="179" fontId="35" fillId="11" borderId="93" xfId="0" applyNumberFormat="1" applyFont="1" applyFill="1" applyBorder="1" applyAlignment="1">
      <alignment horizontal="left" vertical="center"/>
    </xf>
    <xf numFmtId="179" fontId="35" fillId="11" borderId="91" xfId="0" applyNumberFormat="1" applyFont="1" applyFill="1" applyBorder="1" applyAlignment="1">
      <alignment horizontal="left" vertical="center"/>
    </xf>
    <xf numFmtId="179" fontId="35" fillId="11" borderId="94" xfId="0" applyNumberFormat="1" applyFont="1" applyFill="1" applyBorder="1" applyAlignment="1">
      <alignment horizontal="left" vertical="center"/>
    </xf>
    <xf numFmtId="0" fontId="41" fillId="12" borderId="95" xfId="0" applyFont="1" applyFill="1" applyBorder="1" applyAlignment="1">
      <alignment horizontal="center" vertical="top"/>
    </xf>
    <xf numFmtId="0" fontId="41" fillId="12" borderId="91" xfId="0" applyFont="1" applyFill="1" applyBorder="1" applyAlignment="1">
      <alignment horizontal="center" vertical="top"/>
    </xf>
    <xf numFmtId="0" fontId="41" fillId="12" borderId="96" xfId="0" applyFont="1" applyFill="1" applyBorder="1" applyAlignment="1">
      <alignment horizontal="center" vertical="top"/>
    </xf>
    <xf numFmtId="0" fontId="35" fillId="12" borderId="97" xfId="0" applyFont="1" applyFill="1" applyBorder="1" applyAlignment="1" applyProtection="1">
      <alignment horizontal="right" vertical="center"/>
      <protection locked="0"/>
    </xf>
    <xf numFmtId="0" fontId="35" fillId="12" borderId="91" xfId="0" applyFont="1" applyFill="1" applyBorder="1" applyAlignment="1" applyProtection="1">
      <alignment horizontal="right" vertical="center"/>
      <protection locked="0"/>
    </xf>
    <xf numFmtId="0" fontId="35" fillId="12" borderId="96" xfId="0" applyFont="1" applyFill="1" applyBorder="1" applyAlignment="1" applyProtection="1">
      <alignment horizontal="right" vertical="center"/>
      <protection locked="0"/>
    </xf>
    <xf numFmtId="179" fontId="35" fillId="12" borderId="97" xfId="0" applyNumberFormat="1" applyFont="1" applyFill="1" applyBorder="1" applyAlignment="1">
      <alignment horizontal="left" vertical="center"/>
    </xf>
    <xf numFmtId="179" fontId="35" fillId="12" borderId="91" xfId="0" applyNumberFormat="1" applyFont="1" applyFill="1" applyBorder="1" applyAlignment="1">
      <alignment horizontal="left" vertical="center"/>
    </xf>
    <xf numFmtId="179" fontId="35" fillId="12" borderId="98" xfId="0" applyNumberFormat="1" applyFont="1" applyFill="1" applyBorder="1" applyAlignment="1">
      <alignment horizontal="left" vertical="center"/>
    </xf>
    <xf numFmtId="0" fontId="41" fillId="11" borderId="99" xfId="0" applyFont="1" applyFill="1" applyBorder="1" applyAlignment="1">
      <alignment horizontal="center" vertical="top"/>
    </xf>
    <xf numFmtId="0" fontId="41" fillId="11" borderId="92" xfId="0" applyFont="1" applyFill="1" applyBorder="1" applyAlignment="1">
      <alignment horizontal="center" vertical="top"/>
    </xf>
    <xf numFmtId="0" fontId="35" fillId="11" borderId="93" xfId="0" applyFont="1" applyFill="1" applyBorder="1" applyAlignment="1" applyProtection="1">
      <alignment horizontal="right" vertical="center"/>
      <protection locked="0"/>
    </xf>
    <xf numFmtId="179" fontId="35" fillId="11" borderId="75" xfId="0" applyNumberFormat="1" applyFont="1" applyFill="1" applyBorder="1" applyAlignment="1">
      <alignment horizontal="left" vertical="center"/>
    </xf>
    <xf numFmtId="0" fontId="41" fillId="13" borderId="95" xfId="0" applyFont="1" applyFill="1" applyBorder="1" applyAlignment="1">
      <alignment horizontal="center" vertical="top"/>
    </xf>
    <xf numFmtId="0" fontId="41" fillId="13" borderId="91" xfId="0" applyFont="1" applyFill="1" applyBorder="1" applyAlignment="1">
      <alignment horizontal="center" vertical="top"/>
    </xf>
    <xf numFmtId="0" fontId="35" fillId="13" borderId="97" xfId="0" applyFont="1" applyFill="1" applyBorder="1" applyAlignment="1" applyProtection="1">
      <alignment horizontal="center" vertical="center"/>
      <protection locked="0"/>
    </xf>
    <xf numFmtId="0" fontId="35" fillId="13" borderId="91" xfId="0" applyFont="1" applyFill="1" applyBorder="1" applyAlignment="1" applyProtection="1">
      <alignment horizontal="center" vertical="center"/>
      <protection locked="0"/>
    </xf>
    <xf numFmtId="0" fontId="35" fillId="13" borderId="100" xfId="0" applyFont="1" applyFill="1" applyBorder="1" applyAlignment="1" applyProtection="1">
      <alignment horizontal="center" vertical="center"/>
      <protection locked="0"/>
    </xf>
    <xf numFmtId="0" fontId="35" fillId="13" borderId="101" xfId="0" applyFont="1" applyFill="1" applyBorder="1" applyAlignment="1">
      <alignment horizontal="center" vertical="center"/>
    </xf>
    <xf numFmtId="0" fontId="35" fillId="13" borderId="102" xfId="0" applyFont="1" applyFill="1" applyBorder="1" applyAlignment="1">
      <alignment horizontal="center" vertical="center"/>
    </xf>
    <xf numFmtId="0" fontId="35" fillId="13" borderId="102" xfId="0" applyFont="1" applyFill="1" applyBorder="1" applyAlignment="1" applyProtection="1">
      <alignment horizontal="center" vertical="center"/>
      <protection locked="0"/>
    </xf>
    <xf numFmtId="0" fontId="35" fillId="13" borderId="103" xfId="0" applyFont="1" applyFill="1" applyBorder="1" applyAlignment="1" applyProtection="1">
      <alignment horizontal="center" vertical="center"/>
      <protection locked="0"/>
    </xf>
    <xf numFmtId="0" fontId="38" fillId="0" borderId="104" xfId="0" applyFont="1" applyBorder="1" applyAlignment="1">
      <alignment horizontal="center" vertical="center"/>
    </xf>
    <xf numFmtId="0" fontId="38" fillId="0" borderId="105" xfId="0" applyFont="1" applyBorder="1" applyAlignment="1">
      <alignment horizontal="center" vertical="center"/>
    </xf>
    <xf numFmtId="0" fontId="38" fillId="0" borderId="106" xfId="0" applyFont="1" applyBorder="1" applyAlignment="1">
      <alignment horizontal="center" vertical="center"/>
    </xf>
    <xf numFmtId="0" fontId="39" fillId="0" borderId="107" xfId="0" applyFont="1" applyBorder="1" applyAlignment="1" applyProtection="1">
      <alignment horizontal="center" vertical="center"/>
      <protection locked="0"/>
    </xf>
    <xf numFmtId="0" fontId="39" fillId="0" borderId="108" xfId="0" applyFont="1" applyBorder="1" applyAlignment="1" applyProtection="1">
      <alignment horizontal="center" vertical="center"/>
      <protection locked="0"/>
    </xf>
    <xf numFmtId="0" fontId="39" fillId="0" borderId="108" xfId="0" applyFont="1" applyBorder="1" applyAlignment="1" applyProtection="1">
      <alignment horizontal="center"/>
      <protection locked="0"/>
    </xf>
    <xf numFmtId="0" fontId="39" fillId="0" borderId="109" xfId="0" applyFont="1" applyBorder="1" applyAlignment="1" applyProtection="1">
      <alignment horizontal="center"/>
      <protection locked="0"/>
    </xf>
    <xf numFmtId="0" fontId="39" fillId="10" borderId="90" xfId="50" applyFont="1" applyFill="1" applyBorder="1" applyAlignment="1" applyProtection="1">
      <alignment horizontal="left" vertical="top" wrapText="1"/>
      <protection locked="0"/>
    </xf>
    <xf numFmtId="0" fontId="39" fillId="10" borderId="91" xfId="50" applyFont="1" applyFill="1" applyBorder="1" applyAlignment="1" applyProtection="1">
      <alignment horizontal="left" vertical="top" wrapText="1"/>
      <protection locked="0"/>
    </xf>
    <xf numFmtId="0" fontId="39" fillId="0" borderId="110" xfId="0" applyFont="1" applyBorder="1" applyAlignment="1" applyProtection="1">
      <alignment horizontal="left" vertical="top" wrapText="1"/>
      <protection locked="0"/>
    </xf>
    <xf numFmtId="0" fontId="39" fillId="0" borderId="91" xfId="0" applyFont="1" applyBorder="1" applyAlignment="1" applyProtection="1">
      <alignment horizontal="left" vertical="top" wrapText="1"/>
      <protection locked="0"/>
    </xf>
    <xf numFmtId="0" fontId="39" fillId="0" borderId="111" xfId="0" applyFont="1" applyBorder="1" applyAlignment="1" applyProtection="1">
      <alignment horizontal="left" vertical="top" wrapText="1"/>
      <protection locked="0"/>
    </xf>
    <xf numFmtId="0" fontId="36" fillId="8" borderId="91" xfId="50" applyFont="1" applyBorder="1" applyAlignment="1">
      <alignment horizontal="center" vertical="center" textRotation="255" wrapText="1"/>
    </xf>
    <xf numFmtId="0" fontId="35" fillId="0" borderId="22" xfId="0" applyFont="1" applyBorder="1" applyAlignment="1">
      <alignment vertical="top" wrapText="1"/>
    </xf>
    <xf numFmtId="0" fontId="36" fillId="8" borderId="112" xfId="50" applyFont="1" applyBorder="1" applyAlignment="1">
      <alignment horizontal="left" vertical="center"/>
    </xf>
    <xf numFmtId="0" fontId="37" fillId="8" borderId="112" xfId="51" applyFont="1" applyBorder="1" applyAlignment="1">
      <alignment horizontal="center" vertical="center"/>
    </xf>
    <xf numFmtId="0" fontId="36" fillId="0" borderId="72" xfId="50" applyFont="1" applyFill="1" applyBorder="1" applyAlignment="1"/>
    <xf numFmtId="0" fontId="36" fillId="8" borderId="32" xfId="50" applyFont="1" applyBorder="1" applyAlignment="1"/>
    <xf numFmtId="0" fontId="36" fillId="8" borderId="33" xfId="50" applyFont="1" applyBorder="1" applyAlignment="1"/>
    <xf numFmtId="0" fontId="36" fillId="8" borderId="52" xfId="50" applyFont="1" applyBorder="1" applyAlignment="1">
      <alignment horizontal="left"/>
    </xf>
    <xf numFmtId="0" fontId="36" fillId="8" borderId="25" xfId="50" applyFont="1" applyBorder="1" applyAlignment="1">
      <alignment horizontal="left"/>
    </xf>
    <xf numFmtId="0" fontId="36" fillId="8" borderId="54" xfId="50" applyFont="1" applyBorder="1" applyAlignment="1">
      <alignment horizontal="left"/>
    </xf>
    <xf numFmtId="0" fontId="37" fillId="8" borderId="52" xfId="50" applyFont="1" applyBorder="1">
      <alignment horizontal="center"/>
    </xf>
    <xf numFmtId="0" fontId="37" fillId="8" borderId="25" xfId="50" applyFont="1" applyBorder="1">
      <alignment horizontal="center"/>
    </xf>
    <xf numFmtId="0" fontId="37" fillId="8" borderId="54" xfId="50" applyFont="1" applyBorder="1">
      <alignment horizontal="center"/>
    </xf>
    <xf numFmtId="0" fontId="37" fillId="8" borderId="113" xfId="50" applyFont="1" applyBorder="1">
      <alignment horizontal="center"/>
    </xf>
    <xf numFmtId="0" fontId="42" fillId="0" borderId="31" xfId="0" applyFont="1" applyBorder="1"/>
    <xf numFmtId="0" fontId="36" fillId="8" borderId="52" xfId="0" applyFont="1" applyFill="1" applyBorder="1" applyAlignment="1">
      <alignment horizontal="center"/>
    </xf>
    <xf numFmtId="0" fontId="36" fillId="8" borderId="25" xfId="0" applyFont="1" applyFill="1" applyBorder="1" applyAlignment="1">
      <alignment horizontal="center"/>
    </xf>
    <xf numFmtId="0" fontId="35" fillId="10" borderId="25" xfId="0" applyFont="1" applyFill="1" applyBorder="1" applyAlignment="1">
      <alignment horizontal="center" vertical="center"/>
    </xf>
    <xf numFmtId="0" fontId="35" fillId="10" borderId="54" xfId="0" applyFont="1" applyFill="1" applyBorder="1" applyAlignment="1">
      <alignment horizontal="center" vertical="center"/>
    </xf>
    <xf numFmtId="49" fontId="9" fillId="0" borderId="114" xfId="0" applyNumberFormat="1" applyFont="1" applyBorder="1" applyAlignment="1" applyProtection="1">
      <alignment horizontal="center" vertical="center"/>
      <protection locked="0"/>
    </xf>
    <xf numFmtId="49" fontId="9" fillId="0" borderId="50" xfId="0" applyNumberFormat="1" applyFont="1" applyBorder="1" applyAlignment="1" applyProtection="1">
      <alignment horizontal="center" vertical="center"/>
      <protection locked="0"/>
    </xf>
    <xf numFmtId="0" fontId="35" fillId="0" borderId="50" xfId="49" applyFont="1" applyBorder="1" applyAlignment="1">
      <alignment horizontal="center" vertical="center"/>
    </xf>
    <xf numFmtId="176" fontId="35" fillId="0" borderId="50" xfId="0" applyNumberFormat="1" applyFont="1" applyBorder="1" applyAlignment="1">
      <alignment horizontal="right" vertical="center"/>
    </xf>
    <xf numFmtId="0" fontId="35" fillId="0" borderId="50" xfId="0" applyFont="1" applyBorder="1" applyAlignment="1">
      <alignment horizontal="right" vertical="center"/>
    </xf>
    <xf numFmtId="0" fontId="35" fillId="0" borderId="50" xfId="0" applyFont="1" applyBorder="1" applyAlignment="1" applyProtection="1">
      <alignment horizontal="right" vertical="center"/>
      <protection locked="0"/>
    </xf>
    <xf numFmtId="0" fontId="35" fillId="0" borderId="115" xfId="0" applyFont="1" applyBorder="1" applyAlignment="1" applyProtection="1">
      <alignment horizontal="right" vertical="center"/>
      <protection locked="0"/>
    </xf>
    <xf numFmtId="49" fontId="9" fillId="0" borderId="116" xfId="0" applyNumberFormat="1" applyFont="1" applyBorder="1" applyAlignment="1" applyProtection="1">
      <alignment horizontal="center" vertical="center"/>
      <protection locked="0"/>
    </xf>
    <xf numFmtId="0" fontId="35" fillId="0" borderId="117" xfId="0" applyFont="1" applyBorder="1" applyAlignment="1" applyProtection="1">
      <alignment horizontal="right" vertical="center"/>
      <protection locked="0"/>
    </xf>
    <xf numFmtId="0" fontId="35" fillId="0" borderId="114" xfId="0" applyFont="1" applyBorder="1" applyAlignment="1">
      <alignment horizontal="center" vertical="center"/>
    </xf>
    <xf numFmtId="0" fontId="35" fillId="0" borderId="50" xfId="0" applyFont="1" applyBorder="1" applyAlignment="1">
      <alignment horizontal="center" vertical="center"/>
    </xf>
    <xf numFmtId="0" fontId="35" fillId="0" borderId="50" xfId="0" applyFont="1" applyBorder="1" applyAlignment="1" applyProtection="1">
      <alignment horizontal="left" vertical="top" wrapText="1"/>
      <protection locked="0"/>
    </xf>
    <xf numFmtId="0" fontId="35" fillId="0" borderId="118" xfId="0" applyFont="1" applyBorder="1" applyAlignment="1" applyProtection="1">
      <alignment horizontal="left" vertical="top" wrapText="1"/>
      <protection locked="0"/>
    </xf>
    <xf numFmtId="0" fontId="35" fillId="0" borderId="119" xfId="0" applyFont="1" applyBorder="1" applyAlignment="1" applyProtection="1">
      <alignment horizontal="center" vertical="center"/>
      <protection locked="0"/>
    </xf>
    <xf numFmtId="0" fontId="35" fillId="0" borderId="120" xfId="0" applyFont="1" applyBorder="1" applyAlignment="1" applyProtection="1">
      <alignment horizontal="center" vertical="center"/>
      <protection locked="0"/>
    </xf>
    <xf numFmtId="0" fontId="35" fillId="0" borderId="121" xfId="0" applyFont="1" applyBorder="1" applyAlignment="1" applyProtection="1">
      <alignment horizontal="center" vertical="center"/>
      <protection locked="0"/>
    </xf>
    <xf numFmtId="0" fontId="43" fillId="8" borderId="90" xfId="0" applyFont="1" applyFill="1" applyBorder="1" applyAlignment="1">
      <alignment horizontal="center" vertical="top"/>
    </xf>
    <xf numFmtId="0" fontId="43" fillId="8" borderId="91" xfId="0" applyFont="1" applyFill="1" applyBorder="1" applyAlignment="1">
      <alignment horizontal="center" vertical="top"/>
    </xf>
    <xf numFmtId="0" fontId="35" fillId="10" borderId="91" xfId="0" applyFont="1" applyFill="1" applyBorder="1" applyAlignment="1">
      <alignment horizontal="center" vertical="center"/>
    </xf>
    <xf numFmtId="0" fontId="35" fillId="10" borderId="111" xfId="0" applyFont="1" applyFill="1" applyBorder="1" applyAlignment="1">
      <alignment horizontal="center" vertical="center"/>
    </xf>
    <xf numFmtId="49" fontId="9" fillId="0" borderId="55" xfId="0" applyNumberFormat="1" applyFont="1" applyBorder="1" applyAlignment="1" applyProtection="1">
      <alignment horizontal="center" vertical="center"/>
      <protection locked="0"/>
    </xf>
    <xf numFmtId="49" fontId="9" fillId="0" borderId="56" xfId="0" applyNumberFormat="1" applyFont="1" applyBorder="1" applyAlignment="1" applyProtection="1">
      <alignment horizontal="center" vertical="center"/>
      <protection locked="0"/>
    </xf>
    <xf numFmtId="0" fontId="35" fillId="0" borderId="56" xfId="49" applyFont="1" applyBorder="1" applyAlignment="1">
      <alignment horizontal="center" vertical="center"/>
    </xf>
    <xf numFmtId="176" fontId="35" fillId="0" borderId="56" xfId="0" applyNumberFormat="1" applyFont="1" applyBorder="1" applyAlignment="1">
      <alignment horizontal="right" vertical="center"/>
    </xf>
    <xf numFmtId="0" fontId="35" fillId="0" borderId="56" xfId="0" applyFont="1" applyBorder="1" applyAlignment="1">
      <alignment horizontal="right" vertical="center"/>
    </xf>
    <xf numFmtId="0" fontId="35" fillId="0" borderId="122" xfId="0" applyFont="1" applyBorder="1" applyAlignment="1" applyProtection="1">
      <alignment horizontal="right" vertical="center"/>
      <protection locked="0"/>
    </xf>
    <xf numFmtId="49" fontId="9" fillId="0" borderId="123" xfId="0" applyNumberFormat="1" applyFont="1" applyBorder="1" applyAlignment="1" applyProtection="1">
      <alignment horizontal="center" vertical="center"/>
      <protection locked="0"/>
    </xf>
    <xf numFmtId="0" fontId="35" fillId="0" borderId="124" xfId="0" applyFont="1" applyBorder="1" applyAlignment="1" applyProtection="1">
      <alignment horizontal="right" vertical="center"/>
      <protection locked="0"/>
    </xf>
    <xf numFmtId="0" fontId="35" fillId="0" borderId="56" xfId="0" applyFont="1" applyBorder="1" applyAlignment="1" applyProtection="1">
      <alignment horizontal="left" vertical="top" wrapText="1"/>
      <protection locked="0"/>
    </xf>
    <xf numFmtId="0" fontId="35" fillId="0" borderId="66" xfId="0" applyFont="1" applyBorder="1" applyAlignment="1" applyProtection="1">
      <alignment horizontal="left" vertical="top" wrapText="1"/>
      <protection locked="0"/>
    </xf>
    <xf numFmtId="0" fontId="35" fillId="0" borderId="125" xfId="0" applyFont="1" applyBorder="1" applyAlignment="1" applyProtection="1">
      <alignment horizontal="center" vertical="center"/>
      <protection locked="0"/>
    </xf>
    <xf numFmtId="0" fontId="35" fillId="0" borderId="56" xfId="0" applyFont="1" applyBorder="1" applyAlignment="1" applyProtection="1">
      <alignment horizontal="center" vertical="center"/>
      <protection locked="0"/>
    </xf>
    <xf numFmtId="0" fontId="35" fillId="0" borderId="124" xfId="0" applyFont="1" applyBorder="1" applyAlignment="1" applyProtection="1">
      <alignment horizontal="center" vertical="center"/>
      <protection locked="0"/>
    </xf>
    <xf numFmtId="0" fontId="42" fillId="0" borderId="126" xfId="0" applyFont="1" applyBorder="1"/>
    <xf numFmtId="0" fontId="35" fillId="0" borderId="24" xfId="0" applyFont="1" applyBorder="1" applyAlignment="1">
      <alignment horizontal="center" vertical="top" wrapText="1"/>
    </xf>
    <xf numFmtId="0" fontId="35" fillId="0" borderId="25" xfId="0" applyFont="1" applyBorder="1" applyAlignment="1">
      <alignment horizontal="center" vertical="top" wrapText="1"/>
    </xf>
    <xf numFmtId="0" fontId="35" fillId="0" borderId="26" xfId="0" applyFont="1" applyBorder="1" applyAlignment="1">
      <alignment horizontal="center" vertical="top" wrapText="1"/>
    </xf>
    <xf numFmtId="0" fontId="36" fillId="8" borderId="63" xfId="50" applyFont="1" applyBorder="1" applyAlignment="1">
      <alignment horizontal="left" wrapText="1"/>
    </xf>
    <xf numFmtId="0" fontId="36" fillId="8" borderId="0" xfId="50" applyFont="1" applyBorder="1" applyAlignment="1">
      <alignment horizontal="left" wrapText="1"/>
    </xf>
    <xf numFmtId="0" fontId="36" fillId="8" borderId="65" xfId="50" applyFont="1" applyBorder="1" applyAlignment="1">
      <alignment horizontal="left" wrapText="1"/>
    </xf>
    <xf numFmtId="0" fontId="35" fillId="0" borderId="16" xfId="49" applyFont="1" applyBorder="1" applyAlignment="1">
      <alignment horizontal="right" vertical="center"/>
    </xf>
    <xf numFmtId="0" fontId="35" fillId="0" borderId="17" xfId="49" applyFont="1" applyBorder="1" applyAlignment="1">
      <alignment horizontal="right" vertical="center"/>
    </xf>
    <xf numFmtId="0" fontId="35" fillId="0" borderId="17" xfId="49" applyFont="1" applyBorder="1" applyAlignment="1" applyProtection="1">
      <alignment horizontal="left" vertical="center"/>
      <protection locked="0"/>
    </xf>
    <xf numFmtId="0" fontId="35" fillId="0" borderId="127" xfId="49" applyFont="1" applyBorder="1" applyAlignment="1" applyProtection="1">
      <alignment horizontal="left" vertical="center"/>
      <protection locked="0"/>
    </xf>
    <xf numFmtId="0" fontId="35" fillId="11" borderId="55" xfId="0" applyFont="1" applyFill="1" applyBorder="1" applyAlignment="1">
      <alignment horizontal="center" vertical="center" wrapText="1"/>
    </xf>
    <xf numFmtId="0" fontId="35" fillId="11" borderId="56" xfId="0" applyFont="1" applyFill="1" applyBorder="1" applyAlignment="1">
      <alignment horizontal="center" vertical="center" wrapText="1"/>
    </xf>
    <xf numFmtId="0" fontId="35" fillId="11" borderId="56" xfId="0" applyFont="1" applyFill="1" applyBorder="1" applyAlignment="1" applyProtection="1">
      <alignment horizontal="left" vertical="top" wrapText="1"/>
      <protection locked="0"/>
    </xf>
    <xf numFmtId="0" fontId="35" fillId="11" borderId="66" xfId="0" applyFont="1" applyFill="1" applyBorder="1" applyAlignment="1" applyProtection="1">
      <alignment horizontal="left" vertical="top" wrapText="1"/>
      <protection locked="0"/>
    </xf>
    <xf numFmtId="0" fontId="39" fillId="0" borderId="63" xfId="0" applyFont="1" applyBorder="1" applyAlignment="1" applyProtection="1">
      <alignment horizontal="left" vertical="top" wrapText="1"/>
      <protection locked="0"/>
    </xf>
    <xf numFmtId="0" fontId="35" fillId="0" borderId="128" xfId="49" applyFont="1" applyBorder="1" applyAlignment="1">
      <alignment horizontal="right" vertical="center"/>
    </xf>
    <xf numFmtId="0" fontId="35" fillId="0" borderId="129" xfId="49" applyFont="1" applyBorder="1" applyAlignment="1">
      <alignment horizontal="right" vertical="center"/>
    </xf>
    <xf numFmtId="0" fontId="35" fillId="0" borderId="129" xfId="49" applyFont="1" applyBorder="1" applyAlignment="1" applyProtection="1">
      <alignment horizontal="left" vertical="center"/>
      <protection locked="0"/>
    </xf>
    <xf numFmtId="0" fontId="35" fillId="0" borderId="130" xfId="49" applyFont="1" applyBorder="1" applyAlignment="1" applyProtection="1">
      <alignment horizontal="left" vertical="center"/>
      <protection locked="0"/>
    </xf>
    <xf numFmtId="0" fontId="35" fillId="0" borderId="131" xfId="0" applyFont="1" applyBorder="1" applyAlignment="1" applyProtection="1">
      <alignment horizontal="center" vertical="center"/>
      <protection locked="0"/>
    </xf>
    <xf numFmtId="0" fontId="35" fillId="0" borderId="132" xfId="0" applyFont="1" applyBorder="1" applyAlignment="1" applyProtection="1">
      <alignment horizontal="center" vertical="center"/>
      <protection locked="0"/>
    </xf>
    <xf numFmtId="0" fontId="35" fillId="0" borderId="133" xfId="0" applyFont="1" applyBorder="1" applyAlignment="1" applyProtection="1">
      <alignment horizontal="center" vertical="center"/>
      <protection locked="0"/>
    </xf>
    <xf numFmtId="0" fontId="39" fillId="0" borderId="90" xfId="0" applyFont="1" applyBorder="1" applyAlignment="1" applyProtection="1">
      <alignment horizontal="left" vertical="top" wrapText="1"/>
      <protection locked="0"/>
    </xf>
    <xf numFmtId="0" fontId="42" fillId="0" borderId="13" xfId="0" applyFont="1" applyBorder="1"/>
    <xf numFmtId="0" fontId="35" fillId="8" borderId="33" xfId="0" applyFont="1" applyFill="1" applyBorder="1"/>
    <xf numFmtId="0" fontId="37" fillId="8" borderId="33" xfId="51" applyFont="1" applyBorder="1" applyAlignment="1">
      <alignment horizontal="left"/>
    </xf>
    <xf numFmtId="0" fontId="37" fillId="8" borderId="33" xfId="51" applyFont="1" applyBorder="1" applyAlignment="1">
      <alignment horizontal="right"/>
    </xf>
    <xf numFmtId="0" fontId="43" fillId="8" borderId="33" xfId="50" applyFont="1" applyBorder="1" applyAlignment="1">
      <alignment horizontal="left"/>
    </xf>
    <xf numFmtId="0" fontId="41" fillId="8" borderId="33" xfId="0" applyFont="1" applyFill="1" applyBorder="1"/>
    <xf numFmtId="0" fontId="37" fillId="8" borderId="33" xfId="0" applyFont="1" applyFill="1" applyBorder="1" applyAlignment="1">
      <alignment horizontal="left"/>
    </xf>
    <xf numFmtId="0" fontId="37" fillId="8" borderId="33" xfId="0" applyFont="1" applyFill="1" applyBorder="1" applyAlignment="1">
      <alignment horizontal="right"/>
    </xf>
    <xf numFmtId="0" fontId="35" fillId="0" borderId="134" xfId="0" applyFont="1" applyBorder="1" applyAlignment="1" applyProtection="1">
      <alignment horizontal="left" vertical="top" wrapText="1"/>
      <protection locked="0"/>
    </xf>
    <xf numFmtId="0" fontId="35" fillId="0" borderId="118" xfId="0" applyFont="1" applyBorder="1" applyAlignment="1">
      <alignment horizontal="center" vertical="center"/>
    </xf>
    <xf numFmtId="0" fontId="39" fillId="0" borderId="32" xfId="0" applyFont="1" applyBorder="1" applyAlignment="1" applyProtection="1">
      <alignment horizontal="left" vertical="top" wrapText="1"/>
      <protection locked="0"/>
    </xf>
    <xf numFmtId="0" fontId="39" fillId="0" borderId="33" xfId="0" applyFont="1" applyBorder="1" applyAlignment="1" applyProtection="1">
      <alignment horizontal="left" vertical="top" wrapText="1"/>
      <protection locked="0"/>
    </xf>
    <xf numFmtId="0" fontId="39" fillId="0" borderId="34" xfId="0" applyFont="1" applyBorder="1" applyAlignment="1" applyProtection="1">
      <alignment horizontal="left" vertical="top" wrapText="1"/>
      <protection locked="0"/>
    </xf>
    <xf numFmtId="0" fontId="35" fillId="0" borderId="125" xfId="0" applyFont="1" applyBorder="1" applyAlignment="1" applyProtection="1">
      <alignment horizontal="left" vertical="top" wrapText="1"/>
      <protection locked="0"/>
    </xf>
    <xf numFmtId="0" fontId="35" fillId="0" borderId="135" xfId="0" applyFont="1" applyBorder="1" applyAlignment="1" applyProtection="1">
      <alignment horizontal="right" vertical="center"/>
      <protection locked="0"/>
    </xf>
    <xf numFmtId="0" fontId="35" fillId="0" borderId="136" xfId="0" applyFont="1" applyBorder="1" applyAlignment="1" applyProtection="1">
      <alignment horizontal="right" vertical="center"/>
      <protection locked="0"/>
    </xf>
    <xf numFmtId="0" fontId="35" fillId="0" borderId="66" xfId="0" applyFont="1" applyBorder="1" applyAlignment="1" applyProtection="1">
      <alignment horizontal="center" vertical="center"/>
      <protection locked="0"/>
    </xf>
    <xf numFmtId="0" fontId="35" fillId="0" borderId="137" xfId="0" applyFont="1" applyBorder="1" applyAlignment="1" applyProtection="1">
      <alignment horizontal="right" vertical="center"/>
      <protection locked="0"/>
    </xf>
    <xf numFmtId="0" fontId="35" fillId="0" borderId="43" xfId="0" applyFont="1" applyBorder="1" applyAlignment="1" applyProtection="1">
      <alignment horizontal="right" vertical="center"/>
      <protection locked="0"/>
    </xf>
    <xf numFmtId="0" fontId="35" fillId="0" borderId="66" xfId="0" applyFont="1" applyBorder="1" applyAlignment="1">
      <alignment horizontal="center" vertical="center"/>
    </xf>
    <xf numFmtId="0" fontId="35" fillId="0" borderId="55" xfId="0" applyFont="1" applyBorder="1" applyAlignment="1" applyProtection="1">
      <alignment horizontal="left" vertical="top" wrapText="1"/>
      <protection locked="0"/>
    </xf>
    <xf numFmtId="0" fontId="35" fillId="0" borderId="31" xfId="0" applyFont="1" applyBorder="1" applyAlignment="1">
      <alignment vertical="top" wrapText="1"/>
    </xf>
    <xf numFmtId="49" fontId="9" fillId="0" borderId="123" xfId="0" applyNumberFormat="1" applyFont="1" applyBorder="1" applyAlignment="1">
      <alignment horizontal="center" vertical="center"/>
    </xf>
    <xf numFmtId="49" fontId="9" fillId="0" borderId="56" xfId="0" applyNumberFormat="1" applyFont="1" applyBorder="1" applyAlignment="1">
      <alignment horizontal="center" vertical="center"/>
    </xf>
    <xf numFmtId="0" fontId="35" fillId="0" borderId="56" xfId="49" applyFont="1" applyBorder="1" applyAlignment="1" applyProtection="1">
      <alignment horizontal="center" vertical="center"/>
      <protection locked="0"/>
    </xf>
    <xf numFmtId="176" fontId="35" fillId="0" borderId="56" xfId="0" applyNumberFormat="1" applyFont="1" applyBorder="1" applyAlignment="1" applyProtection="1">
      <alignment horizontal="right" vertical="center"/>
      <protection locked="0"/>
    </xf>
    <xf numFmtId="49" fontId="9" fillId="0" borderId="138" xfId="0" applyNumberFormat="1" applyFont="1" applyBorder="1" applyAlignment="1" applyProtection="1">
      <alignment horizontal="center" vertical="center"/>
      <protection locked="0"/>
    </xf>
    <xf numFmtId="49" fontId="9" fillId="0" borderId="132" xfId="0" applyNumberFormat="1" applyFont="1" applyBorder="1" applyAlignment="1" applyProtection="1">
      <alignment horizontal="center" vertical="center"/>
      <protection locked="0"/>
    </xf>
    <xf numFmtId="0" fontId="35" fillId="0" borderId="132" xfId="49" applyFont="1" applyBorder="1" applyAlignment="1">
      <alignment horizontal="center" vertical="center"/>
    </xf>
    <xf numFmtId="176" fontId="35" fillId="0" borderId="132" xfId="0" applyNumberFormat="1" applyFont="1" applyBorder="1" applyAlignment="1">
      <alignment horizontal="right" vertical="center"/>
    </xf>
    <xf numFmtId="0" fontId="35" fillId="0" borderId="132" xfId="0" applyFont="1" applyBorder="1" applyAlignment="1">
      <alignment horizontal="right" vertical="center"/>
    </xf>
    <xf numFmtId="0" fontId="35" fillId="0" borderId="132" xfId="0" applyFont="1" applyBorder="1" applyAlignment="1" applyProtection="1">
      <alignment horizontal="right" vertical="center"/>
      <protection locked="0"/>
    </xf>
    <xf numFmtId="0" fontId="35" fillId="0" borderId="139" xfId="0" applyFont="1" applyBorder="1" applyAlignment="1" applyProtection="1">
      <alignment horizontal="right" vertical="center"/>
      <protection locked="0"/>
    </xf>
    <xf numFmtId="49" fontId="9" fillId="0" borderId="140" xfId="0" applyNumberFormat="1" applyFont="1" applyBorder="1" applyAlignment="1" applyProtection="1">
      <alignment horizontal="center" vertical="center"/>
      <protection locked="0"/>
    </xf>
    <xf numFmtId="0" fontId="35" fillId="0" borderId="132" xfId="49" applyFont="1" applyBorder="1" applyAlignment="1" applyProtection="1">
      <alignment horizontal="center" vertical="center"/>
      <protection locked="0"/>
    </xf>
    <xf numFmtId="176" fontId="35" fillId="0" borderId="132" xfId="0" applyNumberFormat="1" applyFont="1" applyBorder="1" applyAlignment="1" applyProtection="1">
      <alignment horizontal="right" vertical="center"/>
      <protection locked="0"/>
    </xf>
    <xf numFmtId="0" fontId="35" fillId="0" borderId="133" xfId="0" applyFont="1" applyBorder="1" applyAlignment="1" applyProtection="1">
      <alignment horizontal="right" vertical="center"/>
      <protection locked="0"/>
    </xf>
    <xf numFmtId="0" fontId="35" fillId="0" borderId="67" xfId="0" applyFont="1" applyBorder="1" applyAlignment="1" applyProtection="1">
      <alignment horizontal="left" vertical="top" wrapText="1"/>
      <protection locked="0"/>
    </xf>
    <xf numFmtId="0" fontId="35" fillId="0" borderId="68" xfId="0" applyFont="1" applyBorder="1" applyAlignment="1" applyProtection="1">
      <alignment horizontal="left" vertical="top" wrapText="1"/>
      <protection locked="0"/>
    </xf>
    <xf numFmtId="0" fontId="35" fillId="0" borderId="141" xfId="0" applyFont="1" applyBorder="1" applyAlignment="1" applyProtection="1">
      <alignment horizontal="left" vertical="top" wrapText="1"/>
      <protection locked="0"/>
    </xf>
    <xf numFmtId="0" fontId="35" fillId="0" borderId="142" xfId="0" applyFont="1" applyBorder="1" applyAlignment="1" applyProtection="1">
      <alignment horizontal="left" vertical="top" wrapText="1"/>
      <protection locked="0"/>
    </xf>
    <xf numFmtId="0" fontId="35" fillId="0" borderId="143" xfId="0" applyFont="1" applyBorder="1" applyAlignment="1" applyProtection="1">
      <alignment horizontal="right" vertical="center"/>
      <protection locked="0"/>
    </xf>
    <xf numFmtId="0" fontId="35" fillId="0" borderId="144" xfId="0" applyFont="1" applyBorder="1" applyAlignment="1" applyProtection="1">
      <alignment horizontal="right" vertical="center"/>
      <protection locked="0"/>
    </xf>
    <xf numFmtId="0" fontId="35" fillId="0" borderId="68" xfId="0" applyFont="1" applyBorder="1" applyAlignment="1" applyProtection="1">
      <alignment horizontal="center" vertical="center"/>
      <protection locked="0"/>
    </xf>
    <xf numFmtId="0" fontId="35" fillId="0" borderId="141" xfId="0" applyFont="1" applyBorder="1" applyAlignment="1" applyProtection="1">
      <alignment horizontal="center" vertical="center"/>
      <protection locked="0"/>
    </xf>
    <xf numFmtId="0" fontId="42" fillId="0" borderId="12" xfId="0" applyFont="1" applyBorder="1"/>
    <xf numFmtId="0" fontId="35" fillId="0" borderId="145" xfId="0" applyFont="1" applyBorder="1"/>
    <xf numFmtId="0" fontId="42" fillId="0" borderId="145" xfId="0" applyFont="1" applyBorder="1"/>
    <xf numFmtId="0" fontId="44" fillId="14" borderId="32" xfId="0" applyFont="1" applyFill="1" applyBorder="1" applyAlignment="1">
      <alignment horizontal="left"/>
    </xf>
    <xf numFmtId="0" fontId="44" fillId="14" borderId="33" xfId="0" applyFont="1" applyFill="1" applyBorder="1" applyAlignment="1">
      <alignment horizontal="left"/>
    </xf>
    <xf numFmtId="0" fontId="44" fillId="14" borderId="146" xfId="0" applyFont="1" applyFill="1" applyBorder="1" applyAlignment="1">
      <alignment horizontal="left"/>
    </xf>
    <xf numFmtId="0" fontId="35" fillId="0" borderId="147" xfId="0" applyFont="1" applyBorder="1" applyAlignment="1" applyProtection="1">
      <alignment horizontal="left"/>
      <protection locked="0"/>
    </xf>
    <xf numFmtId="0" fontId="35" fillId="0" borderId="148" xfId="0" applyFont="1" applyBorder="1" applyAlignment="1" applyProtection="1">
      <alignment horizontal="left"/>
      <protection locked="0"/>
    </xf>
    <xf numFmtId="0" fontId="35" fillId="0" borderId="149" xfId="0" applyFont="1" applyBorder="1" applyAlignment="1" applyProtection="1">
      <alignment horizontal="left"/>
      <protection locked="0"/>
    </xf>
    <xf numFmtId="0" fontId="35" fillId="0" borderId="150" xfId="0" applyFont="1" applyBorder="1"/>
    <xf numFmtId="0" fontId="35" fillId="0" borderId="151" xfId="0" applyFont="1" applyBorder="1"/>
    <xf numFmtId="0" fontId="35" fillId="0" borderId="152" xfId="0" applyFont="1" applyBorder="1"/>
    <xf numFmtId="0" fontId="44" fillId="14" borderId="153" xfId="0" applyFont="1" applyFill="1" applyBorder="1" applyAlignment="1">
      <alignment horizontal="left"/>
    </xf>
    <xf numFmtId="0" fontId="44" fillId="14" borderId="154" xfId="0" applyFont="1" applyFill="1" applyBorder="1" applyAlignment="1">
      <alignment horizontal="left"/>
    </xf>
    <xf numFmtId="0" fontId="44" fillId="14" borderId="155" xfId="0" applyFont="1" applyFill="1" applyBorder="1" applyAlignment="1">
      <alignment horizontal="left"/>
    </xf>
    <xf numFmtId="0" fontId="35" fillId="0" borderId="156" xfId="0" applyFont="1" applyBorder="1" applyAlignment="1" applyProtection="1">
      <alignment horizontal="left"/>
      <protection locked="0"/>
    </xf>
    <xf numFmtId="0" fontId="35" fillId="0" borderId="157" xfId="0" applyFont="1" applyBorder="1" applyAlignment="1" applyProtection="1">
      <alignment horizontal="left"/>
      <protection locked="0"/>
    </xf>
    <xf numFmtId="0" fontId="35" fillId="0" borderId="32" xfId="0" applyFont="1" applyBorder="1" applyAlignment="1" applyProtection="1">
      <alignment horizontal="left"/>
      <protection locked="0"/>
    </xf>
    <xf numFmtId="0" fontId="35" fillId="0" borderId="33" xfId="0" applyFont="1" applyBorder="1" applyAlignment="1" applyProtection="1">
      <alignment horizontal="left"/>
      <protection locked="0"/>
    </xf>
    <xf numFmtId="0" fontId="35" fillId="0" borderId="34" xfId="0" applyFont="1" applyBorder="1" applyAlignment="1" applyProtection="1">
      <alignment horizontal="left"/>
      <protection locked="0"/>
    </xf>
    <xf numFmtId="0" fontId="45" fillId="15" borderId="32" xfId="0" applyFont="1" applyFill="1" applyBorder="1" applyAlignment="1">
      <alignment horizontal="left"/>
    </xf>
    <xf numFmtId="0" fontId="45" fillId="15" borderId="33" xfId="0" applyFont="1" applyFill="1" applyBorder="1" applyAlignment="1">
      <alignment horizontal="left"/>
    </xf>
    <xf numFmtId="0" fontId="45" fillId="15" borderId="158" xfId="0" applyFont="1" applyFill="1" applyBorder="1" applyAlignment="1">
      <alignment horizontal="left"/>
    </xf>
    <xf numFmtId="0" fontId="35" fillId="0" borderId="143" xfId="0" applyFont="1" applyBorder="1" applyAlignment="1" applyProtection="1">
      <alignment horizontal="left"/>
      <protection locked="0"/>
    </xf>
    <xf numFmtId="0" fontId="35" fillId="0" borderId="91" xfId="0" applyFont="1" applyBorder="1" applyAlignment="1" applyProtection="1">
      <alignment horizontal="left"/>
      <protection locked="0"/>
    </xf>
    <xf numFmtId="0" fontId="35" fillId="0" borderId="111" xfId="0" applyFont="1" applyBorder="1" applyAlignment="1" applyProtection="1">
      <alignment horizontal="left"/>
      <protection locked="0"/>
    </xf>
    <xf numFmtId="0" fontId="35" fillId="0" borderId="159" xfId="0" applyFont="1" applyBorder="1" applyAlignment="1">
      <alignment horizontal="left"/>
    </xf>
    <xf numFmtId="0" fontId="35" fillId="0" borderId="12" xfId="0" applyFont="1" applyBorder="1" applyAlignment="1">
      <alignment wrapText="1"/>
    </xf>
    <xf numFmtId="0" fontId="35" fillId="0" borderId="160" xfId="0" applyFont="1" applyBorder="1" applyAlignment="1">
      <alignment wrapText="1"/>
    </xf>
    <xf numFmtId="0" fontId="35" fillId="0" borderId="20" xfId="0" applyFont="1" applyBorder="1" applyAlignment="1">
      <alignment wrapText="1"/>
    </xf>
    <xf numFmtId="0" fontId="35" fillId="0" borderId="13" xfId="0" applyFont="1" applyBorder="1" applyAlignment="1">
      <alignment wrapText="1"/>
    </xf>
    <xf numFmtId="0" fontId="46" fillId="0" borderId="0" xfId="0" applyFont="1" applyAlignment="1">
      <alignment vertical="center" shrinkToFit="1"/>
    </xf>
    <xf numFmtId="0" fontId="47" fillId="0" borderId="161" xfId="0" applyFont="1" applyBorder="1" applyAlignment="1">
      <alignment horizontal="center"/>
    </xf>
    <xf numFmtId="0" fontId="47" fillId="0" borderId="162" xfId="0" applyFont="1" applyBorder="1" applyAlignment="1">
      <alignment horizontal="center"/>
    </xf>
    <xf numFmtId="0" fontId="35" fillId="0" borderId="163" xfId="0" applyFont="1" applyBorder="1"/>
    <xf numFmtId="0" fontId="35" fillId="0" borderId="164" xfId="0" applyFont="1" applyBorder="1"/>
    <xf numFmtId="0" fontId="35" fillId="0" borderId="165" xfId="0" applyFont="1" applyBorder="1"/>
    <xf numFmtId="0" fontId="35" fillId="0" borderId="166" xfId="0" applyFont="1" applyBorder="1" applyAlignment="1">
      <alignment horizontal="left" vertical="top" wrapText="1"/>
    </xf>
    <xf numFmtId="0" fontId="35" fillId="0" borderId="12" xfId="0" applyFont="1" applyBorder="1" applyAlignment="1">
      <alignment horizontal="left" vertical="top" wrapText="1"/>
    </xf>
    <xf numFmtId="0" fontId="45" fillId="0" borderId="12" xfId="0" applyFont="1" applyBorder="1" applyAlignment="1">
      <alignment horizontal="left" vertical="top" wrapText="1"/>
    </xf>
    <xf numFmtId="0" fontId="35" fillId="0" borderId="18" xfId="0" applyFont="1" applyBorder="1" applyAlignment="1">
      <alignment vertical="top" wrapText="1"/>
    </xf>
    <xf numFmtId="0" fontId="45" fillId="0" borderId="77" xfId="0" applyFont="1" applyBorder="1" applyAlignment="1">
      <alignment horizontal="left" vertical="top" wrapText="1"/>
    </xf>
    <xf numFmtId="0" fontId="45" fillId="0" borderId="159" xfId="0" applyFont="1" applyBorder="1" applyAlignment="1">
      <alignment horizontal="left" vertical="top" wrapText="1"/>
    </xf>
    <xf numFmtId="0" fontId="35" fillId="0" borderId="77" xfId="0" applyFont="1" applyBorder="1" applyAlignment="1">
      <alignment horizontal="left" vertical="top" wrapText="1"/>
    </xf>
    <xf numFmtId="0" fontId="35" fillId="0" borderId="159" xfId="0" applyFont="1" applyBorder="1" applyAlignment="1">
      <alignment horizontal="left" vertical="top" wrapText="1"/>
    </xf>
    <xf numFmtId="0" fontId="45" fillId="0" borderId="13" xfId="0" applyFont="1" applyBorder="1" applyAlignment="1">
      <alignment horizontal="left"/>
    </xf>
    <xf numFmtId="0" fontId="45" fillId="0" borderId="167" xfId="0" applyFont="1" applyBorder="1" applyAlignment="1">
      <alignment horizontal="left"/>
    </xf>
    <xf numFmtId="0" fontId="48" fillId="0" borderId="0" xfId="0" applyFont="1" applyAlignment="1">
      <alignment vertical="center" shrinkToFit="1"/>
    </xf>
    <xf numFmtId="0" fontId="35" fillId="0" borderId="167" xfId="0" applyFont="1" applyBorder="1"/>
    <xf numFmtId="0" fontId="35" fillId="0" borderId="168" xfId="0" applyFont="1" applyBorder="1"/>
    <xf numFmtId="0" fontId="35" fillId="0" borderId="169" xfId="0" applyFont="1" applyBorder="1"/>
    <xf numFmtId="0" fontId="35" fillId="0" borderId="20" xfId="0" applyFont="1" applyBorder="1" applyAlignment="1">
      <alignment horizontal="left" vertical="top" wrapText="1"/>
    </xf>
    <xf numFmtId="0" fontId="45" fillId="0" borderId="13" xfId="0" applyFont="1" applyBorder="1" applyAlignment="1">
      <alignment horizontal="left" vertical="top" wrapText="1"/>
    </xf>
    <xf numFmtId="0" fontId="35" fillId="0" borderId="13" xfId="0" applyFont="1" applyBorder="1" applyAlignment="1">
      <alignment vertical="top" wrapText="1"/>
    </xf>
    <xf numFmtId="0" fontId="35" fillId="0" borderId="19" xfId="0" applyFont="1" applyBorder="1" applyAlignment="1">
      <alignment vertical="top" wrapText="1"/>
    </xf>
    <xf numFmtId="0" fontId="35" fillId="0" borderId="13" xfId="0" applyFont="1" applyBorder="1" applyAlignment="1" applyProtection="1">
      <alignment horizontal="left" vertical="top" wrapText="1"/>
      <protection locked="0"/>
    </xf>
    <xf numFmtId="0" fontId="35" fillId="0" borderId="167" xfId="0" applyFont="1" applyBorder="1" applyAlignment="1" applyProtection="1">
      <alignment horizontal="left" vertical="top" wrapText="1"/>
      <protection locked="0"/>
    </xf>
    <xf numFmtId="0" fontId="35" fillId="0" borderId="13" xfId="0" applyFont="1" applyBorder="1" applyAlignment="1">
      <alignment horizontal="left"/>
    </xf>
    <xf numFmtId="0" fontId="49" fillId="16" borderId="0" xfId="0" applyFont="1" applyFill="1" applyAlignment="1">
      <alignment vertical="center" shrinkToFit="1"/>
    </xf>
    <xf numFmtId="0" fontId="35" fillId="0" borderId="19" xfId="0" applyFont="1" applyBorder="1" applyAlignment="1">
      <alignment horizontal="left" vertical="top" wrapText="1"/>
    </xf>
    <xf numFmtId="0" fontId="35" fillId="0" borderId="31" xfId="0" applyFont="1" applyBorder="1" applyAlignment="1">
      <alignment horizontal="left" vertical="top" wrapText="1"/>
    </xf>
    <xf numFmtId="0" fontId="45" fillId="0" borderId="19" xfId="0" applyFont="1" applyBorder="1" applyAlignment="1">
      <alignment horizontal="left" vertical="top" wrapText="1"/>
    </xf>
    <xf numFmtId="0" fontId="45" fillId="0" borderId="31" xfId="0" applyFont="1" applyBorder="1" applyAlignment="1">
      <alignment horizontal="left" vertical="top" wrapText="1"/>
    </xf>
    <xf numFmtId="0" fontId="35" fillId="0" borderId="170" xfId="0" applyFont="1" applyBorder="1"/>
    <xf numFmtId="0" fontId="35" fillId="0" borderId="171" xfId="0" applyFont="1" applyBorder="1"/>
    <xf numFmtId="0" fontId="35" fillId="0" borderId="172" xfId="0" applyFont="1" applyBorder="1"/>
    <xf numFmtId="0" fontId="35" fillId="0" borderId="173" xfId="0" applyFont="1" applyBorder="1" applyAlignment="1">
      <alignment horizontal="left"/>
    </xf>
    <xf numFmtId="0" fontId="35" fillId="0" borderId="173" xfId="0" applyFont="1" applyBorder="1"/>
    <xf numFmtId="0" fontId="35" fillId="0" borderId="174" xfId="0" applyFont="1" applyBorder="1"/>
    <xf numFmtId="0" fontId="50" fillId="0" borderId="175" xfId="0" applyFont="1" applyBorder="1" applyAlignment="1">
      <alignment horizontal="left" wrapText="1"/>
    </xf>
    <xf numFmtId="0" fontId="50" fillId="0" borderId="176" xfId="0" applyFont="1" applyBorder="1" applyAlignment="1">
      <alignment horizontal="left" wrapText="1"/>
    </xf>
    <xf numFmtId="0" fontId="50" fillId="0" borderId="177" xfId="0" applyFont="1" applyBorder="1" applyAlignment="1">
      <alignment horizontal="left" wrapText="1"/>
    </xf>
    <xf numFmtId="0" fontId="50" fillId="0" borderId="178" xfId="0" applyFont="1" applyBorder="1" applyAlignment="1">
      <alignment horizontal="left" wrapText="1"/>
    </xf>
    <xf numFmtId="0" fontId="50" fillId="0" borderId="0" xfId="0" applyFont="1" applyAlignment="1">
      <alignment horizontal="left" wrapText="1"/>
    </xf>
    <xf numFmtId="0" fontId="50" fillId="0" borderId="27" xfId="0" applyFont="1" applyBorder="1" applyAlignment="1">
      <alignment horizontal="left" wrapText="1"/>
    </xf>
    <xf numFmtId="0" fontId="35" fillId="0" borderId="170" xfId="0" applyFont="1" applyBorder="1" applyAlignment="1">
      <alignment horizontal="left" vertical="top" wrapText="1"/>
    </xf>
    <xf numFmtId="0" fontId="35" fillId="0" borderId="171" xfId="0" applyFont="1" applyBorder="1" applyAlignment="1">
      <alignment horizontal="left" vertical="top" wrapText="1"/>
    </xf>
    <xf numFmtId="0" fontId="50" fillId="0" borderId="179" xfId="0" applyFont="1" applyBorder="1" applyAlignment="1">
      <alignment horizontal="left" wrapText="1"/>
    </xf>
    <xf numFmtId="0" fontId="50" fillId="0" borderId="91" xfId="0" applyFont="1" applyBorder="1" applyAlignment="1">
      <alignment horizontal="left" wrapText="1"/>
    </xf>
    <xf numFmtId="0" fontId="50" fillId="0" borderId="75" xfId="0" applyFont="1" applyBorder="1" applyAlignment="1">
      <alignment horizontal="left" wrapText="1"/>
    </xf>
    <xf numFmtId="0" fontId="35" fillId="0" borderId="173" xfId="0" applyFont="1" applyBorder="1" applyAlignment="1" applyProtection="1">
      <alignment horizontal="left" vertical="top" wrapText="1"/>
      <protection locked="0"/>
    </xf>
    <xf numFmtId="0" fontId="35" fillId="0" borderId="174" xfId="0" applyFont="1" applyBorder="1" applyAlignment="1" applyProtection="1">
      <alignment horizontal="left" vertical="top" wrapText="1"/>
      <protection locked="0"/>
    </xf>
    <xf numFmtId="0" fontId="45" fillId="0" borderId="19" xfId="0" applyFont="1" applyBorder="1" applyAlignment="1">
      <alignment vertical="top" wrapText="1"/>
    </xf>
    <xf numFmtId="0" fontId="35" fillId="0" borderId="175" xfId="0" applyFont="1" applyBorder="1" applyAlignment="1">
      <alignment vertical="top" wrapText="1"/>
    </xf>
    <x:xf xmlns:x="http://schemas.openxmlformats.org/spreadsheetml/2006/main" numFmtId="0" fontId="74" fillId="47" borderId="189" xfId="53"/>
    <x:xf xmlns:x="http://schemas.openxmlformats.org/spreadsheetml/2006/main" numFmtId="0" fontId="75" fillId="47" borderId="189" xfId="53" applyNumberFormat="1" applyFont="1" applyFill="1" applyBorder="1"/>
    <x:xf xmlns:x="http://schemas.openxmlformats.org/spreadsheetml/2006/main" numFmtId="0" fontId="76" fillId="47" borderId="189" xfId="53" applyNumberFormat="1" applyFont="1" applyFill="1" applyBorder="1"/>
    <x:xf xmlns:x="http://schemas.openxmlformats.org/spreadsheetml/2006/main" numFmtId="0" fontId="76" fillId="47" borderId="189" xfId="53" applyNumberFormat="1" applyFont="1" applyFill="1" applyBorder="1" applyAlignment="1">
      <x:alignment wrapText="1"/>
    </x:xf>
    <x:xf xmlns:x="http://schemas.openxmlformats.org/spreadsheetml/2006/main" numFmtId="0" fontId="76" fillId="47" borderId="189" xfId="53" applyNumberFormat="1" applyFont="1" applyFill="1" applyBorder="1" applyAlignment="1">
      <x:alignment vertical="center" wrapText="1"/>
    </x:xf>
    <x:xf xmlns:x="http://schemas.openxmlformats.org/spreadsheetml/2006/main" numFmtId="0" fontId="75" fillId="47" borderId="189" xfId="53" applyNumberFormat="1" applyFont="1" applyFill="1" applyBorder="1" applyAlignment="1">
      <x:alignment wrapText="1"/>
    </x:xf>
    <x:xf xmlns:x="http://schemas.openxmlformats.org/spreadsheetml/2006/main" numFmtId="0" fontId="75" fillId="47" borderId="189" xfId="53" applyNumberFormat="1" applyFont="1" applyFill="1" applyBorder="1" applyAlignment="1">
      <x:alignment vertical="center" wrapText="1"/>
    </x:xf>
    <x:xf xmlns:x="http://schemas.openxmlformats.org/spreadsheetml/2006/main" numFmtId="0" fontId="77" fillId="47" borderId="189" xfId="53" applyNumberFormat="1" applyFont="1" applyFill="1" applyBorder="1"/>
    <x:xf xmlns:x="http://schemas.openxmlformats.org/spreadsheetml/2006/main" numFmtId="0" fontId="75" fillId="49" borderId="189" xfId="53" applyNumberFormat="1" applyFont="1" applyFill="1" applyBorder="1"/>
    <x:xf xmlns:x="http://schemas.openxmlformats.org/spreadsheetml/2006/main" numFmtId="0" fontId="78" fillId="49" borderId="189" xfId="53" applyNumberFormat="1" applyFont="1" applyFill="1" applyBorder="1"/>
    <x:xf xmlns:x="http://schemas.openxmlformats.org/spreadsheetml/2006/main" numFmtId="0" fontId="78" fillId="49" borderId="189" xfId="53" applyNumberFormat="1" applyFont="1" applyFill="1" applyBorder="1" applyAlignment="1">
      <x:alignment horizontal="center"/>
    </x:xf>
    <x:xf xmlns:x="http://schemas.openxmlformats.org/spreadsheetml/2006/main" numFmtId="0" fontId="78" fillId="49" borderId="189" xfId="53" applyNumberFormat="1" applyFont="1" applyFill="1" applyBorder="1" applyAlignment="1">
      <x:alignment horizontal="center" vertical="center"/>
    </x:xf>
    <x:xf xmlns:x="http://schemas.openxmlformats.org/spreadsheetml/2006/main" numFmtId="0" fontId="74" fillId="50" borderId="189" xfId="53" applyNumberFormat="1" applyFont="1" applyFill="1" applyBorder="1"/>
    <x:xf xmlns:x="http://schemas.openxmlformats.org/spreadsheetml/2006/main" numFmtId="0" fontId="79" fillId="50" borderId="189" xfId="53" applyNumberFormat="1" applyFont="1" applyFill="1" applyBorder="1"/>
    <x:xf xmlns:x="http://schemas.openxmlformats.org/spreadsheetml/2006/main" numFmtId="0" fontId="79" fillId="50" borderId="189" xfId="53" applyNumberFormat="1" applyFont="1" applyFill="1" applyBorder="1" applyAlignment="1">
      <x:alignment wrapText="1"/>
    </x:xf>
    <x:xf xmlns:x="http://schemas.openxmlformats.org/spreadsheetml/2006/main" numFmtId="0" fontId="79" fillId="50" borderId="189" xfId="53" applyNumberFormat="1" applyFont="1" applyFill="1" applyBorder="1" applyAlignment="1">
      <x:alignment vertical="center" wrapText="1"/>
    </x:xf>
    <x:xf xmlns:x="http://schemas.openxmlformats.org/spreadsheetml/2006/main" numFmtId="0" fontId="75" fillId="47" borderId="190" xfId="53" applyNumberFormat="1" applyFont="1" applyFill="1" applyBorder="1"/>
    <x:xf xmlns:x="http://schemas.openxmlformats.org/spreadsheetml/2006/main" numFmtId="0" fontId="75" fillId="47" borderId="190" xfId="53" applyNumberFormat="1" applyFont="1" applyFill="1" applyBorder="1" applyAlignment="1">
      <x:alignment wrapText="1"/>
    </x:xf>
    <x:xf xmlns:x="http://schemas.openxmlformats.org/spreadsheetml/2006/main" numFmtId="0" fontId="75" fillId="47" borderId="190" xfId="53" applyNumberFormat="1" applyFont="1" applyFill="1" applyBorder="1" applyAlignment="1">
      <x:alignment vertical="top" wrapText="1"/>
    </x:xf>
    <x:xf xmlns:x="http://schemas.openxmlformats.org/spreadsheetml/2006/main" numFmtId="0" fontId="80" fillId="47" borderId="190" xfId="53" applyNumberFormat="1" applyFont="1" applyFill="1" applyBorder="1" applyAlignment="1">
      <x:alignment vertical="top" wrapText="1"/>
    </x:xf>
    <x:xf xmlns:x="http://schemas.openxmlformats.org/spreadsheetml/2006/main" numFmtId="0" fontId="75" fillId="47" borderId="190" xfId="53" applyNumberFormat="1" applyFont="1" applyFill="1" applyBorder="1" applyAlignment="1">
      <x:alignment horizontal="center" vertical="top" wrapText="1"/>
    </x:xf>
    <x:xf xmlns:x="http://schemas.openxmlformats.org/spreadsheetml/2006/main" numFmtId="0" fontId="75" fillId="51" borderId="190" xfId="53" applyNumberFormat="1" applyFont="1" applyFill="1" applyBorder="1" applyAlignment="1">
      <x:alignment vertical="top" wrapText="1"/>
    </x:xf>
    <x:xf xmlns:x="http://schemas.openxmlformats.org/spreadsheetml/2006/main" numFmtId="0" fontId="80" fillId="51" borderId="190" xfId="53" applyNumberFormat="1" applyFont="1" applyFill="1" applyBorder="1" applyAlignment="1">
      <x:alignment vertical="top" wrapText="1"/>
    </x:xf>
    <x:xf xmlns:x="http://schemas.openxmlformats.org/spreadsheetml/2006/main" numFmtId="0" fontId="75" fillId="51" borderId="190" xfId="53" applyNumberFormat="1" applyFont="1" applyFill="1" applyBorder="1" applyAlignment="1">
      <x:alignment horizontal="center" vertical="top" wrapText="1"/>
    </x:xf>
    <xf numFmtId="0" fontId="81" fillId="0" borderId="191" xfId="0" applyFont="1" applyBorder="1" applyAlignment="1">
      <alignment horizontal="center" vertical="center" wrapText="1" shrinkToFit="1"/>
    </xf>
    <xf numFmtId="0" fontId="82" fillId="0" borderId="192" xfId="0" applyFont="1" applyBorder="1" applyAlignment="1">
      <alignment horizontal="left" vertical="center" wrapText="1" shrinkToFit="1"/>
    </xf>
    <xf numFmtId="0" fontId="83" fillId="0" borderId="193" xfId="0" applyFont="1" applyBorder="1" applyAlignment="1">
      <alignment horizontal="center" vertical="center" wrapText="1" shrinkToFit="1"/>
    </xf>
    <xf numFmtId="0" fontId="84" fillId="0" borderId="194" xfId="0" applyFont="1" applyBorder="1" applyAlignment="1">
      <alignment horizontal="left" vertical="center" wrapText="1" shrinkToFit="1"/>
    </xf>
    <xf numFmtId="0" fontId="85" fillId="0" borderId="195" xfId="0" applyFont="1" applyBorder="1" applyAlignment="1">
      <alignment horizontal="center" vertical="center" wrapText="1" shrinkToFit="1"/>
    </xf>
    <xf numFmtId="0" fontId="86" fillId="0" borderId="196" xfId="0" applyFont="1" applyBorder="1" applyAlignment="1">
      <alignment horizontal="left" vertical="center" wrapText="1" shrinkToFit="1"/>
    </xf>
    <xf numFmtId="0" fontId="87" fillId="0" borderId="197" xfId="0" applyFont="1" applyBorder="1" applyAlignment="1">
      <alignment horizontal="center" vertical="center" wrapText="1" shrinkToFit="1"/>
    </xf>
    <xf numFmtId="0" fontId="88" fillId="0" borderId="198" xfId="0" applyFont="1" applyBorder="1" applyAlignment="1">
      <alignment horizontal="left" vertical="center" wrapText="1" shrinkToFit="1"/>
    </xf>
    <xf numFmtId="0" fontId="89" fillId="0" borderId="199" xfId="0" applyFont="1" applyBorder="1" applyAlignment="1">
      <alignment horizontal="center" vertical="center" wrapText="1" shrinkToFit="1"/>
    </xf>
    <xf numFmtId="0" fontId="90" fillId="0" borderId="200" xfId="0" applyFont="1" applyBorder="1" applyAlignment="1">
      <alignment horizontal="left" vertical="center" wrapText="1" shrinkToFit="1"/>
    </xf>
    <xf numFmtId="0" fontId="91" fillId="0" borderId="201" xfId="0" applyFont="1" applyBorder="1" applyAlignment="1">
      <alignment horizontal="center" vertical="center" wrapText="1" shrinkToFit="1"/>
    </xf>
    <xf numFmtId="0" fontId="92" fillId="0" borderId="202" xfId="0" applyFont="1" applyBorder="1" applyAlignment="1">
      <alignment horizontal="left" vertical="center" wrapText="1" shrinkToFit="1"/>
    </xf>
    <xf numFmtId="0" fontId="93" fillId="0" borderId="203" xfId="0" applyFont="1" applyBorder="1" applyAlignment="1">
      <alignment horizontal="center" vertical="center" wrapText="1" shrinkToFit="1"/>
    </xf>
    <xf numFmtId="0" fontId="94" fillId="0" borderId="204" xfId="0" applyFont="1" applyBorder="1" applyAlignment="1">
      <alignment horizontal="left" vertical="center" wrapText="1" shrinkToFit="1"/>
    </xf>
    <xf numFmtId="0" fontId="95" fillId="0" borderId="205" xfId="0" applyFont="1" applyBorder="1" applyAlignment="1">
      <alignment horizontal="center" vertical="center" wrapText="1" shrinkToFit="1"/>
    </xf>
    <xf numFmtId="0" fontId="96" fillId="0" borderId="206" xfId="0" applyFont="1" applyBorder="1" applyAlignment="1">
      <alignment horizontal="left" vertical="center" wrapText="1" shrinkToFit="1"/>
    </xf>
    <xf numFmtId="0" fontId="97" fillId="0" borderId="207" xfId="0" applyFont="1" applyBorder="1" applyAlignment="1">
      <alignment horizontal="center" vertical="center" wrapText="1" shrinkToFit="1"/>
    </xf>
    <xf numFmtId="0" fontId="98" fillId="0" borderId="208" xfId="0" applyFont="1" applyBorder="1" applyAlignment="1">
      <alignment horizontal="left" vertical="center" wrapText="1" shrinkToFit="1"/>
    </xf>
    <xf numFmtId="0" fontId="99" fillId="0" borderId="209" xfId="0" applyFont="1" applyBorder="1" applyAlignment="1">
      <alignment horizontal="center" vertical="center" wrapText="1" shrinkToFit="1"/>
    </xf>
    <xf numFmtId="0" fontId="100" fillId="0" borderId="210" xfId="0" applyFont="1" applyBorder="1" applyAlignment="1">
      <alignment horizontal="left" vertical="center" wrapText="1" shrinkToFit="1"/>
    </xf>
    <xf numFmtId="0" fontId="101" fillId="0" borderId="211" xfId="0" applyFont="1" applyBorder="1" applyAlignment="1">
      <alignment horizontal="center" vertical="center" wrapText="1" shrinkToFit="1"/>
    </xf>
    <xf numFmtId="0" fontId="102" fillId="0" borderId="212" xfId="0" applyFont="1" applyBorder="1" applyAlignment="1">
      <alignment horizontal="left" vertical="center" wrapText="1" shrinkToFit="1"/>
    </xf>
    <x:xf xmlns:x="http://schemas.openxmlformats.org/spreadsheetml/2006/main" numFmtId="0" fontId="103" fillId="52" borderId="213" xfId="54"/>
    <x:xf xmlns:x="http://schemas.openxmlformats.org/spreadsheetml/2006/main" numFmtId="0" fontId="104" fillId="52" borderId="213" xfId="54" applyNumberFormat="1" applyFont="1" applyFill="1" applyBorder="1"/>
    <x:xf xmlns:x="http://schemas.openxmlformats.org/spreadsheetml/2006/main" numFmtId="0" fontId="104" fillId="52" borderId="213" xfId="54" applyNumberFormat="1" applyFont="1" applyFill="1" applyBorder="1" applyAlignment="1">
      <x:alignment wrapText="1"/>
    </x:xf>
    <x:xf xmlns:x="http://schemas.openxmlformats.org/spreadsheetml/2006/main" numFmtId="0" fontId="104" fillId="52" borderId="213" xfId="54" applyNumberFormat="1" applyFont="1" applyFill="1" applyBorder="1" applyAlignment="1">
      <x:alignment vertical="top" wrapText="1"/>
    </x:xf>
    <x:xf xmlns:x="http://schemas.openxmlformats.org/spreadsheetml/2006/main" numFmtId="0" fontId="105" fillId="52" borderId="213" xfId="54" applyNumberFormat="1" applyFont="1" applyFill="1" applyBorder="1" applyAlignment="1">
      <x:alignment vertical="top" wrapText="1"/>
    </x:xf>
    <x:xf xmlns:x="http://schemas.openxmlformats.org/spreadsheetml/2006/main" numFmtId="0" fontId="106" fillId="52" borderId="213" xfId="54" applyNumberFormat="1" applyFont="1" applyFill="1" applyBorder="1" applyAlignment="1">
      <x:alignment vertical="top" wrapText="1"/>
    </x:xf>
    <x:xf xmlns:x="http://schemas.openxmlformats.org/spreadsheetml/2006/main" numFmtId="0" fontId="107" fillId="52" borderId="213" xfId="54" applyNumberFormat="1" applyFont="1" applyFill="1" applyBorder="1" applyAlignment="1">
      <x:alignment vertical="top" wrapText="1"/>
    </x:xf>
    <x:xf xmlns:x="http://schemas.openxmlformats.org/spreadsheetml/2006/main" numFmtId="0" fontId="104"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horizontal="center" vertical="top" wrapText="1"/>
    </x:xf>
    <x:xf xmlns:x="http://schemas.openxmlformats.org/spreadsheetml/2006/main" numFmtId="0" fontId="108" fillId="54" borderId="213" xfId="54" applyNumberFormat="1" applyFont="1" applyFill="1" applyBorder="1" applyAlignment="1">
      <x:alignment horizontal="center" vertical="center" wrapText="1"/>
    </x:xf>
    <x:xf xmlns:x="http://schemas.openxmlformats.org/spreadsheetml/2006/main" numFmtId="180" fontId="104" fillId="52" borderId="213" xfId="54" applyNumberFormat="1" applyFont="1" applyFill="1" applyBorder="1" applyAlignment="1">
      <x:alignment vertical="top" wrapText="1"/>
    </x:xf>
    <x:xf xmlns:x="http://schemas.openxmlformats.org/spreadsheetml/2006/main" numFmtId="0" fontId="104" fillId="52" borderId="214" xfId="54" applyNumberFormat="1" applyFont="1" applyFill="1" applyBorder="1" applyAlignment="1">
      <x:alignment vertical="top" wrapText="1"/>
    </x:xf>
    <x:xf xmlns:x="http://schemas.openxmlformats.org/spreadsheetml/2006/main" numFmtId="180" fontId="104" fillId="52" borderId="214" xfId="54" applyNumberFormat="1" applyFont="1" applyFill="1" applyBorder="1" applyAlignment="1">
      <x:alignment vertical="top" wrapText="1"/>
    </x:xf>
    <x:xf xmlns:x="http://schemas.openxmlformats.org/spreadsheetml/2006/main" numFmtId="0" fontId="104" fillId="55" borderId="214" xfId="54" applyNumberFormat="1" applyFont="1" applyFill="1" applyBorder="1" applyAlignment="1">
      <x:alignment vertical="top" wrapText="1"/>
    </x:xf>
    <x:xf xmlns:x="http://schemas.openxmlformats.org/spreadsheetml/2006/main" numFmtId="180" fontId="104" fillId="55" borderId="214" xfId="54" applyNumberFormat="1" applyFont="1" applyFill="1" applyBorder="1" applyAlignment="1">
      <x:alignment vertical="top" wrapText="1"/>
    </x:xf>
    <xf numFmtId="0" fontId="109" fillId="0" borderId="0" xfId="50" applyFont="1" applyBorder="1" applyAlignment="1">
      <alignment horizontal="left" vertical="center" shrinkToFit="1"/>
    </xf>
    <xf numFmtId="0" fontId="110" fillId="6" borderId="11" xfId="0" applyFont="1" applyFill="1" applyBorder="1" applyAlignment="1">
      <alignment vertical="top" wrapText="1"/>
    </xf>
    <x:xf xmlns:x="http://schemas.openxmlformats.org/spreadsheetml/2006/main" numFmtId="0" fontId="111" fillId="56" borderId="215" xfId="55"/>
    <x:xf xmlns:x="http://schemas.openxmlformats.org/spreadsheetml/2006/main" numFmtId="0" fontId="112" fillId="56" borderId="215" xfId="55" applyNumberFormat="1" applyFont="1" applyFill="1" applyBorder="1"/>
    <x:xf xmlns:x="http://schemas.openxmlformats.org/spreadsheetml/2006/main" numFmtId="0" fontId="112" fillId="56" borderId="215" xfId="55" applyNumberFormat="1" applyFont="1" applyFill="1" applyBorder="1" applyAlignment="1">
      <x:alignment wrapText="1"/>
    </x:xf>
    <x:xf xmlns:x="http://schemas.openxmlformats.org/spreadsheetml/2006/main" numFmtId="0" fontId="112" fillId="56" borderId="215" xfId="55" applyNumberFormat="1" applyFont="1" applyFill="1" applyBorder="1" applyAlignment="1">
      <x:alignment vertical="top" wrapText="1"/>
    </x:xf>
    <x:xf xmlns:x="http://schemas.openxmlformats.org/spreadsheetml/2006/main" numFmtId="0" fontId="112"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center" wrapText="1"/>
    </x:xf>
    <x:xf xmlns:x="http://schemas.openxmlformats.org/spreadsheetml/2006/main" numFmtId="0" fontId="112" fillId="59" borderId="215" xfId="55" applyNumberFormat="1" applyFont="1" applyFill="1" applyBorder="1" applyAlignment="1">
      <x:alignment vertical="top" wrapText="1"/>
    </x:xf>
    <x:xf xmlns:x="http://schemas.openxmlformats.org/spreadsheetml/2006/main" numFmtId="0" fontId="114" fillId="59" borderId="215" xfId="55" applyNumberFormat="1" applyFont="1" applyFill="1" applyBorder="1" applyAlignment="1">
      <x:alignment vertical="top" wrapText="1"/>
    </x:xf>
    <x:xf xmlns:x="http://schemas.openxmlformats.org/spreadsheetml/2006/main" numFmtId="0" fontId="115" fillId="56" borderId="215" xfId="55" applyNumberFormat="1" applyFont="1" applyFill="1" applyBorder="1" applyAlignment="1">
      <x:alignment vertical="top" wrapText="1"/>
    </x:xf>
    <x:xf xmlns:x="http://schemas.openxmlformats.org/spreadsheetml/2006/main" numFmtId="0" fontId="112"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center" wrapText="1"/>
    </x:xf>
    <x:xf xmlns:x="http://schemas.openxmlformats.org/spreadsheetml/2006/main" numFmtId="0" fontId="112" fillId="56" borderId="216" xfId="55" applyNumberFormat="1" applyFont="1" applyFill="1" applyBorder="1" applyAlignment="1">
      <x:alignment vertical="top" wrapText="1"/>
    </x:xf>
    <x:xf xmlns:x="http://schemas.openxmlformats.org/spreadsheetml/2006/main" numFmtId="0" fontId="112" fillId="56" borderId="217" xfId="55" applyNumberFormat="1" applyFont="1" applyFill="1" applyBorder="1" applyAlignment="1">
      <x:alignment vertical="top" wrapText="1"/>
    </x:xf>
    <x:xf xmlns:x="http://schemas.openxmlformats.org/spreadsheetml/2006/main" numFmtId="0" fontId="112" fillId="59" borderId="217" xfId="55" applyNumberFormat="1" applyFont="1" applyFill="1" applyBorder="1" applyAlignment="1">
      <x:alignment vertical="top" wrapText="1"/>
    </x:xf>
    <x:xf xmlns:x="http://schemas.openxmlformats.org/spreadsheetml/2006/main" numFmtId="0" fontId="117" fillId="59" borderId="217" xfId="55" applyNumberFormat="1" applyFont="1" applyFill="1" applyBorder="1" applyAlignment="1">
      <x:alignment vertical="top" wrapText="1"/>
    </x:xf>
    <x:xf xmlns:x="http://schemas.openxmlformats.org/spreadsheetml/2006/main" numFmtId="0" fontId="112"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horizontal="center" vertical="top" wrapText="1"/>
    </x:xf>
    <xf numFmtId="0" fontId="118" fillId="0" borderId="0" xfId="50" applyFont="1" applyBorder="1" applyAlignment="1">
      <alignment horizontal="left" vertical="center" shrinkToFit="1"/>
    </xf>
    <xf numFmtId="0" fontId="119" fillId="0" borderId="0" xfId="0" applyFont="1" applyProtection="1">
      <protection locked="0"/>
    </xf>
    <xf numFmtId="0" fontId="120" fillId="0" borderId="0" xfId="0" applyFont="1" applyAlignment="1" applyProtection="1">
      <alignment vertical="top" wrapText="1"/>
      <protection locked="0"/>
    </xf>
    <xf numFmtId="0" fontId="121" fillId="0" borderId="0" xfId="0" applyAlignment="1" applyProtection="1" applyFont="1">
      <alignment vertical="top" wrapText="1"/>
      <protection locked="0"/>
    </xf>
    <xf numFmtId="0" fontId="121" fillId="0" borderId="0" xfId="0" applyProtection="1" applyFont="1">
      <protection locked="0"/>
    </xf>
    <xf numFmtId="0" fontId="122" fillId="61" borderId="218" xfId="0" applyFont="1" applyFill="1" applyAlignment="1" applyBorder="1">
      <alignment horizontal="left"/>
    </xf>
    <xf numFmtId="0" fontId="121" fillId="0" borderId="218" xfId="0" applyFont="1" applyBorder="1"/>
    <xf numFmtId="49" fontId="121" fillId="16" borderId="218" xfId="0" applyNumberFormat="1" applyFill="1" applyProtection="1" applyFont="1" applyBorder="1">
      <protection locked="0"/>
    </xf>
    <xf numFmtId="0" fontId="121" fillId="16" borderId="0" xfId="0" applyFill="1" applyProtection="1" applyFont="1">
      <protection locked="0"/>
    </xf>
    <xf numFmtId="0" fontId="121" fillId="16" borderId="218" xfId="0" applyFill="1" applyFont="1" applyBorder="1"/>
    <xf numFmtId="0" fontId="121" fillId="0" borderId="218" xfId="0" applyAlignment="1" applyFont="1" applyBorder="1">
      <alignment wrapText="1"/>
    </xf>
    <xf numFmtId="0" fontId="123" fillId="0" borderId="218" xfId="0" applyFont="1" applyBorder="1"/>
    <xf numFmtId="0" fontId="121" fillId="16" borderId="0" xfId="0" applyFill="1" applyFont="1"/>
    <xf numFmtId="0" fontId="124" fillId="8" borderId="0" xfId="0" applyFont="1" applyFill="1" applyAlignment="1">
      <alignment horizontal="left"/>
    </xf>
    <xf numFmtId="0" fontId="121" fillId="0" borderId="218" xfId="0" applyAlignment="1" applyFont="1" applyBorder="1">
      <alignment horizontal="center"/>
    </xf>
    <xf numFmtId="0" fontId="122" fillId="61" borderId="218" xfId="0" applyFont="1" applyFill="1" applyBorder="1"/>
    <xf numFmtId="0" fontId="125" fillId="61" borderId="218" xfId="0" applyFont="1" applyFill="1" applyBorder="1"/>
    <xf numFmtId="0" fontId="28" fillId="0" borderId="218" xfId="0" applyFont="1" applyBorder="1"/>
    <xf numFmtId="0" fontId="121" fillId="0" borderId="0" xfId="0" applyFont="1"/>
    <xf numFmtId="0" fontId="126" fillId="0" borderId="218" xfId="0" applyFont="1" applyBorder="1"/>
    <xf numFmtId="0" fontId="119" fillId="0" borderId="218" xfId="0" applyFont="1" applyBorder="1"/>
    <xf numFmtId="49" fontId="121" fillId="0" borderId="0" xfId="0" applyNumberFormat="1" applyFont="1"/>
    <xf numFmtId="0" fontId="127" fillId="58" borderId="215" xfId="55" applyNumberFormat="1" applyFont="1" applyFill="1" applyBorder="1" applyAlignment="1">
      <alignment vertical="center" wrapText="1"/>
    </xf>
    <xf numFmtId="0" fontId="128" fillId="56" borderId="215" xfId="55" applyNumberFormat="1" applyFont="1" applyFill="1" applyBorder="1" applyAlignment="1">
      <alignment vertical="top" wrapText="1"/>
    </xf>
    <xf numFmtId="0" fontId="129" fillId="59" borderId="215" xfId="55" applyNumberFormat="1" applyFont="1" applyFill="1" applyBorder="1" applyAlignment="1">
      <alignment vertical="top" wrapText="1"/>
    </xf>
    <xf numFmtId="0" fontId="130" fillId="56" borderId="215" xfId="55" applyNumberFormat="1" applyFont="1" applyFill="1" applyBorder="1" applyAlignment="1">
      <alignment vertical="top" wrapText="1"/>
    </xf>
    <xf numFmtId="0" fontId="131" fillId="60" borderId="215" xfId="55" applyNumberFormat="1" applyFont="1" applyFill="1" applyBorder="1" applyAlignment="1">
      <alignment vertical="center" wrapText="1"/>
    </xf>
    <xf numFmtId="0" fontId="132" fillId="59" borderId="216" xfId="55" applyNumberFormat="1" applyFont="1" applyFill="1" applyBorder="1" applyAlignment="1">
      <alignment horizontal="center" vertical="top" wrapText="1"/>
    </xf>
    <xf numFmtId="0" fontId="132" fillId="59" borderId="217" xfId="55" applyNumberFormat="1" applyFont="1" applyFill="1" applyBorder="1" applyAlignment="1">
      <alignment vertical="top" wrapText="1"/>
    </xf>
    <xf numFmtId="0" fontId="128" fillId="56" borderId="217" xfId="55" applyNumberFormat="1" applyFont="1" applyFill="1" applyBorder="1" applyAlignment="1">
      <alignment vertical="top" wrapText="1"/>
    </xf>
    <xf numFmtId="0" fontId="16" fillId="61" borderId="0" xfId="0" applyFont="1" applyFill="1" applyAlignment="1">
      <alignment vertical="center" indent="1"/>
    </xf>
    <xf numFmtId="0" fontId="133" fillId="0" borderId="0" xfId="50" applyFont="1" applyBorder="1" applyAlignment="1">
      <alignment horizontal="left" vertical="center" shrinkToFit="1"/>
    </xf>
    <xf numFmtId="0" fontId="20" fillId="61" borderId="218" xfId="0" applyFont="1" applyFill="1" applyAlignment="1" applyBorder="1">
      <alignment vertical="center"/>
    </xf>
    <xf numFmtId="0" fontId="134" fillId="11" borderId="218" xfId="0" applyFont="1" applyFill="1" applyBorder="1" applyAlignment="1">
      <alignment vertical="top" wrapText="1"/>
    </xf>
    <xf numFmtId="0" fontId="135" fillId="11" borderId="218" xfId="0" applyFont="1" applyFill="1" applyBorder="1" applyAlignment="1">
      <alignment vertical="top" wrapText="1"/>
    </xf>
    <xf numFmtId="0" fontId="134" fillId="6" borderId="218" xfId="0" applyFont="1" applyFill="1" applyBorder="1" applyAlignment="1">
      <alignment vertical="top" wrapText="1"/>
    </xf>
    <xf numFmtId="0" fontId="135" fillId="6" borderId="218" xfId="0" applyFont="1" applyFill="1" applyBorder="1" applyAlignment="1">
      <alignment vertical="top" wrapText="1"/>
    </xf>
    <xf numFmtId="0" fontId="134" fillId="62" borderId="218" xfId="0" applyFont="1" applyFill="1" applyBorder="1" applyAlignment="1">
      <alignment vertical="top" wrapText="1"/>
    </xf>
    <xf numFmtId="0" fontId="135" fillId="62" borderId="218" xfId="0" applyFont="1" applyFill="1" applyBorder="1" applyAlignment="1">
      <alignment vertical="top" wrapText="1"/>
    </xf>
    <xf numFmtId="0" fontId="136" fillId="6" borderId="218" xfId="0" applyFont="1" applyFill="1" applyBorder="1" applyAlignment="1">
      <alignment vertical="top" wrapText="1"/>
    </xf>
    <xf numFmtId="0" fontId="137" fillId="47" borderId="189" xfId="53" applyNumberFormat="1" applyFont="1" applyFill="1" applyBorder="1"/>
    <xf numFmtId="0" fontId="138" fillId="47" borderId="189" xfId="53" applyNumberFormat="1" applyFont="1" applyFill="1" applyBorder="1" applyAlignment="1">
      <alignment vertical="center" wrapText="1"/>
    </xf>
    <xf numFmtId="0" fontId="137" fillId="47" borderId="189" xfId="53" applyNumberFormat="1" applyFont="1" applyFill="1" applyBorder="1" applyAlignment="1">
      <alignment vertical="center" wrapText="1"/>
    </xf>
    <xf numFmtId="0" fontId="139" fillId="47" borderId="189" xfId="53" applyNumberFormat="1" applyFont="1" applyFill="1" applyBorder="1"/>
    <xf numFmtId="0" fontId="78" fillId="61" borderId="219" xfId="53" applyNumberFormat="1" applyFont="1" applyFill="1" applyBorder="1" applyAlignment="1">
      <alignment horizontal="center" vertical="center"/>
    </xf>
    <xf numFmtId="0" fontId="140" fillId="11" borderId="219" xfId="53" applyNumberFormat="1" applyFont="1" applyFill="1" applyBorder="1" applyAlignment="1">
      <alignment vertical="center" wrapText="1"/>
    </xf>
    <xf numFmtId="0" fontId="137" fillId="47" borderId="219" xfId="53" applyNumberFormat="1" applyFont="1" applyFill="1" applyBorder="1" applyAlignment="1">
      <alignment vertical="top" wrapText="1"/>
    </xf>
    <xf numFmtId="0" fontId="140" fillId="47" borderId="219" xfId="53" applyNumberFormat="1" applyFont="1" applyFill="1" applyBorder="1" applyAlignment="1">
      <alignment vertical="top" wrapText="1"/>
    </xf>
    <xf numFmtId="0" fontId="137" fillId="62" borderId="219" xfId="53" applyNumberFormat="1" applyFont="1" applyFill="1" applyBorder="1" applyAlignment="1">
      <alignment vertical="top" wrapText="1"/>
    </xf>
    <xf numFmtId="0" fontId="140" fillId="62" borderId="219" xfId="53" applyNumberFormat="1" applyFont="1" applyFill="1" applyBorder="1" applyAlignment="1">
      <alignment vertical="top" wrapText="1"/>
    </xf>
    <xf numFmtId="0" fontId="141" fillId="61" borderId="213" xfId="54" applyNumberFormat="1" applyFont="1" applyFill="1" applyBorder="1" applyAlignment="1">
      <alignment vertical="top" wrapText="1"/>
    </xf>
    <xf numFmtId="0" fontId="137" fillId="52" borderId="213" xfId="54" applyNumberFormat="1" applyFont="1" applyFill="1" applyBorder="1" applyAlignment="1">
      <alignment vertical="top" wrapText="1"/>
    </xf>
    <xf numFmtId="0" fontId="108" fillId="61" borderId="219" xfId="54" applyNumberFormat="1" applyFont="1" applyFill="1" applyBorder="1" applyAlignment="1">
      <alignment horizontal="center" vertical="center" wrapText="1"/>
    </xf>
    <xf numFmtId="0" fontId="137" fillId="62" borderId="219" xfId="54" applyNumberFormat="1" applyFont="1" applyFill="1" applyBorder="1" applyAlignment="1">
      <alignment vertical="top" wrapText="1"/>
    </xf>
    <xf numFmtId="180" fontId="137" fillId="62" borderId="219" xfId="54" applyNumberFormat="1" applyFont="1" applyFill="1" applyBorder="1" applyAlignment="1">
      <alignment vertical="top" wrapText="1"/>
    </xf>
    <xf numFmtId="0" fontId="137" fillId="52" borderId="219" xfId="54" applyNumberFormat="1" applyFont="1" applyFill="1" applyBorder="1" applyAlignment="1">
      <alignment vertical="top" wrapText="1"/>
    </xf>
    <xf numFmtId="180" fontId="137" fillId="52" borderId="219" xfId="54" applyNumberFormat="1" applyFont="1" applyFill="1" applyBorder="1" applyAlignment="1">
      <alignment vertical="top" wrapText="1"/>
    </xf>
    <x:xf xmlns:x="http://schemas.openxmlformats.org/spreadsheetml/2006/main" numFmtId="0" fontId="142" fillId="63" borderId="220" xfId="56"/>
    <x:xf xmlns:x="http://schemas.openxmlformats.org/spreadsheetml/2006/main" numFmtId="0" fontId="143" fillId="63" borderId="220" xfId="56" applyNumberFormat="1" applyFont="1" applyFill="1" applyBorder="1"/>
    <x:xf xmlns:x="http://schemas.openxmlformats.org/spreadsheetml/2006/main" numFmtId="0" fontId="143" fillId="63" borderId="220" xfId="56" applyNumberFormat="1" applyFont="1" applyFill="1" applyBorder="1" applyAlignment="1">
      <x:alignment wrapText="1"/>
    </x:xf>
    <x:xf xmlns:x="http://schemas.openxmlformats.org/spreadsheetml/2006/main" numFmtId="0" fontId="143" fillId="63" borderId="220" xfId="56" applyNumberFormat="1" applyFont="1" applyFill="1" applyBorder="1" applyAlignment="1">
      <x:alignment vertical="top" wrapText="1"/>
    </x:xf>
    <x:xf xmlns:x="http://schemas.openxmlformats.org/spreadsheetml/2006/main" numFmtId="0" fontId="143"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center" wrapText="1"/>
    </x:xf>
    <x:xf xmlns:x="http://schemas.openxmlformats.org/spreadsheetml/2006/main" numFmtId="0" fontId="143" fillId="66" borderId="220" xfId="56" applyNumberFormat="1" applyFont="1" applyFill="1" applyBorder="1" applyAlignment="1">
      <x:alignment vertical="top" wrapText="1"/>
    </x:xf>
    <x:xf xmlns:x="http://schemas.openxmlformats.org/spreadsheetml/2006/main" numFmtId="0" fontId="145" fillId="66" borderId="220" xfId="56" applyNumberFormat="1" applyFont="1" applyFill="1" applyBorder="1" applyAlignment="1">
      <x:alignment vertical="top" wrapText="1"/>
    </x:xf>
    <x:xf xmlns:x="http://schemas.openxmlformats.org/spreadsheetml/2006/main" numFmtId="0" fontId="146" fillId="63" borderId="220" xfId="56" applyNumberFormat="1" applyFont="1" applyFill="1" applyBorder="1" applyAlignment="1">
      <x:alignment vertical="top" wrapText="1"/>
    </x:xf>
    <x:xf xmlns:x="http://schemas.openxmlformats.org/spreadsheetml/2006/main" numFmtId="0" fontId="143"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center" wrapText="1"/>
    </x:xf>
    <x:xf xmlns:x="http://schemas.openxmlformats.org/spreadsheetml/2006/main" numFmtId="0" fontId="143" fillId="63" borderId="221" xfId="56" applyNumberFormat="1" applyFont="1" applyFill="1" applyBorder="1" applyAlignment="1">
      <x:alignment vertical="top" wrapText="1"/>
    </x:xf>
    <x:xf xmlns:x="http://schemas.openxmlformats.org/spreadsheetml/2006/main" numFmtId="0" fontId="143" fillId="63" borderId="222" xfId="56" applyNumberFormat="1" applyFont="1" applyFill="1" applyBorder="1" applyAlignment="1">
      <x:alignment vertical="top" wrapText="1"/>
    </x:xf>
    <x:xf xmlns:x="http://schemas.openxmlformats.org/spreadsheetml/2006/main" numFmtId="0" fontId="143" fillId="66" borderId="222" xfId="56" applyNumberFormat="1" applyFont="1" applyFill="1" applyBorder="1" applyAlignment="1">
      <x:alignment vertical="top" wrapText="1"/>
    </x:xf>
    <x:xf xmlns:x="http://schemas.openxmlformats.org/spreadsheetml/2006/main" numFmtId="0" fontId="148" fillId="66" borderId="222" xfId="56" applyNumberFormat="1" applyFont="1" applyFill="1" applyBorder="1" applyAlignment="1">
      <x:alignment vertical="top" wrapText="1"/>
    </x:xf>
    <x:xf xmlns:x="http://schemas.openxmlformats.org/spreadsheetml/2006/main" numFmtId="0" fontId="143"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horizontal="center" vertical="top" wrapText="1"/>
    </x:xf>
    <xf numFmtId="0" fontId="127" fillId="65" borderId="220" xfId="56" applyNumberFormat="1" applyFont="1" applyFill="1" applyBorder="1" applyAlignment="1">
      <alignment vertical="center" wrapText="1"/>
    </xf>
    <xf numFmtId="0" fontId="128" fillId="63" borderId="220" xfId="56" applyNumberFormat="1" applyFont="1" applyFill="1" applyBorder="1" applyAlignment="1">
      <alignment vertical="top" wrapText="1"/>
    </xf>
    <xf numFmtId="0" fontId="129" fillId="66" borderId="220" xfId="56" applyNumberFormat="1" applyFont="1" applyFill="1" applyBorder="1" applyAlignment="1">
      <alignment vertical="top" wrapText="1"/>
    </xf>
    <xf numFmtId="0" fontId="130" fillId="63" borderId="220" xfId="56" applyNumberFormat="1" applyFont="1" applyFill="1" applyBorder="1" applyAlignment="1">
      <alignment vertical="top" wrapText="1"/>
    </xf>
    <xf numFmtId="0" fontId="131" fillId="67" borderId="220" xfId="56" applyNumberFormat="1" applyFont="1" applyFill="1" applyBorder="1" applyAlignment="1">
      <alignment vertical="center" wrapText="1"/>
    </xf>
    <xf numFmtId="0" fontId="132" fillId="66" borderId="221" xfId="56" applyNumberFormat="1" applyFont="1" applyFill="1" applyBorder="1" applyAlignment="1">
      <alignment horizontal="center" vertical="top" wrapText="1"/>
    </xf>
    <xf numFmtId="0" fontId="132" fillId="66" borderId="222" xfId="56" applyNumberFormat="1" applyFont="1" applyFill="1" applyBorder="1" applyAlignment="1">
      <alignment vertical="top" wrapText="1"/>
    </xf>
    <xf numFmtId="0" fontId="128" fillId="63" borderId="222" xfId="56" applyNumberFormat="1" applyFont="1" applyFill="1" applyBorder="1" applyAlignment="1">
      <alignment vertical="top" wrapText="1"/>
    </xf>
    <x:xf xmlns:x="http://schemas.openxmlformats.org/spreadsheetml/2006/main" numFmtId="0" fontId="149" fillId="68" borderId="223" xfId="57"/>
    <x:xf xmlns:x="http://schemas.openxmlformats.org/spreadsheetml/2006/main" numFmtId="0" fontId="150" fillId="68" borderId="223" xfId="57" applyNumberFormat="1" applyFont="1" applyFill="1" applyBorder="1"/>
    <x:xf xmlns:x="http://schemas.openxmlformats.org/spreadsheetml/2006/main" numFmtId="0" fontId="150" fillId="68" borderId="223" xfId="57" applyNumberFormat="1" applyFont="1" applyFill="1" applyBorder="1" applyAlignment="1">
      <x:alignment wrapText="1"/>
    </x:xf>
    <x:xf xmlns:x="http://schemas.openxmlformats.org/spreadsheetml/2006/main" numFmtId="0" fontId="150" fillId="68" borderId="223" xfId="57" applyNumberFormat="1" applyFont="1" applyFill="1" applyBorder="1" applyAlignment="1">
      <x:alignment vertical="top" wrapText="1"/>
    </x:xf>
    <x:xf xmlns:x="http://schemas.openxmlformats.org/spreadsheetml/2006/main" numFmtId="0" fontId="150" fillId="70" borderId="223" xfId="57" applyNumberFormat="1" applyFont="1" applyFill="1" applyBorder="1" applyAlignment="1">
      <x:alignment vertical="top" wrapText="1"/>
    </x:xf>
    <x:xf xmlns:x="http://schemas.openxmlformats.org/spreadsheetml/2006/main" numFmtId="0" fontId="151" fillId="70" borderId="223" xfId="57" applyNumberFormat="1" applyFont="1" applyFill="1" applyBorder="1" applyAlignment="1">
      <x:alignment vertical="top" wrapText="1"/>
    </x:xf>
    <x:xf xmlns:x="http://schemas.openxmlformats.org/spreadsheetml/2006/main" numFmtId="0" fontId="151" fillId="70" borderId="223" xfId="57" applyNumberFormat="1" applyFont="1" applyFill="1" applyBorder="1" applyAlignment="1">
      <x:alignment vertical="center" wrapText="1"/>
    </x:xf>
    <x:xf xmlns:x="http://schemas.openxmlformats.org/spreadsheetml/2006/main" numFmtId="0" fontId="150" fillId="71" borderId="223" xfId="57" applyNumberFormat="1" applyFont="1" applyFill="1" applyBorder="1" applyAlignment="1">
      <x:alignment vertical="top" wrapText="1"/>
    </x:xf>
    <x:xf xmlns:x="http://schemas.openxmlformats.org/spreadsheetml/2006/main" numFmtId="0" fontId="152" fillId="71" borderId="223" xfId="57" applyNumberFormat="1" applyFont="1" applyFill="1" applyBorder="1" applyAlignment="1">
      <x:alignment vertical="top" wrapText="1"/>
    </x:xf>
    <x:xf xmlns:x="http://schemas.openxmlformats.org/spreadsheetml/2006/main" numFmtId="0" fontId="153" fillId="68" borderId="223" xfId="57" applyNumberFormat="1" applyFont="1" applyFill="1" applyBorder="1" applyAlignment="1">
      <x:alignment vertical="top" wrapText="1"/>
    </x:xf>
    <x:xf xmlns:x="http://schemas.openxmlformats.org/spreadsheetml/2006/main" numFmtId="0" fontId="150" fillId="72" borderId="223" xfId="57" applyNumberFormat="1" applyFont="1" applyFill="1" applyBorder="1" applyAlignment="1">
      <x:alignment vertical="top" wrapText="1"/>
    </x:xf>
    <x:xf xmlns:x="http://schemas.openxmlformats.org/spreadsheetml/2006/main" numFmtId="0" fontId="154" fillId="72" borderId="223" xfId="57" applyNumberFormat="1" applyFont="1" applyFill="1" applyBorder="1" applyAlignment="1">
      <x:alignment vertical="top" wrapText="1"/>
    </x:xf>
    <x:xf xmlns:x="http://schemas.openxmlformats.org/spreadsheetml/2006/main" numFmtId="0" fontId="154" fillId="72" borderId="223" xfId="57" applyNumberFormat="1" applyFont="1" applyFill="1" applyBorder="1" applyAlignment="1">
      <x:alignment vertical="center" wrapText="1"/>
    </x:xf>
    <x:xf xmlns:x="http://schemas.openxmlformats.org/spreadsheetml/2006/main" numFmtId="0" fontId="150" fillId="68" borderId="224" xfId="57" applyNumberFormat="1" applyFont="1" applyFill="1" applyBorder="1" applyAlignment="1">
      <x:alignment vertical="top" wrapText="1"/>
    </x:xf>
    <x:xf xmlns:x="http://schemas.openxmlformats.org/spreadsheetml/2006/main" numFmtId="0" fontId="150" fillId="68" borderId="225" xfId="57" applyNumberFormat="1" applyFont="1" applyFill="1" applyBorder="1" applyAlignment="1">
      <x:alignment vertical="top" wrapText="1"/>
    </x:xf>
    <x:xf xmlns:x="http://schemas.openxmlformats.org/spreadsheetml/2006/main" numFmtId="0" fontId="150" fillId="71" borderId="225" xfId="57" applyNumberFormat="1" applyFont="1" applyFill="1" applyBorder="1" applyAlignment="1">
      <x:alignment vertical="top" wrapText="1"/>
    </x:xf>
    <x:xf xmlns:x="http://schemas.openxmlformats.org/spreadsheetml/2006/main" numFmtId="0" fontId="155" fillId="71" borderId="225" xfId="57" applyNumberFormat="1" applyFont="1" applyFill="1" applyBorder="1" applyAlignment="1">
      <x:alignment vertical="top" wrapText="1"/>
    </x:xf>
    <x:xf xmlns:x="http://schemas.openxmlformats.org/spreadsheetml/2006/main" numFmtId="0" fontId="150" fillId="71" borderId="224" xfId="57" applyNumberFormat="1" applyFont="1" applyFill="1" applyBorder="1" applyAlignment="1">
      <x:alignment vertical="top" wrapText="1"/>
    </x:xf>
    <x:xf xmlns:x="http://schemas.openxmlformats.org/spreadsheetml/2006/main" numFmtId="0" fontId="155" fillId="71" borderId="224" xfId="57" applyNumberFormat="1" applyFont="1" applyFill="1" applyBorder="1" applyAlignment="1">
      <x:alignment vertical="top" wrapText="1"/>
    </x:xf>
    <x:xf xmlns:x="http://schemas.openxmlformats.org/spreadsheetml/2006/main" numFmtId="0" fontId="155" fillId="71" borderId="224" xfId="57" applyNumberFormat="1" applyFont="1" applyFill="1" applyBorder="1" applyAlignment="1">
      <x:alignment horizontal="center" vertical="top" wrapText="1"/>
    </x:xf>
    <xf numFmtId="0" fontId="127" fillId="70" borderId="223" xfId="57" applyNumberFormat="1" applyFont="1" applyFill="1" applyBorder="1" applyAlignment="1">
      <alignment vertical="center" wrapText="1"/>
    </xf>
    <xf numFmtId="0" fontId="128" fillId="68" borderId="223" xfId="57" applyNumberFormat="1" applyFont="1" applyFill="1" applyBorder="1" applyAlignment="1">
      <alignment vertical="top" wrapText="1"/>
    </xf>
    <xf numFmtId="0" fontId="129" fillId="71" borderId="223" xfId="57" applyNumberFormat="1" applyFont="1" applyFill="1" applyBorder="1" applyAlignment="1">
      <alignment vertical="top" wrapText="1"/>
    </xf>
    <xf numFmtId="0" fontId="130" fillId="68" borderId="223" xfId="57" applyNumberFormat="1" applyFont="1" applyFill="1" applyBorder="1" applyAlignment="1">
      <alignment vertical="top" wrapText="1"/>
    </xf>
    <xf numFmtId="0" fontId="131" fillId="72" borderId="223" xfId="57" applyNumberFormat="1" applyFont="1" applyFill="1" applyBorder="1" applyAlignment="1">
      <alignment vertical="center" wrapText="1"/>
    </xf>
    <xf numFmtId="0" fontId="132" fillId="71" borderId="224" xfId="57" applyNumberFormat="1" applyFont="1" applyFill="1" applyBorder="1" applyAlignment="1">
      <alignment horizontal="center" vertical="top" wrapText="1"/>
    </xf>
    <xf numFmtId="0" fontId="132" fillId="71" borderId="225" xfId="57" applyNumberFormat="1" applyFont="1" applyFill="1" applyBorder="1" applyAlignment="1">
      <alignment vertical="top" wrapText="1"/>
    </xf>
    <xf numFmtId="0" fontId="128" fillId="68" borderId="225" xfId="57" applyNumberFormat="1" applyFont="1" applyFill="1" applyBorder="1" applyAlignment="1">
      <alignment vertical="top" wrapText="1"/>
    </xf>
    <x:xf xmlns:x="http://schemas.openxmlformats.org/spreadsheetml/2006/main" numFmtId="0" fontId="156" fillId="73" borderId="226" xfId="58"/>
    <x:xf xmlns:x="http://schemas.openxmlformats.org/spreadsheetml/2006/main" numFmtId="0" fontId="156" fillId="75" borderId="226" xfId="58" applyNumberFormat="1" applyFont="1" applyFill="1" applyBorder="1"/>
    <x:xf xmlns:x="http://schemas.openxmlformats.org/spreadsheetml/2006/main" numFmtId="0" fontId="157" fillId="75" borderId="226" xfId="58" applyNumberFormat="1" applyFont="1" applyFill="1" applyBorder="1"/>
    <x:xf xmlns:x="http://schemas.openxmlformats.org/spreadsheetml/2006/main" numFmtId="0" fontId="157" fillId="75" borderId="226" xfId="58" applyNumberFormat="1" applyFont="1" applyFill="1" applyBorder="1" applyAlignment="1">
      <x:alignment wrapText="1"/>
    </x:xf>
    <x:xf xmlns:x="http://schemas.openxmlformats.org/spreadsheetml/2006/main" numFmtId="0" fontId="157" fillId="75" borderId="226" xfId="58" applyNumberFormat="1" applyFont="1" applyFill="1" applyBorder="1" applyAlignment="1">
      <x:alignment vertical="center" wrapText="1"/>
    </x:xf>
    <x:xf xmlns:x="http://schemas.openxmlformats.org/spreadsheetml/2006/main" numFmtId="0" fontId="157" fillId="76" borderId="226" xfId="58" applyNumberFormat="1" applyFont="1" applyFill="1" applyBorder="1" applyAlignment="1">
      <x:alignment vertical="center" wrapText="1"/>
    </x:xf>
    <x:xf xmlns:x="http://schemas.openxmlformats.org/spreadsheetml/2006/main" numFmtId="0" fontId="158" fillId="76" borderId="226" xfId="58" applyNumberFormat="1" applyFont="1" applyFill="1" applyBorder="1" applyAlignment="1">
      <x:alignment vertical="center" wrapText="1"/>
    </x:xf>
    <x:xf xmlns:x="http://schemas.openxmlformats.org/spreadsheetml/2006/main" numFmtId="0" fontId="158" fillId="76" borderId="226" xfId="58" applyNumberFormat="1" applyFont="1" applyFill="1" applyBorder="1" applyAlignment="1">
      <x:alignment horizontal="left" vertical="center" wrapText="1"/>
    </x:xf>
    <x:xf xmlns:x="http://schemas.openxmlformats.org/spreadsheetml/2006/main" numFmtId="0" fontId="159" fillId="75" borderId="226" xfId="58" applyNumberFormat="1" applyFont="1" applyFill="1" applyBorder="1" applyAlignment="1">
      <x:alignment vertical="center" wrapText="1"/>
    </x:xf>
    <x:xf xmlns:x="http://schemas.openxmlformats.org/spreadsheetml/2006/main" numFmtId="0" fontId="159" fillId="75" borderId="227" xfId="58" applyNumberFormat="1" applyFont="1" applyFill="1" applyBorder="1" applyAlignment="1">
      <x:alignment vertical="center" wrapText="1"/>
    </x:xf>
    <x:xf xmlns:x="http://schemas.openxmlformats.org/spreadsheetml/2006/main" numFmtId="0" fontId="159" fillId="75" borderId="227" xfId="58" applyNumberFormat="1" applyFont="1" applyFill="1" applyBorder="1" applyAlignment="1">
      <x:alignment horizontal="left" vertical="center" wrapText="1"/>
    </x:xf>
    <x:xf xmlns:x="http://schemas.openxmlformats.org/spreadsheetml/2006/main" numFmtId="0" fontId="160" fillId="75" borderId="226" xfId="58" applyNumberFormat="1" applyFont="1" applyFill="1" applyBorder="1" applyAlignment="1">
      <x:alignment vertical="center" wrapText="1"/>
    </x:xf>
    <x:xf xmlns:x="http://schemas.openxmlformats.org/spreadsheetml/2006/main" numFmtId="0" fontId="157" fillId="77" borderId="226" xfId="58" applyNumberFormat="1" applyFont="1" applyFill="1" applyBorder="1" applyAlignment="1">
      <x:alignment vertical="center" wrapText="1"/>
    </x:xf>
    <x:xf xmlns:x="http://schemas.openxmlformats.org/spreadsheetml/2006/main" numFmtId="0" fontId="159" fillId="77" borderId="226" xfId="58" applyNumberFormat="1" applyFont="1" applyFill="1" applyBorder="1" applyAlignment="1">
      <x:alignment vertical="center" wrapText="1"/>
    </x:xf>
    <x:xf xmlns:x="http://schemas.openxmlformats.org/spreadsheetml/2006/main" numFmtId="0" fontId="159" fillId="77" borderId="228" xfId="58" applyNumberFormat="1" applyFont="1" applyFill="1" applyBorder="1" applyAlignment="1">
      <x:alignment vertical="center" wrapText="1"/>
    </x:xf>
    <x:xf xmlns:x="http://schemas.openxmlformats.org/spreadsheetml/2006/main" numFmtId="0" fontId="159" fillId="77" borderId="228" xfId="58" applyNumberFormat="1" applyFont="1" applyFill="1" applyBorder="1" applyAlignment="1">
      <x:alignment horizontal="center" vertical="center" wrapText="1"/>
    </x:xf>
    <x:xf xmlns:x="http://schemas.openxmlformats.org/spreadsheetml/2006/main" numFmtId="0" fontId="157" fillId="78" borderId="226" xfId="58" applyNumberFormat="1" applyFont="1" applyFill="1" applyBorder="1" applyAlignment="1">
      <x:alignment vertical="center" wrapText="1"/>
    </x:xf>
    <x:xf xmlns:x="http://schemas.openxmlformats.org/spreadsheetml/2006/main" numFmtId="0" fontId="157" fillId="78" borderId="226" xfId="58" applyNumberFormat="1" applyFont="1" applyFill="1" applyBorder="1" applyAlignment="1">
      <x:alignment horizontal="left" vertical="center" wrapText="1"/>
    </x:xf>
    <x:xf xmlns:x="http://schemas.openxmlformats.org/spreadsheetml/2006/main" numFmtId="0" fontId="161" fillId="75" borderId="226" xfId="58" applyNumberFormat="1" applyFont="1" applyFill="1" applyBorder="1" applyAlignment="1">
      <x:alignment vertical="center" wrapText="1"/>
    </x:xf>
    <x:xf xmlns:x="http://schemas.openxmlformats.org/spreadsheetml/2006/main" numFmtId="0" fontId="157" fillId="79" borderId="226" xfId="58" applyNumberFormat="1" applyFont="1" applyFill="1" applyBorder="1" applyAlignment="1">
      <x:alignment vertical="center" wrapText="1"/>
    </x:xf>
    <x:xf xmlns:x="http://schemas.openxmlformats.org/spreadsheetml/2006/main" numFmtId="0" fontId="160" fillId="79" borderId="226" xfId="58" applyNumberFormat="1" applyFont="1" applyFill="1" applyBorder="1" applyAlignment="1">
      <x:alignment vertical="center" wrapText="1"/>
    </x:xf>
    <x:xf xmlns:x="http://schemas.openxmlformats.org/spreadsheetml/2006/main" numFmtId="0" fontId="160" fillId="79" borderId="229" xfId="58" applyNumberFormat="1" applyFont="1" applyFill="1" applyBorder="1" applyAlignment="1">
      <x:alignment vertical="center" wrapText="1"/>
    </x:xf>
    <x:xf xmlns:x="http://schemas.openxmlformats.org/spreadsheetml/2006/main" numFmtId="0" fontId="160" fillId="79" borderId="229" xfId="58" applyNumberFormat="1" applyFont="1" applyFill="1" applyBorder="1" applyAlignment="1">
      <x:alignment horizontal="center" vertical="center" wrapText="1"/>
    </x:xf>
    <x:xf xmlns:x="http://schemas.openxmlformats.org/spreadsheetml/2006/main" numFmtId="0" fontId="159" fillId="77" borderId="229" xfId="58" applyNumberFormat="1" applyFont="1" applyFill="1" applyBorder="1" applyAlignment="1">
      <x:alignment vertical="center" wrapText="1"/>
    </x:xf>
    <x:xf xmlns:x="http://schemas.openxmlformats.org/spreadsheetml/2006/main" numFmtId="0" fontId="159" fillId="77" borderId="229" xfId="58" applyNumberFormat="1" applyFont="1" applyFill="1" applyBorder="1" applyAlignment="1">
      <x:alignment horizontal="center" vertical="center" wrapText="1"/>
    </x:xf>
    <x:xf xmlns:x="http://schemas.openxmlformats.org/spreadsheetml/2006/main" numFmtId="181" fontId="159" fillId="77" borderId="229" xfId="58" applyNumberFormat="1" applyFont="1" applyFill="1" applyBorder="1" applyAlignment="1">
      <x:alignment horizontal="center" vertical="center" wrapText="1"/>
    </x:xf>
    <x:xf xmlns:x="http://schemas.openxmlformats.org/spreadsheetml/2006/main" numFmtId="0" fontId="157" fillId="80" borderId="226" xfId="58" applyNumberFormat="1" applyFont="1" applyFill="1" applyBorder="1" applyAlignment="1">
      <x:alignment vertical="center" wrapText="1"/>
    </x:xf>
    <x:xf xmlns:x="http://schemas.openxmlformats.org/spreadsheetml/2006/main" numFmtId="0" fontId="162" fillId="80" borderId="226" xfId="58" applyNumberFormat="1" applyFont="1" applyFill="1" applyBorder="1" applyAlignment="1">
      <x:alignment vertical="center" wrapText="1"/>
    </x:xf>
    <x:xf xmlns:x="http://schemas.openxmlformats.org/spreadsheetml/2006/main" numFmtId="0" fontId="162" fillId="80" borderId="226" xfId="58" applyNumberFormat="1" applyFont="1" applyFill="1" applyBorder="1" applyAlignment="1">
      <x:alignment horizontal="left" vertical="center" wrapText="1"/>
    </x:xf>
    <x:xf xmlns:x="http://schemas.openxmlformats.org/spreadsheetml/2006/main" numFmtId="0" fontId="163" fillId="80" borderId="226" xfId="58" applyNumberFormat="1" applyFont="1" applyFill="1" applyBorder="1" applyAlignment="1">
      <x:alignment vertical="center" wrapText="1"/>
    </x:xf>
    <x:xf xmlns:x="http://schemas.openxmlformats.org/spreadsheetml/2006/main" numFmtId="0" fontId="163" fillId="80" borderId="230" xfId="58" applyNumberFormat="1" applyFont="1" applyFill="1" applyBorder="1" applyAlignment="1">
      <x:alignment vertical="center" wrapText="1"/>
    </x:xf>
    <x:xf xmlns:x="http://schemas.openxmlformats.org/spreadsheetml/2006/main" numFmtId="0" fontId="163" fillId="80" borderId="230" xfId="58" applyNumberFormat="1" applyFont="1" applyFill="1" applyBorder="1" applyAlignment="1">
      <x:alignment horizontal="center" vertical="center" wrapText="1"/>
    </x:xf>
    <x:xf xmlns:x="http://schemas.openxmlformats.org/spreadsheetml/2006/main" numFmtId="0" fontId="157" fillId="75" borderId="229" xfId="58" applyNumberFormat="1" applyFont="1" applyFill="1" applyBorder="1" applyAlignment="1">
      <x:alignment vertical="center" wrapText="1"/>
    </x:xf>
    <x:xf xmlns:x="http://schemas.openxmlformats.org/spreadsheetml/2006/main" numFmtId="0" fontId="157" fillId="77" borderId="229" xfId="58" applyNumberFormat="1" applyFont="1" applyFill="1" applyBorder="1" applyAlignment="1">
      <x:alignment vertical="center" wrapText="1"/>
    </x:xf>
    <x:xf xmlns:x="http://schemas.openxmlformats.org/spreadsheetml/2006/main" numFmtId="0" fontId="157" fillId="78" borderId="229" xfId="58" applyNumberFormat="1" applyFont="1" applyFill="1" applyBorder="1" applyAlignment="1">
      <x:alignment vertical="center" wrapText="1"/>
    </x:xf>
    <x:xf xmlns:x="http://schemas.openxmlformats.org/spreadsheetml/2006/main" numFmtId="0" fontId="157" fillId="78" borderId="229" xfId="58" applyNumberFormat="1" applyFont="1" applyFill="1" applyBorder="1" applyAlignment="1">
      <x:alignment horizontal="center" vertical="center" wrapText="1"/>
    </x:xf>
    <x:xf xmlns:x="http://schemas.openxmlformats.org/spreadsheetml/2006/main" numFmtId="182" fontId="159" fillId="77" borderId="229" xfId="58" applyNumberFormat="1" applyFont="1" applyFill="1" applyBorder="1" applyAlignment="1">
      <x:alignment horizontal="center" vertical="center" wrapText="1"/>
    </x:xf>
    <x:xf xmlns:x="http://schemas.openxmlformats.org/spreadsheetml/2006/main" numFmtId="181" fontId="157" fillId="78" borderId="229" xfId="58" applyNumberFormat="1" applyFont="1" applyFill="1" applyBorder="1" applyAlignment="1">
      <x:alignment horizontal="center" vertical="center" wrapText="1"/>
    </x:xf>
    <x:xf xmlns:x="http://schemas.openxmlformats.org/spreadsheetml/2006/main" numFmtId="0" fontId="159" fillId="77" borderId="229" xfId="58" applyNumberFormat="1" applyFont="1" applyFill="1" applyBorder="1" applyAlignment="1">
      <x:alignment horizontal="left" vertical="center" wrapText="1"/>
    </x:xf>
    <x:xf xmlns:x="http://schemas.openxmlformats.org/spreadsheetml/2006/main" numFmtId="0" fontId="157" fillId="78" borderId="227" xfId="58" applyNumberFormat="1" applyFont="1" applyFill="1" applyBorder="1" applyAlignment="1">
      <x:alignment vertical="center" wrapText="1"/>
    </x:xf>
    <x:xf xmlns:x="http://schemas.openxmlformats.org/spreadsheetml/2006/main" numFmtId="0" fontId="164" fillId="81" borderId="231" xfId="59"/>
    <x:xf xmlns:x="http://schemas.openxmlformats.org/spreadsheetml/2006/main" numFmtId="0" fontId="165" fillId="81" borderId="231" xfId="59" applyNumberFormat="1" applyFont="1" applyFill="1" applyBorder="1"/>
    <x:xf xmlns:x="http://schemas.openxmlformats.org/spreadsheetml/2006/main" numFmtId="0" fontId="165" fillId="81" borderId="231" xfId="59" applyNumberFormat="1" applyFont="1" applyFill="1" applyBorder="1" applyAlignment="1">
      <x:alignment wrapText="1"/>
    </x:xf>
    <x:xf xmlns:x="http://schemas.openxmlformats.org/spreadsheetml/2006/main" numFmtId="0" fontId="165" fillId="81" borderId="231" xfId="59" applyNumberFormat="1" applyFont="1" applyFill="1" applyBorder="1" applyAlignment="1">
      <x:alignment vertical="top" wrapText="1"/>
    </x:xf>
    <x:xf xmlns:x="http://schemas.openxmlformats.org/spreadsheetml/2006/main" numFmtId="0" fontId="165" fillId="83" borderId="231" xfId="59" applyNumberFormat="1" applyFont="1" applyFill="1" applyBorder="1" applyAlignment="1">
      <x:alignment vertical="top" wrapText="1"/>
    </x:xf>
    <x:xf xmlns:x="http://schemas.openxmlformats.org/spreadsheetml/2006/main" numFmtId="0" fontId="166" fillId="83" borderId="231" xfId="59" applyNumberFormat="1" applyFont="1" applyFill="1" applyBorder="1" applyAlignment="1">
      <x:alignment vertical="top" wrapText="1"/>
    </x:xf>
    <x:xf xmlns:x="http://schemas.openxmlformats.org/spreadsheetml/2006/main" numFmtId="0" fontId="166" fillId="83" borderId="231" xfId="59" applyNumberFormat="1" applyFont="1" applyFill="1" applyBorder="1" applyAlignment="1">
      <x:alignment vertical="center" wrapText="1"/>
    </x:xf>
    <x:xf xmlns:x="http://schemas.openxmlformats.org/spreadsheetml/2006/main" numFmtId="0" fontId="165" fillId="84" borderId="231" xfId="59" applyNumberFormat="1" applyFont="1" applyFill="1" applyBorder="1" applyAlignment="1">
      <x:alignment vertical="top" wrapText="1"/>
    </x:xf>
    <x:xf xmlns:x="http://schemas.openxmlformats.org/spreadsheetml/2006/main" numFmtId="0" fontId="167" fillId="84" borderId="231" xfId="59" applyNumberFormat="1" applyFont="1" applyFill="1" applyBorder="1" applyAlignment="1">
      <x:alignment vertical="top" wrapText="1"/>
    </x:xf>
    <x:xf xmlns:x="http://schemas.openxmlformats.org/spreadsheetml/2006/main" numFmtId="0" fontId="168" fillId="81" borderId="231" xfId="59" applyNumberFormat="1" applyFont="1" applyFill="1" applyBorder="1" applyAlignment="1">
      <x:alignment vertical="top" wrapText="1"/>
    </x:xf>
    <x:xf xmlns:x="http://schemas.openxmlformats.org/spreadsheetml/2006/main" numFmtId="0" fontId="165" fillId="85" borderId="231" xfId="59" applyNumberFormat="1" applyFont="1" applyFill="1" applyBorder="1" applyAlignment="1">
      <x:alignment vertical="top" wrapText="1"/>
    </x:xf>
    <x:xf xmlns:x="http://schemas.openxmlformats.org/spreadsheetml/2006/main" numFmtId="0" fontId="169" fillId="85" borderId="231" xfId="59" applyNumberFormat="1" applyFont="1" applyFill="1" applyBorder="1" applyAlignment="1">
      <x:alignment vertical="top" wrapText="1"/>
    </x:xf>
    <x:xf xmlns:x="http://schemas.openxmlformats.org/spreadsheetml/2006/main" numFmtId="0" fontId="169" fillId="85" borderId="231" xfId="59" applyNumberFormat="1" applyFont="1" applyFill="1" applyBorder="1" applyAlignment="1">
      <x:alignment vertical="center" wrapText="1"/>
    </x:xf>
    <x:xf xmlns:x="http://schemas.openxmlformats.org/spreadsheetml/2006/main" numFmtId="0" fontId="165" fillId="81" borderId="232" xfId="59" applyNumberFormat="1" applyFont="1" applyFill="1" applyBorder="1" applyAlignment="1">
      <x:alignment vertical="top" wrapText="1"/>
    </x:xf>
    <x:xf xmlns:x="http://schemas.openxmlformats.org/spreadsheetml/2006/main" numFmtId="0" fontId="165" fillId="81" borderId="233" xfId="59" applyNumberFormat="1" applyFont="1" applyFill="1" applyBorder="1" applyAlignment="1">
      <x:alignment vertical="top" wrapText="1"/>
    </x:xf>
    <x:xf xmlns:x="http://schemas.openxmlformats.org/spreadsheetml/2006/main" numFmtId="0" fontId="165" fillId="84" borderId="233" xfId="59" applyNumberFormat="1" applyFont="1" applyFill="1" applyBorder="1" applyAlignment="1">
      <x:alignment vertical="top" wrapText="1"/>
    </x:xf>
    <x:xf xmlns:x="http://schemas.openxmlformats.org/spreadsheetml/2006/main" numFmtId="0" fontId="170" fillId="84" borderId="233" xfId="59" applyNumberFormat="1" applyFont="1" applyFill="1" applyBorder="1" applyAlignment="1">
      <x:alignment vertical="top" wrapText="1"/>
    </x:xf>
    <x:xf xmlns:x="http://schemas.openxmlformats.org/spreadsheetml/2006/main" numFmtId="0" fontId="165" fillId="84" borderId="232" xfId="59" applyNumberFormat="1" applyFont="1" applyFill="1" applyBorder="1" applyAlignment="1">
      <x:alignment vertical="top" wrapText="1"/>
    </x:xf>
    <x:xf xmlns:x="http://schemas.openxmlformats.org/spreadsheetml/2006/main" numFmtId="0" fontId="170" fillId="84" borderId="232" xfId="59" applyNumberFormat="1" applyFont="1" applyFill="1" applyBorder="1" applyAlignment="1">
      <x:alignment vertical="top" wrapText="1"/>
    </x:xf>
    <x:xf xmlns:x="http://schemas.openxmlformats.org/spreadsheetml/2006/main" numFmtId="0" fontId="170" fillId="84" borderId="232" xfId="59" applyNumberFormat="1" applyFont="1" applyFill="1" applyBorder="1" applyAlignment="1">
      <x:alignment horizontal="center" vertical="top" wrapText="1"/>
    </x:xf>
    <xf numFmtId="0" fontId="1" fillId="86" borderId="1" xfId="0" applyFont="1" applyFill="1" applyBorder="1" applyAlignment="1">
      <alignment horizontal="center" vertical="center" shrinkToFit="1"/>
    </xf>
    <xf numFmtId="0" fontId="2" fillId="86" borderId="2" xfId="0" applyFont="1" applyBorder="1" applyFill="1"/>
    <xf numFmtId="0" fontId="2" fillId="86" borderId="3" xfId="0" applyFont="1" applyBorder="1" applyFill="1"/>
    <xf numFmtId="0" fontId="2" fillId="86" borderId="4" xfId="0" applyFont="1" applyBorder="1" applyFill="1"/>
    <xf numFmtId="0" fontId="2" fillId="86" borderId="5" xfId="0" applyFont="1" applyBorder="1" applyFill="1"/>
    <xf numFmtId="0" fontId="2" fillId="86" borderId="6" xfId="0" applyFont="1" applyBorder="1" applyFill="1"/>
    <xf numFmtId="0" fontId="2" fillId="86" borderId="7" xfId="0" applyFont="1" applyBorder="1" applyFill="1"/>
    <xf numFmtId="0" fontId="2" fillId="86" borderId="8" xfId="0" applyFont="1" applyBorder="1" applyFill="1"/>
    <xf numFmtId="0" fontId="12" fillId="0" borderId="0" xfId="0" applyFont="1" applyFill="1" applyBorder="1" applyAlignment="1">
      <alignment horizontal="center" vertical="center" shrinkToFit="1"/>
    </xf>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块标题" xfId="50"/>
    <cellStyle name="块副标题" xfId="51"/>
    <cellStyle name="外边框" xfId="52"/>
  </cellStyles>
  <dxfs count="21">
    <dxf>
      <font>
        <color theme="0"/>
      </font>
      <fill>
        <patternFill patternType="solid">
          <bgColor theme="0"/>
        </patternFill>
      </fill>
      <border>
        <right style="thin">
          <color theme="0"/>
        </right>
        <bottom style="thin">
          <color theme="0"/>
        </bottom>
      </border>
    </dxf>
    <dxf>
      <font>
        <color rgb="FFFF0000"/>
      </font>
      <fill>
        <patternFill patternType="solid">
          <bgColor rgb="FFFF0000"/>
        </patternFill>
      </fill>
    </dxf>
    <dxf>
      <font>
        <color theme="0"/>
      </font>
      <fill>
        <patternFill patternType="solid">
          <bgColor theme="0"/>
        </patternFill>
      </fill>
      <border>
        <left style="thin">
          <color theme="0"/>
        </left>
        <right style="thin">
          <color theme="0"/>
        </right>
        <bottom style="thin">
          <color theme="0"/>
        </bottom>
      </border>
    </dxf>
    <dxf>
      <font>
        <b val="0"/>
        <i val="1"/>
        <color rgb="FFFF0000"/>
      </font>
    </dxf>
    <dxf>
      <fill>
        <patternFill patternType="solid">
          <bgColor rgb="FFE8EDF8"/>
        </patternFill>
      </fill>
    </dxf>
    <dxf>
      <font>
        <b val="0"/>
        <i val="1"/>
      </font>
      <fill>
        <patternFill patternType="solid">
          <bgColor rgb="FFFFB9B9"/>
        </patternFill>
      </fill>
    </dxf>
    <dxf>
      <font>
        <b val="0"/>
        <i val="1"/>
      </font>
      <fill>
        <patternFill patternType="solid">
          <bgColor rgb="FFFFFFBD"/>
        </patternFill>
      </fill>
    </dxf>
    <dxf>
      <font>
        <color theme="0" tint="-0.249946592608417"/>
      </font>
      <fill>
        <patternFill patternType="solid">
          <bgColor theme="0"/>
        </patternFill>
      </fill>
    </dxf>
    <dxf>
      <fill>
        <patternFill patternType="solid">
          <bgColor rgb="FFFF7D7D"/>
        </patternFill>
      </fill>
    </dxf>
    <dxf>
      <font>
        <color theme="0" tint="-0.499984740745262"/>
      </font>
    </dxf>
    <dxf>
      <font>
        <sz val="11"/>
        <color rgb="FF9C0006"/>
      </font>
      <fill>
        <patternFill patternType="solid">
          <bgColor rgb="FFFFC7CE"/>
        </patternFill>
      </fill>
    </dxf>
    <dxf>
      <font>
        <color theme="0" tint="-0.249946592608417"/>
      </font>
    </dxf>
    <dxf>
      <font>
        <color theme="0" tint="-0.249977111117893"/>
      </font>
    </dxf>
    <dxf>
      <font>
        <color theme="0" tint="-0.249946592608417"/>
      </font>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4" tint="0.799890133365886"/>
      </font>
    </dxf>
    <dxf>
      <font>
        <color rgb="FFFFFFFF"/>
      </font>
      <numFmt numFmtId="5000" formatCode=";;;"/>
      <fill>
        <patternFill patternType="solid">
          <fgColor rgb="FFFFFFFF"/>
          <bgColor rgb="FFFFFFFF"/>
        </patternFill>
      </fill>
    </dxf>
  </dxfs>
  <tableStyles count="1" defaultTableStyle="TableStyleMedium2" defaultPivotStyle="PivotStyleLight16">
    <tableStyle name="基本相间" pivot="0" count="1" xr9:uid="{262D9AF2-75F3-4A26-8B68-41AE5760129F}">
      <tableStyleElement type="secondRowStripe" dxfId="19"/>
    </tableStyle>
  </tableStyles>
  <colors>
    <mruColors>
      <color rgb="00B4C6E7"/>
      <color rgb="00E8EDF8"/>
      <color rgb="00FF7D7D"/>
      <color rgb="00FFB9B9"/>
      <color rgb="00FFFFBD"/>
      <color rgb="00FFFF7D"/>
      <color rgb="00FF8B8B"/>
      <color rgb="00F6F8FC"/>
      <color rgb="00F0F3F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 Id="rIdV15Ref0" Type="http://schemas.openxmlformats.org/officeDocument/2006/relationships/worksheet" Target="worksheets/sheet13.xml"/><Relationship Id="rIdV15Ref1" Type="http://schemas.openxmlformats.org/officeDocument/2006/relationships/worksheet" Target="worksheets/sheet14.xml"/><Relationship Id="rIdV16Memo" Type="http://schemas.openxmlformats.org/officeDocument/2006/relationships/worksheet" Target="worksheets/sheet15.xml"/><Relationship Id="rIdJournal1" Type="http://schemas.openxmlformats.org/officeDocument/2006/relationships/worksheet" Target="worksheets/sheet16.xml"/><Relationship Id="rIdJournal2" Type="http://schemas.openxmlformats.org/officeDocument/2006/relationships/worksheet" Target="worksheets/sheet17.xml"/></Relationships>
</file>

<file path=xl/tables/table1.xml><?xml version="1.0" encoding="utf-8"?>
<table xmlns="http://schemas.openxmlformats.org/spreadsheetml/2006/main" id="11" name="表11" displayName="表11" ref="A1:A11" totalsRowShown="0">
  <tableColumns count="1">
    <tableColumn id="1" name="艺术" dataDxfId="14"/>
  </tableColumns>
  <tableStyleInfo name="TableStyleMedium2" showFirstColumn="0" showLastColumn="0" showRowStripes="1" showColumnStripes="0"/>
</table>
</file>

<file path=xl/tables/table2.xml><?xml version="1.0" encoding="utf-8"?>
<table xmlns="http://schemas.openxmlformats.org/spreadsheetml/2006/main" id="12" name="表12" displayName="表12" ref="C1:C13" totalsRowShown="0">
  <tableColumns count="1">
    <tableColumn id="1" name="工艺" dataDxfId="15"/>
  </tableColumns>
  <tableStyleInfo name="TableStyleMedium3" showFirstColumn="0" showLastColumn="0" showRowStripes="1" showColumnStripes="0"/>
</table>
</file>

<file path=xl/tables/table3.xml><?xml version="1.0" encoding="utf-8"?>
<table xmlns="http://schemas.openxmlformats.org/spreadsheetml/2006/main" id="13" name="表13" displayName="表13" ref="E1:E4" totalsRowShown="0">
  <tableColumns count="1">
    <tableColumn id="1" name="军事科学" dataDxfId="16"/>
  </tableColumns>
  <tableStyleInfo name="TableStyleMedium2" showFirstColumn="0" showLastColumn="0" showRowStripes="1" showColumnStripes="0"/>
</table>
</file>

<file path=xl/tables/table4.xml><?xml version="1.0" encoding="utf-8"?>
<table xmlns="http://schemas.openxmlformats.org/spreadsheetml/2006/main" id="14" name="表14" displayName="表14" ref="G1:G9" totalsRowShown="0">
  <tableColumns count="1">
    <tableColumn id="1" name="特种载具" dataDxfId="17"/>
  </tableColumns>
  <tableStyleInfo name="TableStyleMedium3" showFirstColumn="0" showLastColumn="0" showRowStripes="1" showColumnStripes="0"/>
</table>
</file>

<file path=xl/tables/table5.xml><?xml version="1.0" encoding="utf-8"?>
<table xmlns="http://schemas.openxmlformats.org/spreadsheetml/2006/main" id="15" name="表15" displayName="表15" ref="I1:I27" totalsRowShown="0">
  <tableColumns count="1">
    <tableColumn id="1" name="科学" dataDxfId="18"/>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Id="rId3" Type="http://schemas.openxmlformats.org/officeDocument/2006/relationships/vmlDrawing" Target="../drawings/vmlDrawing1.vml"/><Relationship Id="rId1" Type="http://schemas.openxmlformats.org/officeDocument/2006/relationships/comments" Target="../comments1.xml"/><Relationship Id="rIdV16Link4" Type="http://schemas.openxmlformats.org/officeDocument/2006/relationships/hyperlink" Target="https://greenbox.thebackstop.app/" TargetMode="External"/></Relationships>
</file>

<file path=xl/worksheets/_rels/sheet5.xml.rels><?xml version="1.0" encoding="UTF-8" standalone="yes"?>
<Relationships xmlns="http://schemas.openxmlformats.org/package/2006/relationships"><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History1" Type="http://schemas.openxmlformats.org/officeDocument/2006/relationships/hyperlink" Target="mailto:dkwings@gmail.com" TargetMode="External"/><Relationship Id="rIdHistory2" Type="http://schemas.openxmlformats.org/officeDocument/2006/relationships/hyperlink" Target="https://github.com/Shylosia/DeltaGreen" TargetMode="External"/><Relationship Id="rIdHistory4" Type="http://schemas.openxmlformats.org/officeDocument/2006/relationships/hyperlink" Target="https://greenbox.thebackstop.app/" TargetMode="External"/></Relationships>
</file>

<file path=xl/worksheets/_rels/sheet11.xml.rels><Relationships xmlns="http://schemas.openxmlformats.org/package/2006/relationships"><Relationship Id="rIdV16Link15" Type="http://schemas.openxmlformats.org/officeDocument/2006/relationships/hyperlink" Target="https://greenbox.thebackstop.app/" TargetMode="External"/></Relationships>
</file>

<file path=xl/worksheets/_rels/sheet15.xml.rels><Relationships xmlns="http://schemas.openxmlformats.org/package/2006/relationships"><Relationship Id="rIdV16Link3" Type="http://schemas.openxmlformats.org/officeDocument/2006/relationships/hyperlink" Target="https://greenbox.thebackstop.ap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B4C6E7"/>
  </sheetPr>
  <dimension ref="A1:EZ72"/>
  <sheetViews>
    <sheetView tabSelected="1" topLeftCell="R1" workbookViewId="0">
      <selection activeCell="BN17" sqref="BN17:CX26"/>
    </sheetView>
  </sheetViews>
  <sheetFormatPr defaultColWidth="1.6" defaultRowHeight="14.1" customHeight="1"/>
  <cols>
    <col min="1" max="1" width="1.06666666666667" style="77" customWidth="1"/>
    <col min="2" max="59" width="1.6" style="78"/>
    <col min="60" max="60" width="1.06666666666667" style="78" customWidth="1"/>
    <col min="61" max="102" width="1.6" style="78"/>
    <col min="103" max="103" width="1.2" style="78" customWidth="1"/>
    <col min="104" max="104" width="2" style="78" customWidth="1"/>
    <col min="105" max="137" width="1.6" style="78"/>
    <col min="138" max="138" width="1.2" style="78" customWidth="1"/>
    <col min="139" max="160" width="1.6" style="78"/>
    <col min="161" max="16384" width="4.21666666666667" style="78"/>
  </cols>
  <sheetData>
    <row r="1" s="76" customFormat="1" ht="4.9" customHeight="1" spans="1:156">
      <c r="A1" s="79"/>
      <c r="B1" s="80"/>
      <c r="C1" s="80"/>
      <c r="D1" s="80"/>
      <c r="E1" s="80"/>
      <c r="F1" s="80"/>
      <c r="G1" s="80"/>
      <c r="H1" s="80"/>
      <c r="I1" s="80"/>
      <c r="J1" s="80"/>
      <c r="K1" s="80"/>
      <c r="L1" s="80"/>
      <c r="M1" s="80"/>
      <c r="N1" s="80"/>
      <c r="O1" s="80"/>
      <c r="P1" s="80"/>
      <c r="Q1" s="80"/>
      <c r="R1" s="80"/>
      <c r="S1" s="80"/>
      <c r="T1" s="80"/>
      <c r="U1" s="80"/>
      <c r="V1" s="80"/>
      <c r="W1" s="80"/>
      <c r="X1" s="80"/>
      <c r="Y1" s="80"/>
      <c r="Z1" s="80"/>
      <c r="AB1" s="81"/>
      <c r="AC1" s="81"/>
      <c r="AD1" s="81"/>
      <c r="AE1" s="81"/>
      <c r="AF1" s="81"/>
      <c r="AG1" s="81"/>
      <c r="AH1" s="81"/>
      <c r="AI1" s="81"/>
      <c r="AJ1" s="81"/>
      <c r="AK1" s="81"/>
      <c r="AL1" s="81"/>
      <c r="AM1" s="81"/>
      <c r="AN1" s="81"/>
      <c r="AO1" s="81"/>
      <c r="AP1" s="81"/>
      <c r="AQ1" s="82"/>
      <c r="AR1" s="83"/>
      <c r="AS1" s="83"/>
      <c r="AT1" s="83"/>
      <c r="AU1" s="83"/>
      <c r="AV1" s="83"/>
      <c r="AW1" s="83"/>
      <c r="AX1" s="83"/>
      <c r="AY1" s="83"/>
      <c r="AZ1" s="83"/>
      <c r="BA1" s="83"/>
      <c r="BB1" s="83"/>
      <c r="BC1" s="83"/>
      <c r="BD1" s="83"/>
      <c r="BE1" s="83"/>
      <c r="BF1" s="83"/>
      <c r="BG1" s="84"/>
      <c r="BH1" s="78"/>
      <c r="BI1" s="85"/>
      <c r="BJ1" s="80"/>
      <c r="BK1" s="80"/>
      <c r="BL1" s="80"/>
      <c r="BM1" s="80"/>
      <c r="BN1" s="80"/>
      <c r="BO1" s="80"/>
      <c r="BP1" s="80"/>
      <c r="BQ1" s="80"/>
      <c r="BR1" s="80"/>
      <c r="BS1" s="80"/>
      <c r="BT1" s="80"/>
      <c r="BU1" s="80"/>
      <c r="BV1" s="80"/>
      <c r="BW1" s="80"/>
      <c r="BX1" s="80"/>
      <c r="BY1" s="80"/>
      <c r="BZ1" s="80"/>
      <c r="CA1" s="80"/>
      <c r="CB1" s="80"/>
      <c r="CC1" s="80"/>
      <c r="CD1" s="80"/>
      <c r="CE1" s="80"/>
      <c r="CF1" s="80"/>
      <c r="CG1" s="80"/>
      <c r="CH1" s="80"/>
      <c r="CI1" s="80"/>
      <c r="CJ1" s="80"/>
      <c r="CK1" s="80"/>
      <c r="CL1" s="80"/>
      <c r="CM1" s="80"/>
      <c r="CN1" s="80"/>
      <c r="CO1" s="80"/>
      <c r="CP1" s="80"/>
      <c r="CQ1" s="80"/>
      <c r="CR1" s="80"/>
      <c r="CS1" s="80"/>
      <c r="CT1" s="80"/>
      <c r="CU1" s="80"/>
      <c r="CV1" s="80"/>
      <c r="CW1" s="80"/>
      <c r="CX1" s="80"/>
      <c r="CZ1" s="86" t="s">
        <v>0</v>
      </c>
      <c r="DA1" s="87"/>
      <c r="DB1" s="88"/>
      <c r="DC1" s="89"/>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1"/>
      <c r="EH1" s="80"/>
      <c r="EI1" s="80"/>
      <c r="EJ1" s="80"/>
      <c r="EK1" s="80"/>
      <c r="EL1" s="80"/>
      <c r="EM1" s="80"/>
      <c r="EN1" s="80"/>
      <c r="EO1" s="80"/>
      <c r="EP1" s="80"/>
      <c r="EQ1" s="80"/>
      <c r="ER1" s="80"/>
      <c r="ES1" s="80"/>
      <c r="ET1" s="80"/>
      <c r="EU1" s="80"/>
      <c r="EV1" s="80"/>
      <c r="EW1" s="80"/>
      <c r="EX1" s="80"/>
      <c r="EY1" s="80"/>
    </row>
    <row r="2" customHeight="1" spans="1:156">
      <c r="A2" s="92"/>
      <c r="B2" s="93" t="inlineStr">
        <is>
          <t>※ 特工信息　v1.9</t>
        </is>
      </c>
      <c r="C2" s="94"/>
      <c r="D2" s="94"/>
      <c r="E2" s="94"/>
      <c r="F2" s="94"/>
      <c r="G2" s="94"/>
      <c r="H2" s="94"/>
      <c r="I2" s="94"/>
      <c r="J2" s="94"/>
      <c r="K2" s="94"/>
      <c r="L2" s="94"/>
      <c r="M2" s="94"/>
      <c r="N2" s="94"/>
      <c r="O2" s="94"/>
      <c r="P2" s="94"/>
      <c r="Q2" s="94"/>
      <c r="R2" s="94"/>
      <c r="S2" s="94"/>
      <c r="T2" s="94"/>
      <c r="U2" s="94"/>
      <c r="V2" s="94"/>
      <c r="W2" s="94"/>
      <c r="X2" s="94"/>
      <c r="Y2" s="94"/>
      <c r="Z2" s="95"/>
      <c r="AA2" s="92"/>
      <c r="AB2" s="93" t="s">
        <v>1</v>
      </c>
      <c r="AC2" s="94"/>
      <c r="AD2" s="94"/>
      <c r="AE2" s="94"/>
      <c r="AF2" s="94"/>
      <c r="AG2" s="94"/>
      <c r="AH2" s="96" t="s">
        <v>2</v>
      </c>
      <c r="AI2" s="96"/>
      <c r="AJ2" s="96"/>
      <c r="AK2" s="96" t="s">
        <v>3</v>
      </c>
      <c r="AL2" s="96"/>
      <c r="AM2" s="96"/>
      <c r="AN2" s="96" t="s">
        <v>4</v>
      </c>
      <c r="AO2" s="96"/>
      <c r="AP2" s="96"/>
      <c r="AQ2" s="96" t="s">
        <v>5</v>
      </c>
      <c r="AR2" s="96"/>
      <c r="AS2" s="96"/>
      <c r="AT2" s="96"/>
      <c r="AU2" s="96"/>
      <c r="AV2" s="96"/>
      <c r="AW2" s="96"/>
      <c r="AX2" s="96"/>
      <c r="AY2" s="96"/>
      <c r="AZ2" s="96"/>
      <c r="BA2" s="96"/>
      <c r="BB2" s="96"/>
      <c r="BC2" s="96"/>
      <c r="BD2" s="96"/>
      <c r="BE2" s="96"/>
      <c r="BF2" s="96"/>
      <c r="BG2" s="97"/>
      <c r="BH2" s="98"/>
      <c r="BI2" s="99" t="s">
        <v>6</v>
      </c>
      <c r="BJ2" s="100"/>
      <c r="BK2" s="100"/>
      <c r="BL2" s="100"/>
      <c r="BM2" s="100"/>
      <c r="BN2" s="100"/>
      <c r="BO2" s="100"/>
      <c r="BP2" s="100"/>
      <c r="BQ2" s="100"/>
      <c r="BR2" s="100"/>
      <c r="BS2" s="100"/>
      <c r="BT2" s="100"/>
      <c r="BU2" s="100"/>
      <c r="BV2" s="101"/>
      <c r="BW2" s="98"/>
      <c r="BX2" s="94" t="s">
        <v>7</v>
      </c>
      <c r="BY2" s="94"/>
      <c r="BZ2" s="94"/>
      <c r="CA2" s="94"/>
      <c r="CB2" s="94"/>
      <c r="CC2" s="94"/>
      <c r="CD2" s="94"/>
      <c r="CE2" s="94"/>
      <c r="CF2" s="94"/>
      <c r="CG2" s="94"/>
      <c r="CH2" s="94"/>
      <c r="CI2" s="94"/>
      <c r="CJ2" s="94"/>
      <c r="CK2" s="94"/>
      <c r="CL2" s="94"/>
      <c r="CM2" s="94"/>
      <c r="CN2" s="94"/>
      <c r="CO2" s="95"/>
      <c r="CP2" s="102" t="s">
        <v>8</v>
      </c>
      <c r="CQ2" s="102"/>
      <c r="CR2" s="102"/>
      <c r="CS2" s="102"/>
      <c r="CT2" s="102"/>
      <c r="CU2" s="102"/>
      <c r="CV2" s="102"/>
      <c r="CW2" s="102"/>
      <c r="CX2" s="103"/>
      <c r="CY2" s="92"/>
      <c r="CZ2" s="104" t="s">
        <v>9</v>
      </c>
      <c r="DA2" s="105"/>
      <c r="DB2" s="105"/>
      <c r="DC2" s="105"/>
      <c r="DD2" s="105"/>
      <c r="DE2" s="105"/>
      <c r="DF2" s="105"/>
      <c r="DG2" s="105"/>
      <c r="DH2" s="105"/>
      <c r="DI2" s="105"/>
      <c r="DJ2" s="105"/>
      <c r="DK2" s="105"/>
      <c r="DL2" s="105"/>
      <c r="DM2" s="105"/>
      <c r="DN2" s="105"/>
      <c r="DO2" s="105"/>
      <c r="DP2" s="105"/>
      <c r="DQ2" s="105"/>
      <c r="DR2" s="105"/>
      <c r="DS2" s="105"/>
      <c r="DT2" s="105"/>
      <c r="DU2" s="105"/>
      <c r="DV2" s="105"/>
      <c r="DW2" s="105"/>
      <c r="DX2" s="105"/>
      <c r="DY2" s="105"/>
      <c r="DZ2" s="105"/>
      <c r="EA2" s="105"/>
      <c r="EB2" s="105"/>
      <c r="EC2" s="105"/>
      <c r="ED2" s="105"/>
      <c r="EE2" s="105"/>
      <c r="EF2" s="105"/>
      <c r="EG2" s="105"/>
      <c r="EH2" s="105"/>
      <c r="EI2" s="105"/>
      <c r="EJ2" s="105"/>
      <c r="EK2" s="105"/>
      <c r="EL2" s="105"/>
      <c r="EM2" s="105"/>
      <c r="EN2" s="105"/>
      <c r="EO2" s="105"/>
      <c r="EP2" s="105"/>
      <c r="EQ2" s="105"/>
      <c r="ER2" s="105"/>
      <c r="ES2" s="105"/>
      <c r="ET2" s="105"/>
      <c r="EU2" s="105"/>
      <c r="EV2" s="105"/>
      <c r="EW2" s="105"/>
      <c r="EX2" s="105"/>
      <c r="EY2" s="106"/>
    </row>
    <row r="3" customHeight="1" spans="1:156">
      <c r="A3" s="92"/>
      <c r="B3" s="107" t="s">
        <v>10</v>
      </c>
      <c r="C3" s="108"/>
      <c r="D3" s="108"/>
      <c r="E3" s="109"/>
      <c r="F3" s="109"/>
      <c r="G3" s="109"/>
      <c r="H3" s="109"/>
      <c r="I3" s="109"/>
      <c r="J3" s="109"/>
      <c r="K3" s="109"/>
      <c r="L3" s="109"/>
      <c r="M3" s="109"/>
      <c r="N3" s="109"/>
      <c r="O3" s="109"/>
      <c r="P3" s="109"/>
      <c r="Q3" s="109"/>
      <c r="R3" s="109"/>
      <c r="S3" s="109"/>
      <c r="T3" s="109"/>
      <c r="U3" s="109"/>
      <c r="V3" s="109"/>
      <c r="W3" s="109"/>
      <c r="X3" s="109"/>
      <c r="Y3" s="109"/>
      <c r="Z3" s="110"/>
      <c r="AA3" s="92"/>
      <c r="AB3" s="107" t="s">
        <v>11</v>
      </c>
      <c r="AC3" s="108"/>
      <c r="AD3" s="111"/>
      <c r="AE3" s="112" t="s">
        <v>12</v>
      </c>
      <c r="AF3" s="113"/>
      <c r="AG3" s="113"/>
      <c r="AH3" s="114">
        <f>MAX(0,MIN(18,'幕间计算'!S2+SUMIF('幕间与结算'!$E$9:$E$208,"力量",'幕间与结算'!$K$9:$K$208)))</f>
        <v>0</v>
      </c>
      <c r="AI3" s="114"/>
      <c r="AJ3" s="114"/>
      <c r="AK3" s="115">
        <f>附表!B2*5</f>
        <v>0</v>
      </c>
      <c r="AL3" s="115"/>
      <c r="AM3" s="115"/>
      <c r="AN3" s="114"/>
      <c r="AO3" s="114"/>
      <c r="AP3" s="114"/>
      <c r="AQ3" s="116"/>
      <c r="AR3" s="117"/>
      <c r="AS3" s="117"/>
      <c r="AT3" s="117"/>
      <c r="AU3" s="117"/>
      <c r="AV3" s="117"/>
      <c r="AW3" s="117"/>
      <c r="AX3" s="117"/>
      <c r="AY3" s="117"/>
      <c r="AZ3" s="117"/>
      <c r="BA3" s="117"/>
      <c r="BB3" s="117"/>
      <c r="BC3" s="117"/>
      <c r="BD3" s="117"/>
      <c r="BE3" s="117"/>
      <c r="BF3" s="117"/>
      <c r="BG3" s="118"/>
      <c r="BH3" s="98"/>
      <c r="BI3" s="119"/>
      <c r="BJ3" s="120"/>
      <c r="BK3" s="120"/>
      <c r="BL3" s="120"/>
      <c r="BM3" s="120"/>
      <c r="BN3" s="120"/>
      <c r="BO3" s="120"/>
      <c r="BP3" s="120"/>
      <c r="BQ3" s="120"/>
      <c r="BR3" s="120"/>
      <c r="BS3" s="120"/>
      <c r="BT3" s="120"/>
      <c r="BU3" s="120"/>
      <c r="BV3" s="121"/>
      <c r="BW3" s="98"/>
      <c r="BX3" s="122"/>
      <c r="BY3" s="123"/>
      <c r="BZ3" s="123"/>
      <c r="CA3" s="123"/>
      <c r="CB3" s="123"/>
      <c r="CC3" s="123"/>
      <c r="CD3" s="123"/>
      <c r="CE3" s="123"/>
      <c r="CF3" s="123"/>
      <c r="CG3" s="123"/>
      <c r="CH3" s="123"/>
      <c r="CI3" s="123"/>
      <c r="CJ3" s="123"/>
      <c r="CK3" s="123"/>
      <c r="CL3" s="123"/>
      <c r="CM3" s="123"/>
      <c r="CN3" s="123"/>
      <c r="CO3" s="123"/>
      <c r="CP3" s="124"/>
      <c r="CQ3" s="124"/>
      <c r="CR3" s="124"/>
      <c r="CS3" s="124"/>
      <c r="CT3" s="124"/>
      <c r="CU3" s="124"/>
      <c r="CV3" s="124"/>
      <c r="CW3" s="124"/>
      <c r="CX3" s="125"/>
      <c r="CY3" s="92"/>
      <c r="CZ3" s="126"/>
      <c r="DA3" s="127"/>
      <c r="DB3" s="127"/>
      <c r="DC3" s="127"/>
      <c r="DD3" s="127"/>
      <c r="DE3" s="127"/>
      <c r="DF3" s="127"/>
      <c r="DG3" s="127"/>
      <c r="DH3" s="127"/>
      <c r="DI3" s="127"/>
      <c r="DJ3" s="127"/>
      <c r="DK3" s="127"/>
      <c r="DL3" s="127"/>
      <c r="DM3" s="127"/>
      <c r="DN3" s="127"/>
      <c r="DO3" s="127"/>
      <c r="DP3" s="127"/>
      <c r="DQ3" s="127"/>
      <c r="DR3" s="128"/>
      <c r="DS3" s="129"/>
      <c r="DT3" s="129"/>
      <c r="DU3" s="129"/>
      <c r="DV3" s="129"/>
      <c r="DW3" s="129"/>
      <c r="DX3" s="129"/>
      <c r="DY3" s="129"/>
      <c r="DZ3" s="129"/>
      <c r="EA3" s="129"/>
      <c r="EB3" s="129"/>
      <c r="EC3" s="129"/>
      <c r="ED3" s="129"/>
      <c r="EE3" s="129"/>
      <c r="EF3" s="129"/>
      <c r="EG3" s="129"/>
      <c r="EH3" s="129"/>
      <c r="EI3" s="128"/>
      <c r="EJ3" s="129"/>
      <c r="EK3" s="129"/>
      <c r="EL3" s="129"/>
      <c r="EM3" s="129"/>
      <c r="EN3" s="129"/>
      <c r="EO3" s="129"/>
      <c r="EP3" s="129"/>
      <c r="EQ3" s="129"/>
      <c r="ER3" s="129"/>
      <c r="ES3" s="129"/>
      <c r="ET3" s="129"/>
      <c r="EU3" s="129"/>
      <c r="EV3" s="129"/>
      <c r="EW3" s="129"/>
      <c r="EX3" s="129"/>
      <c r="EY3" s="130"/>
      <c r="EZ3" s="77"/>
    </row>
    <row r="4" customHeight="1" spans="1:156">
      <c r="A4" s="92"/>
      <c r="B4" s="131" t="s">
        <v>13</v>
      </c>
      <c r="C4" s="132"/>
      <c r="D4" s="132"/>
      <c r="E4" s="133"/>
      <c r="F4" s="134"/>
      <c r="G4" s="134"/>
      <c r="H4" s="134"/>
      <c r="I4" s="134"/>
      <c r="J4" s="134"/>
      <c r="K4" s="134"/>
      <c r="L4" s="134"/>
      <c r="M4" s="134"/>
      <c r="N4" s="134"/>
      <c r="O4" s="134"/>
      <c r="P4" s="134"/>
      <c r="Q4" s="134"/>
      <c r="R4" s="134"/>
      <c r="S4" s="134"/>
      <c r="T4" s="134"/>
      <c r="U4" s="134"/>
      <c r="V4" s="134"/>
      <c r="W4" s="134"/>
      <c r="X4" s="134"/>
      <c r="Y4" s="134"/>
      <c r="Z4" s="135"/>
      <c r="AA4" s="92"/>
      <c r="AB4" s="131" t="s">
        <v>14</v>
      </c>
      <c r="AC4" s="132"/>
      <c r="AD4" s="136"/>
      <c r="AE4" s="137" t="s">
        <v>15</v>
      </c>
      <c r="AF4" s="138"/>
      <c r="AG4" s="138"/>
      <c r="AH4" s="139">
        <f>MAX(0,MIN(18,'幕间计算'!S3+SUMIF('幕间与结算'!$E$9:$E$208,"体质",'幕间与结算'!$K$9:$K$208)))</f>
        <v>0</v>
      </c>
      <c r="AI4" s="139"/>
      <c r="AJ4" s="139"/>
      <c r="AK4" s="115">
        <f>附表!B3*5</f>
        <v>0</v>
      </c>
      <c r="AL4" s="115"/>
      <c r="AM4" s="115"/>
      <c r="AN4" s="139"/>
      <c r="AO4" s="139"/>
      <c r="AP4" s="139"/>
      <c r="AQ4" s="140"/>
      <c r="AR4" s="141"/>
      <c r="AS4" s="141"/>
      <c r="AT4" s="141"/>
      <c r="AU4" s="141"/>
      <c r="AV4" s="141"/>
      <c r="AW4" s="141"/>
      <c r="AX4" s="141"/>
      <c r="AY4" s="141"/>
      <c r="AZ4" s="141"/>
      <c r="BA4" s="141"/>
      <c r="BB4" s="141"/>
      <c r="BC4" s="141"/>
      <c r="BD4" s="141"/>
      <c r="BE4" s="141"/>
      <c r="BF4" s="141"/>
      <c r="BG4" s="142"/>
      <c r="BH4" s="98"/>
      <c r="BI4" s="119"/>
      <c r="BJ4" s="120"/>
      <c r="BK4" s="120"/>
      <c r="BL4" s="120"/>
      <c r="BM4" s="120"/>
      <c r="BN4" s="120"/>
      <c r="BO4" s="120"/>
      <c r="BP4" s="120"/>
      <c r="BQ4" s="120"/>
      <c r="BR4" s="120"/>
      <c r="BS4" s="120"/>
      <c r="BT4" s="120"/>
      <c r="BU4" s="120"/>
      <c r="BV4" s="121"/>
      <c r="BW4" s="98"/>
      <c r="BX4" s="143"/>
      <c r="BY4" s="144"/>
      <c r="BZ4" s="144"/>
      <c r="CA4" s="144"/>
      <c r="CB4" s="144"/>
      <c r="CC4" s="144"/>
      <c r="CD4" s="144"/>
      <c r="CE4" s="144"/>
      <c r="CF4" s="144"/>
      <c r="CG4" s="144"/>
      <c r="CH4" s="144"/>
      <c r="CI4" s="144"/>
      <c r="CJ4" s="144"/>
      <c r="CK4" s="144"/>
      <c r="CL4" s="144"/>
      <c r="CM4" s="144"/>
      <c r="CN4" s="144"/>
      <c r="CO4" s="144"/>
      <c r="CP4" s="145"/>
      <c r="CQ4" s="145"/>
      <c r="CR4" s="145"/>
      <c r="CS4" s="145"/>
      <c r="CT4" s="145"/>
      <c r="CU4" s="145"/>
      <c r="CV4" s="145"/>
      <c r="CW4" s="145"/>
      <c r="CX4" s="146"/>
      <c r="CY4" s="92"/>
      <c r="CZ4" s="147"/>
      <c r="DA4" s="148"/>
      <c r="DB4" s="148"/>
      <c r="DC4" s="148"/>
      <c r="DD4" s="148"/>
      <c r="DE4" s="148"/>
      <c r="DF4" s="148"/>
      <c r="DG4" s="148"/>
      <c r="DH4" s="148"/>
      <c r="DI4" s="148"/>
      <c r="DJ4" s="148"/>
      <c r="DK4" s="148"/>
      <c r="DL4" s="148"/>
      <c r="DM4" s="148"/>
      <c r="DN4" s="148"/>
      <c r="DO4" s="148"/>
      <c r="DP4" s="148"/>
      <c r="DQ4" s="148"/>
      <c r="DR4" s="149"/>
      <c r="DS4" s="150"/>
      <c r="DT4" s="150"/>
      <c r="DU4" s="150"/>
      <c r="DV4" s="150"/>
      <c r="DW4" s="150"/>
      <c r="DX4" s="150"/>
      <c r="DY4" s="150"/>
      <c r="DZ4" s="150"/>
      <c r="EA4" s="150"/>
      <c r="EB4" s="150"/>
      <c r="EC4" s="150"/>
      <c r="ED4" s="150"/>
      <c r="EE4" s="150"/>
      <c r="EF4" s="150"/>
      <c r="EG4" s="150"/>
      <c r="EH4" s="150"/>
      <c r="EI4" s="149"/>
      <c r="EJ4" s="150"/>
      <c r="EK4" s="150"/>
      <c r="EL4" s="150"/>
      <c r="EM4" s="150"/>
      <c r="EN4" s="150"/>
      <c r="EO4" s="150"/>
      <c r="EP4" s="150"/>
      <c r="EQ4" s="150"/>
      <c r="ER4" s="150"/>
      <c r="ES4" s="150"/>
      <c r="ET4" s="150"/>
      <c r="EU4" s="150"/>
      <c r="EV4" s="150"/>
      <c r="EW4" s="150"/>
      <c r="EX4" s="150"/>
      <c r="EY4" s="151"/>
      <c r="EZ4" s="77"/>
    </row>
    <row r="5" customHeight="1" spans="1:156">
      <c r="A5" s="92"/>
      <c r="B5" s="131" t="s">
        <v>16</v>
      </c>
      <c r="C5" s="132"/>
      <c r="D5" s="132"/>
      <c r="E5" s="152"/>
      <c r="F5" s="153"/>
      <c r="G5" s="153"/>
      <c r="H5" s="153"/>
      <c r="I5" s="153"/>
      <c r="J5" s="153"/>
      <c r="K5" s="153"/>
      <c r="L5" s="153"/>
      <c r="M5" s="154"/>
      <c r="N5" s="155" t="s">
        <v>17</v>
      </c>
      <c r="O5" s="156"/>
      <c r="P5" s="157"/>
      <c r="Q5" s="152"/>
      <c r="R5" s="153"/>
      <c r="S5" s="153"/>
      <c r="T5" s="153"/>
      <c r="U5" s="153"/>
      <c r="V5" s="153"/>
      <c r="W5" s="153"/>
      <c r="X5" s="153"/>
      <c r="Y5" s="153"/>
      <c r="Z5" s="158"/>
      <c r="AA5" s="92"/>
      <c r="AB5" s="131" t="s">
        <v>18</v>
      </c>
      <c r="AC5" s="132"/>
      <c r="AD5" s="159"/>
      <c r="AE5" s="137" t="s">
        <v>19</v>
      </c>
      <c r="AF5" s="138"/>
      <c r="AG5" s="138"/>
      <c r="AH5" s="139">
        <f>MAX(0,MIN(18,'幕间计算'!S4+SUMIF('幕间与结算'!$E$9:$E$208,"敏捷",'幕间与结算'!$K$9:$K$208)))</f>
        <v>0</v>
      </c>
      <c r="AI5" s="139"/>
      <c r="AJ5" s="139"/>
      <c r="AK5" s="115">
        <f>附表!B4*5</f>
        <v>0</v>
      </c>
      <c r="AL5" s="115"/>
      <c r="AM5" s="115"/>
      <c r="AN5" s="139"/>
      <c r="AO5" s="139"/>
      <c r="AP5" s="139"/>
      <c r="AQ5" s="140"/>
      <c r="AR5" s="141"/>
      <c r="AS5" s="141"/>
      <c r="AT5" s="141"/>
      <c r="AU5" s="141"/>
      <c r="AV5" s="141"/>
      <c r="AW5" s="141"/>
      <c r="AX5" s="141"/>
      <c r="AY5" s="141"/>
      <c r="AZ5" s="141"/>
      <c r="BA5" s="141"/>
      <c r="BB5" s="141"/>
      <c r="BC5" s="141"/>
      <c r="BD5" s="141"/>
      <c r="BE5" s="141"/>
      <c r="BF5" s="141"/>
      <c r="BG5" s="142"/>
      <c r="BH5" s="98"/>
      <c r="BI5" s="119"/>
      <c r="BJ5" s="120"/>
      <c r="BK5" s="120"/>
      <c r="BL5" s="120"/>
      <c r="BM5" s="120"/>
      <c r="BN5" s="120"/>
      <c r="BO5" s="120"/>
      <c r="BP5" s="120"/>
      <c r="BQ5" s="120"/>
      <c r="BR5" s="120"/>
      <c r="BS5" s="120"/>
      <c r="BT5" s="120"/>
      <c r="BU5" s="120"/>
      <c r="BV5" s="121"/>
      <c r="BW5" s="98"/>
      <c r="BX5" s="143"/>
      <c r="BY5" s="144"/>
      <c r="BZ5" s="144"/>
      <c r="CA5" s="144"/>
      <c r="CB5" s="144"/>
      <c r="CC5" s="144"/>
      <c r="CD5" s="144"/>
      <c r="CE5" s="144"/>
      <c r="CF5" s="144"/>
      <c r="CG5" s="144"/>
      <c r="CH5" s="144"/>
      <c r="CI5" s="144"/>
      <c r="CJ5" s="144"/>
      <c r="CK5" s="144"/>
      <c r="CL5" s="144"/>
      <c r="CM5" s="144"/>
      <c r="CN5" s="144"/>
      <c r="CO5" s="144"/>
      <c r="CP5" s="145"/>
      <c r="CQ5" s="145"/>
      <c r="CR5" s="145"/>
      <c r="CS5" s="145"/>
      <c r="CT5" s="145"/>
      <c r="CU5" s="145"/>
      <c r="CV5" s="145"/>
      <c r="CW5" s="145"/>
      <c r="CX5" s="146"/>
      <c r="CY5" s="92"/>
      <c r="CZ5" s="147"/>
      <c r="DA5" s="148"/>
      <c r="DB5" s="148"/>
      <c r="DC5" s="148"/>
      <c r="DD5" s="148"/>
      <c r="DE5" s="148"/>
      <c r="DF5" s="148"/>
      <c r="DG5" s="148"/>
      <c r="DH5" s="148"/>
      <c r="DI5" s="148"/>
      <c r="DJ5" s="148"/>
      <c r="DK5" s="148"/>
      <c r="DL5" s="148"/>
      <c r="DM5" s="148"/>
      <c r="DN5" s="148"/>
      <c r="DO5" s="148"/>
      <c r="DP5" s="148"/>
      <c r="DQ5" s="148"/>
      <c r="DR5" s="149"/>
      <c r="DS5" s="150"/>
      <c r="DT5" s="150"/>
      <c r="DU5" s="150"/>
      <c r="DV5" s="150"/>
      <c r="DW5" s="150"/>
      <c r="DX5" s="150"/>
      <c r="DY5" s="150"/>
      <c r="DZ5" s="150"/>
      <c r="EA5" s="150"/>
      <c r="EB5" s="150"/>
      <c r="EC5" s="150"/>
      <c r="ED5" s="150"/>
      <c r="EE5" s="150"/>
      <c r="EF5" s="150"/>
      <c r="EG5" s="150"/>
      <c r="EH5" s="150"/>
      <c r="EI5" s="149"/>
      <c r="EJ5" s="150"/>
      <c r="EK5" s="150"/>
      <c r="EL5" s="150"/>
      <c r="EM5" s="150"/>
      <c r="EN5" s="150"/>
      <c r="EO5" s="150"/>
      <c r="EP5" s="150"/>
      <c r="EQ5" s="150"/>
      <c r="ER5" s="150"/>
      <c r="ES5" s="150"/>
      <c r="ET5" s="150"/>
      <c r="EU5" s="150"/>
      <c r="EV5" s="150"/>
      <c r="EW5" s="150"/>
      <c r="EX5" s="150"/>
      <c r="EY5" s="151"/>
      <c r="EZ5" s="77"/>
    </row>
    <row r="6" customHeight="1" spans="1:156">
      <c r="A6" s="92"/>
      <c r="B6" s="131" t="s">
        <v>20</v>
      </c>
      <c r="C6" s="132"/>
      <c r="D6" s="132"/>
      <c r="E6" s="152"/>
      <c r="F6" s="153"/>
      <c r="G6" s="153"/>
      <c r="H6" s="153"/>
      <c r="I6" s="153"/>
      <c r="J6" s="153"/>
      <c r="K6" s="153"/>
      <c r="L6" s="153"/>
      <c r="M6" s="153"/>
      <c r="N6" s="155" t="s">
        <v>21</v>
      </c>
      <c r="O6" s="156"/>
      <c r="P6" s="157"/>
      <c r="Q6" s="153"/>
      <c r="R6" s="153"/>
      <c r="S6" s="153"/>
      <c r="T6" s="153"/>
      <c r="U6" s="153"/>
      <c r="V6" s="153"/>
      <c r="W6" s="153"/>
      <c r="X6" s="153"/>
      <c r="Y6" s="153"/>
      <c r="Z6" s="158"/>
      <c r="AA6" s="92"/>
      <c r="AB6" s="131" t="s">
        <v>22</v>
      </c>
      <c r="AC6" s="132"/>
      <c r="AD6" s="136"/>
      <c r="AE6" s="137" t="s">
        <v>23</v>
      </c>
      <c r="AF6" s="138"/>
      <c r="AG6" s="138"/>
      <c r="AH6" s="139">
        <f>MAX(0,MIN(18,'幕间计算'!S5+SUMIF('幕间与结算'!$E$9:$E$208,"智力",'幕间与结算'!$K$9:$K$208)))</f>
        <v>0</v>
      </c>
      <c r="AI6" s="139"/>
      <c r="AJ6" s="139"/>
      <c r="AK6" s="115">
        <f>附表!B5*5</f>
        <v>0</v>
      </c>
      <c r="AL6" s="115"/>
      <c r="AM6" s="115"/>
      <c r="AN6" s="139"/>
      <c r="AO6" s="139"/>
      <c r="AP6" s="139"/>
      <c r="AQ6" s="140"/>
      <c r="AR6" s="141"/>
      <c r="AS6" s="141"/>
      <c r="AT6" s="141"/>
      <c r="AU6" s="141"/>
      <c r="AV6" s="141"/>
      <c r="AW6" s="141"/>
      <c r="AX6" s="141"/>
      <c r="AY6" s="141"/>
      <c r="AZ6" s="141"/>
      <c r="BA6" s="141"/>
      <c r="BB6" s="141"/>
      <c r="BC6" s="141"/>
      <c r="BD6" s="141"/>
      <c r="BE6" s="141"/>
      <c r="BF6" s="141"/>
      <c r="BG6" s="142"/>
      <c r="BH6" s="98"/>
      <c r="BI6" s="119"/>
      <c r="BJ6" s="120"/>
      <c r="BK6" s="120"/>
      <c r="BL6" s="120"/>
      <c r="BM6" s="120"/>
      <c r="BN6" s="120"/>
      <c r="BO6" s="120"/>
      <c r="BP6" s="120"/>
      <c r="BQ6" s="120"/>
      <c r="BR6" s="120"/>
      <c r="BS6" s="120"/>
      <c r="BT6" s="120"/>
      <c r="BU6" s="120"/>
      <c r="BV6" s="121"/>
      <c r="BW6" s="98"/>
      <c r="BX6" s="143"/>
      <c r="BY6" s="144"/>
      <c r="BZ6" s="144"/>
      <c r="CA6" s="144"/>
      <c r="CB6" s="144"/>
      <c r="CC6" s="144"/>
      <c r="CD6" s="144"/>
      <c r="CE6" s="144"/>
      <c r="CF6" s="144"/>
      <c r="CG6" s="144"/>
      <c r="CH6" s="144"/>
      <c r="CI6" s="144"/>
      <c r="CJ6" s="144"/>
      <c r="CK6" s="144"/>
      <c r="CL6" s="144"/>
      <c r="CM6" s="144"/>
      <c r="CN6" s="144"/>
      <c r="CO6" s="144"/>
      <c r="CP6" s="145"/>
      <c r="CQ6" s="145"/>
      <c r="CR6" s="145"/>
      <c r="CS6" s="145"/>
      <c r="CT6" s="145"/>
      <c r="CU6" s="145"/>
      <c r="CV6" s="145"/>
      <c r="CW6" s="145"/>
      <c r="CX6" s="146"/>
      <c r="CY6" s="92"/>
      <c r="CZ6" s="147"/>
      <c r="DA6" s="148"/>
      <c r="DB6" s="148"/>
      <c r="DC6" s="148"/>
      <c r="DD6" s="148"/>
      <c r="DE6" s="148"/>
      <c r="DF6" s="148"/>
      <c r="DG6" s="148"/>
      <c r="DH6" s="148"/>
      <c r="DI6" s="148"/>
      <c r="DJ6" s="148"/>
      <c r="DK6" s="148"/>
      <c r="DL6" s="148"/>
      <c r="DM6" s="148"/>
      <c r="DN6" s="148"/>
      <c r="DO6" s="148"/>
      <c r="DP6" s="148"/>
      <c r="DQ6" s="148"/>
      <c r="DR6" s="149"/>
      <c r="DS6" s="150"/>
      <c r="DT6" s="150"/>
      <c r="DU6" s="150"/>
      <c r="DV6" s="150"/>
      <c r="DW6" s="150"/>
      <c r="DX6" s="150"/>
      <c r="DY6" s="150"/>
      <c r="DZ6" s="150"/>
      <c r="EA6" s="150"/>
      <c r="EB6" s="150"/>
      <c r="EC6" s="150"/>
      <c r="ED6" s="150"/>
      <c r="EE6" s="150"/>
      <c r="EF6" s="150"/>
      <c r="EG6" s="150"/>
      <c r="EH6" s="150"/>
      <c r="EI6" s="149"/>
      <c r="EJ6" s="150"/>
      <c r="EK6" s="150"/>
      <c r="EL6" s="150"/>
      <c r="EM6" s="150"/>
      <c r="EN6" s="150"/>
      <c r="EO6" s="150"/>
      <c r="EP6" s="150"/>
      <c r="EQ6" s="150"/>
      <c r="ER6" s="150"/>
      <c r="ES6" s="150"/>
      <c r="ET6" s="150"/>
      <c r="EU6" s="150"/>
      <c r="EV6" s="150"/>
      <c r="EW6" s="150"/>
      <c r="EX6" s="150"/>
      <c r="EY6" s="151"/>
      <c r="EZ6" s="77"/>
    </row>
    <row r="7" customHeight="1" spans="1:156">
      <c r="A7" s="92"/>
      <c r="B7" s="131" t="s">
        <v>24</v>
      </c>
      <c r="C7" s="132"/>
      <c r="D7" s="132"/>
      <c r="E7" s="160"/>
      <c r="F7" s="160"/>
      <c r="G7" s="160"/>
      <c r="H7" s="160"/>
      <c r="I7" s="160"/>
      <c r="J7" s="160"/>
      <c r="K7" s="160"/>
      <c r="L7" s="160"/>
      <c r="M7" s="160"/>
      <c r="N7" s="160"/>
      <c r="O7" s="160"/>
      <c r="P7" s="160"/>
      <c r="Q7" s="160"/>
      <c r="R7" s="160"/>
      <c r="S7" s="160"/>
      <c r="T7" s="160"/>
      <c r="U7" s="160"/>
      <c r="V7" s="160"/>
      <c r="W7" s="160"/>
      <c r="X7" s="160"/>
      <c r="Y7" s="160"/>
      <c r="Z7" s="161"/>
      <c r="AA7" s="92"/>
      <c r="AB7" s="131" t="s">
        <v>25</v>
      </c>
      <c r="AC7" s="132"/>
      <c r="AD7" s="159"/>
      <c r="AE7" s="137" t="s">
        <v>26</v>
      </c>
      <c r="AF7" s="138"/>
      <c r="AG7" s="138"/>
      <c r="AH7" s="139">
        <f>MAX(0,MIN(18,'幕间计算'!S6+SUMIF('幕间与结算'!$E$9:$E$208,"意志",'幕间与结算'!$K$9:$K$208)))</f>
        <v>0</v>
      </c>
      <c r="AI7" s="139"/>
      <c r="AJ7" s="139"/>
      <c r="AK7" s="115">
        <f>附表!B6*5</f>
        <v>0</v>
      </c>
      <c r="AL7" s="115"/>
      <c r="AM7" s="115"/>
      <c r="AN7" s="139"/>
      <c r="AO7" s="139"/>
      <c r="AP7" s="139"/>
      <c r="AQ7" s="140"/>
      <c r="AR7" s="141"/>
      <c r="AS7" s="141"/>
      <c r="AT7" s="141"/>
      <c r="AU7" s="141"/>
      <c r="AV7" s="141"/>
      <c r="AW7" s="141"/>
      <c r="AX7" s="141"/>
      <c r="AY7" s="141"/>
      <c r="AZ7" s="141"/>
      <c r="BA7" s="141"/>
      <c r="BB7" s="141"/>
      <c r="BC7" s="141"/>
      <c r="BD7" s="141"/>
      <c r="BE7" s="141"/>
      <c r="BF7" s="141"/>
      <c r="BG7" s="142"/>
      <c r="BH7" s="98"/>
      <c r="BI7" s="119"/>
      <c r="BJ7" s="120"/>
      <c r="BK7" s="120"/>
      <c r="BL7" s="120"/>
      <c r="BM7" s="120"/>
      <c r="BN7" s="120"/>
      <c r="BO7" s="120"/>
      <c r="BP7" s="120"/>
      <c r="BQ7" s="120"/>
      <c r="BR7" s="120"/>
      <c r="BS7" s="120"/>
      <c r="BT7" s="120"/>
      <c r="BU7" s="120"/>
      <c r="BV7" s="121"/>
      <c r="BW7" s="98"/>
      <c r="BX7" s="143"/>
      <c r="BY7" s="144"/>
      <c r="BZ7" s="144"/>
      <c r="CA7" s="144"/>
      <c r="CB7" s="144"/>
      <c r="CC7" s="144"/>
      <c r="CD7" s="144"/>
      <c r="CE7" s="144"/>
      <c r="CF7" s="144"/>
      <c r="CG7" s="144"/>
      <c r="CH7" s="144"/>
      <c r="CI7" s="144"/>
      <c r="CJ7" s="144"/>
      <c r="CK7" s="144"/>
      <c r="CL7" s="144"/>
      <c r="CM7" s="144"/>
      <c r="CN7" s="144"/>
      <c r="CO7" s="144"/>
      <c r="CP7" s="145"/>
      <c r="CQ7" s="145"/>
      <c r="CR7" s="145"/>
      <c r="CS7" s="145"/>
      <c r="CT7" s="145"/>
      <c r="CU7" s="145"/>
      <c r="CV7" s="145"/>
      <c r="CW7" s="145"/>
      <c r="CX7" s="146"/>
      <c r="CY7" s="92"/>
      <c r="CZ7" s="147"/>
      <c r="DA7" s="148"/>
      <c r="DB7" s="148"/>
      <c r="DC7" s="148"/>
      <c r="DD7" s="148"/>
      <c r="DE7" s="148"/>
      <c r="DF7" s="148"/>
      <c r="DG7" s="148"/>
      <c r="DH7" s="148"/>
      <c r="DI7" s="148"/>
      <c r="DJ7" s="148"/>
      <c r="DK7" s="148"/>
      <c r="DL7" s="148"/>
      <c r="DM7" s="148"/>
      <c r="DN7" s="148"/>
      <c r="DO7" s="148"/>
      <c r="DP7" s="148"/>
      <c r="DQ7" s="148"/>
      <c r="DR7" s="149"/>
      <c r="DS7" s="150"/>
      <c r="DT7" s="150"/>
      <c r="DU7" s="150"/>
      <c r="DV7" s="150"/>
      <c r="DW7" s="150"/>
      <c r="DX7" s="150"/>
      <c r="DY7" s="150"/>
      <c r="DZ7" s="150"/>
      <c r="EA7" s="150"/>
      <c r="EB7" s="150"/>
      <c r="EC7" s="150"/>
      <c r="ED7" s="150"/>
      <c r="EE7" s="150"/>
      <c r="EF7" s="150"/>
      <c r="EG7" s="150"/>
      <c r="EH7" s="150"/>
      <c r="EI7" s="149"/>
      <c r="EJ7" s="150"/>
      <c r="EK7" s="150"/>
      <c r="EL7" s="150"/>
      <c r="EM7" s="150"/>
      <c r="EN7" s="150"/>
      <c r="EO7" s="150"/>
      <c r="EP7" s="150"/>
      <c r="EQ7" s="150"/>
      <c r="ER7" s="150"/>
      <c r="ES7" s="150"/>
      <c r="ET7" s="150"/>
      <c r="EU7" s="150"/>
      <c r="EV7" s="150"/>
      <c r="EW7" s="150"/>
      <c r="EX7" s="150"/>
      <c r="EY7" s="151"/>
      <c r="EZ7" s="77"/>
    </row>
    <row r="8" customHeight="1" spans="1:156">
      <c r="A8" s="92"/>
      <c r="B8" s="162" t="s">
        <v>27</v>
      </c>
      <c r="C8" s="163"/>
      <c r="D8" s="163"/>
      <c r="E8" s="164"/>
      <c r="F8" s="165"/>
      <c r="G8" s="165"/>
      <c r="H8" s="165"/>
      <c r="I8" s="165"/>
      <c r="J8" s="165"/>
      <c r="K8" s="165"/>
      <c r="L8" s="165"/>
      <c r="M8" s="165"/>
      <c r="N8" s="165"/>
      <c r="O8" s="165"/>
      <c r="P8" s="165"/>
      <c r="Q8" s="165"/>
      <c r="R8" s="165"/>
      <c r="S8" s="165"/>
      <c r="T8" s="165"/>
      <c r="U8" s="165"/>
      <c r="V8" s="165"/>
      <c r="W8" s="165"/>
      <c r="X8" s="165"/>
      <c r="Y8" s="165"/>
      <c r="Z8" s="166"/>
      <c r="AA8" s="167"/>
      <c r="AB8" s="162" t="s">
        <v>28</v>
      </c>
      <c r="AC8" s="163"/>
      <c r="AD8" s="168"/>
      <c r="AE8" s="169" t="s">
        <v>29</v>
      </c>
      <c r="AF8" s="170"/>
      <c r="AG8" s="170"/>
      <c r="AH8" s="171">
        <f>MAX(0,MIN(18,'幕间计算'!S7+SUMIF('幕间与结算'!$E$9:$E$208,"魅力",'幕间与结算'!$K$9:$K$208)))</f>
        <v>0</v>
      </c>
      <c r="AI8" s="171"/>
      <c r="AJ8" s="171"/>
      <c r="AK8" s="172">
        <f>附表!B7*5</f>
        <v>0</v>
      </c>
      <c r="AL8" s="172"/>
      <c r="AM8" s="172"/>
      <c r="AN8" s="171"/>
      <c r="AO8" s="171"/>
      <c r="AP8" s="171"/>
      <c r="AQ8" s="173"/>
      <c r="AR8" s="174"/>
      <c r="AS8" s="174"/>
      <c r="AT8" s="174"/>
      <c r="AU8" s="174"/>
      <c r="AV8" s="174"/>
      <c r="AW8" s="174"/>
      <c r="AX8" s="174"/>
      <c r="AY8" s="174"/>
      <c r="AZ8" s="174"/>
      <c r="BA8" s="174"/>
      <c r="BB8" s="174"/>
      <c r="BC8" s="174"/>
      <c r="BD8" s="174"/>
      <c r="BE8" s="174"/>
      <c r="BF8" s="174"/>
      <c r="BG8" s="175"/>
      <c r="BH8" s="98"/>
      <c r="BI8" s="119"/>
      <c r="BJ8" s="120"/>
      <c r="BK8" s="120"/>
      <c r="BL8" s="120"/>
      <c r="BM8" s="120"/>
      <c r="BN8" s="120"/>
      <c r="BO8" s="120"/>
      <c r="BP8" s="120"/>
      <c r="BQ8" s="120"/>
      <c r="BR8" s="120"/>
      <c r="BS8" s="120"/>
      <c r="BT8" s="120"/>
      <c r="BU8" s="120"/>
      <c r="BV8" s="121"/>
      <c r="BW8" s="98"/>
      <c r="BX8" s="143"/>
      <c r="BY8" s="144"/>
      <c r="BZ8" s="144"/>
      <c r="CA8" s="144"/>
      <c r="CB8" s="144"/>
      <c r="CC8" s="144"/>
      <c r="CD8" s="144"/>
      <c r="CE8" s="144"/>
      <c r="CF8" s="144"/>
      <c r="CG8" s="144"/>
      <c r="CH8" s="144"/>
      <c r="CI8" s="144"/>
      <c r="CJ8" s="144"/>
      <c r="CK8" s="144"/>
      <c r="CL8" s="144"/>
      <c r="CM8" s="144"/>
      <c r="CN8" s="144"/>
      <c r="CO8" s="144"/>
      <c r="CP8" s="145"/>
      <c r="CQ8" s="145"/>
      <c r="CR8" s="145"/>
      <c r="CS8" s="145"/>
      <c r="CT8" s="145"/>
      <c r="CU8" s="145"/>
      <c r="CV8" s="145"/>
      <c r="CW8" s="145"/>
      <c r="CX8" s="146"/>
      <c r="CY8" s="92"/>
      <c r="CZ8" s="147"/>
      <c r="DA8" s="148"/>
      <c r="DB8" s="148"/>
      <c r="DC8" s="148"/>
      <c r="DD8" s="148"/>
      <c r="DE8" s="148"/>
      <c r="DF8" s="148"/>
      <c r="DG8" s="148"/>
      <c r="DH8" s="148"/>
      <c r="DI8" s="148"/>
      <c r="DJ8" s="148"/>
      <c r="DK8" s="148"/>
      <c r="DL8" s="148"/>
      <c r="DM8" s="148"/>
      <c r="DN8" s="148"/>
      <c r="DO8" s="148"/>
      <c r="DP8" s="148"/>
      <c r="DQ8" s="148"/>
      <c r="DR8" s="149"/>
      <c r="DS8" s="150"/>
      <c r="DT8" s="150"/>
      <c r="DU8" s="150"/>
      <c r="DV8" s="150"/>
      <c r="DW8" s="150"/>
      <c r="DX8" s="150"/>
      <c r="DY8" s="150"/>
      <c r="DZ8" s="150"/>
      <c r="EA8" s="150"/>
      <c r="EB8" s="150"/>
      <c r="EC8" s="150"/>
      <c r="ED8" s="150"/>
      <c r="EE8" s="150"/>
      <c r="EF8" s="150"/>
      <c r="EG8" s="150"/>
      <c r="EH8" s="150"/>
      <c r="EI8" s="176" t="s">
        <v>30</v>
      </c>
      <c r="EJ8" s="176"/>
      <c r="EK8" s="150"/>
      <c r="EL8" s="150"/>
      <c r="EM8" s="150"/>
      <c r="EN8" s="150"/>
      <c r="EO8" s="150"/>
      <c r="EP8" s="150"/>
      <c r="EQ8" s="150"/>
      <c r="ER8" s="150"/>
      <c r="ES8" s="150"/>
      <c r="ET8" s="150"/>
      <c r="EU8" s="150"/>
      <c r="EV8" s="150"/>
      <c r="EW8" s="150"/>
      <c r="EX8" s="150"/>
      <c r="EY8" s="151"/>
      <c r="EZ8" s="77"/>
    </row>
    <row r="9" customHeight="1" spans="1:156">
      <c r="B9" s="80"/>
      <c r="C9" s="80"/>
      <c r="D9" s="80"/>
      <c r="E9" s="80"/>
      <c r="F9" s="80"/>
      <c r="G9" s="80"/>
      <c r="H9" s="80"/>
      <c r="I9" s="80"/>
      <c r="J9" s="80"/>
      <c r="K9" s="80"/>
      <c r="L9" s="80"/>
      <c r="M9" s="80"/>
      <c r="N9" s="80"/>
      <c r="O9" s="177"/>
      <c r="R9" s="178" t="s">
        <v>31</v>
      </c>
      <c r="S9" s="179"/>
      <c r="T9" s="179"/>
      <c r="U9" s="179"/>
      <c r="V9" s="179"/>
      <c r="W9" s="180"/>
      <c r="X9" s="181">
        <f>SUM('幕间与结算'!A5:F5)</f>
        <v>0</v>
      </c>
      <c r="Y9" s="182"/>
      <c r="Z9" s="182"/>
      <c r="AA9" s="183"/>
      <c r="AB9" s="178" t="s">
        <v>32</v>
      </c>
      <c r="AC9" s="179"/>
      <c r="AD9" s="179"/>
      <c r="AE9" s="179"/>
      <c r="AF9" s="179"/>
      <c r="AG9" s="179"/>
      <c r="AH9" s="180"/>
      <c r="AI9" s="184">
        <f>SUM(V14:V43,AY14:AY43)-SUMIF(V14:V43,"&gt;0",S14:S43)-SUMIF(AY14:AY43,"&gt;0",AV14:AV43)</f>
        <v>0</v>
      </c>
      <c r="AJ9" s="185"/>
      <c r="AK9" s="186"/>
      <c r="AL9" s="184" t="s">
        <v>33</v>
      </c>
      <c r="AM9" s="185"/>
      <c r="AN9" s="185"/>
      <c r="AO9" s="185"/>
      <c r="AP9" s="185"/>
      <c r="AQ9" s="185"/>
      <c r="AR9" s="185"/>
      <c r="AS9" s="186"/>
      <c r="AT9" s="187" t="str">
        <f ca="1">IFERROR(MAX(0,IF(AND(AI9&gt;=350,AI9&lt;=500,MOD(AI9,50)=0),(550-AI9)/50,"错误")-IF(DF46="艰苦经历",1,0)),"错误")&amp;"）"</f>
        <v>错误）</v>
      </c>
      <c r="AU9" s="187"/>
      <c r="AV9" s="187"/>
      <c r="AW9" s="188" t="s">
        <v>34</v>
      </c>
      <c r="AX9" s="188"/>
      <c r="AY9" s="188"/>
      <c r="AZ9" s="188"/>
      <c r="BA9" s="188"/>
      <c r="BB9" s="188"/>
      <c r="BC9" s="188"/>
      <c r="BD9" s="189">
        <f ca="1">规则数据!S3</f>
        <v>0</v>
      </c>
      <c r="BE9" s="189"/>
      <c r="BF9" s="189"/>
      <c r="BG9" s="189"/>
      <c r="BH9" s="190"/>
      <c r="BI9" s="119"/>
      <c r="BJ9" s="120"/>
      <c r="BK9" s="120"/>
      <c r="BL9" s="120"/>
      <c r="BM9" s="120"/>
      <c r="BN9" s="120"/>
      <c r="BO9" s="120"/>
      <c r="BP9" s="120"/>
      <c r="BQ9" s="120"/>
      <c r="BR9" s="120"/>
      <c r="BS9" s="120"/>
      <c r="BT9" s="120"/>
      <c r="BU9" s="120"/>
      <c r="BV9" s="121"/>
      <c r="BW9" s="98"/>
      <c r="BX9" s="143"/>
      <c r="BY9" s="144"/>
      <c r="BZ9" s="144"/>
      <c r="CA9" s="144"/>
      <c r="CB9" s="144"/>
      <c r="CC9" s="144"/>
      <c r="CD9" s="144"/>
      <c r="CE9" s="144"/>
      <c r="CF9" s="144"/>
      <c r="CG9" s="144"/>
      <c r="CH9" s="144"/>
      <c r="CI9" s="144"/>
      <c r="CJ9" s="144"/>
      <c r="CK9" s="144"/>
      <c r="CL9" s="144"/>
      <c r="CM9" s="144"/>
      <c r="CN9" s="144"/>
      <c r="CO9" s="144"/>
      <c r="CP9" s="145"/>
      <c r="CQ9" s="145"/>
      <c r="CR9" s="145"/>
      <c r="CS9" s="145"/>
      <c r="CT9" s="145"/>
      <c r="CU9" s="145"/>
      <c r="CV9" s="145"/>
      <c r="CW9" s="145"/>
      <c r="CX9" s="146"/>
      <c r="CY9" s="92"/>
      <c r="CZ9" s="147"/>
      <c r="DA9" s="148"/>
      <c r="DB9" s="148"/>
      <c r="DC9" s="148"/>
      <c r="DD9" s="148"/>
      <c r="DE9" s="148"/>
      <c r="DF9" s="148"/>
      <c r="DG9" s="148"/>
      <c r="DH9" s="148"/>
      <c r="DI9" s="148"/>
      <c r="DJ9" s="148"/>
      <c r="DK9" s="148"/>
      <c r="DL9" s="148"/>
      <c r="DM9" s="148"/>
      <c r="DN9" s="148"/>
      <c r="DO9" s="148"/>
      <c r="DP9" s="148"/>
      <c r="DQ9" s="148"/>
      <c r="DR9" s="149"/>
      <c r="DS9" s="150"/>
      <c r="DT9" s="150"/>
      <c r="DU9" s="150"/>
      <c r="DV9" s="150"/>
      <c r="DW9" s="150"/>
      <c r="DX9" s="150"/>
      <c r="DY9" s="150"/>
      <c r="DZ9" s="150"/>
      <c r="EA9" s="150"/>
      <c r="EB9" s="150"/>
      <c r="EC9" s="150"/>
      <c r="ED9" s="150"/>
      <c r="EE9" s="150"/>
      <c r="EF9" s="150"/>
      <c r="EG9" s="150"/>
      <c r="EH9" s="150"/>
      <c r="EI9" s="176"/>
      <c r="EJ9" s="176"/>
      <c r="EK9" s="150"/>
      <c r="EL9" s="150"/>
      <c r="EM9" s="150"/>
      <c r="EN9" s="150"/>
      <c r="EO9" s="150"/>
      <c r="EP9" s="150"/>
      <c r="EQ9" s="150"/>
      <c r="ER9" s="150"/>
      <c r="ES9" s="150"/>
      <c r="ET9" s="150"/>
      <c r="EU9" s="150"/>
      <c r="EV9" s="150"/>
      <c r="EW9" s="150"/>
      <c r="EX9" s="150"/>
      <c r="EY9" s="151"/>
      <c r="EZ9" s="77"/>
    </row>
    <row r="10" customHeight="1" spans="1:156">
      <c r="A10" s="92"/>
      <c r="B10" s="191" t="s">
        <v>35</v>
      </c>
      <c r="C10" s="192"/>
      <c r="D10" s="192"/>
      <c r="E10" s="192"/>
      <c r="F10" s="192"/>
      <c r="G10" s="192"/>
      <c r="H10" s="193">
        <f>MAX(0,MIN(K10,'幕间计算'!BA409))</f>
        <v>0</v>
      </c>
      <c r="I10" s="193"/>
      <c r="J10" s="194"/>
      <c r="K10" s="195">
        <f>CEILING((附表!B2+附表!B3)/2,1)</f>
        <v>0</v>
      </c>
      <c r="L10" s="196"/>
      <c r="M10" s="197"/>
      <c r="N10" s="198" t="s">
        <v>36</v>
      </c>
      <c r="O10" s="199"/>
      <c r="P10" s="199"/>
      <c r="Q10" s="199"/>
      <c r="R10" s="199"/>
      <c r="S10" s="199"/>
      <c r="T10" s="199"/>
      <c r="U10" s="200"/>
      <c r="V10" s="201">
        <f>MAX(0,MIN(Y10,'幕间计算'!BB409))</f>
        <v>0</v>
      </c>
      <c r="W10" s="202"/>
      <c r="X10" s="203"/>
      <c r="Y10" s="204">
        <f>附表!B6</f>
        <v>0</v>
      </c>
      <c r="Z10" s="205"/>
      <c r="AA10" s="206"/>
      <c r="AB10" s="207" t="s">
        <v>37</v>
      </c>
      <c r="AC10" s="192"/>
      <c r="AD10" s="192"/>
      <c r="AE10" s="192"/>
      <c r="AF10" s="192"/>
      <c r="AG10" s="208"/>
      <c r="AH10" s="209">
        <f>MAX(0,MIN(AK10,'幕间计算'!BC409))</f>
        <v>0</v>
      </c>
      <c r="AI10" s="193"/>
      <c r="AJ10" s="194"/>
      <c r="AK10" s="196">
        <f>99-AS39</f>
        <v>99</v>
      </c>
      <c r="AL10" s="196"/>
      <c r="AM10" s="210"/>
      <c r="AN10" s="211" t="s">
        <v>38</v>
      </c>
      <c r="AO10" s="212"/>
      <c r="AP10" s="212"/>
      <c r="AQ10" s="212"/>
      <c r="AR10" s="212"/>
      <c r="AS10" s="212"/>
      <c r="AT10" s="212"/>
      <c r="AU10" s="213">
        <f>MAX(0,MIN(99,'幕间计算'!BD409))</f>
        <v>0</v>
      </c>
      <c r="AV10" s="214"/>
      <c r="AW10" s="215"/>
      <c r="AX10" s="216" t="s">
        <v>39</v>
      </c>
      <c r="AY10" s="217"/>
      <c r="AZ10" s="217"/>
      <c r="BA10" s="217"/>
      <c r="BB10" s="217"/>
      <c r="BC10" s="217"/>
      <c r="BD10" s="218" t="str">
        <f>IF(DF46="极端暴力","已适应","☐☐☐")</f>
        <v>☐☐☐</v>
      </c>
      <c r="BE10" s="218"/>
      <c r="BF10" s="218"/>
      <c r="BG10" s="219"/>
      <c r="BH10" s="220"/>
      <c r="BI10" s="119"/>
      <c r="BJ10" s="120"/>
      <c r="BK10" s="120"/>
      <c r="BL10" s="120"/>
      <c r="BM10" s="120"/>
      <c r="BN10" s="120"/>
      <c r="BO10" s="120"/>
      <c r="BP10" s="120"/>
      <c r="BQ10" s="120"/>
      <c r="BR10" s="120"/>
      <c r="BS10" s="120"/>
      <c r="BT10" s="120"/>
      <c r="BU10" s="120"/>
      <c r="BV10" s="121"/>
      <c r="BW10" s="98"/>
      <c r="BX10" s="143"/>
      <c r="BY10" s="144"/>
      <c r="BZ10" s="144"/>
      <c r="CA10" s="144"/>
      <c r="CB10" s="144"/>
      <c r="CC10" s="144"/>
      <c r="CD10" s="144"/>
      <c r="CE10" s="144"/>
      <c r="CF10" s="144"/>
      <c r="CG10" s="144"/>
      <c r="CH10" s="144"/>
      <c r="CI10" s="144"/>
      <c r="CJ10" s="144"/>
      <c r="CK10" s="144"/>
      <c r="CL10" s="144"/>
      <c r="CM10" s="144"/>
      <c r="CN10" s="144"/>
      <c r="CO10" s="144"/>
      <c r="CP10" s="145"/>
      <c r="CQ10" s="145"/>
      <c r="CR10" s="145"/>
      <c r="CS10" s="145"/>
      <c r="CT10" s="145"/>
      <c r="CU10" s="145"/>
      <c r="CV10" s="145"/>
      <c r="CW10" s="145"/>
      <c r="CX10" s="146"/>
      <c r="CY10" s="92"/>
      <c r="CZ10" s="147"/>
      <c r="DA10" s="148"/>
      <c r="DB10" s="148"/>
      <c r="DC10" s="148"/>
      <c r="DD10" s="148"/>
      <c r="DE10" s="148"/>
      <c r="DF10" s="148"/>
      <c r="DG10" s="148"/>
      <c r="DH10" s="148"/>
      <c r="DI10" s="148"/>
      <c r="DJ10" s="148"/>
      <c r="DK10" s="148"/>
      <c r="DL10" s="148"/>
      <c r="DM10" s="148"/>
      <c r="DN10" s="148"/>
      <c r="DO10" s="148"/>
      <c r="DP10" s="148"/>
      <c r="DQ10" s="148"/>
      <c r="DR10" s="149"/>
      <c r="DS10" s="150"/>
      <c r="DT10" s="150"/>
      <c r="DU10" s="150"/>
      <c r="DV10" s="150"/>
      <c r="DW10" s="150"/>
      <c r="DX10" s="150"/>
      <c r="DY10" s="150"/>
      <c r="DZ10" s="150"/>
      <c r="EA10" s="150"/>
      <c r="EB10" s="150"/>
      <c r="EC10" s="150"/>
      <c r="ED10" s="150"/>
      <c r="EE10" s="150"/>
      <c r="EF10" s="150"/>
      <c r="EG10" s="150"/>
      <c r="EH10" s="151"/>
      <c r="EI10" s="176"/>
      <c r="EJ10" s="176"/>
      <c r="EK10" s="150"/>
      <c r="EL10" s="150"/>
      <c r="EM10" s="150"/>
      <c r="EN10" s="150"/>
      <c r="EO10" s="150"/>
      <c r="EP10" s="150"/>
      <c r="EQ10" s="150"/>
      <c r="ER10" s="150"/>
      <c r="ES10" s="150"/>
      <c r="ET10" s="150"/>
      <c r="EU10" s="150"/>
      <c r="EV10" s="150"/>
      <c r="EW10" s="150"/>
      <c r="EX10" s="150"/>
      <c r="EY10" s="151"/>
      <c r="EZ10" s="77"/>
    </row>
    <row r="11" customHeight="1" spans="1:156">
      <c r="A11" s="92"/>
      <c r="B11" s="221" t="s">
        <v>40</v>
      </c>
      <c r="C11" s="222"/>
      <c r="D11" s="222"/>
      <c r="E11" s="222"/>
      <c r="F11" s="222"/>
      <c r="G11" s="222"/>
      <c r="H11" s="223"/>
      <c r="I11" s="223"/>
      <c r="J11" s="224"/>
      <c r="K11" s="225"/>
      <c r="L11" s="226"/>
      <c r="M11" s="227"/>
      <c r="N11" s="228" t="s">
        <v>41</v>
      </c>
      <c r="O11" s="229"/>
      <c r="P11" s="229"/>
      <c r="Q11" s="229"/>
      <c r="R11" s="229"/>
      <c r="S11" s="229"/>
      <c r="T11" s="229"/>
      <c r="U11" s="230"/>
      <c r="V11" s="231"/>
      <c r="W11" s="232"/>
      <c r="X11" s="233"/>
      <c r="Y11" s="234"/>
      <c r="Z11" s="235"/>
      <c r="AA11" s="236"/>
      <c r="AB11" s="237" t="s">
        <v>42</v>
      </c>
      <c r="AC11" s="222"/>
      <c r="AD11" s="222"/>
      <c r="AE11" s="222"/>
      <c r="AF11" s="222"/>
      <c r="AG11" s="238"/>
      <c r="AH11" s="239"/>
      <c r="AI11" s="223"/>
      <c r="AJ11" s="224"/>
      <c r="AK11" s="226"/>
      <c r="AL11" s="226"/>
      <c r="AM11" s="240"/>
      <c r="AN11" s="241" t="s">
        <v>43</v>
      </c>
      <c r="AO11" s="242"/>
      <c r="AP11" s="242"/>
      <c r="AQ11" s="242"/>
      <c r="AR11" s="242"/>
      <c r="AS11" s="242"/>
      <c r="AT11" s="242"/>
      <c r="AU11" s="243"/>
      <c r="AV11" s="244"/>
      <c r="AW11" s="245"/>
      <c r="AX11" s="246" t="s">
        <v>44</v>
      </c>
      <c r="AY11" s="247"/>
      <c r="AZ11" s="247"/>
      <c r="BA11" s="247"/>
      <c r="BB11" s="247"/>
      <c r="BC11" s="247"/>
      <c r="BD11" s="248" t="str">
        <f>IF(DF46="关押或入狱","已适应","☐☐☐")</f>
        <v>☐☐☐</v>
      </c>
      <c r="BE11" s="248"/>
      <c r="BF11" s="248"/>
      <c r="BG11" s="249"/>
      <c r="BH11" s="220"/>
      <c r="BI11" s="250"/>
      <c r="BJ11" s="251"/>
      <c r="BK11" s="251"/>
      <c r="BL11" s="251"/>
      <c r="BM11" s="251"/>
      <c r="BN11" s="251"/>
      <c r="BO11" s="251"/>
      <c r="BP11" s="251"/>
      <c r="BQ11" s="251"/>
      <c r="BR11" s="251"/>
      <c r="BS11" s="251"/>
      <c r="BT11" s="251"/>
      <c r="BU11" s="251"/>
      <c r="BV11" s="252"/>
      <c r="BW11" s="98"/>
      <c r="BX11" s="253"/>
      <c r="BY11" s="254"/>
      <c r="BZ11" s="254"/>
      <c r="CA11" s="254"/>
      <c r="CB11" s="254"/>
      <c r="CC11" s="254"/>
      <c r="CD11" s="254"/>
      <c r="CE11" s="254"/>
      <c r="CF11" s="254"/>
      <c r="CG11" s="254"/>
      <c r="CH11" s="254"/>
      <c r="CI11" s="254"/>
      <c r="CJ11" s="254"/>
      <c r="CK11" s="254"/>
      <c r="CL11" s="254"/>
      <c r="CM11" s="254"/>
      <c r="CN11" s="254"/>
      <c r="CO11" s="254"/>
      <c r="CP11" s="255"/>
      <c r="CQ11" s="255"/>
      <c r="CR11" s="255"/>
      <c r="CS11" s="255"/>
      <c r="CT11" s="255"/>
      <c r="CU11" s="255"/>
      <c r="CV11" s="255"/>
      <c r="CW11" s="255"/>
      <c r="CX11" s="256"/>
      <c r="CY11" s="92"/>
      <c r="CZ11" s="257"/>
      <c r="DA11" s="258"/>
      <c r="DB11" s="258"/>
      <c r="DC11" s="258"/>
      <c r="DD11" s="258"/>
      <c r="DE11" s="258"/>
      <c r="DF11" s="258"/>
      <c r="DG11" s="258"/>
      <c r="DH11" s="258"/>
      <c r="DI11" s="258"/>
      <c r="DJ11" s="258"/>
      <c r="DK11" s="258"/>
      <c r="DL11" s="258"/>
      <c r="DM11" s="258"/>
      <c r="DN11" s="258"/>
      <c r="DO11" s="258"/>
      <c r="DP11" s="258"/>
      <c r="DQ11" s="258"/>
      <c r="DR11" s="259"/>
      <c r="DS11" s="260"/>
      <c r="DT11" s="260"/>
      <c r="DU11" s="260"/>
      <c r="DV11" s="260"/>
      <c r="DW11" s="260"/>
      <c r="DX11" s="260"/>
      <c r="DY11" s="260"/>
      <c r="DZ11" s="260"/>
      <c r="EA11" s="260"/>
      <c r="EB11" s="260"/>
      <c r="EC11" s="260"/>
      <c r="ED11" s="260"/>
      <c r="EE11" s="260"/>
      <c r="EF11" s="260"/>
      <c r="EG11" s="260"/>
      <c r="EH11" s="261"/>
      <c r="EI11" s="262"/>
      <c r="EJ11" s="262"/>
      <c r="EK11" s="260"/>
      <c r="EL11" s="260"/>
      <c r="EM11" s="260"/>
      <c r="EN11" s="260"/>
      <c r="EO11" s="260"/>
      <c r="EP11" s="260"/>
      <c r="EQ11" s="260"/>
      <c r="ER11" s="260"/>
      <c r="ES11" s="260"/>
      <c r="ET11" s="260"/>
      <c r="EU11" s="260"/>
      <c r="EV11" s="260"/>
      <c r="EW11" s="260"/>
      <c r="EX11" s="260"/>
      <c r="EY11" s="261"/>
      <c r="EZ11" s="77"/>
    </row>
    <row r="12" ht="6.6" customHeight="1" spans="1:156">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0"/>
      <c r="CP12" s="80"/>
      <c r="CQ12" s="80"/>
      <c r="CR12" s="80"/>
      <c r="CS12" s="80"/>
      <c r="CT12" s="80"/>
      <c r="CU12" s="80"/>
      <c r="CV12" s="80"/>
      <c r="CW12" s="80"/>
      <c r="CX12" s="80"/>
      <c r="CY12" s="92"/>
      <c r="CZ12" s="80"/>
      <c r="DA12" s="80"/>
      <c r="DB12" s="80"/>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c r="ED12" s="80"/>
      <c r="EE12" s="80"/>
      <c r="EF12" s="80"/>
      <c r="EG12" s="80"/>
      <c r="EH12" s="76"/>
      <c r="EI12" s="263"/>
      <c r="EJ12" s="263"/>
      <c r="EK12" s="263"/>
      <c r="EL12" s="263"/>
      <c r="EM12" s="263"/>
      <c r="EN12" s="263"/>
      <c r="EO12" s="263"/>
      <c r="EP12" s="263"/>
      <c r="EQ12" s="263"/>
      <c r="ER12" s="263"/>
      <c r="ES12" s="263"/>
      <c r="ET12" s="263"/>
      <c r="EU12" s="263"/>
      <c r="EV12" s="263"/>
      <c r="EW12" s="263"/>
      <c r="EX12" s="263"/>
      <c r="EY12" s="263"/>
    </row>
    <row r="13" customHeight="1" spans="1:156">
      <c r="A13" s="92"/>
      <c r="B13" s="264" t="s">
        <v>45</v>
      </c>
      <c r="C13" s="264"/>
      <c r="D13" s="264"/>
      <c r="E13" s="264"/>
      <c r="F13" s="264"/>
      <c r="G13" s="264"/>
      <c r="H13" s="264"/>
      <c r="I13" s="264"/>
      <c r="J13" s="264"/>
      <c r="K13" s="264"/>
      <c r="L13" s="264"/>
      <c r="M13" s="264"/>
      <c r="N13" s="264"/>
      <c r="O13" s="264"/>
      <c r="P13" s="265" t="s">
        <v>46</v>
      </c>
      <c r="Q13" s="265"/>
      <c r="R13" s="265"/>
      <c r="S13" s="265" t="s">
        <v>47</v>
      </c>
      <c r="T13" s="265"/>
      <c r="U13" s="265"/>
      <c r="V13" s="265" t="s">
        <v>48</v>
      </c>
      <c r="W13" s="265"/>
      <c r="X13" s="265"/>
      <c r="Y13" s="265" t="s">
        <v>49</v>
      </c>
      <c r="Z13" s="265"/>
      <c r="AA13" s="265"/>
      <c r="AB13" s="265" t="s">
        <v>50</v>
      </c>
      <c r="AC13" s="265"/>
      <c r="AD13" s="265"/>
      <c r="AE13" s="265"/>
      <c r="AF13" s="265"/>
      <c r="AG13" s="265"/>
      <c r="AH13" s="265"/>
      <c r="AI13" s="265"/>
      <c r="AJ13" s="265"/>
      <c r="AK13" s="265"/>
      <c r="AL13" s="265"/>
      <c r="AM13" s="265"/>
      <c r="AN13" s="265"/>
      <c r="AO13" s="265"/>
      <c r="AP13" s="265"/>
      <c r="AQ13" s="265"/>
      <c r="AR13" s="265"/>
      <c r="AS13" s="265" t="s">
        <v>46</v>
      </c>
      <c r="AT13" s="265"/>
      <c r="AU13" s="265"/>
      <c r="AV13" s="265" t="s">
        <v>47</v>
      </c>
      <c r="AW13" s="265"/>
      <c r="AX13" s="265"/>
      <c r="AY13" s="265" t="s">
        <v>48</v>
      </c>
      <c r="AZ13" s="265"/>
      <c r="BA13" s="265"/>
      <c r="BB13" s="265" t="s">
        <v>49</v>
      </c>
      <c r="BC13" s="265"/>
      <c r="BD13" s="265"/>
      <c r="BE13" s="265" t="s">
        <v>50</v>
      </c>
      <c r="BF13" s="265"/>
      <c r="BG13" s="265"/>
      <c r="BH13" s="266"/>
      <c r="BI13" s="267" t="s">
        <v>51</v>
      </c>
      <c r="BJ13" s="268"/>
      <c r="BK13" s="268"/>
      <c r="BL13" s="268"/>
      <c r="BM13" s="268"/>
      <c r="BN13" s="268"/>
      <c r="BO13" s="268"/>
      <c r="BP13" s="268"/>
      <c r="BQ13" s="268"/>
      <c r="BR13" s="268"/>
      <c r="BS13" s="268"/>
      <c r="BT13" s="268"/>
      <c r="BU13" s="268"/>
      <c r="BV13" s="268"/>
      <c r="BW13" s="268"/>
      <c r="BX13" s="268"/>
      <c r="BY13" s="268"/>
      <c r="BZ13" s="268"/>
      <c r="CA13" s="268"/>
      <c r="CB13" s="268"/>
      <c r="CC13" s="268"/>
      <c r="CD13" s="268"/>
      <c r="CE13" s="268"/>
      <c r="CF13" s="268"/>
      <c r="CG13" s="268"/>
      <c r="CH13" s="268"/>
      <c r="CI13" s="268"/>
      <c r="CJ13" s="268"/>
      <c r="CK13" s="268"/>
      <c r="CL13" s="268"/>
      <c r="CM13" s="268"/>
      <c r="CN13" s="268"/>
      <c r="CO13" s="268"/>
      <c r="CP13" s="268"/>
      <c r="CQ13" s="268"/>
      <c r="CR13" s="268"/>
      <c r="CS13" s="268"/>
      <c r="CT13" s="268"/>
      <c r="CU13" s="268"/>
      <c r="CV13" s="268"/>
      <c r="CW13" s="268"/>
      <c r="CX13" s="268"/>
      <c r="CY13" s="92"/>
      <c r="CZ13" s="269" t="s">
        <v>52</v>
      </c>
      <c r="DA13" s="270"/>
      <c r="DB13" s="270"/>
      <c r="DC13" s="270"/>
      <c r="DD13" s="270"/>
      <c r="DE13" s="270"/>
      <c r="DF13" s="270"/>
      <c r="DG13" s="270"/>
      <c r="DH13" s="270"/>
      <c r="DI13" s="270"/>
      <c r="DJ13" s="270"/>
      <c r="DK13" s="270"/>
      <c r="DL13" s="271"/>
      <c r="DM13" s="272" t="s">
        <v>53</v>
      </c>
      <c r="DN13" s="273"/>
      <c r="DO13" s="273"/>
      <c r="DP13" s="274"/>
      <c r="DQ13" s="272" t="s">
        <v>54</v>
      </c>
      <c r="DR13" s="273"/>
      <c r="DS13" s="273"/>
      <c r="DT13" s="273"/>
      <c r="DU13" s="273"/>
      <c r="DV13" s="274"/>
      <c r="DW13" s="275" t="s">
        <v>55</v>
      </c>
      <c r="DX13" s="275"/>
      <c r="DY13" s="275"/>
      <c r="DZ13" s="272" t="s">
        <v>56</v>
      </c>
      <c r="EA13" s="273"/>
      <c r="EB13" s="273"/>
      <c r="EC13" s="274"/>
      <c r="ED13" s="272" t="s">
        <v>57</v>
      </c>
      <c r="EE13" s="273"/>
      <c r="EF13" s="273"/>
      <c r="EG13" s="274"/>
      <c r="EH13" s="276"/>
      <c r="EI13" s="277" t="s">
        <v>58</v>
      </c>
      <c r="EJ13" s="278"/>
      <c r="EK13" s="278"/>
      <c r="EL13" s="278"/>
      <c r="EM13" s="278"/>
      <c r="EN13" s="278"/>
      <c r="EO13" s="278"/>
      <c r="EP13" s="278"/>
      <c r="EQ13" s="279">
        <f>IF(AH3="",0,FLOOR((附表!B2-9)/4,1))</f>
        <v>-3</v>
      </c>
      <c r="ER13" s="279"/>
      <c r="ES13" s="279"/>
      <c r="ET13" s="279"/>
      <c r="EU13" s="279"/>
      <c r="EV13" s="279"/>
      <c r="EW13" s="279"/>
      <c r="EX13" s="279"/>
      <c r="EY13" s="280"/>
      <c r="EZ13" s="77"/>
    </row>
    <row r="14" customHeight="1" spans="1:156">
      <c r="A14" s="92"/>
      <c r="B14" s="281" t="str">
        <f>IF(AND('幕间计算'!A2&lt;&gt;"",COUNTIFS('幕间计算'!$A$210:$A$409,IFERROR(VALUE('幕间与结算'!$B$3),0),'幕间计算'!$B$210:$B$409,1,'幕间与结算'!$E$9:$E$208,'幕间计算'!A2)&gt;0,COUNTIFS('幕间计算'!$A$500:$A$739,IFERROR(VALUE('幕间与结算'!$B$3),0),'幕间计算'!$C$500:$C$739,1,'幕间与结算'!$C$215:$C$454,'幕间计算'!A2)=0),"√","☐")</f>
        <v>☐</v>
      </c>
      <c r="C14" s="282"/>
      <c r="D14" s="283" t="s">
        <v>59</v>
      </c>
      <c r="E14" s="283"/>
      <c r="F14" s="283"/>
      <c r="G14" s="283"/>
      <c r="H14" s="283"/>
      <c r="I14" s="283"/>
      <c r="J14" s="283"/>
      <c r="K14" s="283"/>
      <c r="L14" s="283"/>
      <c r="M14" s="283"/>
      <c r="N14" s="283"/>
      <c r="O14" s="283"/>
      <c r="P14" s="284">
        <f>MAX(0,MIN(99,IF(V14="",N(S14),N(V14))+N(Y14)+N(AB14)))</f>
        <v>10</v>
      </c>
      <c r="Q14" s="284"/>
      <c r="R14" s="284"/>
      <c r="S14" s="285">
        <v>10</v>
      </c>
      <c r="T14" s="285"/>
      <c r="U14" s="285"/>
      <c r="V14" s="286" t="str">
        <f ca="1">IF(职业选项!V40&gt;0,职业选项!V40,"")</f>
        <v/>
      </c>
      <c r="W14" s="286"/>
      <c r="X14" s="286"/>
      <c r="Y14" s="286" t="str">
        <f ca="1">规则数据!H20</f>
        <v/>
      </c>
      <c r="Z14" s="286"/>
      <c r="AA14" s="286"/>
      <c r="AB14" s="286">
        <f>'幕间计算'!B2+IF(AND('幕间计算'!A2&lt;&gt;"",COUNTIF('幕间计算'!$A$2:A2,'幕间计算'!A2)=1),SUMIF('幕间与结算'!$E$9:$E$208,'幕间计算'!A2,'幕间与结算'!$K$9:$K$208)+SUMIF('幕间与结算'!$C$215:$C$454,'幕间计算'!A2,'幕间与结算'!$G$215:$G$454),0)</f>
        <v>0</v>
      </c>
      <c r="AC14" s="286"/>
      <c r="AD14" s="287"/>
      <c r="AE14" s="288" t="str">
        <f>IF(AND('幕间计算'!A32&lt;&gt;"",COUNTIFS('幕间计算'!$A$210:$A$409,IFERROR(VALUE('幕间与结算'!$B$3),0),'幕间计算'!$B$210:$B$409,1,'幕间与结算'!$E$9:$E$208,'幕间计算'!A32)&gt;0,COUNTIFS('幕间计算'!$A$500:$A$739,IFERROR(VALUE('幕间与结算'!$B$3),0),'幕间计算'!$C$500:$C$739,1,'幕间与结算'!$C$215:$C$454,'幕间计算'!A32)=0),"√","☐")</f>
        <v>☐</v>
      </c>
      <c r="AF14" s="282"/>
      <c r="AG14" s="283" t="s">
        <v>60</v>
      </c>
      <c r="AH14" s="283"/>
      <c r="AI14" s="283"/>
      <c r="AJ14" s="283"/>
      <c r="AK14" s="283"/>
      <c r="AL14" s="283"/>
      <c r="AM14" s="283"/>
      <c r="AN14" s="283"/>
      <c r="AO14" s="283"/>
      <c r="AP14" s="283"/>
      <c r="AQ14" s="283"/>
      <c r="AR14" s="283"/>
      <c r="AS14" s="284">
        <f>MAX(0,MIN(99,IF(AY14="",N(AV14),N(AY14))+N(BB14)+N(BE14)))</f>
        <v>0</v>
      </c>
      <c r="AT14" s="284"/>
      <c r="AU14" s="284"/>
      <c r="AV14" s="285">
        <v>0</v>
      </c>
      <c r="AW14" s="285"/>
      <c r="AX14" s="285"/>
      <c r="AY14" s="286" t="str">
        <f ca="1">IF(职业选项!V41&gt;0,职业选项!V41,"")</f>
        <v/>
      </c>
      <c r="AZ14" s="286"/>
      <c r="BA14" s="286"/>
      <c r="BB14" s="286" t="str">
        <f ca="1">规则数据!H50</f>
        <v/>
      </c>
      <c r="BC14" s="286"/>
      <c r="BD14" s="286"/>
      <c r="BE14" s="286">
        <f>'幕间计算'!B32+IF(AND('幕间计算'!A32&lt;&gt;"",COUNTIF('幕间计算'!$A$2:A32,'幕间计算'!A32)=1),SUMIF('幕间与结算'!$E$9:$E$208,'幕间计算'!A32,'幕间与结算'!$K$9:$K$208)+SUMIF('幕间与结算'!$C$215:$C$454,'幕间计算'!A32,'幕间与结算'!$G$215:$G$454),0)</f>
        <v>0</v>
      </c>
      <c r="BF14" s="286"/>
      <c r="BG14" s="289"/>
      <c r="BH14" s="92"/>
      <c r="BI14" s="290" t="s">
        <v>61</v>
      </c>
      <c r="BJ14" s="291"/>
      <c r="BK14" s="291"/>
      <c r="BL14" s="291"/>
      <c r="BM14" s="291"/>
      <c r="BN14" s="292"/>
      <c r="BO14" s="292"/>
      <c r="BP14" s="292"/>
      <c r="BQ14" s="292"/>
      <c r="BR14" s="292"/>
      <c r="BS14" s="292"/>
      <c r="BT14" s="292"/>
      <c r="BU14" s="292"/>
      <c r="BV14" s="292"/>
      <c r="BW14" s="292"/>
      <c r="BX14" s="292"/>
      <c r="BY14" s="292"/>
      <c r="BZ14" s="292"/>
      <c r="CA14" s="292"/>
      <c r="CB14" s="292"/>
      <c r="CC14" s="292"/>
      <c r="CD14" s="292"/>
      <c r="CE14" s="292"/>
      <c r="CF14" s="292"/>
      <c r="CG14" s="292"/>
      <c r="CH14" s="292"/>
      <c r="CI14" s="292"/>
      <c r="CJ14" s="292"/>
      <c r="CK14" s="292"/>
      <c r="CL14" s="292"/>
      <c r="CM14" s="292"/>
      <c r="CN14" s="292"/>
      <c r="CO14" s="292"/>
      <c r="CP14" s="292"/>
      <c r="CQ14" s="292"/>
      <c r="CR14" s="292"/>
      <c r="CS14" s="292"/>
      <c r="CT14" s="292"/>
      <c r="CU14" s="292"/>
      <c r="CV14" s="292"/>
      <c r="CW14" s="292"/>
      <c r="CX14" s="293"/>
      <c r="CY14" s="92"/>
      <c r="CZ14" s="294"/>
      <c r="DA14" s="295"/>
      <c r="DB14" s="295"/>
      <c r="DC14" s="295"/>
      <c r="DD14" s="295"/>
      <c r="DE14" s="295"/>
      <c r="DF14" s="295"/>
      <c r="DG14" s="295"/>
      <c r="DH14" s="295"/>
      <c r="DI14" s="295"/>
      <c r="DJ14" s="295"/>
      <c r="DK14" s="295"/>
      <c r="DL14" s="295"/>
      <c r="DM14" s="295" t="str">
        <f ca="1">IFERROR(INDIRECT(INDEX(规则数据!$C$500:$C$553,MATCH(CZ14,规则数据!$A$500:$A$553,0))),"")</f>
        <v/>
      </c>
      <c r="DN14" s="295"/>
      <c r="DO14" s="295"/>
      <c r="DP14" s="295"/>
      <c r="DQ14" s="295" t="str">
        <f>IFERROR(IF(INDEX(规则数据!$D$500:$D$553,MATCH(CZ14,规则数据!$A$500:$A$553,0))="","",INDEX(规则数据!$D$500:$D$553,MATCH(CZ14,规则数据!$A$500:$A$553,0))),"")</f>
        <v/>
      </c>
      <c r="DR14" s="295"/>
      <c r="DS14" s="295"/>
      <c r="DT14" s="295"/>
      <c r="DU14" s="295"/>
      <c r="DV14" s="295"/>
      <c r="DW14" s="295" t="str">
        <f>IFERROR(IF(INDEX(规则数据!$E$500:$E$553,MATCH(CZ14,规则数据!$A$500:$A$553,0))="","",INDEX(规则数据!$E$500:$E$553,MATCH(CZ14,规则数据!$A$500:$A$553,0))),"")</f>
        <v/>
      </c>
      <c r="DX14" s="295"/>
      <c r="DY14" s="295"/>
      <c r="DZ14" s="295" t="str">
        <f>IFERROR(IF(INDEX(规则数据!$F$500:$F$553,MATCH(CZ14,规则数据!$A$500:$A$553,0))="","",INDEX(规则数据!$F$500:$F$553,MATCH(CZ14,规则数据!$A$500:$A$553,0))),"")</f>
        <v/>
      </c>
      <c r="EA14" s="295"/>
      <c r="EB14" s="295"/>
      <c r="EC14" s="295"/>
      <c r="ED14" s="295" t="str">
        <f>IFERROR(IF(INDEX(规则数据!$G$500:$G$553,MATCH(CZ14,规则数据!$A$500:$A$553,0))="","",INDEX(规则数据!$G$500:$G$553,MATCH(CZ14,规则数据!$A$500:$A$553,0))),"")</f>
        <v/>
      </c>
      <c r="EE14" s="295"/>
      <c r="EF14" s="295"/>
      <c r="EG14" s="296"/>
      <c r="EH14" s="276"/>
      <c r="EI14" s="297" t="s">
        <v>63</v>
      </c>
      <c r="EJ14" s="298"/>
      <c r="EK14" s="298"/>
      <c r="EL14" s="298"/>
      <c r="EM14" s="298"/>
      <c r="EN14" s="298"/>
      <c r="EO14" s="298"/>
      <c r="EP14" s="298"/>
      <c r="EQ14" s="299"/>
      <c r="ER14" s="299"/>
      <c r="ES14" s="299"/>
      <c r="ET14" s="299"/>
      <c r="EU14" s="299"/>
      <c r="EV14" s="299"/>
      <c r="EW14" s="299"/>
      <c r="EX14" s="299"/>
      <c r="EY14" s="300"/>
      <c r="EZ14" s="77"/>
    </row>
    <row r="15" customHeight="1" spans="1:156">
      <c r="A15" s="92"/>
      <c r="B15" s="301" t="str">
        <f>IF(AND('幕间计算'!A3&lt;&gt;"",COUNTIFS('幕间计算'!$A$210:$A$409,IFERROR(VALUE('幕间与结算'!$B$3),0),'幕间计算'!$B$210:$B$409,1,'幕间与结算'!$E$9:$E$208,'幕间计算'!A3)&gt;0,COUNTIFS('幕间计算'!$A$500:$A$739,IFERROR(VALUE('幕间与结算'!$B$3),0),'幕间计算'!$C$500:$C$739,1,'幕间与结算'!$C$215:$C$454,'幕间计算'!A3)=0),"√","☐")</f>
        <v>☐</v>
      </c>
      <c r="C15" s="302"/>
      <c r="D15" s="303" t="s">
        <v>64</v>
      </c>
      <c r="E15" s="303"/>
      <c r="F15" s="303"/>
      <c r="G15" s="303"/>
      <c r="H15" s="303"/>
      <c r="I15" s="303"/>
      <c r="J15" s="303"/>
      <c r="K15" s="303"/>
      <c r="L15" s="303"/>
      <c r="M15" s="303"/>
      <c r="N15" s="303"/>
      <c r="O15" s="303"/>
      <c r="P15" s="304">
        <f>MAX(0,MIN(99,IF(V15="",N(S15),N(V15))+N(Y15)+N(AB15)))</f>
        <v>20</v>
      </c>
      <c r="Q15" s="304"/>
      <c r="R15" s="304"/>
      <c r="S15" s="305">
        <v>20</v>
      </c>
      <c r="T15" s="305"/>
      <c r="U15" s="305"/>
      <c r="V15" s="139" t="str">
        <f ca="1">IF(职业选项!V42&gt;0,职业选项!V42,"")</f>
        <v/>
      </c>
      <c r="W15" s="139"/>
      <c r="X15" s="139"/>
      <c r="Y15" s="139" t="str">
        <f ca="1">规则数据!H21</f>
        <v/>
      </c>
      <c r="Z15" s="139"/>
      <c r="AA15" s="139"/>
      <c r="AB15" s="139">
        <f>'幕间计算'!B3+IF(AND('幕间计算'!A3&lt;&gt;"",COUNTIF('幕间计算'!$A$2:A3,'幕间计算'!A3)=1),SUMIF('幕间与结算'!$E$9:$E$208,'幕间计算'!A3,'幕间与结算'!$K$9:$K$208)+SUMIF('幕间与结算'!$C$215:$C$454,'幕间计算'!A3,'幕间与结算'!$G$215:$G$454),0)</f>
        <v>0</v>
      </c>
      <c r="AC15" s="139"/>
      <c r="AD15" s="306"/>
      <c r="AE15" s="307" t="str">
        <f>IF(AND('幕间计算'!A33&lt;&gt;"",COUNTIFS('幕间计算'!$A$210:$A$409,IFERROR(VALUE('幕间与结算'!$B$3),0),'幕间计算'!$B$210:$B$409,1,'幕间与结算'!$E$9:$E$208,'幕间计算'!A33)&gt;0,COUNTIFS('幕间计算'!$A$500:$A$739,IFERROR(VALUE('幕间与结算'!$B$3),0),'幕间计算'!$C$500:$C$739,1,'幕间与结算'!$C$215:$C$454,'幕间计算'!A33)=0),"√","☐")</f>
        <v>☐</v>
      </c>
      <c r="AF15" s="302"/>
      <c r="AG15" s="303" t="s">
        <v>65</v>
      </c>
      <c r="AH15" s="303"/>
      <c r="AI15" s="303"/>
      <c r="AJ15" s="303"/>
      <c r="AK15" s="303"/>
      <c r="AL15" s="303"/>
      <c r="AM15" s="303"/>
      <c r="AN15" s="303"/>
      <c r="AO15" s="303"/>
      <c r="AP15" s="303"/>
      <c r="AQ15" s="303"/>
      <c r="AR15" s="303"/>
      <c r="AS15" s="304">
        <f>MAX(0,MIN(99,IF(AY15="",N(AV15),N(AY15))+N(BB15)+N(BE15)))</f>
        <v>0</v>
      </c>
      <c r="AT15" s="304"/>
      <c r="AU15" s="304"/>
      <c r="AV15" s="305">
        <v>0</v>
      </c>
      <c r="AW15" s="305"/>
      <c r="AX15" s="305"/>
      <c r="AY15" s="139" t="str">
        <f ca="1">IF(职业选项!V43&gt;0,职业选项!V43,"")</f>
        <v/>
      </c>
      <c r="AZ15" s="139"/>
      <c r="BA15" s="139"/>
      <c r="BB15" s="139" t="str">
        <f ca="1">规则数据!H51</f>
        <v/>
      </c>
      <c r="BC15" s="139"/>
      <c r="BD15" s="139"/>
      <c r="BE15" s="139">
        <f>'幕间计算'!B33+IF(AND('幕间计算'!A33&lt;&gt;"",COUNTIF('幕间计算'!$A$2:A33,'幕间计算'!A33)=1),SUMIF('幕间与结算'!$E$9:$E$208,'幕间计算'!A33,'幕间与结算'!$K$9:$K$208)+SUMIF('幕间与结算'!$C$215:$C$454,'幕间计算'!A33,'幕间与结算'!$G$215:$G$454),0)</f>
        <v>0</v>
      </c>
      <c r="BF15" s="139"/>
      <c r="BG15" s="308"/>
      <c r="BH15" s="92"/>
      <c r="BI15" s="131"/>
      <c r="BJ15" s="132"/>
      <c r="BK15" s="132"/>
      <c r="BL15" s="132"/>
      <c r="BM15" s="132"/>
      <c r="BN15" s="309"/>
      <c r="BO15" s="309"/>
      <c r="BP15" s="309"/>
      <c r="BQ15" s="309"/>
      <c r="BR15" s="309"/>
      <c r="BS15" s="309"/>
      <c r="BT15" s="309"/>
      <c r="BU15" s="309"/>
      <c r="BV15" s="309"/>
      <c r="BW15" s="309"/>
      <c r="BX15" s="309"/>
      <c r="BY15" s="309"/>
      <c r="BZ15" s="309"/>
      <c r="CA15" s="309"/>
      <c r="CB15" s="309"/>
      <c r="CC15" s="309"/>
      <c r="CD15" s="309"/>
      <c r="CE15" s="309"/>
      <c r="CF15" s="309"/>
      <c r="CG15" s="309"/>
      <c r="CH15" s="309"/>
      <c r="CI15" s="309"/>
      <c r="CJ15" s="309"/>
      <c r="CK15" s="309"/>
      <c r="CL15" s="309"/>
      <c r="CM15" s="309"/>
      <c r="CN15" s="309"/>
      <c r="CO15" s="309"/>
      <c r="CP15" s="309"/>
      <c r="CQ15" s="309"/>
      <c r="CR15" s="309"/>
      <c r="CS15" s="309"/>
      <c r="CT15" s="309"/>
      <c r="CU15" s="309"/>
      <c r="CV15" s="309"/>
      <c r="CW15" s="309"/>
      <c r="CX15" s="310"/>
      <c r="CY15" s="92"/>
      <c r="CZ15" s="311"/>
      <c r="DA15" s="312"/>
      <c r="DB15" s="312"/>
      <c r="DC15" s="312"/>
      <c r="DD15" s="312"/>
      <c r="DE15" s="312"/>
      <c r="DF15" s="312"/>
      <c r="DG15" s="312"/>
      <c r="DH15" s="312"/>
      <c r="DI15" s="312"/>
      <c r="DJ15" s="312"/>
      <c r="DK15" s="312"/>
      <c r="DL15" s="312"/>
      <c r="DM15" s="312" t="str">
        <f ca="1">IFERROR(INDIRECT(INDEX(规则数据!$C$500:$C$553,MATCH(CZ15,规则数据!$A$500:$A$553,0))),"")</f>
        <v/>
      </c>
      <c r="DN15" s="312"/>
      <c r="DO15" s="312"/>
      <c r="DP15" s="312"/>
      <c r="DQ15" s="312" t="str">
        <f>IFERROR(IF(INDEX(规则数据!$D$500:$D$553,MATCH(CZ15,规则数据!$A$500:$A$553,0))="","",INDEX(规则数据!$D$500:$D$553,MATCH(CZ15,规则数据!$A$500:$A$553,0))),"")</f>
        <v/>
      </c>
      <c r="DR15" s="312"/>
      <c r="DS15" s="312"/>
      <c r="DT15" s="312"/>
      <c r="DU15" s="312"/>
      <c r="DV15" s="312"/>
      <c r="DW15" s="312" t="str">
        <f>IFERROR(IF(INDEX(规则数据!$E$500:$E$553,MATCH(CZ15,规则数据!$A$500:$A$553,0))="","",INDEX(规则数据!$E$500:$E$553,MATCH(CZ15,规则数据!$A$500:$A$553,0))),"")</f>
        <v/>
      </c>
      <c r="DX15" s="312"/>
      <c r="DY15" s="312"/>
      <c r="DZ15" s="312" t="str">
        <f>IFERROR(IF(INDEX(规则数据!$F$500:$F$553,MATCH(CZ15,规则数据!$A$500:$A$553,0))="","",INDEX(规则数据!$F$500:$F$553,MATCH(CZ15,规则数据!$A$500:$A$553,0))),"")</f>
        <v/>
      </c>
      <c r="EA15" s="312"/>
      <c r="EB15" s="312"/>
      <c r="EC15" s="312"/>
      <c r="ED15" s="312" t="str">
        <f>IFERROR(IF(INDEX(规则数据!$G$500:$G$553,MATCH(CZ15,规则数据!$A$500:$A$553,0))="","",INDEX(规则数据!$G$500:$G$553,MATCH(CZ15,规则数据!$A$500:$A$553,0))),"")</f>
        <v/>
      </c>
      <c r="EE15" s="312"/>
      <c r="EF15" s="312"/>
      <c r="EG15" s="313"/>
      <c r="EH15" s="314"/>
      <c r="EI15" s="315"/>
      <c r="EJ15" s="316"/>
      <c r="EK15" s="316"/>
      <c r="EL15" s="316"/>
      <c r="EM15" s="316"/>
      <c r="EN15" s="316"/>
      <c r="EO15" s="316"/>
      <c r="EP15" s="316"/>
      <c r="EQ15" s="316"/>
      <c r="ER15" s="316"/>
      <c r="ES15" s="316"/>
      <c r="ET15" s="316"/>
      <c r="EU15" s="316"/>
      <c r="EV15" s="316"/>
      <c r="EW15" s="316"/>
      <c r="EX15" s="316"/>
      <c r="EY15" s="317"/>
    </row>
    <row r="16" customHeight="1" spans="1:156">
      <c r="A16" s="92"/>
      <c r="B16" s="301" t="str">
        <f>IF(AND('幕间计算'!A4&lt;&gt;"",COUNTIFS('幕间计算'!$A$210:$A$409,IFERROR(VALUE('幕间与结算'!$B$3),0),'幕间计算'!$B$210:$B$409,1,'幕间与结算'!$E$9:$E$208,'幕间计算'!A4)&gt;0,COUNTIFS('幕间计算'!$A$500:$A$739,IFERROR(VALUE('幕间与结算'!$B$3),0),'幕间计算'!$C$500:$C$739,1,'幕间与结算'!$C$215:$C$454,'幕间计算'!A4)=0),"√","☐")</f>
        <v>☐</v>
      </c>
      <c r="C16" s="302"/>
      <c r="D16" s="303" t="s">
        <v>66</v>
      </c>
      <c r="E16" s="303"/>
      <c r="F16" s="303"/>
      <c r="G16" s="303"/>
      <c r="H16" s="303"/>
      <c r="I16" s="303"/>
      <c r="J16" s="303"/>
      <c r="K16" s="303"/>
      <c r="L16" s="303"/>
      <c r="M16" s="303"/>
      <c r="N16" s="303"/>
      <c r="O16" s="303"/>
      <c r="P16" s="304">
        <f>MAX(0,MIN(99,IF(V16="",N(S16),N(V16))+N(Y16)+N(AB16)))</f>
        <v>0</v>
      </c>
      <c r="Q16" s="304"/>
      <c r="R16" s="304"/>
      <c r="S16" s="305">
        <v>0</v>
      </c>
      <c r="T16" s="305"/>
      <c r="U16" s="305"/>
      <c r="V16" s="139" t="str">
        <f ca="1">IF(职业选项!V44&gt;0,职业选项!V44,"")</f>
        <v/>
      </c>
      <c r="W16" s="139"/>
      <c r="X16" s="139"/>
      <c r="Y16" s="139" t="str">
        <f ca="1">规则数据!H22</f>
        <v/>
      </c>
      <c r="Z16" s="139"/>
      <c r="AA16" s="139"/>
      <c r="AB16" s="139">
        <f>'幕间计算'!B4+IF(AND('幕间计算'!A4&lt;&gt;"",COUNTIF('幕间计算'!$A$2:A4,'幕间计算'!A4)=1),SUMIF('幕间与结算'!$E$9:$E$208,'幕间计算'!A4,'幕间与结算'!$K$9:$K$208)+SUMIF('幕间与结算'!$C$215:$C$454,'幕间计算'!A4,'幕间与结算'!$G$215:$G$454),0)</f>
        <v>0</v>
      </c>
      <c r="AC16" s="139"/>
      <c r="AD16" s="306"/>
      <c r="AE16" s="307" t="str">
        <f>IF(AND('幕间计算'!A34&lt;&gt;"",COUNTIFS('幕间计算'!$A$210:$A$409,IFERROR(VALUE('幕间与结算'!$B$3),0),'幕间计算'!$B$210:$B$409,1,'幕间与结算'!$E$9:$E$208,'幕间计算'!A34)&gt;0,COUNTIFS('幕间计算'!$A$500:$A$739,IFERROR(VALUE('幕间与结算'!$B$3),0),'幕间计算'!$C$500:$C$739,1,'幕间与结算'!$C$215:$C$454,'幕间计算'!A34)=0),"√","☐")</f>
        <v>☐</v>
      </c>
      <c r="AF16" s="302"/>
      <c r="AG16" s="303" t="s">
        <v>67</v>
      </c>
      <c r="AH16" s="303"/>
      <c r="AI16" s="303"/>
      <c r="AJ16" s="303"/>
      <c r="AK16" s="303"/>
      <c r="AL16" s="303"/>
      <c r="AM16" s="303"/>
      <c r="AN16" s="303"/>
      <c r="AO16" s="303"/>
      <c r="AP16" s="303"/>
      <c r="AQ16" s="303"/>
      <c r="AR16" s="303"/>
      <c r="AS16" s="304">
        <f>MAX(0,MIN(99,IF(AY16="",N(AV16),N(AY16))+N(BB16)+N(BE16)))</f>
        <v>30</v>
      </c>
      <c r="AT16" s="304"/>
      <c r="AU16" s="304"/>
      <c r="AV16" s="305">
        <v>30</v>
      </c>
      <c r="AW16" s="305"/>
      <c r="AX16" s="305"/>
      <c r="AY16" s="139" t="str">
        <f ca="1">IF(职业选项!V45&gt;0,职业选项!V45,"")</f>
        <v/>
      </c>
      <c r="AZ16" s="139"/>
      <c r="BA16" s="139"/>
      <c r="BB16" s="139" t="str">
        <f ca="1">规则数据!H52</f>
        <v/>
      </c>
      <c r="BC16" s="139"/>
      <c r="BD16" s="139"/>
      <c r="BE16" s="139">
        <f>'幕间计算'!B34+IF(AND('幕间计算'!A34&lt;&gt;"",COUNTIF('幕间计算'!$A$2:A34,'幕间计算'!A34)=1),SUMIF('幕间与结算'!$E$9:$E$208,'幕间计算'!A34,'幕间与结算'!$K$9:$K$208)+SUMIF('幕间与结算'!$C$215:$C$454,'幕间计算'!A34,'幕间与结算'!$G$215:$G$454),0)</f>
        <v>0</v>
      </c>
      <c r="BF16" s="139"/>
      <c r="BG16" s="308"/>
      <c r="BH16" s="92"/>
      <c r="BI16" s="131"/>
      <c r="BJ16" s="132"/>
      <c r="BK16" s="132"/>
      <c r="BL16" s="132"/>
      <c r="BM16" s="132"/>
      <c r="BN16" s="309"/>
      <c r="BO16" s="309"/>
      <c r="BP16" s="309"/>
      <c r="BQ16" s="309"/>
      <c r="BR16" s="309"/>
      <c r="BS16" s="309"/>
      <c r="BT16" s="309"/>
      <c r="BU16" s="309"/>
      <c r="BV16" s="309"/>
      <c r="BW16" s="309"/>
      <c r="BX16" s="309"/>
      <c r="BY16" s="309"/>
      <c r="BZ16" s="309"/>
      <c r="CA16" s="309"/>
      <c r="CB16" s="309"/>
      <c r="CC16" s="309"/>
      <c r="CD16" s="309"/>
      <c r="CE16" s="309"/>
      <c r="CF16" s="309"/>
      <c r="CG16" s="309"/>
      <c r="CH16" s="309"/>
      <c r="CI16" s="309"/>
      <c r="CJ16" s="309"/>
      <c r="CK16" s="309"/>
      <c r="CL16" s="309"/>
      <c r="CM16" s="309"/>
      <c r="CN16" s="309"/>
      <c r="CO16" s="309"/>
      <c r="CP16" s="309"/>
      <c r="CQ16" s="309"/>
      <c r="CR16" s="309"/>
      <c r="CS16" s="309"/>
      <c r="CT16" s="309"/>
      <c r="CU16" s="309"/>
      <c r="CV16" s="309"/>
      <c r="CW16" s="309"/>
      <c r="CX16" s="310"/>
      <c r="CY16" s="92"/>
      <c r="CZ16" s="311"/>
      <c r="DA16" s="312"/>
      <c r="DB16" s="312"/>
      <c r="DC16" s="312"/>
      <c r="DD16" s="312"/>
      <c r="DE16" s="312"/>
      <c r="DF16" s="312"/>
      <c r="DG16" s="312"/>
      <c r="DH16" s="312"/>
      <c r="DI16" s="312"/>
      <c r="DJ16" s="312"/>
      <c r="DK16" s="312"/>
      <c r="DL16" s="312"/>
      <c r="DM16" s="312" t="str">
        <f ca="1">IFERROR(INDIRECT(INDEX(规则数据!$C$500:$C$553,MATCH(CZ16,规则数据!$A$500:$A$553,0))),"")</f>
        <v/>
      </c>
      <c r="DN16" s="312"/>
      <c r="DO16" s="312"/>
      <c r="DP16" s="312"/>
      <c r="DQ16" s="312" t="str">
        <f>IFERROR(IF(INDEX(规则数据!$D$500:$D$553,MATCH(CZ16,规则数据!$A$500:$A$553,0))="","",INDEX(规则数据!$D$500:$D$553,MATCH(CZ16,规则数据!$A$500:$A$553,0))),"")</f>
        <v/>
      </c>
      <c r="DR16" s="312"/>
      <c r="DS16" s="312"/>
      <c r="DT16" s="312"/>
      <c r="DU16" s="312"/>
      <c r="DV16" s="312"/>
      <c r="DW16" s="312" t="str">
        <f>IFERROR(IF(INDEX(规则数据!$E$500:$E$553,MATCH(CZ16,规则数据!$A$500:$A$553,0))="","",INDEX(规则数据!$E$500:$E$553,MATCH(CZ16,规则数据!$A$500:$A$553,0))),"")</f>
        <v/>
      </c>
      <c r="DX16" s="312"/>
      <c r="DY16" s="312"/>
      <c r="DZ16" s="312" t="str">
        <f>IFERROR(IF(INDEX(规则数据!$F$500:$F$553,MATCH(CZ16,规则数据!$A$500:$A$553,0))="","",INDEX(规则数据!$F$500:$F$553,MATCH(CZ16,规则数据!$A$500:$A$553,0))),"")</f>
        <v/>
      </c>
      <c r="EA16" s="312"/>
      <c r="EB16" s="312"/>
      <c r="EC16" s="312"/>
      <c r="ED16" s="312" t="str">
        <f>IFERROR(IF(INDEX(规则数据!$G$500:$G$553,MATCH(CZ16,规则数据!$A$500:$A$553,0))="","",INDEX(规则数据!$G$500:$G$553,MATCH(CZ16,规则数据!$A$500:$A$553,0))),"")</f>
        <v/>
      </c>
      <c r="EE16" s="312"/>
      <c r="EF16" s="312"/>
      <c r="EG16" s="313"/>
      <c r="EH16" s="276"/>
      <c r="EI16" s="318" t="s">
        <v>68</v>
      </c>
      <c r="EJ16" s="319"/>
      <c r="EK16" s="319"/>
      <c r="EL16" s="319"/>
      <c r="EM16" s="319"/>
      <c r="EN16" s="319"/>
      <c r="EO16" s="319"/>
      <c r="EP16" s="319"/>
      <c r="EQ16" s="319"/>
      <c r="ER16" s="319"/>
      <c r="ES16" s="319"/>
      <c r="ET16" s="319"/>
      <c r="EU16" s="319"/>
      <c r="EV16" s="319"/>
      <c r="EW16" s="319"/>
      <c r="EX16" s="319"/>
      <c r="EY16" s="320"/>
      <c r="EZ16" s="77"/>
    </row>
    <row r="17" customHeight="1" spans="1:156">
      <c r="A17" s="92"/>
      <c r="B17" s="301" t="str">
        <f>IF(AND('幕间计算'!A5&lt;&gt;"",COUNTIFS('幕间计算'!$A$210:$A$409,IFERROR(VALUE('幕间与结算'!$B$3),0),'幕间计算'!$B$210:$B$409,1,'幕间与结算'!$E$9:$E$208,'幕间计算'!A5)&gt;0,COUNTIFS('幕间计算'!$A$500:$A$739,IFERROR(VALUE('幕间与结算'!$B$3),0),'幕间计算'!$C$500:$C$739,1,'幕间与结算'!$C$215:$C$454,'幕间计算'!A5)=0),"√","☐")</f>
        <v>☐</v>
      </c>
      <c r="C17" s="302"/>
      <c r="D17" s="303" t="s">
        <v>69</v>
      </c>
      <c r="E17" s="303"/>
      <c r="F17" s="303"/>
      <c r="G17" s="303"/>
      <c r="H17" s="303"/>
      <c r="I17" s="303"/>
      <c r="J17" s="303"/>
      <c r="K17" s="303"/>
      <c r="L17" s="303"/>
      <c r="M17" s="303"/>
      <c r="N17" s="303"/>
      <c r="O17" s="303"/>
      <c r="P17" s="304">
        <f>MAX(0,MIN(99,IF(V17="",N(S17),N(V17))+N(Y17)+N(AB17)))</f>
        <v>0</v>
      </c>
      <c r="Q17" s="304"/>
      <c r="R17" s="304"/>
      <c r="S17" s="305">
        <v>0</v>
      </c>
      <c r="T17" s="305"/>
      <c r="U17" s="305"/>
      <c r="V17" s="139" t="str">
        <f ca="1">IF(职业选项!V46&gt;0,职业选项!V46,"")</f>
        <v/>
      </c>
      <c r="W17" s="139"/>
      <c r="X17" s="139"/>
      <c r="Y17" s="139" t="str">
        <f ca="1">规则数据!H23</f>
        <v/>
      </c>
      <c r="Z17" s="139"/>
      <c r="AA17" s="139"/>
      <c r="AB17" s="139">
        <f>'幕间计算'!B5+IF(AND('幕间计算'!A5&lt;&gt;"",COUNTIF('幕间计算'!$A$2:A5,'幕间计算'!A5)=1),SUMIF('幕间与结算'!$E$9:$E$208,'幕间计算'!A5,'幕间与结算'!$K$9:$K$208)+SUMIF('幕间与结算'!$C$215:$C$454,'幕间计算'!A5,'幕间与结算'!$G$215:$G$454),0)</f>
        <v>0</v>
      </c>
      <c r="AC17" s="139"/>
      <c r="AD17" s="306"/>
      <c r="AE17" s="307" t="str">
        <f>IF(AND('幕间计算'!A35&lt;&gt;"",COUNTIFS('幕间计算'!$A$210:$A$409,IFERROR(VALUE('幕间与结算'!$B$3),0),'幕间计算'!$B$210:$B$409,1,'幕间与结算'!$E$9:$E$208,'幕间计算'!A35)&gt;0,COUNTIFS('幕间计算'!$A$500:$A$739,IFERROR(VALUE('幕间与结算'!$B$3),0),'幕间计算'!$C$500:$C$739,1,'幕间与结算'!$C$215:$C$454,'幕间计算'!A35)=0),"√","☐")</f>
        <v>☐</v>
      </c>
      <c r="AF17" s="302"/>
      <c r="AG17" s="321" t="s">
        <v>70</v>
      </c>
      <c r="AH17" s="322"/>
      <c r="AI17" s="322"/>
      <c r="AJ17" s="322"/>
      <c r="AK17" s="322"/>
      <c r="AL17" s="322"/>
      <c r="AM17" s="323" t="str">
        <f ca="1">IF(COUNTIF(职业选项!$I$2:$I$28,"军事科学1")&gt;0,IFERROR(INDEX(职业选项!$F$2:$F$28,MATCH("军事科学1",职业选项!$I$2:$I$28,0)),""),IFERROR(MID(IFERROR(INDEX(规则数据!$C$2:$C$9,SMALL(规则数据!$AU$2:$AU$9,1-COUNTIF(职业选项!$C$2:$C$28,"军事科学"))),""),LEN("军事科学")+2,LEN(IFERROR(INDEX(规则数据!$C$2:$C$9,SMALL(规则数据!$AU$2:$AU$9,1-COUNTIF(职业选项!$C$2:$C$28,"军事科学"))),""))-LEN("军事科学")-2),""))</f>
        <v/>
      </c>
      <c r="AN17" s="323"/>
      <c r="AO17" s="323"/>
      <c r="AP17" s="323"/>
      <c r="AQ17" s="323"/>
      <c r="AR17" s="324"/>
      <c r="AS17" s="304">
        <f>MAX(0,MIN(99,IF(AY17="",N(AV17),N(AY17))+N(BB17)+N(BE17)))</f>
        <v>0</v>
      </c>
      <c r="AT17" s="304"/>
      <c r="AU17" s="304"/>
      <c r="AV17" s="305">
        <v>0</v>
      </c>
      <c r="AW17" s="305"/>
      <c r="AX17" s="305"/>
      <c r="AY17" s="139" t="str">
        <f ca="1">IF(职业选项!V47&gt;0,职业选项!V47,"")</f>
        <v/>
      </c>
      <c r="AZ17" s="139"/>
      <c r="BA17" s="139"/>
      <c r="BB17" s="139" t="str">
        <f ca="1">规则数据!H53</f>
        <v/>
      </c>
      <c r="BC17" s="139"/>
      <c r="BD17" s="139"/>
      <c r="BE17" s="139">
        <f>'幕间计算'!B35+IF(AND('幕间计算'!A35&lt;&gt;"",COUNTIF('幕间计算'!$A$2:A35,'幕间计算'!A35)=1),SUMIF('幕间与结算'!$E$9:$E$208,'幕间计算'!A35,'幕间与结算'!$K$9:$K$208)+SUMIF('幕间与结算'!$C$215:$C$454,'幕间计算'!A35,'幕间与结算'!$G$215:$G$454),0)</f>
        <v>0</v>
      </c>
      <c r="BF17" s="139"/>
      <c r="BG17" s="308"/>
      <c r="BH17" s="92"/>
      <c r="BI17" s="325" t="s">
        <v>71</v>
      </c>
      <c r="BJ17" s="326"/>
      <c r="BK17" s="326"/>
      <c r="BL17" s="326"/>
      <c r="BM17" s="326"/>
      <c r="BN17" s="327" t="str">
        <f>规则数据!S10&amp;IF(AND(DF46="人类不应知道之事",DR55&lt;&gt;""),IF(规则数据!S10&lt;&gt;"",CHAR(10),"")&amp;"创伤心理疾病："&amp;DR55,"")</f>
        <v/>
      </c>
      <c r="BO17" s="327"/>
      <c r="BP17" s="327"/>
      <c r="BQ17" s="327"/>
      <c r="BR17" s="327"/>
      <c r="BS17" s="327"/>
      <c r="BT17" s="327"/>
      <c r="BU17" s="327"/>
      <c r="BV17" s="327"/>
      <c r="BW17" s="327"/>
      <c r="BX17" s="327"/>
      <c r="BY17" s="327"/>
      <c r="BZ17" s="327"/>
      <c r="CA17" s="327"/>
      <c r="CB17" s="327"/>
      <c r="CC17" s="327"/>
      <c r="CD17" s="327"/>
      <c r="CE17" s="327"/>
      <c r="CF17" s="327"/>
      <c r="CG17" s="327"/>
      <c r="CH17" s="327"/>
      <c r="CI17" s="327"/>
      <c r="CJ17" s="327"/>
      <c r="CK17" s="327"/>
      <c r="CL17" s="327"/>
      <c r="CM17" s="327"/>
      <c r="CN17" s="327"/>
      <c r="CO17" s="327"/>
      <c r="CP17" s="327"/>
      <c r="CQ17" s="327"/>
      <c r="CR17" s="327"/>
      <c r="CS17" s="327"/>
      <c r="CT17" s="327"/>
      <c r="CU17" s="327"/>
      <c r="CV17" s="327"/>
      <c r="CW17" s="327"/>
      <c r="CX17" s="328"/>
      <c r="CY17" s="92"/>
      <c r="CZ17" s="311"/>
      <c r="DA17" s="312"/>
      <c r="DB17" s="312"/>
      <c r="DC17" s="312"/>
      <c r="DD17" s="312"/>
      <c r="DE17" s="312"/>
      <c r="DF17" s="312"/>
      <c r="DG17" s="312"/>
      <c r="DH17" s="312"/>
      <c r="DI17" s="312"/>
      <c r="DJ17" s="312"/>
      <c r="DK17" s="312"/>
      <c r="DL17" s="312"/>
      <c r="DM17" s="312" t="str">
        <f ca="1">IFERROR(INDIRECT(INDEX(规则数据!$C$500:$C$553,MATCH(CZ17,规则数据!$A$500:$A$553,0))),"")</f>
        <v/>
      </c>
      <c r="DN17" s="312"/>
      <c r="DO17" s="312"/>
      <c r="DP17" s="312"/>
      <c r="DQ17" s="312" t="str">
        <f>IFERROR(IF(INDEX(规则数据!$D$500:$D$553,MATCH(CZ17,规则数据!$A$500:$A$553,0))="","",INDEX(规则数据!$D$500:$D$553,MATCH(CZ17,规则数据!$A$500:$A$553,0))),"")</f>
        <v/>
      </c>
      <c r="DR17" s="312"/>
      <c r="DS17" s="312"/>
      <c r="DT17" s="312"/>
      <c r="DU17" s="312"/>
      <c r="DV17" s="312"/>
      <c r="DW17" s="312" t="str">
        <f>IFERROR(IF(INDEX(规则数据!$E$500:$E$553,MATCH(CZ17,规则数据!$A$500:$A$553,0))="","",INDEX(规则数据!$E$500:$E$553,MATCH(CZ17,规则数据!$A$500:$A$553,0))),"")</f>
        <v/>
      </c>
      <c r="DX17" s="312"/>
      <c r="DY17" s="312"/>
      <c r="DZ17" s="312" t="str">
        <f>IFERROR(IF(INDEX(规则数据!$F$500:$F$553,MATCH(CZ17,规则数据!$A$500:$A$553,0))="","",INDEX(规则数据!$F$500:$F$553,MATCH(CZ17,规则数据!$A$500:$A$553,0))),"")</f>
        <v/>
      </c>
      <c r="EA17" s="312"/>
      <c r="EB17" s="312"/>
      <c r="EC17" s="312"/>
      <c r="ED17" s="312" t="str">
        <f>IFERROR(IF(INDEX(规则数据!$G$500:$G$553,MATCH(CZ17,规则数据!$A$500:$A$553,0))="","",INDEX(规则数据!$G$500:$G$553,MATCH(CZ17,规则数据!$A$500:$A$553,0))),"")</f>
        <v/>
      </c>
      <c r="EE17" s="312"/>
      <c r="EF17" s="312"/>
      <c r="EG17" s="313"/>
      <c r="EH17" s="276"/>
      <c r="EI17" s="329"/>
      <c r="EJ17" s="150"/>
      <c r="EK17" s="150"/>
      <c r="EL17" s="150"/>
      <c r="EM17" s="150"/>
      <c r="EN17" s="150"/>
      <c r="EO17" s="150"/>
      <c r="EP17" s="150"/>
      <c r="EQ17" s="150"/>
      <c r="ER17" s="150"/>
      <c r="ES17" s="150"/>
      <c r="ET17" s="150"/>
      <c r="EU17" s="150"/>
      <c r="EV17" s="150"/>
      <c r="EW17" s="150"/>
      <c r="EX17" s="150"/>
      <c r="EY17" s="151"/>
      <c r="EZ17" s="77"/>
    </row>
    <row r="18" customHeight="1" spans="1:156">
      <c r="A18" s="92"/>
      <c r="B18" s="301" t="str">
        <f>IF(AND('幕间计算'!A6&lt;&gt;"",COUNTIFS('幕间计算'!$A$210:$A$409,IFERROR(VALUE('幕间与结算'!$B$3),0),'幕间计算'!$B$210:$B$409,1,'幕间与结算'!$E$9:$E$208,'幕间计算'!A6)&gt;0,COUNTIFS('幕间计算'!$A$500:$A$739,IFERROR(VALUE('幕间与结算'!$B$3),0),'幕间计算'!$C$500:$C$739,1,'幕间与结算'!$C$215:$C$454,'幕间计算'!A6)=0),"√","☐")</f>
        <v>☐</v>
      </c>
      <c r="C18" s="302"/>
      <c r="D18" s="330" t="s">
        <v>72</v>
      </c>
      <c r="E18" s="331"/>
      <c r="F18" s="331"/>
      <c r="G18" s="331"/>
      <c r="H18" s="331"/>
      <c r="I18" s="331"/>
      <c r="J18" s="332" t="str">
        <f ca="1">IF(COUNTIF(职业选项!$I$2:$I$28,"艺术1")&gt;0,IFERROR(INDEX(职业选项!$F$2:$F$28,MATCH("艺术1",职业选项!$I$2:$I$28,0)),""),IFERROR(MID(IFERROR(INDEX(规则数据!$C$2:$C$9,SMALL(规则数据!$AR$2:$AR$9,1-COUNTIF(职业选项!$C$2:$C$28,"艺术"))),""),LEN("艺术")+2,LEN(IFERROR(INDEX(规则数据!$C$2:$C$9,SMALL(规则数据!$AR$2:$AR$9,1-COUNTIF(职业选项!$C$2:$C$28,"艺术"))),""))-LEN("艺术")-2),""))</f>
        <v/>
      </c>
      <c r="K18" s="332"/>
      <c r="L18" s="332"/>
      <c r="M18" s="332"/>
      <c r="N18" s="332"/>
      <c r="O18" s="333"/>
      <c r="P18" s="304">
        <f>MAX(0,MIN(99,IF(V18="",N(S18),N(V18))+N(Y18)+N(AB18)))</f>
        <v>0</v>
      </c>
      <c r="Q18" s="304"/>
      <c r="R18" s="304"/>
      <c r="S18" s="305">
        <v>0</v>
      </c>
      <c r="T18" s="305"/>
      <c r="U18" s="305"/>
      <c r="V18" s="139" t="str">
        <f ca="1">IF(职业选项!V48&gt;0,职业选项!V48,"")</f>
        <v/>
      </c>
      <c r="W18" s="139"/>
      <c r="X18" s="139"/>
      <c r="Y18" s="139" t="str">
        <f ca="1">规则数据!H24</f>
        <v/>
      </c>
      <c r="Z18" s="139"/>
      <c r="AA18" s="139"/>
      <c r="AB18" s="139">
        <f>'幕间计算'!B6+IF(AND('幕间计算'!A6&lt;&gt;"",COUNTIF('幕间计算'!$A$2:A6,'幕间计算'!A6)=1),SUMIF('幕间与结算'!$E$9:$E$208,'幕间计算'!A6,'幕间与结算'!$K$9:$K$208)+SUMIF('幕间与结算'!$C$215:$C$454,'幕间计算'!A6,'幕间与结算'!$G$215:$G$454),0)</f>
        <v>0</v>
      </c>
      <c r="AC18" s="139"/>
      <c r="AD18" s="306"/>
      <c r="AE18" s="307" t="str">
        <f>IF(AND('幕间计算'!A36&lt;&gt;"",COUNTIFS('幕间计算'!$A$210:$A$409,IFERROR(VALUE('幕间与结算'!$B$3),0),'幕间计算'!$B$210:$B$409,1,'幕间与结算'!$E$9:$E$208,'幕间计算'!A36)&gt;0,COUNTIFS('幕间计算'!$A$500:$A$739,IFERROR(VALUE('幕间与结算'!$B$3),0),'幕间计算'!$C$500:$C$739,1,'幕间与结算'!$C$215:$C$454,'幕间计算'!A36)=0),"√","☐")</f>
        <v>☐</v>
      </c>
      <c r="AF18" s="302"/>
      <c r="AG18" s="330" t="s">
        <v>70</v>
      </c>
      <c r="AH18" s="331"/>
      <c r="AI18" s="331"/>
      <c r="AJ18" s="331"/>
      <c r="AK18" s="331"/>
      <c r="AL18" s="331"/>
      <c r="AM18" s="332" t="str">
        <f ca="1">IF(COUNTIF(职业选项!$I$2:$I$28,"军事科学2")&gt;0,IFERROR(INDEX(职业选项!$F$2:$F$28,MATCH("军事科学2",职业选项!$I$2:$I$28,0)),""),IFERROR(MID(IFERROR(INDEX(规则数据!$C$2:$C$9,SMALL(规则数据!$AU$2:$AU$9,2-COUNTIF(职业选项!$C$2:$C$28,"军事科学"))),""),LEN("军事科学")+2,LEN(IFERROR(INDEX(规则数据!$C$2:$C$9,SMALL(规则数据!$AU$2:$AU$9,2-COUNTIF(职业选项!$C$2:$C$28,"军事科学"))),""))-LEN("军事科学")-2),""))</f>
        <v/>
      </c>
      <c r="AN18" s="332"/>
      <c r="AO18" s="332"/>
      <c r="AP18" s="332"/>
      <c r="AQ18" s="332"/>
      <c r="AR18" s="333"/>
      <c r="AS18" s="304">
        <f>MAX(0,MIN(99,IF(AY18="",N(AV18),N(AY18))+N(BB18)+N(BE18)))</f>
        <v>0</v>
      </c>
      <c r="AT18" s="304"/>
      <c r="AU18" s="304"/>
      <c r="AV18" s="305">
        <v>0</v>
      </c>
      <c r="AW18" s="305"/>
      <c r="AX18" s="305"/>
      <c r="AY18" s="139" t="str">
        <f ca="1">IF(职业选项!V49&gt;0,职业选项!V49,"")</f>
        <v/>
      </c>
      <c r="AZ18" s="139"/>
      <c r="BA18" s="139"/>
      <c r="BB18" s="139" t="str">
        <f ca="1">规则数据!H54</f>
        <v/>
      </c>
      <c r="BC18" s="139"/>
      <c r="BD18" s="139"/>
      <c r="BE18" s="139">
        <f>'幕间计算'!B36+IF(AND('幕间计算'!A36&lt;&gt;"",COUNTIF('幕间计算'!$A$2:A36,'幕间计算'!A36)=1),SUMIF('幕间与结算'!$E$9:$E$208,'幕间计算'!A36,'幕间与结算'!$K$9:$K$208)+SUMIF('幕间与结算'!$C$215:$C$454,'幕间计算'!A36,'幕间与结算'!$G$215:$G$454),0)</f>
        <v>0</v>
      </c>
      <c r="BF18" s="139"/>
      <c r="BG18" s="308"/>
      <c r="BH18" s="92"/>
      <c r="BI18" s="325"/>
      <c r="BJ18" s="326"/>
      <c r="BK18" s="326"/>
      <c r="BL18" s="326"/>
      <c r="BM18" s="326"/>
      <c r="BN18" s="327"/>
      <c r="BO18" s="327"/>
      <c r="BP18" s="327"/>
      <c r="BQ18" s="327"/>
      <c r="BR18" s="327"/>
      <c r="BS18" s="327"/>
      <c r="BT18" s="327"/>
      <c r="BU18" s="327"/>
      <c r="BV18" s="327"/>
      <c r="BW18" s="327"/>
      <c r="BX18" s="327"/>
      <c r="BY18" s="327"/>
      <c r="BZ18" s="327"/>
      <c r="CA18" s="327"/>
      <c r="CB18" s="327"/>
      <c r="CC18" s="327"/>
      <c r="CD18" s="327"/>
      <c r="CE18" s="327"/>
      <c r="CF18" s="327"/>
      <c r="CG18" s="327"/>
      <c r="CH18" s="327"/>
      <c r="CI18" s="327"/>
      <c r="CJ18" s="327"/>
      <c r="CK18" s="327"/>
      <c r="CL18" s="327"/>
      <c r="CM18" s="327"/>
      <c r="CN18" s="327"/>
      <c r="CO18" s="327"/>
      <c r="CP18" s="327"/>
      <c r="CQ18" s="327"/>
      <c r="CR18" s="327"/>
      <c r="CS18" s="327"/>
      <c r="CT18" s="327"/>
      <c r="CU18" s="327"/>
      <c r="CV18" s="327"/>
      <c r="CW18" s="327"/>
      <c r="CX18" s="328"/>
      <c r="CY18" s="92"/>
      <c r="CZ18" s="311"/>
      <c r="DA18" s="312"/>
      <c r="DB18" s="312"/>
      <c r="DC18" s="312"/>
      <c r="DD18" s="312"/>
      <c r="DE18" s="312"/>
      <c r="DF18" s="312"/>
      <c r="DG18" s="312"/>
      <c r="DH18" s="312"/>
      <c r="DI18" s="312"/>
      <c r="DJ18" s="312"/>
      <c r="DK18" s="312"/>
      <c r="DL18" s="312"/>
      <c r="DM18" s="312" t="str">
        <f ca="1">IFERROR(INDIRECT(INDEX(规则数据!$C$500:$C$553,MATCH(CZ18,规则数据!$A$500:$A$553,0))),"")</f>
        <v/>
      </c>
      <c r="DN18" s="312"/>
      <c r="DO18" s="312"/>
      <c r="DP18" s="312"/>
      <c r="DQ18" s="312" t="str">
        <f>IFERROR(IF(INDEX(规则数据!$D$500:$D$553,MATCH(CZ18,规则数据!$A$500:$A$553,0))="","",INDEX(规则数据!$D$500:$D$553,MATCH(CZ18,规则数据!$A$500:$A$553,0))),"")</f>
        <v/>
      </c>
      <c r="DR18" s="312"/>
      <c r="DS18" s="312"/>
      <c r="DT18" s="312"/>
      <c r="DU18" s="312"/>
      <c r="DV18" s="312"/>
      <c r="DW18" s="312" t="str">
        <f>IFERROR(IF(INDEX(规则数据!$E$500:$E$553,MATCH(CZ18,规则数据!$A$500:$A$553,0))="","",INDEX(规则数据!$E$500:$E$553,MATCH(CZ18,规则数据!$A$500:$A$553,0))),"")</f>
        <v/>
      </c>
      <c r="DX18" s="312"/>
      <c r="DY18" s="312"/>
      <c r="DZ18" s="312" t="str">
        <f>IFERROR(IF(INDEX(规则数据!$F$500:$F$553,MATCH(CZ18,规则数据!$A$500:$A$553,0))="","",INDEX(规则数据!$F$500:$F$553,MATCH(CZ18,规则数据!$A$500:$A$553,0))),"")</f>
        <v/>
      </c>
      <c r="EA18" s="312"/>
      <c r="EB18" s="312"/>
      <c r="EC18" s="312"/>
      <c r="ED18" s="312" t="str">
        <f>IFERROR(IF(INDEX(规则数据!$G$500:$G$553,MATCH(CZ18,规则数据!$A$500:$A$553,0))="","",INDEX(规则数据!$G$500:$G$553,MATCH(CZ18,规则数据!$A$500:$A$553,0))),"")</f>
        <v/>
      </c>
      <c r="EE18" s="312"/>
      <c r="EF18" s="312"/>
      <c r="EG18" s="313"/>
      <c r="EH18" s="276"/>
      <c r="EI18" s="329"/>
      <c r="EJ18" s="150"/>
      <c r="EK18" s="150"/>
      <c r="EL18" s="150"/>
      <c r="EM18" s="150"/>
      <c r="EN18" s="150"/>
      <c r="EO18" s="150"/>
      <c r="EP18" s="150"/>
      <c r="EQ18" s="150"/>
      <c r="ER18" s="150"/>
      <c r="ES18" s="150"/>
      <c r="ET18" s="150"/>
      <c r="EU18" s="150"/>
      <c r="EV18" s="150"/>
      <c r="EW18" s="150"/>
      <c r="EX18" s="150"/>
      <c r="EY18" s="151"/>
      <c r="EZ18" s="77"/>
    </row>
    <row r="19" customHeight="1" spans="1:156">
      <c r="A19" s="92"/>
      <c r="B19" s="301" t="str">
        <f>IF(AND('幕间计算'!A7&lt;&gt;"",COUNTIFS('幕间计算'!$A$210:$A$409,IFERROR(VALUE('幕间与结算'!$B$3),0),'幕间计算'!$B$210:$B$409,1,'幕间与结算'!$E$9:$E$208,'幕间计算'!A7)&gt;0,COUNTIFS('幕间计算'!$A$500:$A$739,IFERROR(VALUE('幕间与结算'!$B$3),0),'幕间计算'!$C$500:$C$739,1,'幕间与结算'!$C$215:$C$454,'幕间计算'!A7)=0),"√","☐")</f>
        <v>☐</v>
      </c>
      <c r="C19" s="302"/>
      <c r="D19" s="321" t="s">
        <v>72</v>
      </c>
      <c r="E19" s="322"/>
      <c r="F19" s="322"/>
      <c r="G19" s="322"/>
      <c r="H19" s="322"/>
      <c r="I19" s="322"/>
      <c r="J19" s="323" t="str">
        <f ca="1">IF(COUNTIF(职业选项!$I$2:$I$28,"艺术2")&gt;0,IFERROR(INDEX(职业选项!$F$2:$F$28,MATCH("艺术2",职业选项!$I$2:$I$28,0)),""),IFERROR(MID(IFERROR(INDEX(规则数据!$C$2:$C$9,SMALL(规则数据!$AR$2:$AR$9,2-COUNTIF(职业选项!$C$2:$C$28,"艺术"))),""),LEN("艺术")+2,LEN(IFERROR(INDEX(规则数据!$C$2:$C$9,SMALL(规则数据!$AR$2:$AR$9,2-COUNTIF(职业选项!$C$2:$C$28,"艺术"))),""))-LEN("艺术")-2),""))</f>
        <v/>
      </c>
      <c r="K19" s="323"/>
      <c r="L19" s="323"/>
      <c r="M19" s="323"/>
      <c r="N19" s="323"/>
      <c r="O19" s="324"/>
      <c r="P19" s="304">
        <f>MAX(0,MIN(99,IF(V19="",N(S19),N(V19))+N(Y19)+N(AB19)))</f>
        <v>0</v>
      </c>
      <c r="Q19" s="304"/>
      <c r="R19" s="304"/>
      <c r="S19" s="305">
        <v>0</v>
      </c>
      <c r="T19" s="305"/>
      <c r="U19" s="305"/>
      <c r="V19" s="139" t="str">
        <f ca="1">IF(职业选项!V50&gt;0,职业选项!V50,"")</f>
        <v/>
      </c>
      <c r="W19" s="139"/>
      <c r="X19" s="139"/>
      <c r="Y19" s="139" t="str">
        <f ca="1">规则数据!H25</f>
        <v/>
      </c>
      <c r="Z19" s="139"/>
      <c r="AA19" s="139"/>
      <c r="AB19" s="139">
        <f>'幕间计算'!B7+IF(AND('幕间计算'!A7&lt;&gt;"",COUNTIF('幕间计算'!$A$2:A7,'幕间计算'!A7)=1),SUMIF('幕间与结算'!$E$9:$E$208,'幕间计算'!A7,'幕间与结算'!$K$9:$K$208)+SUMIF('幕间与结算'!$C$215:$C$454,'幕间计算'!A7,'幕间与结算'!$G$215:$G$454),0)</f>
        <v>0</v>
      </c>
      <c r="AC19" s="139"/>
      <c r="AD19" s="306"/>
      <c r="AE19" s="307" t="str">
        <f>IF(AND('幕间计算'!A37&lt;&gt;"",COUNTIFS('幕间计算'!$A$210:$A$409,IFERROR(VALUE('幕间与结算'!$B$3),0),'幕间计算'!$B$210:$B$409,1,'幕间与结算'!$E$9:$E$208,'幕间计算'!A37)&gt;0,COUNTIFS('幕间计算'!$A$500:$A$739,IFERROR(VALUE('幕间与结算'!$B$3),0),'幕间计算'!$C$500:$C$739,1,'幕间与结算'!$C$215:$C$454,'幕间计算'!A37)=0),"√","☐")</f>
        <v>☐</v>
      </c>
      <c r="AF19" s="302"/>
      <c r="AG19" s="321" t="s">
        <v>70</v>
      </c>
      <c r="AH19" s="322"/>
      <c r="AI19" s="322"/>
      <c r="AJ19" s="322"/>
      <c r="AK19" s="322"/>
      <c r="AL19" s="322"/>
      <c r="AM19" s="323" t="str">
        <f ca="1">IF(COUNTIF(职业选项!$I$2:$I$28,"军事科学3")&gt;0,IFERROR(INDEX(职业选项!$F$2:$F$28,MATCH("军事科学3",职业选项!$I$2:$I$28,0)),""),IFERROR(MID(IFERROR(INDEX(规则数据!$C$2:$C$9,SMALL(规则数据!$AU$2:$AU$9,3-COUNTIF(职业选项!$C$2:$C$28,"军事科学"))),""),LEN("军事科学")+2,LEN(IFERROR(INDEX(规则数据!$C$2:$C$9,SMALL(规则数据!$AU$2:$AU$9,3-COUNTIF(职业选项!$C$2:$C$28,"军事科学"))),""))-LEN("军事科学")-2),""))</f>
        <v/>
      </c>
      <c r="AN19" s="323"/>
      <c r="AO19" s="323"/>
      <c r="AP19" s="323"/>
      <c r="AQ19" s="323"/>
      <c r="AR19" s="324"/>
      <c r="AS19" s="304">
        <f>MAX(0,MIN(99,IF(AY19="",N(AV19),N(AY19))+N(BB19)+N(BE19)))</f>
        <v>0</v>
      </c>
      <c r="AT19" s="304"/>
      <c r="AU19" s="304"/>
      <c r="AV19" s="305">
        <v>0</v>
      </c>
      <c r="AW19" s="305"/>
      <c r="AX19" s="305"/>
      <c r="AY19" s="139" t="str">
        <f ca="1">IF(职业选项!V51&gt;0,职业选项!V51,"")</f>
        <v/>
      </c>
      <c r="AZ19" s="139"/>
      <c r="BA19" s="139"/>
      <c r="BB19" s="139" t="str">
        <f ca="1">规则数据!H55</f>
        <v/>
      </c>
      <c r="BC19" s="139"/>
      <c r="BD19" s="139"/>
      <c r="BE19" s="139">
        <f>'幕间计算'!B37+IF(AND('幕间计算'!A37&lt;&gt;"",COUNTIF('幕间计算'!$A$2:A37,'幕间计算'!A37)=1),SUMIF('幕间与结算'!$E$9:$E$208,'幕间计算'!A37,'幕间与结算'!$K$9:$K$208)+SUMIF('幕间与结算'!$C$215:$C$454,'幕间计算'!A37,'幕间与结算'!$G$215:$G$454),0)</f>
        <v>0</v>
      </c>
      <c r="BF19" s="139"/>
      <c r="BG19" s="308"/>
      <c r="BH19" s="92"/>
      <c r="BI19" s="325"/>
      <c r="BJ19" s="326"/>
      <c r="BK19" s="326"/>
      <c r="BL19" s="326"/>
      <c r="BM19" s="326"/>
      <c r="BN19" s="327"/>
      <c r="BO19" s="327"/>
      <c r="BP19" s="327"/>
      <c r="BQ19" s="327"/>
      <c r="BR19" s="327"/>
      <c r="BS19" s="327"/>
      <c r="BT19" s="327"/>
      <c r="BU19" s="327"/>
      <c r="BV19" s="327"/>
      <c r="BW19" s="327"/>
      <c r="BX19" s="327"/>
      <c r="BY19" s="327"/>
      <c r="BZ19" s="327"/>
      <c r="CA19" s="327"/>
      <c r="CB19" s="327"/>
      <c r="CC19" s="327"/>
      <c r="CD19" s="327"/>
      <c r="CE19" s="327"/>
      <c r="CF19" s="327"/>
      <c r="CG19" s="327"/>
      <c r="CH19" s="327"/>
      <c r="CI19" s="327"/>
      <c r="CJ19" s="327"/>
      <c r="CK19" s="327"/>
      <c r="CL19" s="327"/>
      <c r="CM19" s="327"/>
      <c r="CN19" s="327"/>
      <c r="CO19" s="327"/>
      <c r="CP19" s="327"/>
      <c r="CQ19" s="327"/>
      <c r="CR19" s="327"/>
      <c r="CS19" s="327"/>
      <c r="CT19" s="327"/>
      <c r="CU19" s="327"/>
      <c r="CV19" s="327"/>
      <c r="CW19" s="327"/>
      <c r="CX19" s="328"/>
      <c r="CY19" s="92"/>
      <c r="CZ19" s="311"/>
      <c r="DA19" s="312"/>
      <c r="DB19" s="312"/>
      <c r="DC19" s="312"/>
      <c r="DD19" s="312"/>
      <c r="DE19" s="312"/>
      <c r="DF19" s="312"/>
      <c r="DG19" s="312"/>
      <c r="DH19" s="312"/>
      <c r="DI19" s="312"/>
      <c r="DJ19" s="312"/>
      <c r="DK19" s="312"/>
      <c r="DL19" s="312"/>
      <c r="DM19" s="312" t="str">
        <f ca="1">IFERROR(INDIRECT(INDEX(规则数据!$C$500:$C$553,MATCH(CZ19,规则数据!$A$500:$A$553,0))),"")</f>
        <v/>
      </c>
      <c r="DN19" s="312"/>
      <c r="DO19" s="312"/>
      <c r="DP19" s="312"/>
      <c r="DQ19" s="312" t="str">
        <f>IFERROR(IF(INDEX(规则数据!$D$500:$D$553,MATCH(CZ19,规则数据!$A$500:$A$553,0))="","",INDEX(规则数据!$D$500:$D$553,MATCH(CZ19,规则数据!$A$500:$A$553,0))),"")</f>
        <v/>
      </c>
      <c r="DR19" s="312"/>
      <c r="DS19" s="312"/>
      <c r="DT19" s="312"/>
      <c r="DU19" s="312"/>
      <c r="DV19" s="312"/>
      <c r="DW19" s="312" t="str">
        <f>IFERROR(IF(INDEX(规则数据!$E$500:$E$553,MATCH(CZ19,规则数据!$A$500:$A$553,0))="","",INDEX(规则数据!$E$500:$E$553,MATCH(CZ19,规则数据!$A$500:$A$553,0))),"")</f>
        <v/>
      </c>
      <c r="DX19" s="312"/>
      <c r="DY19" s="312"/>
      <c r="DZ19" s="312" t="str">
        <f>IFERROR(IF(INDEX(规则数据!$F$500:$F$553,MATCH(CZ19,规则数据!$A$500:$A$553,0))="","",INDEX(规则数据!$F$500:$F$553,MATCH(CZ19,规则数据!$A$500:$A$553,0))),"")</f>
        <v/>
      </c>
      <c r="EA19" s="312"/>
      <c r="EB19" s="312"/>
      <c r="EC19" s="312"/>
      <c r="ED19" s="312" t="str">
        <f>IFERROR(IF(INDEX(规则数据!$G$500:$G$553,MATCH(CZ19,规则数据!$A$500:$A$553,0))="","",INDEX(规则数据!$G$500:$G$553,MATCH(CZ19,规则数据!$A$500:$A$553,0))),"")</f>
        <v/>
      </c>
      <c r="EE19" s="312"/>
      <c r="EF19" s="312"/>
      <c r="EG19" s="313"/>
      <c r="EH19" s="276"/>
      <c r="EI19" s="329"/>
      <c r="EJ19" s="150"/>
      <c r="EK19" s="150"/>
      <c r="EL19" s="150"/>
      <c r="EM19" s="150"/>
      <c r="EN19" s="150"/>
      <c r="EO19" s="150"/>
      <c r="EP19" s="150"/>
      <c r="EQ19" s="150"/>
      <c r="ER19" s="150"/>
      <c r="ES19" s="150"/>
      <c r="ET19" s="150"/>
      <c r="EU19" s="150"/>
      <c r="EV19" s="150"/>
      <c r="EW19" s="150"/>
      <c r="EX19" s="150"/>
      <c r="EY19" s="151"/>
      <c r="EZ19" s="77"/>
    </row>
    <row r="20" customHeight="1" spans="1:156">
      <c r="A20" s="92"/>
      <c r="B20" s="301" t="str">
        <f>IF(AND('幕间计算'!A8&lt;&gt;"",COUNTIFS('幕间计算'!$A$210:$A$409,IFERROR(VALUE('幕间与结算'!$B$3),0),'幕间计算'!$B$210:$B$409,1,'幕间与结算'!$E$9:$E$208,'幕间计算'!A8)&gt;0,COUNTIFS('幕间计算'!$A$500:$A$739,IFERROR(VALUE('幕间与结算'!$B$3),0),'幕间计算'!$C$500:$C$739,1,'幕间与结算'!$C$215:$C$454,'幕间计算'!A8)=0),"√","☐")</f>
        <v>☐</v>
      </c>
      <c r="C20" s="302"/>
      <c r="D20" s="330" t="s">
        <v>72</v>
      </c>
      <c r="E20" s="331"/>
      <c r="F20" s="331"/>
      <c r="G20" s="331"/>
      <c r="H20" s="331"/>
      <c r="I20" s="331"/>
      <c r="J20" s="332" t="str">
        <f ca="1">IF(COUNTIF(职业选项!$I$2:$I$28,"艺术3")&gt;0,IFERROR(INDEX(职业选项!$F$2:$F$28,MATCH("艺术3",职业选项!$I$2:$I$28,0)),""),IFERROR(MID(IFERROR(INDEX(规则数据!$C$2:$C$9,SMALL(规则数据!$AR$2:$AR$9,3-COUNTIF(职业选项!$C$2:$C$28,"艺术"))),""),LEN("艺术")+2,LEN(IFERROR(INDEX(规则数据!$C$2:$C$9,SMALL(规则数据!$AR$2:$AR$9,3-COUNTIF(职业选项!$C$2:$C$28,"艺术"))),""))-LEN("艺术")-2),""))</f>
        <v/>
      </c>
      <c r="K20" s="332"/>
      <c r="L20" s="332"/>
      <c r="M20" s="332"/>
      <c r="N20" s="332"/>
      <c r="O20" s="333"/>
      <c r="P20" s="304">
        <f>MAX(0,MIN(99,IF(V20="",N(S20),N(V20))+N(Y20)+N(AB20)))</f>
        <v>0</v>
      </c>
      <c r="Q20" s="304"/>
      <c r="R20" s="304"/>
      <c r="S20" s="305">
        <v>0</v>
      </c>
      <c r="T20" s="305"/>
      <c r="U20" s="305"/>
      <c r="V20" s="139" t="str">
        <f ca="1">IF(职业选项!V52&gt;0,职业选项!V52,"")</f>
        <v/>
      </c>
      <c r="W20" s="139"/>
      <c r="X20" s="139"/>
      <c r="Y20" s="139" t="str">
        <f ca="1">规则数据!H26</f>
        <v/>
      </c>
      <c r="Z20" s="139"/>
      <c r="AA20" s="139"/>
      <c r="AB20" s="139">
        <f>'幕间计算'!B8+IF(AND('幕间计算'!A8&lt;&gt;"",COUNTIF('幕间计算'!$A$2:A8,'幕间计算'!A8)=1),SUMIF('幕间与结算'!$E$9:$E$208,'幕间计算'!A8,'幕间与结算'!$K$9:$K$208)+SUMIF('幕间与结算'!$C$215:$C$454,'幕间计算'!A8,'幕间与结算'!$G$215:$G$454),0)</f>
        <v>0</v>
      </c>
      <c r="AC20" s="139"/>
      <c r="AD20" s="306"/>
      <c r="AE20" s="307" t="str">
        <f>IF(AND('幕间计算'!A38&lt;&gt;"",COUNTIFS('幕间计算'!$A$210:$A$409,IFERROR(VALUE('幕间与结算'!$B$3),0),'幕间计算'!$B$210:$B$409,1,'幕间与结算'!$E$9:$E$208,'幕间计算'!A38)&gt;0,COUNTIFS('幕间计算'!$A$500:$A$739,IFERROR(VALUE('幕间与结算'!$B$3),0),'幕间计算'!$C$500:$C$739,1,'幕间与结算'!$C$215:$C$454,'幕间计算'!A38)=0),"√","☐")</f>
        <v>☐</v>
      </c>
      <c r="AF20" s="302"/>
      <c r="AG20" s="303" t="s">
        <v>73</v>
      </c>
      <c r="AH20" s="303"/>
      <c r="AI20" s="303"/>
      <c r="AJ20" s="303"/>
      <c r="AK20" s="303"/>
      <c r="AL20" s="303"/>
      <c r="AM20" s="303"/>
      <c r="AN20" s="303"/>
      <c r="AO20" s="303"/>
      <c r="AP20" s="303"/>
      <c r="AQ20" s="303"/>
      <c r="AR20" s="303"/>
      <c r="AS20" s="304">
        <f>MAX(0,MIN(99,IF(AY20="",N(AV20),N(AY20))+N(BB20)+N(BE20)))</f>
        <v>10</v>
      </c>
      <c r="AT20" s="304"/>
      <c r="AU20" s="304"/>
      <c r="AV20" s="305">
        <v>10</v>
      </c>
      <c r="AW20" s="305"/>
      <c r="AX20" s="305"/>
      <c r="AY20" s="139" t="str">
        <f ca="1">IF(职业选项!V53&gt;0,职业选项!V53,"")</f>
        <v/>
      </c>
      <c r="AZ20" s="139"/>
      <c r="BA20" s="139"/>
      <c r="BB20" s="139" t="str">
        <f ca="1">规则数据!H56</f>
        <v/>
      </c>
      <c r="BC20" s="139"/>
      <c r="BD20" s="139"/>
      <c r="BE20" s="139">
        <f>'幕间计算'!B38+IF(AND('幕间计算'!A38&lt;&gt;"",COUNTIF('幕间计算'!$A$2:A38,'幕间计算'!A38)=1),SUMIF('幕间与结算'!$E$9:$E$208,'幕间计算'!A38,'幕间与结算'!$K$9:$K$208)+SUMIF('幕间与结算'!$C$215:$C$454,'幕间计算'!A38,'幕间与结算'!$G$215:$G$454),0)</f>
        <v>0</v>
      </c>
      <c r="BF20" s="139"/>
      <c r="BG20" s="308"/>
      <c r="BH20" s="92"/>
      <c r="BI20" s="325"/>
      <c r="BJ20" s="326"/>
      <c r="BK20" s="326"/>
      <c r="BL20" s="326"/>
      <c r="BM20" s="326"/>
      <c r="BN20" s="327"/>
      <c r="BO20" s="327"/>
      <c r="BP20" s="327"/>
      <c r="BQ20" s="327"/>
      <c r="BR20" s="327"/>
      <c r="BS20" s="327"/>
      <c r="BT20" s="327"/>
      <c r="BU20" s="327"/>
      <c r="BV20" s="327"/>
      <c r="BW20" s="327"/>
      <c r="BX20" s="327"/>
      <c r="BY20" s="327"/>
      <c r="BZ20" s="327"/>
      <c r="CA20" s="327"/>
      <c r="CB20" s="327"/>
      <c r="CC20" s="327"/>
      <c r="CD20" s="327"/>
      <c r="CE20" s="327"/>
      <c r="CF20" s="327"/>
      <c r="CG20" s="327"/>
      <c r="CH20" s="327"/>
      <c r="CI20" s="327"/>
      <c r="CJ20" s="327"/>
      <c r="CK20" s="327"/>
      <c r="CL20" s="327"/>
      <c r="CM20" s="327"/>
      <c r="CN20" s="327"/>
      <c r="CO20" s="327"/>
      <c r="CP20" s="327"/>
      <c r="CQ20" s="327"/>
      <c r="CR20" s="327"/>
      <c r="CS20" s="327"/>
      <c r="CT20" s="327"/>
      <c r="CU20" s="327"/>
      <c r="CV20" s="327"/>
      <c r="CW20" s="327"/>
      <c r="CX20" s="328"/>
      <c r="CY20" s="92"/>
      <c r="CZ20" s="334"/>
      <c r="DA20" s="335"/>
      <c r="DB20" s="335"/>
      <c r="DC20" s="335"/>
      <c r="DD20" s="335"/>
      <c r="DE20" s="335"/>
      <c r="DF20" s="335"/>
      <c r="DG20" s="335"/>
      <c r="DH20" s="335"/>
      <c r="DI20" s="335"/>
      <c r="DJ20" s="335"/>
      <c r="DK20" s="335"/>
      <c r="DL20" s="335"/>
      <c r="DM20" s="335" t="str">
        <f ca="1">IFERROR(INDIRECT(INDEX(规则数据!$C$500:$C$553,MATCH(CZ20,规则数据!$A$500:$A$553,0))),"")</f>
        <v/>
      </c>
      <c r="DN20" s="335"/>
      <c r="DO20" s="335"/>
      <c r="DP20" s="335"/>
      <c r="DQ20" s="335" t="str">
        <f>IFERROR(IF(INDEX(规则数据!$D$500:$D$553,MATCH(CZ20,规则数据!$A$500:$A$553,0))="","",INDEX(规则数据!$D$500:$D$553,MATCH(CZ20,规则数据!$A$500:$A$553,0))),"")</f>
        <v/>
      </c>
      <c r="DR20" s="335"/>
      <c r="DS20" s="335"/>
      <c r="DT20" s="335"/>
      <c r="DU20" s="335"/>
      <c r="DV20" s="335"/>
      <c r="DW20" s="335" t="str">
        <f>IFERROR(IF(INDEX(规则数据!$E$500:$E$553,MATCH(CZ20,规则数据!$A$500:$A$553,0))="","",INDEX(规则数据!$E$500:$E$553,MATCH(CZ20,规则数据!$A$500:$A$553,0))),"")</f>
        <v/>
      </c>
      <c r="DX20" s="335"/>
      <c r="DY20" s="335"/>
      <c r="DZ20" s="335" t="str">
        <f>IFERROR(IF(INDEX(规则数据!$F$500:$F$553,MATCH(CZ20,规则数据!$A$500:$A$553,0))="","",INDEX(规则数据!$F$500:$F$553,MATCH(CZ20,规则数据!$A$500:$A$553,0))),"")</f>
        <v/>
      </c>
      <c r="EA20" s="335"/>
      <c r="EB20" s="335"/>
      <c r="EC20" s="335"/>
      <c r="ED20" s="335" t="str">
        <f>IFERROR(IF(INDEX(规则数据!$G$500:$G$553,MATCH(CZ20,规则数据!$A$500:$A$553,0))="","",INDEX(规则数据!$G$500:$G$553,MATCH(CZ20,规则数据!$A$500:$A$553,0))),"")</f>
        <v/>
      </c>
      <c r="EE20" s="335"/>
      <c r="EF20" s="335"/>
      <c r="EG20" s="336"/>
      <c r="EH20" s="276"/>
      <c r="EI20" s="337"/>
      <c r="EJ20" s="260"/>
      <c r="EK20" s="260"/>
      <c r="EL20" s="260"/>
      <c r="EM20" s="260"/>
      <c r="EN20" s="260"/>
      <c r="EO20" s="260"/>
      <c r="EP20" s="260"/>
      <c r="EQ20" s="260"/>
      <c r="ER20" s="260"/>
      <c r="ES20" s="260"/>
      <c r="ET20" s="260"/>
      <c r="EU20" s="260"/>
      <c r="EV20" s="260"/>
      <c r="EW20" s="260"/>
      <c r="EX20" s="260"/>
      <c r="EY20" s="261"/>
      <c r="EZ20" s="77"/>
    </row>
    <row r="21" customHeight="1" spans="1:156">
      <c r="A21" s="92"/>
      <c r="B21" s="301" t="str">
        <f>IF(AND('幕间计算'!A9&lt;&gt;"",COUNTIFS('幕间计算'!$A$210:$A$409,IFERROR(VALUE('幕间与结算'!$B$3),0),'幕间计算'!$B$210:$B$409,1,'幕间与结算'!$E$9:$E$208,'幕间计算'!A9)&gt;0,COUNTIFS('幕间计算'!$A$500:$A$739,IFERROR(VALUE('幕间与结算'!$B$3),0),'幕间计算'!$C$500:$C$739,1,'幕间与结算'!$C$215:$C$454,'幕间计算'!A9)=0),"√","☐")</f>
        <v>☐</v>
      </c>
      <c r="C21" s="302"/>
      <c r="D21" s="303" t="s">
        <v>74</v>
      </c>
      <c r="E21" s="303"/>
      <c r="F21" s="303"/>
      <c r="G21" s="303"/>
      <c r="H21" s="303"/>
      <c r="I21" s="303"/>
      <c r="J21" s="303"/>
      <c r="K21" s="303"/>
      <c r="L21" s="303"/>
      <c r="M21" s="303"/>
      <c r="N21" s="303"/>
      <c r="O21" s="303"/>
      <c r="P21" s="304">
        <f>MAX(0,MIN(99,IF(V21="",N(S21),N(V21))+N(Y21)+N(AB21)))</f>
        <v>0</v>
      </c>
      <c r="Q21" s="304"/>
      <c r="R21" s="304"/>
      <c r="S21" s="305">
        <v>0</v>
      </c>
      <c r="T21" s="305"/>
      <c r="U21" s="305"/>
      <c r="V21" s="139" t="str">
        <f ca="1">IF(职业选项!V54&gt;0,职业选项!V54,"")</f>
        <v/>
      </c>
      <c r="W21" s="139"/>
      <c r="X21" s="139"/>
      <c r="Y21" s="139" t="str">
        <f ca="1">规则数据!H27</f>
        <v/>
      </c>
      <c r="Z21" s="139"/>
      <c r="AA21" s="139"/>
      <c r="AB21" s="139">
        <f>'幕间计算'!B9+IF(AND('幕间计算'!A9&lt;&gt;"",COUNTIF('幕间计算'!$A$2:A9,'幕间计算'!A9)=1),SUMIF('幕间与结算'!$E$9:$E$208,'幕间计算'!A9,'幕间与结算'!$K$9:$K$208)+SUMIF('幕间与结算'!$C$215:$C$454,'幕间计算'!A9,'幕间与结算'!$G$215:$G$454),0)</f>
        <v>0</v>
      </c>
      <c r="AC21" s="139"/>
      <c r="AD21" s="306"/>
      <c r="AE21" s="307" t="str">
        <f>IF(AND('幕间计算'!A39&lt;&gt;"",COUNTIFS('幕间计算'!$A$210:$A$409,IFERROR(VALUE('幕间与结算'!$B$3),0),'幕间计算'!$B$210:$B$409,1,'幕间与结算'!$E$9:$E$208,'幕间计算'!A39)&gt;0,COUNTIFS('幕间计算'!$A$500:$A$739,IFERROR(VALUE('幕间与结算'!$B$3),0),'幕间计算'!$C$500:$C$739,1,'幕间与结算'!$C$215:$C$454,'幕间计算'!A39)=0),"√","☐")</f>
        <v>☐</v>
      </c>
      <c r="AF21" s="302"/>
      <c r="AG21" s="303" t="s">
        <v>75</v>
      </c>
      <c r="AH21" s="303"/>
      <c r="AI21" s="303"/>
      <c r="AJ21" s="303"/>
      <c r="AK21" s="303"/>
      <c r="AL21" s="303"/>
      <c r="AM21" s="303"/>
      <c r="AN21" s="303"/>
      <c r="AO21" s="303"/>
      <c r="AP21" s="303"/>
      <c r="AQ21" s="303"/>
      <c r="AR21" s="303"/>
      <c r="AS21" s="304">
        <f>MAX(0,MIN(99,IF(AY21="",N(AV21),N(AY21))+N(BB21)+N(BE21)))</f>
        <v>10</v>
      </c>
      <c r="AT21" s="304"/>
      <c r="AU21" s="304"/>
      <c r="AV21" s="305">
        <v>10</v>
      </c>
      <c r="AW21" s="305"/>
      <c r="AX21" s="305"/>
      <c r="AY21" s="139" t="str">
        <f ca="1">IF(职业选项!V55&gt;0,职业选项!V55,"")</f>
        <v/>
      </c>
      <c r="AZ21" s="139"/>
      <c r="BA21" s="139"/>
      <c r="BB21" s="139" t="str">
        <f ca="1">规则数据!H57</f>
        <v/>
      </c>
      <c r="BC21" s="139"/>
      <c r="BD21" s="139"/>
      <c r="BE21" s="139">
        <f>'幕间计算'!B39+IF(AND('幕间计算'!A39&lt;&gt;"",COUNTIF('幕间计算'!$A$2:A39,'幕间计算'!A39)=1),SUMIF('幕间与结算'!$E$9:$E$208,'幕间计算'!A39,'幕间与结算'!$K$9:$K$208)+SUMIF('幕间与结算'!$C$215:$C$454,'幕间计算'!A39,'幕间与结算'!$G$215:$G$454),0)</f>
        <v>0</v>
      </c>
      <c r="BF21" s="139"/>
      <c r="BG21" s="308"/>
      <c r="BH21" s="92"/>
      <c r="BI21" s="325"/>
      <c r="BJ21" s="326"/>
      <c r="BK21" s="326"/>
      <c r="BL21" s="326"/>
      <c r="BM21" s="326"/>
      <c r="BN21" s="327"/>
      <c r="BO21" s="327"/>
      <c r="BP21" s="327"/>
      <c r="BQ21" s="327"/>
      <c r="BR21" s="327"/>
      <c r="BS21" s="327"/>
      <c r="BT21" s="327"/>
      <c r="BU21" s="327"/>
      <c r="BV21" s="327"/>
      <c r="BW21" s="327"/>
      <c r="BX21" s="327"/>
      <c r="BY21" s="327"/>
      <c r="BZ21" s="327"/>
      <c r="CA21" s="327"/>
      <c r="CB21" s="327"/>
      <c r="CC21" s="327"/>
      <c r="CD21" s="327"/>
      <c r="CE21" s="327"/>
      <c r="CF21" s="327"/>
      <c r="CG21" s="327"/>
      <c r="CH21" s="327"/>
      <c r="CI21" s="327"/>
      <c r="CJ21" s="327"/>
      <c r="CK21" s="327"/>
      <c r="CL21" s="327"/>
      <c r="CM21" s="327"/>
      <c r="CN21" s="327"/>
      <c r="CO21" s="327"/>
      <c r="CP21" s="327"/>
      <c r="CQ21" s="327"/>
      <c r="CR21" s="327"/>
      <c r="CS21" s="327"/>
      <c r="CT21" s="327"/>
      <c r="CU21" s="327"/>
      <c r="CV21" s="327"/>
      <c r="CW21" s="327"/>
      <c r="CX21" s="328"/>
      <c r="CY21" s="92"/>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338"/>
      <c r="EI21" s="263"/>
      <c r="EJ21" s="263"/>
      <c r="EK21" s="263"/>
      <c r="EL21" s="263"/>
      <c r="EM21" s="263"/>
      <c r="EN21" s="263"/>
      <c r="EO21" s="263"/>
      <c r="EP21" s="263"/>
      <c r="EQ21" s="263"/>
      <c r="ER21" s="263"/>
      <c r="ES21" s="263"/>
      <c r="ET21" s="263"/>
      <c r="EU21" s="263"/>
      <c r="EV21" s="263"/>
      <c r="EW21" s="263"/>
      <c r="EX21" s="263"/>
      <c r="EY21" s="263"/>
    </row>
    <row r="22" customHeight="1" spans="1:156">
      <c r="A22" s="92"/>
      <c r="B22" s="301" t="str">
        <f>IF(AND('幕间计算'!A10&lt;&gt;"",COUNTIFS('幕间计算'!$A$210:$A$409,IFERROR(VALUE('幕间与结算'!$B$3),0),'幕间计算'!$B$210:$B$409,1,'幕间与结算'!$E$9:$E$208,'幕间计算'!A10)&gt;0,COUNTIFS('幕间计算'!$A$500:$A$739,IFERROR(VALUE('幕间与结算'!$B$3),0),'幕间计算'!$C$500:$C$739,1,'幕间与结算'!$C$215:$C$454,'幕间计算'!A10)=0),"√","☐")</f>
        <v>☐</v>
      </c>
      <c r="C22" s="302"/>
      <c r="D22" s="303" t="s">
        <v>76</v>
      </c>
      <c r="E22" s="303"/>
      <c r="F22" s="303"/>
      <c r="G22" s="303"/>
      <c r="H22" s="303"/>
      <c r="I22" s="303"/>
      <c r="J22" s="303"/>
      <c r="K22" s="303"/>
      <c r="L22" s="303"/>
      <c r="M22" s="303"/>
      <c r="N22" s="303"/>
      <c r="O22" s="303"/>
      <c r="P22" s="304">
        <f>MAX(0,MIN(99,IF(V22="",N(S22),N(V22))+N(Y22)+N(AB22)))</f>
        <v>30</v>
      </c>
      <c r="Q22" s="304"/>
      <c r="R22" s="304"/>
      <c r="S22" s="305">
        <v>30</v>
      </c>
      <c r="T22" s="305"/>
      <c r="U22" s="305"/>
      <c r="V22" s="139" t="str">
        <f ca="1">IF(职业选项!V56&gt;0,职业选项!V56,"")</f>
        <v/>
      </c>
      <c r="W22" s="139"/>
      <c r="X22" s="139"/>
      <c r="Y22" s="139" t="str">
        <f ca="1">规则数据!H28</f>
        <v/>
      </c>
      <c r="Z22" s="139"/>
      <c r="AA22" s="139"/>
      <c r="AB22" s="139">
        <f>'幕间计算'!B10+IF(AND('幕间计算'!A10&lt;&gt;"",COUNTIF('幕间计算'!$A$2:A10,'幕间计算'!A10)=1),SUMIF('幕间与结算'!$E$9:$E$208,'幕间计算'!A10,'幕间与结算'!$K$9:$K$208)+SUMIF('幕间与结算'!$C$215:$C$454,'幕间计算'!A10,'幕间与结算'!$G$215:$G$454),0)</f>
        <v>0</v>
      </c>
      <c r="AC22" s="139"/>
      <c r="AD22" s="306"/>
      <c r="AE22" s="307" t="str">
        <f>IF(AND('幕间计算'!A40&lt;&gt;"",COUNTIFS('幕间计算'!$A$210:$A$409,IFERROR(VALUE('幕间与结算'!$B$3),0),'幕间计算'!$B$210:$B$409,1,'幕间与结算'!$E$9:$E$208,'幕间计算'!A40)&gt;0,COUNTIFS('幕间计算'!$A$500:$A$739,IFERROR(VALUE('幕间与结算'!$B$3),0),'幕间计算'!$C$500:$C$739,1,'幕间与结算'!$C$215:$C$454,'幕间计算'!A40)=0),"√","☐")</f>
        <v>☐</v>
      </c>
      <c r="AF22" s="302"/>
      <c r="AG22" s="303" t="s">
        <v>77</v>
      </c>
      <c r="AH22" s="303"/>
      <c r="AI22" s="303"/>
      <c r="AJ22" s="303"/>
      <c r="AK22" s="303"/>
      <c r="AL22" s="303"/>
      <c r="AM22" s="303"/>
      <c r="AN22" s="303"/>
      <c r="AO22" s="303"/>
      <c r="AP22" s="303"/>
      <c r="AQ22" s="303"/>
      <c r="AR22" s="303"/>
      <c r="AS22" s="304">
        <f>MAX(0,MIN(99,IF(AY22="",N(AV22),N(AY22))+N(BB22)+N(BE22)))</f>
        <v>20</v>
      </c>
      <c r="AT22" s="304"/>
      <c r="AU22" s="304"/>
      <c r="AV22" s="305">
        <v>20</v>
      </c>
      <c r="AW22" s="305"/>
      <c r="AX22" s="305"/>
      <c r="AY22" s="139" t="str">
        <f ca="1">IF(职业选项!V57&gt;0,职业选项!V57,"")</f>
        <v/>
      </c>
      <c r="AZ22" s="139"/>
      <c r="BA22" s="139"/>
      <c r="BB22" s="139" t="str">
        <f ca="1">规则数据!H58</f>
        <v/>
      </c>
      <c r="BC22" s="139"/>
      <c r="BD22" s="139"/>
      <c r="BE22" s="139">
        <f>'幕间计算'!B40+IF(AND('幕间计算'!A40&lt;&gt;"",COUNTIF('幕间计算'!$A$2:A40,'幕间计算'!A40)=1),SUMIF('幕间与结算'!$E$9:$E$208,'幕间计算'!A40,'幕间与结算'!$K$9:$K$208)+SUMIF('幕间与结算'!$C$215:$C$454,'幕间计算'!A40,'幕间与结算'!$G$215:$G$454),0)</f>
        <v>0</v>
      </c>
      <c r="BF22" s="139"/>
      <c r="BG22" s="308"/>
      <c r="BH22" s="92"/>
      <c r="BI22" s="325"/>
      <c r="BJ22" s="326"/>
      <c r="BK22" s="326"/>
      <c r="BL22" s="326"/>
      <c r="BM22" s="326"/>
      <c r="BN22" s="327"/>
      <c r="BO22" s="327"/>
      <c r="BP22" s="327"/>
      <c r="BQ22" s="327"/>
      <c r="BR22" s="327"/>
      <c r="BS22" s="327"/>
      <c r="BT22" s="327"/>
      <c r="BU22" s="327"/>
      <c r="BV22" s="327"/>
      <c r="BW22" s="327"/>
      <c r="BX22" s="327"/>
      <c r="BY22" s="327"/>
      <c r="BZ22" s="327"/>
      <c r="CA22" s="327"/>
      <c r="CB22" s="327"/>
      <c r="CC22" s="327"/>
      <c r="CD22" s="327"/>
      <c r="CE22" s="327"/>
      <c r="CF22" s="327"/>
      <c r="CG22" s="327"/>
      <c r="CH22" s="327"/>
      <c r="CI22" s="327"/>
      <c r="CJ22" s="327"/>
      <c r="CK22" s="327"/>
      <c r="CL22" s="327"/>
      <c r="CM22" s="327"/>
      <c r="CN22" s="327"/>
      <c r="CO22" s="327"/>
      <c r="CP22" s="327"/>
      <c r="CQ22" s="327"/>
      <c r="CR22" s="327"/>
      <c r="CS22" s="327"/>
      <c r="CT22" s="327"/>
      <c r="CU22" s="327"/>
      <c r="CV22" s="327"/>
      <c r="CW22" s="327"/>
      <c r="CX22" s="328"/>
      <c r="CY22" s="92"/>
      <c r="CZ22" s="267" t="s">
        <v>78</v>
      </c>
      <c r="DA22" s="268"/>
      <c r="DB22" s="268"/>
      <c r="DC22" s="268"/>
      <c r="DD22" s="268"/>
      <c r="DE22" s="268"/>
      <c r="DF22" s="268"/>
      <c r="DG22" s="268"/>
      <c r="DH22" s="268"/>
      <c r="DI22" s="339"/>
      <c r="DJ22" s="339"/>
      <c r="DK22" s="339"/>
      <c r="DL22" s="339"/>
      <c r="DM22" s="339"/>
      <c r="DN22" s="339"/>
      <c r="DO22" s="339"/>
      <c r="DP22" s="339"/>
      <c r="DQ22" s="268"/>
      <c r="DR22" s="339"/>
      <c r="DS22" s="339"/>
      <c r="DT22" s="340" t="s">
        <v>79</v>
      </c>
      <c r="DU22" s="340"/>
      <c r="DV22" s="340"/>
      <c r="DW22" s="340"/>
      <c r="DX22" s="341">
        <f>COUNTIF(ED24,"&gt;0")+COUNTIF(ED27,"&gt;0")+COUNTIF(ED30,"&gt;0")+COUNTIF(ED33,"&gt;0")+COUNTIF(ED36,"&gt;0")+COUNTIF(ED39,"&gt;0")+COUNTIF(ED42,"&gt;0")</f>
        <v>0</v>
      </c>
      <c r="DY22" s="341"/>
      <c r="DZ22" s="342"/>
      <c r="EA22" s="342"/>
      <c r="EB22" s="343"/>
      <c r="EC22" s="344" t="s">
        <v>80</v>
      </c>
      <c r="ED22" s="344"/>
      <c r="EE22" s="344"/>
      <c r="EF22" s="345">
        <f>附表!B7</f>
        <v>0</v>
      </c>
      <c r="EG22" s="345"/>
      <c r="EH22" s="276"/>
      <c r="EI22" s="93" t="s">
        <v>81</v>
      </c>
      <c r="EJ22" s="94"/>
      <c r="EK22" s="94"/>
      <c r="EL22" s="94"/>
      <c r="EM22" s="94"/>
      <c r="EN22" s="94"/>
      <c r="EO22" s="94"/>
      <c r="EP22" s="94"/>
      <c r="EQ22" s="94"/>
      <c r="ER22" s="94"/>
      <c r="ES22" s="94"/>
      <c r="ET22" s="94"/>
      <c r="EU22" s="94"/>
      <c r="EV22" s="94"/>
      <c r="EW22" s="94"/>
      <c r="EX22" s="94"/>
      <c r="EY22" s="95"/>
      <c r="EZ22" s="77"/>
    </row>
    <row r="23" customHeight="1" spans="1:156">
      <c r="A23" s="92"/>
      <c r="B23" s="301" t="str">
        <f>IF(AND('幕间计算'!A11&lt;&gt;"",COUNTIFS('幕间计算'!$A$210:$A$409,IFERROR(VALUE('幕间与结算'!$B$3),0),'幕间计算'!$B$210:$B$409,1,'幕间与结算'!$E$9:$E$208,'幕间计算'!A11)&gt;0,COUNTIFS('幕间计算'!$A$500:$A$739,IFERROR(VALUE('幕间与结算'!$B$3),0),'幕间计算'!$C$500:$C$739,1,'幕间与结算'!$C$215:$C$454,'幕间计算'!A11)=0),"√","☐")</f>
        <v>☐</v>
      </c>
      <c r="C23" s="302"/>
      <c r="D23" s="303" t="s">
        <v>82</v>
      </c>
      <c r="E23" s="303"/>
      <c r="F23" s="303"/>
      <c r="G23" s="303"/>
      <c r="H23" s="303"/>
      <c r="I23" s="303"/>
      <c r="J23" s="303"/>
      <c r="K23" s="303"/>
      <c r="L23" s="303"/>
      <c r="M23" s="303"/>
      <c r="N23" s="303"/>
      <c r="O23" s="303"/>
      <c r="P23" s="304">
        <f>MAX(0,MIN(99,IF(V23="",N(S23),N(V23))+N(Y23)+N(AB23)))</f>
        <v>10</v>
      </c>
      <c r="Q23" s="304"/>
      <c r="R23" s="304"/>
      <c r="S23" s="305">
        <v>10</v>
      </c>
      <c r="T23" s="305"/>
      <c r="U23" s="305"/>
      <c r="V23" s="139" t="str">
        <f ca="1">IF(职业选项!V58&gt;0,职业选项!V58,"")</f>
        <v/>
      </c>
      <c r="W23" s="139"/>
      <c r="X23" s="139"/>
      <c r="Y23" s="139" t="str">
        <f ca="1">规则数据!H29</f>
        <v/>
      </c>
      <c r="Z23" s="139"/>
      <c r="AA23" s="139"/>
      <c r="AB23" s="139">
        <f>'幕间计算'!B11+IF(AND('幕间计算'!A11&lt;&gt;"",COUNTIF('幕间计算'!$A$2:A11,'幕间计算'!A11)=1),SUMIF('幕间与结算'!$E$9:$E$208,'幕间计算'!A11,'幕间与结算'!$K$9:$K$208)+SUMIF('幕间与结算'!$C$215:$C$454,'幕间计算'!A11,'幕间与结算'!$G$215:$G$454),0)</f>
        <v>0</v>
      </c>
      <c r="AC23" s="139"/>
      <c r="AD23" s="306"/>
      <c r="AE23" s="307" t="str">
        <f>IF(AND('幕间计算'!A41&lt;&gt;"",COUNTIFS('幕间计算'!$A$210:$A$409,IFERROR(VALUE('幕间与结算'!$B$3),0),'幕间计算'!$B$210:$B$409,1,'幕间与结算'!$E$9:$E$208,'幕间计算'!A41)&gt;0,COUNTIFS('幕间计算'!$A$500:$A$739,IFERROR(VALUE('幕间与结算'!$B$3),0),'幕间计算'!$C$500:$C$739,1,'幕间与结算'!$C$215:$C$454,'幕间计算'!A41)=0),"√","☐")</f>
        <v>☐</v>
      </c>
      <c r="AF23" s="302"/>
      <c r="AG23" s="303" t="s">
        <v>83</v>
      </c>
      <c r="AH23" s="303"/>
      <c r="AI23" s="303"/>
      <c r="AJ23" s="303"/>
      <c r="AK23" s="303"/>
      <c r="AL23" s="303"/>
      <c r="AM23" s="303"/>
      <c r="AN23" s="303"/>
      <c r="AO23" s="303"/>
      <c r="AP23" s="303"/>
      <c r="AQ23" s="303"/>
      <c r="AR23" s="303"/>
      <c r="AS23" s="304">
        <f>MAX(0,MIN(99,IF(AY23="",N(AV23),N(AY23))+N(BB23)+N(BE23)))</f>
        <v>0</v>
      </c>
      <c r="AT23" s="304"/>
      <c r="AU23" s="304"/>
      <c r="AV23" s="305">
        <v>0</v>
      </c>
      <c r="AW23" s="305"/>
      <c r="AX23" s="305"/>
      <c r="AY23" s="139" t="str">
        <f ca="1">IF(职业选项!V59&gt;0,职业选项!V59,"")</f>
        <v/>
      </c>
      <c r="AZ23" s="139"/>
      <c r="BA23" s="139"/>
      <c r="BB23" s="139" t="str">
        <f ca="1">规则数据!H59</f>
        <v/>
      </c>
      <c r="BC23" s="139"/>
      <c r="BD23" s="139"/>
      <c r="BE23" s="139">
        <f>'幕间计算'!B41+IF(AND('幕间计算'!A41&lt;&gt;"",COUNTIF('幕间计算'!$A$2:A41,'幕间计算'!A41)=1),SUMIF('幕间与结算'!$E$9:$E$208,'幕间计算'!A41,'幕间与结算'!$K$9:$K$208)+SUMIF('幕间与结算'!$C$215:$C$454,'幕间计算'!A41,'幕间与结算'!$G$215:$G$454),0)</f>
        <v>0</v>
      </c>
      <c r="BF23" s="139"/>
      <c r="BG23" s="308"/>
      <c r="BH23" s="92"/>
      <c r="BI23" s="325"/>
      <c r="BJ23" s="326"/>
      <c r="BK23" s="326"/>
      <c r="BL23" s="326"/>
      <c r="BM23" s="326"/>
      <c r="BN23" s="327"/>
      <c r="BO23" s="327"/>
      <c r="BP23" s="327"/>
      <c r="BQ23" s="327"/>
      <c r="BR23" s="327"/>
      <c r="BS23" s="327"/>
      <c r="BT23" s="327"/>
      <c r="BU23" s="327"/>
      <c r="BV23" s="327"/>
      <c r="BW23" s="327"/>
      <c r="BX23" s="327"/>
      <c r="BY23" s="327"/>
      <c r="BZ23" s="327"/>
      <c r="CA23" s="327"/>
      <c r="CB23" s="327"/>
      <c r="CC23" s="327"/>
      <c r="CD23" s="327"/>
      <c r="CE23" s="327"/>
      <c r="CF23" s="327"/>
      <c r="CG23" s="327"/>
      <c r="CH23" s="327"/>
      <c r="CI23" s="327"/>
      <c r="CJ23" s="327"/>
      <c r="CK23" s="327"/>
      <c r="CL23" s="327"/>
      <c r="CM23" s="327"/>
      <c r="CN23" s="327"/>
      <c r="CO23" s="327"/>
      <c r="CP23" s="327"/>
      <c r="CQ23" s="327"/>
      <c r="CR23" s="327"/>
      <c r="CS23" s="327"/>
      <c r="CT23" s="327"/>
      <c r="CU23" s="327"/>
      <c r="CV23" s="327"/>
      <c r="CW23" s="327"/>
      <c r="CX23" s="328"/>
      <c r="CY23" s="92"/>
      <c r="CZ23" s="346"/>
      <c r="DA23" s="292"/>
      <c r="DB23" s="292"/>
      <c r="DC23" s="292"/>
      <c r="DD23" s="292"/>
      <c r="DE23" s="292"/>
      <c r="DF23" s="292"/>
      <c r="DG23" s="292"/>
      <c r="DH23" s="292"/>
      <c r="DI23" s="292"/>
      <c r="DJ23" s="292"/>
      <c r="DK23" s="292"/>
      <c r="DL23" s="292"/>
      <c r="DM23" s="292"/>
      <c r="DN23" s="292"/>
      <c r="DO23" s="292"/>
      <c r="DP23" s="292"/>
      <c r="DQ23" s="292"/>
      <c r="DR23" s="292"/>
      <c r="DS23" s="292"/>
      <c r="DT23" s="292"/>
      <c r="DU23" s="292"/>
      <c r="DV23" s="292"/>
      <c r="DW23" s="292"/>
      <c r="DX23" s="292"/>
      <c r="DY23" s="292"/>
      <c r="DZ23" s="292"/>
      <c r="EA23" s="292"/>
      <c r="EB23" s="292"/>
      <c r="EC23" s="292"/>
      <c r="ED23" s="291" t="s">
        <v>84</v>
      </c>
      <c r="EE23" s="291"/>
      <c r="EF23" s="291" t="s">
        <v>85</v>
      </c>
      <c r="EG23" s="347"/>
      <c r="EH23" s="276"/>
      <c r="EI23" s="348"/>
      <c r="EJ23" s="349"/>
      <c r="EK23" s="349"/>
      <c r="EL23" s="349"/>
      <c r="EM23" s="349"/>
      <c r="EN23" s="349"/>
      <c r="EO23" s="349"/>
      <c r="EP23" s="349"/>
      <c r="EQ23" s="349"/>
      <c r="ER23" s="349"/>
      <c r="ES23" s="349"/>
      <c r="ET23" s="349"/>
      <c r="EU23" s="349"/>
      <c r="EV23" s="349"/>
      <c r="EW23" s="349"/>
      <c r="EX23" s="349"/>
      <c r="EY23" s="350"/>
      <c r="EZ23" s="77"/>
    </row>
    <row r="24" customHeight="1" spans="1:156">
      <c r="A24" s="92"/>
      <c r="B24" s="301" t="str">
        <f>IF(AND('幕间计算'!A12&lt;&gt;"",COUNTIFS('幕间计算'!$A$210:$A$409,IFERROR(VALUE('幕间与结算'!$B$3),0),'幕间计算'!$B$210:$B$409,1,'幕间与结算'!$E$9:$E$208,'幕间计算'!A12)&gt;0,COUNTIFS('幕间计算'!$A$500:$A$739,IFERROR(VALUE('幕间与结算'!$B$3),0),'幕间计算'!$C$500:$C$739,1,'幕间与结算'!$C$215:$C$454,'幕间计算'!A12)=0),"√","☐")</f>
        <v>☐</v>
      </c>
      <c r="C24" s="302"/>
      <c r="D24" s="303" t="s">
        <v>86</v>
      </c>
      <c r="E24" s="303"/>
      <c r="F24" s="303"/>
      <c r="G24" s="303"/>
      <c r="H24" s="303"/>
      <c r="I24" s="303"/>
      <c r="J24" s="303"/>
      <c r="K24" s="303"/>
      <c r="L24" s="303"/>
      <c r="M24" s="303"/>
      <c r="N24" s="303"/>
      <c r="O24" s="303"/>
      <c r="P24" s="304">
        <f>MAX(0,MIN(99,IF(V24="",N(S24),N(V24))+N(Y24)+N(AB24)))</f>
        <v>0</v>
      </c>
      <c r="Q24" s="304"/>
      <c r="R24" s="304"/>
      <c r="S24" s="305">
        <v>0</v>
      </c>
      <c r="T24" s="305"/>
      <c r="U24" s="305"/>
      <c r="V24" s="139" t="str">
        <f ca="1">IF(职业选项!V60&gt;0,职业选项!V60,"")</f>
        <v/>
      </c>
      <c r="W24" s="139"/>
      <c r="X24" s="139"/>
      <c r="Y24" s="139" t="str">
        <f ca="1">规则数据!H30</f>
        <v/>
      </c>
      <c r="Z24" s="139"/>
      <c r="AA24" s="139"/>
      <c r="AB24" s="139">
        <f>'幕间计算'!B12+IF(AND('幕间计算'!A12&lt;&gt;"",COUNTIF('幕间计算'!$A$2:A12,'幕间计算'!A12)=1),SUMIF('幕间与结算'!$E$9:$E$208,'幕间计算'!A12,'幕间与结算'!$K$9:$K$208)+SUMIF('幕间与结算'!$C$215:$C$454,'幕间计算'!A12,'幕间与结算'!$G$215:$G$454),0)</f>
        <v>0</v>
      </c>
      <c r="AC24" s="139"/>
      <c r="AD24" s="306"/>
      <c r="AE24" s="307" t="str">
        <f>IF(AND('幕间计算'!A42&lt;&gt;"",COUNTIFS('幕间计算'!$A$210:$A$409,IFERROR(VALUE('幕间与结算'!$B$3),0),'幕间计算'!$B$210:$B$409,1,'幕间与结算'!$E$9:$E$208,'幕间计算'!A42)&gt;0,COUNTIFS('幕间计算'!$A$500:$A$739,IFERROR(VALUE('幕间与结算'!$B$3),0),'幕间计算'!$C$500:$C$739,1,'幕间与结算'!$C$215:$C$454,'幕间计算'!A42)=0),"√","☐")</f>
        <v>☐</v>
      </c>
      <c r="AF24" s="302"/>
      <c r="AG24" s="330" t="s">
        <v>87</v>
      </c>
      <c r="AH24" s="331"/>
      <c r="AI24" s="331"/>
      <c r="AJ24" s="331"/>
      <c r="AK24" s="331"/>
      <c r="AL24" s="331"/>
      <c r="AM24" s="332" t="str">
        <f ca="1">IF(COUNTIF(职业选项!$I$2:$I$28,"特种载具1")&gt;0,IFERROR(INDEX(职业选项!$F$2:$F$28,MATCH("特种载具1",职业选项!$I$2:$I$28,0)),""),IFERROR(MID(IFERROR(INDEX(规则数据!$C$2:$C$9,SMALL(规则数据!$AV$2:$AV$9,1-COUNTIF(职业选项!$C$2:$C$28,"特种载具"))),""),LEN("特种载具")+2,LEN(IFERROR(INDEX(规则数据!$C$2:$C$9,SMALL(规则数据!$AV$2:$AV$9,1-COUNTIF(职业选项!$C$2:$C$28,"特种载具"))),""))-LEN("特种载具")-2),""))</f>
        <v/>
      </c>
      <c r="AN24" s="332"/>
      <c r="AO24" s="332"/>
      <c r="AP24" s="332"/>
      <c r="AQ24" s="332"/>
      <c r="AR24" s="333"/>
      <c r="AS24" s="304">
        <f>MAX(0,MIN(99,IF(AY24="",N(AV24),N(AY24))+N(BB24)+N(BE24)))</f>
        <v>0</v>
      </c>
      <c r="AT24" s="304"/>
      <c r="AU24" s="304"/>
      <c r="AV24" s="305">
        <v>0</v>
      </c>
      <c r="AW24" s="305"/>
      <c r="AX24" s="305"/>
      <c r="AY24" s="139" t="str">
        <f ca="1">IF(职业选项!V61&gt;0,职业选项!V61,"")</f>
        <v/>
      </c>
      <c r="AZ24" s="139"/>
      <c r="BA24" s="139"/>
      <c r="BB24" s="139" t="str">
        <f ca="1">规则数据!H60</f>
        <v/>
      </c>
      <c r="BC24" s="139"/>
      <c r="BD24" s="139"/>
      <c r="BE24" s="139">
        <f>'幕间计算'!B42+IF(AND('幕间计算'!A42&lt;&gt;"",COUNTIF('幕间计算'!$A$2:A42,'幕间计算'!A42)=1),SUMIF('幕间与结算'!$E$9:$E$208,'幕间计算'!A42,'幕间与结算'!$K$9:$K$208)+SUMIF('幕间与结算'!$C$215:$C$454,'幕间计算'!A42,'幕间与结算'!$G$215:$G$454),0)</f>
        <v>0</v>
      </c>
      <c r="BF24" s="139"/>
      <c r="BG24" s="308"/>
      <c r="BH24" s="92"/>
      <c r="BI24" s="325"/>
      <c r="BJ24" s="326"/>
      <c r="BK24" s="326"/>
      <c r="BL24" s="326"/>
      <c r="BM24" s="326"/>
      <c r="BN24" s="327"/>
      <c r="BO24" s="327"/>
      <c r="BP24" s="327"/>
      <c r="BQ24" s="327"/>
      <c r="BR24" s="327"/>
      <c r="BS24" s="327"/>
      <c r="BT24" s="327"/>
      <c r="BU24" s="327"/>
      <c r="BV24" s="327"/>
      <c r="BW24" s="327"/>
      <c r="BX24" s="327"/>
      <c r="BY24" s="327"/>
      <c r="BZ24" s="327"/>
      <c r="CA24" s="327"/>
      <c r="CB24" s="327"/>
      <c r="CC24" s="327"/>
      <c r="CD24" s="327"/>
      <c r="CE24" s="327"/>
      <c r="CF24" s="327"/>
      <c r="CG24" s="327"/>
      <c r="CH24" s="327"/>
      <c r="CI24" s="327"/>
      <c r="CJ24" s="327"/>
      <c r="CK24" s="327"/>
      <c r="CL24" s="327"/>
      <c r="CM24" s="327"/>
      <c r="CN24" s="327"/>
      <c r="CO24" s="327"/>
      <c r="CP24" s="327"/>
      <c r="CQ24" s="327"/>
      <c r="CR24" s="327"/>
      <c r="CS24" s="327"/>
      <c r="CT24" s="327"/>
      <c r="CU24" s="327"/>
      <c r="CV24" s="327"/>
      <c r="CW24" s="327"/>
      <c r="CX24" s="328"/>
      <c r="CY24" s="92"/>
      <c r="CZ24" s="351"/>
      <c r="DA24" s="309"/>
      <c r="DB24" s="309"/>
      <c r="DC24" s="309"/>
      <c r="DD24" s="309"/>
      <c r="DE24" s="309"/>
      <c r="DF24" s="309"/>
      <c r="DG24" s="309"/>
      <c r="DH24" s="309"/>
      <c r="DI24" s="309"/>
      <c r="DJ24" s="309"/>
      <c r="DK24" s="309"/>
      <c r="DL24" s="309"/>
      <c r="DM24" s="309"/>
      <c r="DN24" s="309"/>
      <c r="DO24" s="309"/>
      <c r="DP24" s="309"/>
      <c r="DQ24" s="309"/>
      <c r="DR24" s="309"/>
      <c r="DS24" s="309"/>
      <c r="DT24" s="309"/>
      <c r="DU24" s="309"/>
      <c r="DV24" s="309"/>
      <c r="DW24" s="309"/>
      <c r="DX24" s="309"/>
      <c r="DY24" s="309"/>
      <c r="DZ24" s="309"/>
      <c r="EA24" s="309"/>
      <c r="EB24" s="309"/>
      <c r="EC24" s="309"/>
      <c r="ED24" s="352" t="str">
        <f>IF(CZ23="","",MAX(0,MIN(EF$22,IF('幕间计算'!Q2&gt;0,IFERROR(INDEX('幕间与结算'!$F$9:$F$208,'幕间计算'!Q2-8),0)+SUMIFS('幕间与结算'!$K$9:$K$208,'幕间与结算'!$E$9:$E$208,"重要关系1",'幕间计算'!$F$210:$F$409,"&gt;="&amp;'幕间计算'!Q2)-SUMIFS('幕间计算'!$D$210:$D$409,'幕间与结算'!$L$9:$L$208,"重要关系1",'幕间计算'!$F$210:$F$409,"&gt;="&amp;'幕间计算'!Q2)+SUMIFS('幕间与结算'!$K$9:$K$208,'幕间与结算'!$E$9:$E$208,"魅力",'幕间与结算'!$K$9:$K$208,"&lt;0",'幕间计算'!$F$210:$F$409,"&gt;="&amp;'幕间计算'!Q2),N('幕间计算'!P2)+SUMIF('幕间与结算'!$E$9:$E$208,"重要关系1",'幕间与结算'!$K$9:$K$208)-SUMIF('幕间与结算'!$L$9:$L$208,"重要关系1",'幕间计算'!$D$210:$D$409)+SUMIFS('幕间与结算'!$K$9:$K$208,'幕间与结算'!$E$9:$E$208,"魅力",'幕间与结算'!$K$9:$K$208,"&lt;0")))))</f>
        <v/>
      </c>
      <c r="EE24" s="353"/>
      <c r="EF24" s="312" t="s">
        <v>88</v>
      </c>
      <c r="EG24" s="354"/>
      <c r="EH24" s="276"/>
      <c r="EI24" s="348"/>
      <c r="EJ24" s="349"/>
      <c r="EK24" s="349"/>
      <c r="EL24" s="349"/>
      <c r="EM24" s="349"/>
      <c r="EN24" s="349"/>
      <c r="EO24" s="349"/>
      <c r="EP24" s="349"/>
      <c r="EQ24" s="349"/>
      <c r="ER24" s="349"/>
      <c r="ES24" s="349"/>
      <c r="ET24" s="349"/>
      <c r="EU24" s="349"/>
      <c r="EV24" s="349"/>
      <c r="EW24" s="349"/>
      <c r="EX24" s="349"/>
      <c r="EY24" s="350"/>
      <c r="EZ24" s="77"/>
    </row>
    <row r="25" customHeight="1" spans="1:156">
      <c r="A25" s="92"/>
      <c r="B25" s="301" t="str">
        <f>IF(AND('幕间计算'!A13&lt;&gt;"",COUNTIFS('幕间计算'!$A$210:$A$409,IFERROR(VALUE('幕间与结算'!$B$3),0),'幕间计算'!$B$210:$B$409,1,'幕间与结算'!$E$9:$E$208,'幕间计算'!A13)&gt;0,COUNTIFS('幕间计算'!$A$500:$A$739,IFERROR(VALUE('幕间与结算'!$B$3),0),'幕间计算'!$C$500:$C$739,1,'幕间与结算'!$C$215:$C$454,'幕间计算'!A13)=0),"√","☐")</f>
        <v>☐</v>
      </c>
      <c r="C25" s="302"/>
      <c r="D25" s="321" t="s">
        <v>89</v>
      </c>
      <c r="E25" s="322"/>
      <c r="F25" s="322"/>
      <c r="G25" s="322"/>
      <c r="H25" s="322"/>
      <c r="I25" s="322"/>
      <c r="J25" s="323" t="str">
        <f ca="1">IF(COUNTIF(职业选项!$I$2:$I$28,"工艺1")&gt;0,IFERROR(INDEX(职业选项!$F$2:$F$28,MATCH("工艺1",职业选项!$I$2:$I$28,0)),""),IFERROR(MID(IFERROR(INDEX(规则数据!$C$2:$C$9,SMALL(规则数据!$AS$2:$AS$9,1-COUNTIF(职业选项!$C$2:$C$28,"工艺"))),""),LEN("工艺")+2,LEN(IFERROR(INDEX(规则数据!$C$2:$C$9,SMALL(规则数据!$AS$2:$AS$9,1-COUNTIF(职业选项!$C$2:$C$28,"工艺"))),""))-LEN("工艺")-2),""))</f>
        <v/>
      </c>
      <c r="K25" s="323"/>
      <c r="L25" s="323"/>
      <c r="M25" s="323"/>
      <c r="N25" s="323"/>
      <c r="O25" s="324"/>
      <c r="P25" s="304">
        <f>MAX(0,MIN(99,IF(V25="",N(S25),N(V25))+N(Y25)+N(AB25)))</f>
        <v>0</v>
      </c>
      <c r="Q25" s="304"/>
      <c r="R25" s="304"/>
      <c r="S25" s="305">
        <v>0</v>
      </c>
      <c r="T25" s="305"/>
      <c r="U25" s="305"/>
      <c r="V25" s="139" t="str">
        <f ca="1">IF(职业选项!V62&gt;0,职业选项!V62,"")</f>
        <v/>
      </c>
      <c r="W25" s="139"/>
      <c r="X25" s="139"/>
      <c r="Y25" s="139" t="str">
        <f ca="1">规则数据!H31</f>
        <v/>
      </c>
      <c r="Z25" s="139"/>
      <c r="AA25" s="139"/>
      <c r="AB25" s="139">
        <f>'幕间计算'!B13+IF(AND('幕间计算'!A13&lt;&gt;"",COUNTIF('幕间计算'!$A$2:A13,'幕间计算'!A13)=1),SUMIF('幕间与结算'!$E$9:$E$208,'幕间计算'!A13,'幕间与结算'!$K$9:$K$208)+SUMIF('幕间与结算'!$C$215:$C$454,'幕间计算'!A13,'幕间与结算'!$G$215:$G$454),0)</f>
        <v>0</v>
      </c>
      <c r="AC25" s="139"/>
      <c r="AD25" s="306"/>
      <c r="AE25" s="307" t="str">
        <f>IF(AND('幕间计算'!A43&lt;&gt;"",COUNTIFS('幕间计算'!$A$210:$A$409,IFERROR(VALUE('幕间与结算'!$B$3),0),'幕间计算'!$B$210:$B$409,1,'幕间与结算'!$E$9:$E$208,'幕间计算'!A43)&gt;0,COUNTIFS('幕间计算'!$A$500:$A$739,IFERROR(VALUE('幕间与结算'!$B$3),0),'幕间计算'!$C$500:$C$739,1,'幕间与结算'!$C$215:$C$454,'幕间计算'!A43)=0),"√","☐")</f>
        <v>☐</v>
      </c>
      <c r="AF25" s="302"/>
      <c r="AG25" s="321" t="s">
        <v>87</v>
      </c>
      <c r="AH25" s="322"/>
      <c r="AI25" s="322"/>
      <c r="AJ25" s="322"/>
      <c r="AK25" s="322"/>
      <c r="AL25" s="322"/>
      <c r="AM25" s="323" t="str">
        <f ca="1">IF(COUNTIF(职业选项!$I$2:$I$28,"特种载具2")&gt;0,IFERROR(INDEX(职业选项!$F$2:$F$28,MATCH("特种载具2",职业选项!$I$2:$I$28,0)),""),IFERROR(MID(IFERROR(INDEX(规则数据!$C$2:$C$9,SMALL(规则数据!$AV$2:$AV$9,2-COUNTIF(职业选项!$C$2:$C$28,"特种载具"))),""),LEN("特种载具")+2,LEN(IFERROR(INDEX(规则数据!$C$2:$C$9,SMALL(规则数据!$AV$2:$AV$9,2-COUNTIF(职业选项!$C$2:$C$28,"特种载具"))),""))-LEN("特种载具")-2),""))</f>
        <v/>
      </c>
      <c r="AN25" s="323"/>
      <c r="AO25" s="323"/>
      <c r="AP25" s="323"/>
      <c r="AQ25" s="323"/>
      <c r="AR25" s="324"/>
      <c r="AS25" s="304">
        <f>MAX(0,MIN(99,IF(AY25="",N(AV25),N(AY25))+N(BB25)+N(BE25)))</f>
        <v>0</v>
      </c>
      <c r="AT25" s="304"/>
      <c r="AU25" s="304"/>
      <c r="AV25" s="305">
        <v>0</v>
      </c>
      <c r="AW25" s="305"/>
      <c r="AX25" s="305"/>
      <c r="AY25" s="139" t="str">
        <f ca="1">IF(职业选项!V63&gt;0,职业选项!V63,"")</f>
        <v/>
      </c>
      <c r="AZ25" s="139"/>
      <c r="BA25" s="139"/>
      <c r="BB25" s="139" t="str">
        <f ca="1">规则数据!H61</f>
        <v/>
      </c>
      <c r="BC25" s="139"/>
      <c r="BD25" s="139"/>
      <c r="BE25" s="139">
        <f>'幕间计算'!B43+IF(AND('幕间计算'!A43&lt;&gt;"",COUNTIF('幕间计算'!$A$2:A43,'幕间计算'!A43)=1),SUMIF('幕间与结算'!$E$9:$E$208,'幕间计算'!A43,'幕间与结算'!$K$9:$K$208)+SUMIF('幕间与结算'!$C$215:$C$454,'幕间计算'!A43,'幕间与结算'!$G$215:$G$454),0)</f>
        <v>0</v>
      </c>
      <c r="BF25" s="139"/>
      <c r="BG25" s="308"/>
      <c r="BH25" s="92"/>
      <c r="BI25" s="325"/>
      <c r="BJ25" s="326"/>
      <c r="BK25" s="326"/>
      <c r="BL25" s="326"/>
      <c r="BM25" s="326"/>
      <c r="BN25" s="327"/>
      <c r="BO25" s="327"/>
      <c r="BP25" s="327"/>
      <c r="BQ25" s="327"/>
      <c r="BR25" s="327"/>
      <c r="BS25" s="327"/>
      <c r="BT25" s="327"/>
      <c r="BU25" s="327"/>
      <c r="BV25" s="327"/>
      <c r="BW25" s="327"/>
      <c r="BX25" s="327"/>
      <c r="BY25" s="327"/>
      <c r="BZ25" s="327"/>
      <c r="CA25" s="327"/>
      <c r="CB25" s="327"/>
      <c r="CC25" s="327"/>
      <c r="CD25" s="327"/>
      <c r="CE25" s="327"/>
      <c r="CF25" s="327"/>
      <c r="CG25" s="327"/>
      <c r="CH25" s="327"/>
      <c r="CI25" s="327"/>
      <c r="CJ25" s="327"/>
      <c r="CK25" s="327"/>
      <c r="CL25" s="327"/>
      <c r="CM25" s="327"/>
      <c r="CN25" s="327"/>
      <c r="CO25" s="327"/>
      <c r="CP25" s="327"/>
      <c r="CQ25" s="327"/>
      <c r="CR25" s="327"/>
      <c r="CS25" s="327"/>
      <c r="CT25" s="327"/>
      <c r="CU25" s="327"/>
      <c r="CV25" s="327"/>
      <c r="CW25" s="327"/>
      <c r="CX25" s="328"/>
      <c r="CY25" s="92"/>
      <c r="CZ25" s="351"/>
      <c r="DA25" s="309"/>
      <c r="DB25" s="309"/>
      <c r="DC25" s="309"/>
      <c r="DD25" s="309"/>
      <c r="DE25" s="309"/>
      <c r="DF25" s="309"/>
      <c r="DG25" s="309"/>
      <c r="DH25" s="309"/>
      <c r="DI25" s="309"/>
      <c r="DJ25" s="309"/>
      <c r="DK25" s="309"/>
      <c r="DL25" s="309"/>
      <c r="DM25" s="309"/>
      <c r="DN25" s="309"/>
      <c r="DO25" s="309"/>
      <c r="DP25" s="309"/>
      <c r="DQ25" s="309"/>
      <c r="DR25" s="309"/>
      <c r="DS25" s="309"/>
      <c r="DT25" s="309"/>
      <c r="DU25" s="309"/>
      <c r="DV25" s="309"/>
      <c r="DW25" s="309"/>
      <c r="DX25" s="309"/>
      <c r="DY25" s="309"/>
      <c r="DZ25" s="309"/>
      <c r="EA25" s="309"/>
      <c r="EB25" s="309"/>
      <c r="EC25" s="309"/>
      <c r="ED25" s="355"/>
      <c r="EE25" s="356"/>
      <c r="EF25" s="312"/>
      <c r="EG25" s="354"/>
      <c r="EH25" s="276"/>
      <c r="EI25" s="348"/>
      <c r="EJ25" s="349"/>
      <c r="EK25" s="349"/>
      <c r="EL25" s="349"/>
      <c r="EM25" s="349"/>
      <c r="EN25" s="349"/>
      <c r="EO25" s="349"/>
      <c r="EP25" s="349"/>
      <c r="EQ25" s="349"/>
      <c r="ER25" s="349"/>
      <c r="ES25" s="349"/>
      <c r="ET25" s="349"/>
      <c r="EU25" s="349"/>
      <c r="EV25" s="349"/>
      <c r="EW25" s="349"/>
      <c r="EX25" s="349"/>
      <c r="EY25" s="350"/>
      <c r="EZ25" s="77"/>
    </row>
    <row r="26" customHeight="1" spans="1:156">
      <c r="A26" s="92"/>
      <c r="B26" s="301" t="str">
        <f>IF(AND('幕间计算'!A14&lt;&gt;"",COUNTIFS('幕间计算'!$A$210:$A$409,IFERROR(VALUE('幕间与结算'!$B$3),0),'幕间计算'!$B$210:$B$409,1,'幕间与结算'!$E$9:$E$208,'幕间计算'!A14)&gt;0,COUNTIFS('幕间计算'!$A$500:$A$739,IFERROR(VALUE('幕间与结算'!$B$3),0),'幕间计算'!$C$500:$C$739,1,'幕间与结算'!$C$215:$C$454,'幕间计算'!A14)=0),"√","☐")</f>
        <v>☐</v>
      </c>
      <c r="C26" s="302"/>
      <c r="D26" s="330" t="s">
        <v>89</v>
      </c>
      <c r="E26" s="331"/>
      <c r="F26" s="331"/>
      <c r="G26" s="331"/>
      <c r="H26" s="331"/>
      <c r="I26" s="331"/>
      <c r="J26" s="332" t="str">
        <f ca="1">IF(COUNTIF(职业选项!$I$2:$I$28,"工艺2")&gt;0,IFERROR(INDEX(职业选项!$F$2:$F$28,MATCH("工艺2",职业选项!$I$2:$I$28,0)),""),IFERROR(MID(IFERROR(INDEX(规则数据!$C$2:$C$9,SMALL(规则数据!$AS$2:$AS$9,2-COUNTIF(职业选项!$C$2:$C$28,"工艺"))),""),LEN("工艺")+2,LEN(IFERROR(INDEX(规则数据!$C$2:$C$9,SMALL(规则数据!$AS$2:$AS$9,2-COUNTIF(职业选项!$C$2:$C$28,"工艺"))),""))-LEN("工艺")-2),""))</f>
        <v/>
      </c>
      <c r="K26" s="332"/>
      <c r="L26" s="332"/>
      <c r="M26" s="332"/>
      <c r="N26" s="332"/>
      <c r="O26" s="333"/>
      <c r="P26" s="304">
        <f>MAX(0,MIN(99,IF(V26="",N(S26),N(V26))+N(Y26)+N(AB26)))</f>
        <v>0</v>
      </c>
      <c r="Q26" s="304"/>
      <c r="R26" s="304"/>
      <c r="S26" s="305">
        <v>0</v>
      </c>
      <c r="T26" s="305"/>
      <c r="U26" s="305"/>
      <c r="V26" s="139" t="str">
        <f ca="1">IF(职业选项!V64&gt;0,职业选项!V64,"")</f>
        <v/>
      </c>
      <c r="W26" s="139"/>
      <c r="X26" s="139"/>
      <c r="Y26" s="139" t="str">
        <f ca="1">规则数据!H32</f>
        <v/>
      </c>
      <c r="Z26" s="139"/>
      <c r="AA26" s="139"/>
      <c r="AB26" s="139">
        <f>'幕间计算'!B14+IF(AND('幕间计算'!A14&lt;&gt;"",COUNTIF('幕间计算'!$A$2:A14,'幕间计算'!A14)=1),SUMIF('幕间与结算'!$E$9:$E$208,'幕间计算'!A14,'幕间与结算'!$K$9:$K$208)+SUMIF('幕间与结算'!$C$215:$C$454,'幕间计算'!A14,'幕间与结算'!$G$215:$G$454),0)</f>
        <v>0</v>
      </c>
      <c r="AC26" s="139"/>
      <c r="AD26" s="306"/>
      <c r="AE26" s="307" t="str">
        <f>IF(AND('幕间计算'!A44&lt;&gt;"",COUNTIFS('幕间计算'!$A$210:$A$409,IFERROR(VALUE('幕间与结算'!$B$3),0),'幕间计算'!$B$210:$B$409,1,'幕间与结算'!$E$9:$E$208,'幕间计算'!A44)&gt;0,COUNTIFS('幕间计算'!$A$500:$A$739,IFERROR(VALUE('幕间与结算'!$B$3),0),'幕间计算'!$C$500:$C$739,1,'幕间与结算'!$C$215:$C$454,'幕间计算'!A44)=0),"√","☐")</f>
        <v>☐</v>
      </c>
      <c r="AF26" s="302"/>
      <c r="AG26" s="330" t="s">
        <v>87</v>
      </c>
      <c r="AH26" s="331"/>
      <c r="AI26" s="331"/>
      <c r="AJ26" s="331"/>
      <c r="AK26" s="331"/>
      <c r="AL26" s="331"/>
      <c r="AM26" s="332" t="str">
        <f ca="1">IF(COUNTIF(职业选项!$I$2:$I$28,"特种载具3")&gt;0,IFERROR(INDEX(职业选项!$F$2:$F$28,MATCH("特种载具3",职业选项!$I$2:$I$28,0)),""),IFERROR(MID(IFERROR(INDEX(规则数据!$C$2:$C$9,SMALL(规则数据!$AV$2:$AV$9,3-COUNTIF(职业选项!$C$2:$C$28,"特种载具"))),""),LEN("特种载具")+2,LEN(IFERROR(INDEX(规则数据!$C$2:$C$9,SMALL(规则数据!$AV$2:$AV$9,3-COUNTIF(职业选项!$C$2:$C$28,"特种载具"))),""))-LEN("特种载具")-2),""))</f>
        <v/>
      </c>
      <c r="AN26" s="332"/>
      <c r="AO26" s="332"/>
      <c r="AP26" s="332"/>
      <c r="AQ26" s="332"/>
      <c r="AR26" s="333"/>
      <c r="AS26" s="304">
        <f>MAX(0,MIN(99,IF(AY26="",N(AV26),N(AY26))+N(BB26)+N(BE26)))</f>
        <v>0</v>
      </c>
      <c r="AT26" s="304"/>
      <c r="AU26" s="304"/>
      <c r="AV26" s="305">
        <v>0</v>
      </c>
      <c r="AW26" s="305"/>
      <c r="AX26" s="305"/>
      <c r="AY26" s="139" t="str">
        <f ca="1">IF(职业选项!V65&gt;0,职业选项!V65,"")</f>
        <v/>
      </c>
      <c r="AZ26" s="139"/>
      <c r="BA26" s="139"/>
      <c r="BB26" s="139" t="str">
        <f ca="1">规则数据!H62</f>
        <v/>
      </c>
      <c r="BC26" s="139"/>
      <c r="BD26" s="139"/>
      <c r="BE26" s="139">
        <f>'幕间计算'!B44+IF(AND('幕间计算'!A44&lt;&gt;"",COUNTIF('幕间计算'!$A$2:A44,'幕间计算'!A44)=1),SUMIF('幕间与结算'!$E$9:$E$208,'幕间计算'!A44,'幕间与结算'!$K$9:$K$208)+SUMIF('幕间与结算'!$C$215:$C$454,'幕间计算'!A44,'幕间与结算'!$G$215:$G$454),0)</f>
        <v>0</v>
      </c>
      <c r="BF26" s="139"/>
      <c r="BG26" s="308"/>
      <c r="BH26" s="92"/>
      <c r="BI26" s="325"/>
      <c r="BJ26" s="326"/>
      <c r="BK26" s="326"/>
      <c r="BL26" s="326"/>
      <c r="BM26" s="326"/>
      <c r="BN26" s="327"/>
      <c r="BO26" s="327"/>
      <c r="BP26" s="327"/>
      <c r="BQ26" s="327"/>
      <c r="BR26" s="327"/>
      <c r="BS26" s="327"/>
      <c r="BT26" s="327"/>
      <c r="BU26" s="327"/>
      <c r="BV26" s="327"/>
      <c r="BW26" s="327"/>
      <c r="BX26" s="327"/>
      <c r="BY26" s="327"/>
      <c r="BZ26" s="327"/>
      <c r="CA26" s="327"/>
      <c r="CB26" s="327"/>
      <c r="CC26" s="327"/>
      <c r="CD26" s="327"/>
      <c r="CE26" s="327"/>
      <c r="CF26" s="327"/>
      <c r="CG26" s="327"/>
      <c r="CH26" s="327"/>
      <c r="CI26" s="327"/>
      <c r="CJ26" s="327"/>
      <c r="CK26" s="327"/>
      <c r="CL26" s="327"/>
      <c r="CM26" s="327"/>
      <c r="CN26" s="327"/>
      <c r="CO26" s="327"/>
      <c r="CP26" s="327"/>
      <c r="CQ26" s="327"/>
      <c r="CR26" s="327"/>
      <c r="CS26" s="327"/>
      <c r="CT26" s="327"/>
      <c r="CU26" s="327"/>
      <c r="CV26" s="327"/>
      <c r="CW26" s="327"/>
      <c r="CX26" s="328"/>
      <c r="CY26" s="92"/>
      <c r="CZ26" s="351"/>
      <c r="DA26" s="309"/>
      <c r="DB26" s="309"/>
      <c r="DC26" s="309"/>
      <c r="DD26" s="309"/>
      <c r="DE26" s="309"/>
      <c r="DF26" s="309"/>
      <c r="DG26" s="309"/>
      <c r="DH26" s="309"/>
      <c r="DI26" s="309"/>
      <c r="DJ26" s="309"/>
      <c r="DK26" s="309"/>
      <c r="DL26" s="309"/>
      <c r="DM26" s="309"/>
      <c r="DN26" s="309"/>
      <c r="DO26" s="309"/>
      <c r="DP26" s="309"/>
      <c r="DQ26" s="309"/>
      <c r="DR26" s="309"/>
      <c r="DS26" s="309"/>
      <c r="DT26" s="309"/>
      <c r="DU26" s="309"/>
      <c r="DV26" s="309"/>
      <c r="DW26" s="309"/>
      <c r="DX26" s="309"/>
      <c r="DY26" s="309"/>
      <c r="DZ26" s="309"/>
      <c r="EA26" s="309"/>
      <c r="EB26" s="309"/>
      <c r="EC26" s="309"/>
      <c r="ED26" s="132" t="s">
        <v>84</v>
      </c>
      <c r="EE26" s="132"/>
      <c r="EF26" s="132" t="s">
        <v>85</v>
      </c>
      <c r="EG26" s="357"/>
      <c r="EH26" s="276"/>
      <c r="EI26" s="348"/>
      <c r="EJ26" s="349"/>
      <c r="EK26" s="349"/>
      <c r="EL26" s="349"/>
      <c r="EM26" s="349"/>
      <c r="EN26" s="349"/>
      <c r="EO26" s="349"/>
      <c r="EP26" s="349"/>
      <c r="EQ26" s="349"/>
      <c r="ER26" s="349"/>
      <c r="ES26" s="349"/>
      <c r="ET26" s="349"/>
      <c r="EU26" s="349"/>
      <c r="EV26" s="349"/>
      <c r="EW26" s="349"/>
      <c r="EX26" s="349"/>
      <c r="EY26" s="350"/>
      <c r="EZ26" s="77"/>
    </row>
    <row r="27" customHeight="1" spans="1:156">
      <c r="A27" s="92"/>
      <c r="B27" s="301" t="str">
        <f>IF(AND('幕间计算'!A15&lt;&gt;"",COUNTIFS('幕间计算'!$A$210:$A$409,IFERROR(VALUE('幕间与结算'!$B$3),0),'幕间计算'!$B$210:$B$409,1,'幕间与结算'!$E$9:$E$208,'幕间计算'!A15)&gt;0,COUNTIFS('幕间计算'!$A$500:$A$739,IFERROR(VALUE('幕间与结算'!$B$3),0),'幕间计算'!$C$500:$C$739,1,'幕间与结算'!$C$215:$C$454,'幕间计算'!A15)=0),"√","☐")</f>
        <v>☐</v>
      </c>
      <c r="C27" s="302"/>
      <c r="D27" s="321" t="s">
        <v>89</v>
      </c>
      <c r="E27" s="322"/>
      <c r="F27" s="322"/>
      <c r="G27" s="322"/>
      <c r="H27" s="322"/>
      <c r="I27" s="322"/>
      <c r="J27" s="323" t="str">
        <f ca="1">IF(COUNTIF(职业选项!$I$2:$I$28,"工艺3")&gt;0,IFERROR(INDEX(职业选项!$F$2:$F$28,MATCH("工艺3",职业选项!$I$2:$I$28,0)),""),IFERROR(MID(IFERROR(INDEX(规则数据!$C$2:$C$9,SMALL(规则数据!$AS$2:$AS$9,3-COUNTIF(职业选项!$C$2:$C$28,"工艺"))),""),LEN("工艺")+2,LEN(IFERROR(INDEX(规则数据!$C$2:$C$9,SMALL(规则数据!$AS$2:$AS$9,3-COUNTIF(职业选项!$C$2:$C$28,"工艺"))),""))-LEN("工艺")-2),""))</f>
        <v/>
      </c>
      <c r="K27" s="323"/>
      <c r="L27" s="323"/>
      <c r="M27" s="323"/>
      <c r="N27" s="323"/>
      <c r="O27" s="324"/>
      <c r="P27" s="304">
        <f>MAX(0,MIN(99,IF(V27="",N(S27),N(V27))+N(Y27)+N(AB27)))</f>
        <v>0</v>
      </c>
      <c r="Q27" s="304"/>
      <c r="R27" s="304"/>
      <c r="S27" s="305">
        <v>0</v>
      </c>
      <c r="T27" s="305"/>
      <c r="U27" s="305"/>
      <c r="V27" s="139" t="str">
        <f ca="1">IF(职业选项!V66&gt;0,职业选项!V66,"")</f>
        <v/>
      </c>
      <c r="W27" s="139"/>
      <c r="X27" s="139"/>
      <c r="Y27" s="139" t="str">
        <f ca="1">规则数据!H33</f>
        <v/>
      </c>
      <c r="Z27" s="139"/>
      <c r="AA27" s="139"/>
      <c r="AB27" s="139">
        <f>'幕间计算'!B15+IF(AND('幕间计算'!A15&lt;&gt;"",COUNTIF('幕间计算'!$A$2:A15,'幕间计算'!A15)=1),SUMIF('幕间与结算'!$E$9:$E$208,'幕间计算'!A15,'幕间与结算'!$K$9:$K$208)+SUMIF('幕间与结算'!$C$215:$C$454,'幕间计算'!A15,'幕间与结算'!$G$215:$G$454),0)</f>
        <v>0</v>
      </c>
      <c r="AC27" s="139"/>
      <c r="AD27" s="306"/>
      <c r="AE27" s="307" t="str">
        <f>IF(AND('幕间计算'!A45&lt;&gt;"",COUNTIFS('幕间计算'!$A$210:$A$409,IFERROR(VALUE('幕间与结算'!$B$3),0),'幕间计算'!$B$210:$B$409,1,'幕间与结算'!$E$9:$E$208,'幕间计算'!A45)&gt;0,COUNTIFS('幕间计算'!$A$500:$A$739,IFERROR(VALUE('幕间与结算'!$B$3),0),'幕间计算'!$C$500:$C$739,1,'幕间与结算'!$C$215:$C$454,'幕间计算'!A45)=0),"√","☐")</f>
        <v>☐</v>
      </c>
      <c r="AF27" s="302"/>
      <c r="AG27" s="303" t="s">
        <v>90</v>
      </c>
      <c r="AH27" s="303"/>
      <c r="AI27" s="303"/>
      <c r="AJ27" s="303"/>
      <c r="AK27" s="303"/>
      <c r="AL27" s="303"/>
      <c r="AM27" s="303"/>
      <c r="AN27" s="303"/>
      <c r="AO27" s="303"/>
      <c r="AP27" s="303"/>
      <c r="AQ27" s="303"/>
      <c r="AR27" s="303"/>
      <c r="AS27" s="304">
        <f>MAX(0,MIN(99,IF(AY27="",N(AV27),N(AY27))+N(BB27)+N(BE27)))</f>
        <v>10</v>
      </c>
      <c r="AT27" s="304"/>
      <c r="AU27" s="304"/>
      <c r="AV27" s="305">
        <v>10</v>
      </c>
      <c r="AW27" s="305"/>
      <c r="AX27" s="305"/>
      <c r="AY27" s="139" t="str">
        <f ca="1">IF(职业选项!V67&gt;0,职业选项!V67,"")</f>
        <v/>
      </c>
      <c r="AZ27" s="139"/>
      <c r="BA27" s="139"/>
      <c r="BB27" s="139" t="str">
        <f ca="1">规则数据!H63</f>
        <v/>
      </c>
      <c r="BC27" s="139"/>
      <c r="BD27" s="139"/>
      <c r="BE27" s="139">
        <f>'幕间计算'!B45+IF(AND('幕间计算'!A45&lt;&gt;"",COUNTIF('幕间计算'!$A$2:A45,'幕间计算'!A45)=1),SUMIF('幕间与结算'!$E$9:$E$208,'幕间计算'!A45,'幕间与结算'!$K$9:$K$208)+SUMIF('幕间与结算'!$C$215:$C$454,'幕间计算'!A45,'幕间与结算'!$G$215:$G$454),0)</f>
        <v>0</v>
      </c>
      <c r="BF27" s="139"/>
      <c r="BG27" s="308"/>
      <c r="BH27" s="92"/>
      <c r="BI27" s="358"/>
      <c r="BJ27" s="309"/>
      <c r="BK27" s="309"/>
      <c r="BL27" s="309"/>
      <c r="BM27" s="309"/>
      <c r="BN27" s="309"/>
      <c r="BO27" s="309"/>
      <c r="BP27" s="309"/>
      <c r="BQ27" s="309"/>
      <c r="BR27" s="309"/>
      <c r="BS27" s="309"/>
      <c r="BT27" s="309"/>
      <c r="BU27" s="309"/>
      <c r="BV27" s="309"/>
      <c r="BW27" s="309"/>
      <c r="BX27" s="309"/>
      <c r="BY27" s="309"/>
      <c r="BZ27" s="309"/>
      <c r="CA27" s="309"/>
      <c r="CB27" s="309"/>
      <c r="CC27" s="309"/>
      <c r="CD27" s="309"/>
      <c r="CE27" s="309"/>
      <c r="CF27" s="309"/>
      <c r="CG27" s="309"/>
      <c r="CH27" s="309"/>
      <c r="CI27" s="309"/>
      <c r="CJ27" s="309"/>
      <c r="CK27" s="309"/>
      <c r="CL27" s="309"/>
      <c r="CM27" s="309"/>
      <c r="CN27" s="309"/>
      <c r="CO27" s="309"/>
      <c r="CP27" s="309"/>
      <c r="CQ27" s="309"/>
      <c r="CR27" s="309"/>
      <c r="CS27" s="309"/>
      <c r="CT27" s="309"/>
      <c r="CU27" s="309"/>
      <c r="CV27" s="309"/>
      <c r="CW27" s="309"/>
      <c r="CX27" s="310"/>
      <c r="CY27" s="92"/>
      <c r="CZ27" s="351"/>
      <c r="DA27" s="309"/>
      <c r="DB27" s="309"/>
      <c r="DC27" s="309"/>
      <c r="DD27" s="309"/>
      <c r="DE27" s="309"/>
      <c r="DF27" s="309"/>
      <c r="DG27" s="309"/>
      <c r="DH27" s="309"/>
      <c r="DI27" s="309"/>
      <c r="DJ27" s="309"/>
      <c r="DK27" s="309"/>
      <c r="DL27" s="309"/>
      <c r="DM27" s="309"/>
      <c r="DN27" s="309"/>
      <c r="DO27" s="309"/>
      <c r="DP27" s="309"/>
      <c r="DQ27" s="309"/>
      <c r="DR27" s="309"/>
      <c r="DS27" s="309"/>
      <c r="DT27" s="309"/>
      <c r="DU27" s="309"/>
      <c r="DV27" s="309"/>
      <c r="DW27" s="309"/>
      <c r="DX27" s="309"/>
      <c r="DY27" s="309"/>
      <c r="DZ27" s="309"/>
      <c r="EA27" s="309"/>
      <c r="EB27" s="309"/>
      <c r="EC27" s="309"/>
      <c r="ED27" s="352" t="str">
        <f>IF(CZ26="","",MAX(0,MIN(EF$22,IF('幕间计算'!Q3&gt;0,IFERROR(INDEX('幕间与结算'!$F$9:$F$208,'幕间计算'!Q3-8),0)+SUMIFS('幕间与结算'!$K$9:$K$208,'幕间与结算'!$E$9:$E$208,"重要关系2",'幕间计算'!$F$210:$F$409,"&gt;="&amp;'幕间计算'!Q3)-SUMIFS('幕间计算'!$D$210:$D$409,'幕间与结算'!$L$9:$L$208,"重要关系2",'幕间计算'!$F$210:$F$409,"&gt;="&amp;'幕间计算'!Q3)+SUMIFS('幕间与结算'!$K$9:$K$208,'幕间与结算'!$E$9:$E$208,"魅力",'幕间与结算'!$K$9:$K$208,"&lt;0",'幕间计算'!$F$210:$F$409,"&gt;="&amp;'幕间计算'!Q3),N('幕间计算'!P3)+SUMIF('幕间与结算'!$E$9:$E$208,"重要关系2",'幕间与结算'!$K$9:$K$208)-SUMIF('幕间与结算'!$L$9:$L$208,"重要关系2",'幕间计算'!$D$210:$D$409)+SUMIFS('幕间与结算'!$K$9:$K$208,'幕间与结算'!$E$9:$E$208,"魅力",'幕间与结算'!$K$9:$K$208,"&lt;0")))))</f>
        <v/>
      </c>
      <c r="EE27" s="353"/>
      <c r="EF27" s="312" t="s">
        <v>88</v>
      </c>
      <c r="EG27" s="354"/>
      <c r="EH27" s="276"/>
      <c r="EI27" s="348"/>
      <c r="EJ27" s="349"/>
      <c r="EK27" s="349"/>
      <c r="EL27" s="349"/>
      <c r="EM27" s="349"/>
      <c r="EN27" s="349"/>
      <c r="EO27" s="349"/>
      <c r="EP27" s="349"/>
      <c r="EQ27" s="349"/>
      <c r="ER27" s="349"/>
      <c r="ES27" s="349"/>
      <c r="ET27" s="349"/>
      <c r="EU27" s="349"/>
      <c r="EV27" s="349"/>
      <c r="EW27" s="349"/>
      <c r="EX27" s="349"/>
      <c r="EY27" s="350"/>
      <c r="EZ27" s="77"/>
    </row>
    <row r="28" customHeight="1" spans="1:156">
      <c r="A28" s="92"/>
      <c r="B28" s="301" t="str">
        <f>IF(AND('幕间计算'!A16&lt;&gt;"",COUNTIFS('幕间计算'!$A$210:$A$409,IFERROR(VALUE('幕间与结算'!$B$3),0),'幕间计算'!$B$210:$B$409,1,'幕间与结算'!$E$9:$E$208,'幕间计算'!A16)&gt;0,COUNTIFS('幕间计算'!$A$500:$A$739,IFERROR(VALUE('幕间与结算'!$B$3),0),'幕间计算'!$C$500:$C$739,1,'幕间与结算'!$C$215:$C$454,'幕间计算'!A16)=0),"√","☐")</f>
        <v>☐</v>
      </c>
      <c r="C28" s="302"/>
      <c r="D28" s="330" t="s">
        <v>89</v>
      </c>
      <c r="E28" s="331"/>
      <c r="F28" s="331"/>
      <c r="G28" s="331"/>
      <c r="H28" s="331"/>
      <c r="I28" s="331"/>
      <c r="J28" s="332" t="str">
        <f ca="1">IF(COUNTIF(职业选项!$I$2:$I$28,"工艺4")&gt;0,IFERROR(INDEX(职业选项!$F$2:$F$28,MATCH("工艺4",职业选项!$I$2:$I$28,0)),""),IFERROR(MID(IFERROR(INDEX(规则数据!$C$2:$C$9,SMALL(规则数据!$AS$2:$AS$9,4-COUNTIF(职业选项!$C$2:$C$28,"工艺"))),""),LEN("工艺")+2,LEN(IFERROR(INDEX(规则数据!$C$2:$C$9,SMALL(规则数据!$AS$2:$AS$9,4-COUNTIF(职业选项!$C$2:$C$28,"工艺"))),""))-LEN("工艺")-2),""))</f>
        <v/>
      </c>
      <c r="K28" s="332"/>
      <c r="L28" s="332"/>
      <c r="M28" s="332"/>
      <c r="N28" s="332"/>
      <c r="O28" s="333"/>
      <c r="P28" s="304">
        <f>MAX(0,MIN(99,IF(V28="",N(S28),N(V28))+N(Y28)+N(AB28)))</f>
        <v>0</v>
      </c>
      <c r="Q28" s="304"/>
      <c r="R28" s="304"/>
      <c r="S28" s="305">
        <v>0</v>
      </c>
      <c r="T28" s="305"/>
      <c r="U28" s="305"/>
      <c r="V28" s="139" t="str">
        <f ca="1">IF(职业选项!V68&gt;0,职业选项!V68,"")</f>
        <v/>
      </c>
      <c r="W28" s="139"/>
      <c r="X28" s="139"/>
      <c r="Y28" s="139" t="str">
        <f ca="1">规则数据!H34</f>
        <v/>
      </c>
      <c r="Z28" s="139"/>
      <c r="AA28" s="139"/>
      <c r="AB28" s="139">
        <f>'幕间计算'!B16+IF(AND('幕间计算'!A16&lt;&gt;"",COUNTIF('幕间计算'!$A$2:A16,'幕间计算'!A16)=1),SUMIF('幕间与结算'!$E$9:$E$208,'幕间计算'!A16,'幕间与结算'!$K$9:$K$208)+SUMIF('幕间与结算'!$C$215:$C$454,'幕间计算'!A16,'幕间与结算'!$G$215:$G$454),0)</f>
        <v>0</v>
      </c>
      <c r="AC28" s="139"/>
      <c r="AD28" s="306"/>
      <c r="AE28" s="307" t="str">
        <f>IF(AND('幕间计算'!A46&lt;&gt;"",COUNTIFS('幕间计算'!$A$210:$A$409,IFERROR(VALUE('幕间与结算'!$B$3),0),'幕间计算'!$B$210:$B$409,1,'幕间与结算'!$E$9:$E$208,'幕间计算'!A46)&gt;0,COUNTIFS('幕间计算'!$A$500:$A$739,IFERROR(VALUE('幕间与结算'!$B$3),0),'幕间计算'!$C$500:$C$739,1,'幕间与结算'!$C$215:$C$454,'幕间计算'!A46)=0),"√","☐")</f>
        <v>☐</v>
      </c>
      <c r="AF28" s="302"/>
      <c r="AG28" s="303" t="s">
        <v>91</v>
      </c>
      <c r="AH28" s="303"/>
      <c r="AI28" s="303"/>
      <c r="AJ28" s="303"/>
      <c r="AK28" s="303"/>
      <c r="AL28" s="303"/>
      <c r="AM28" s="303"/>
      <c r="AN28" s="303"/>
      <c r="AO28" s="303"/>
      <c r="AP28" s="303"/>
      <c r="AQ28" s="303"/>
      <c r="AR28" s="303"/>
      <c r="AS28" s="304">
        <f>MAX(0,MIN(99,IF(AY28="",N(AV28),N(AY28))+N(BB28)+N(BE28)))</f>
        <v>10</v>
      </c>
      <c r="AT28" s="304"/>
      <c r="AU28" s="304"/>
      <c r="AV28" s="305">
        <v>10</v>
      </c>
      <c r="AW28" s="305"/>
      <c r="AX28" s="305"/>
      <c r="AY28" s="139" t="str">
        <f ca="1">IF(职业选项!V69&gt;0,职业选项!V69,"")</f>
        <v/>
      </c>
      <c r="AZ28" s="139"/>
      <c r="BA28" s="139"/>
      <c r="BB28" s="139" t="str">
        <f ca="1">规则数据!H64</f>
        <v/>
      </c>
      <c r="BC28" s="139"/>
      <c r="BD28" s="139"/>
      <c r="BE28" s="139">
        <f>'幕间计算'!B46+IF(AND('幕间计算'!A46&lt;&gt;"",COUNTIF('幕间计算'!$A$2:A46,'幕间计算'!A46)=1),SUMIF('幕间与结算'!$E$9:$E$208,'幕间计算'!A46,'幕间与结算'!$K$9:$K$208)+SUMIF('幕间与结算'!$C$215:$C$454,'幕间计算'!A46,'幕间与结算'!$G$215:$G$454),0)</f>
        <v>0</v>
      </c>
      <c r="BF28" s="139"/>
      <c r="BG28" s="308"/>
      <c r="BH28" s="359"/>
      <c r="BI28" s="358"/>
      <c r="BJ28" s="309"/>
      <c r="BK28" s="309"/>
      <c r="BL28" s="309"/>
      <c r="BM28" s="309"/>
      <c r="BN28" s="309"/>
      <c r="BO28" s="309"/>
      <c r="BP28" s="309"/>
      <c r="BQ28" s="309"/>
      <c r="BR28" s="309"/>
      <c r="BS28" s="309"/>
      <c r="BT28" s="309"/>
      <c r="BU28" s="309"/>
      <c r="BV28" s="309"/>
      <c r="BW28" s="309"/>
      <c r="BX28" s="309"/>
      <c r="BY28" s="309"/>
      <c r="BZ28" s="309"/>
      <c r="CA28" s="309"/>
      <c r="CB28" s="309"/>
      <c r="CC28" s="309"/>
      <c r="CD28" s="309"/>
      <c r="CE28" s="309"/>
      <c r="CF28" s="309"/>
      <c r="CG28" s="309"/>
      <c r="CH28" s="309"/>
      <c r="CI28" s="309"/>
      <c r="CJ28" s="309"/>
      <c r="CK28" s="309"/>
      <c r="CL28" s="309"/>
      <c r="CM28" s="309"/>
      <c r="CN28" s="309"/>
      <c r="CO28" s="309"/>
      <c r="CP28" s="309"/>
      <c r="CQ28" s="309"/>
      <c r="CR28" s="309"/>
      <c r="CS28" s="309"/>
      <c r="CT28" s="309"/>
      <c r="CU28" s="309"/>
      <c r="CV28" s="309"/>
      <c r="CW28" s="309"/>
      <c r="CX28" s="310"/>
      <c r="CY28" s="92"/>
      <c r="CZ28" s="351"/>
      <c r="DA28" s="309"/>
      <c r="DB28" s="309"/>
      <c r="DC28" s="309"/>
      <c r="DD28" s="309"/>
      <c r="DE28" s="309"/>
      <c r="DF28" s="309"/>
      <c r="DG28" s="309"/>
      <c r="DH28" s="309"/>
      <c r="DI28" s="309"/>
      <c r="DJ28" s="309"/>
      <c r="DK28" s="309"/>
      <c r="DL28" s="309"/>
      <c r="DM28" s="309"/>
      <c r="DN28" s="309"/>
      <c r="DO28" s="309"/>
      <c r="DP28" s="309"/>
      <c r="DQ28" s="309"/>
      <c r="DR28" s="309"/>
      <c r="DS28" s="309"/>
      <c r="DT28" s="309"/>
      <c r="DU28" s="309"/>
      <c r="DV28" s="309"/>
      <c r="DW28" s="309"/>
      <c r="DX28" s="309"/>
      <c r="DY28" s="309"/>
      <c r="DZ28" s="309"/>
      <c r="EA28" s="309"/>
      <c r="EB28" s="309"/>
      <c r="EC28" s="309"/>
      <c r="ED28" s="355"/>
      <c r="EE28" s="356"/>
      <c r="EF28" s="312"/>
      <c r="EG28" s="354"/>
      <c r="EH28" s="276"/>
      <c r="EI28" s="348"/>
      <c r="EJ28" s="349"/>
      <c r="EK28" s="349"/>
      <c r="EL28" s="349"/>
      <c r="EM28" s="349"/>
      <c r="EN28" s="349"/>
      <c r="EO28" s="349"/>
      <c r="EP28" s="349"/>
      <c r="EQ28" s="349"/>
      <c r="ER28" s="349"/>
      <c r="ES28" s="349"/>
      <c r="ET28" s="349"/>
      <c r="EU28" s="349"/>
      <c r="EV28" s="349"/>
      <c r="EW28" s="349"/>
      <c r="EX28" s="349"/>
      <c r="EY28" s="350"/>
      <c r="EZ28" s="77"/>
    </row>
    <row r="29" customHeight="1" spans="1:156">
      <c r="A29" s="92"/>
      <c r="B29" s="301" t="str">
        <f>IF(AND('幕间计算'!A17&lt;&gt;"",COUNTIFS('幕间计算'!$A$210:$A$409,IFERROR(VALUE('幕间与结算'!$B$3),0),'幕间计算'!$B$210:$B$409,1,'幕间与结算'!$E$9:$E$208,'幕间计算'!A17)&gt;0,COUNTIFS('幕间计算'!$A$500:$A$739,IFERROR(VALUE('幕间与结算'!$B$3),0),'幕间计算'!$C$500:$C$739,1,'幕间与结算'!$C$215:$C$454,'幕间计算'!A17)=0),"√","☐")</f>
        <v>☐</v>
      </c>
      <c r="C29" s="302"/>
      <c r="D29" s="303" t="s">
        <v>92</v>
      </c>
      <c r="E29" s="303"/>
      <c r="F29" s="303"/>
      <c r="G29" s="303"/>
      <c r="H29" s="303"/>
      <c r="I29" s="303"/>
      <c r="J29" s="303"/>
      <c r="K29" s="303"/>
      <c r="L29" s="303"/>
      <c r="M29" s="303"/>
      <c r="N29" s="303"/>
      <c r="O29" s="303"/>
      <c r="P29" s="304">
        <f>MAX(0,MIN(99,IF(V29="",N(S29),N(V29))+N(Y29)+N(AB29)))</f>
        <v>10</v>
      </c>
      <c r="Q29" s="304"/>
      <c r="R29" s="304"/>
      <c r="S29" s="305">
        <v>10</v>
      </c>
      <c r="T29" s="305"/>
      <c r="U29" s="305"/>
      <c r="V29" s="139" t="str">
        <f ca="1">IF(职业选项!V70&gt;0,职业选项!V70,"")</f>
        <v/>
      </c>
      <c r="W29" s="139"/>
      <c r="X29" s="139"/>
      <c r="Y29" s="139" t="str">
        <f ca="1">规则数据!H35</f>
        <v/>
      </c>
      <c r="Z29" s="139"/>
      <c r="AA29" s="139"/>
      <c r="AB29" s="139">
        <f>'幕间计算'!B17+IF(AND('幕间计算'!A17&lt;&gt;"",COUNTIF('幕间计算'!$A$2:A17,'幕间计算'!A17)=1),SUMIF('幕间与结算'!$E$9:$E$208,'幕间计算'!A17,'幕间与结算'!$K$9:$K$208)+SUMIF('幕间与结算'!$C$215:$C$454,'幕间计算'!A17,'幕间与结算'!$G$215:$G$454),0)</f>
        <v>0</v>
      </c>
      <c r="AC29" s="139"/>
      <c r="AD29" s="306"/>
      <c r="AE29" s="307" t="str">
        <f>IF(AND('幕间计算'!A47&lt;&gt;"",COUNTIFS('幕间计算'!$A$210:$A$409,IFERROR(VALUE('幕间与结算'!$B$3),0),'幕间计算'!$B$210:$B$409,1,'幕间与结算'!$E$9:$E$208,'幕间计算'!A47)&gt;0,COUNTIFS('幕间计算'!$A$500:$A$739,IFERROR(VALUE('幕间与结算'!$B$3),0),'幕间计算'!$C$500:$C$739,1,'幕间与结算'!$C$215:$C$454,'幕间计算'!A47)=0),"√","☐")</f>
        <v>☐</v>
      </c>
      <c r="AF29" s="302"/>
      <c r="AG29" s="321" t="s">
        <v>93</v>
      </c>
      <c r="AH29" s="322"/>
      <c r="AI29" s="322"/>
      <c r="AJ29" s="322"/>
      <c r="AK29" s="322"/>
      <c r="AL29" s="322"/>
      <c r="AM29" s="323" t="str">
        <f ca="1">IF(COUNTIF(职业选项!$I$2:$I$28,"科学1")&gt;0,IFERROR(INDEX(职业选项!$F$2:$F$28,MATCH("科学1",职业选项!$I$2:$I$28,0)),""),IFERROR(MID(IFERROR(INDEX(规则数据!$C$2:$C$9,SMALL(规则数据!$AW$2:$AW$9,1-COUNTIF(职业选项!$C$2:$C$28,"科学"))),""),LEN("科学")+2,LEN(IFERROR(INDEX(规则数据!$C$2:$C$9,SMALL(规则数据!$AW$2:$AW$9,1-COUNTIF(职业选项!$C$2:$C$28,"科学"))),""))-LEN("科学")-2),""))</f>
        <v/>
      </c>
      <c r="AN29" s="323"/>
      <c r="AO29" s="323"/>
      <c r="AP29" s="323"/>
      <c r="AQ29" s="323"/>
      <c r="AR29" s="324"/>
      <c r="AS29" s="304">
        <f>MAX(0,MIN(99,IF(AY29="",N(AV29),N(AY29))+N(BB29)+N(BE29)))</f>
        <v>0</v>
      </c>
      <c r="AT29" s="304"/>
      <c r="AU29" s="304"/>
      <c r="AV29" s="305">
        <v>0</v>
      </c>
      <c r="AW29" s="305"/>
      <c r="AX29" s="305"/>
      <c r="AY29" s="139" t="str">
        <f ca="1">IF(职业选项!V71&gt;0,职业选项!V71,"")</f>
        <v/>
      </c>
      <c r="AZ29" s="139"/>
      <c r="BA29" s="139"/>
      <c r="BB29" s="139" t="str">
        <f ca="1">规则数据!H65</f>
        <v/>
      </c>
      <c r="BC29" s="139"/>
      <c r="BD29" s="139"/>
      <c r="BE29" s="139">
        <f>'幕间计算'!B47+IF(AND('幕间计算'!A47&lt;&gt;"",COUNTIF('幕间计算'!$A$2:A47,'幕间计算'!A47)=1),SUMIF('幕间与结算'!$E$9:$E$208,'幕间计算'!A47,'幕间与结算'!$K$9:$K$208)+SUMIF('幕间与结算'!$C$215:$C$454,'幕间计算'!A47,'幕间与结算'!$G$215:$G$454),0)</f>
        <v>0</v>
      </c>
      <c r="BF29" s="139"/>
      <c r="BG29" s="308"/>
      <c r="BH29" s="359"/>
      <c r="BI29" s="358"/>
      <c r="BJ29" s="309"/>
      <c r="BK29" s="309"/>
      <c r="BL29" s="309"/>
      <c r="BM29" s="309"/>
      <c r="BN29" s="309"/>
      <c r="BO29" s="309"/>
      <c r="BP29" s="309"/>
      <c r="BQ29" s="309"/>
      <c r="BR29" s="309"/>
      <c r="BS29" s="309"/>
      <c r="BT29" s="309"/>
      <c r="BU29" s="309"/>
      <c r="BV29" s="309"/>
      <c r="BW29" s="309"/>
      <c r="BX29" s="309"/>
      <c r="BY29" s="309"/>
      <c r="BZ29" s="309"/>
      <c r="CA29" s="309"/>
      <c r="CB29" s="309"/>
      <c r="CC29" s="309"/>
      <c r="CD29" s="309"/>
      <c r="CE29" s="309"/>
      <c r="CF29" s="309"/>
      <c r="CG29" s="309"/>
      <c r="CH29" s="309"/>
      <c r="CI29" s="309"/>
      <c r="CJ29" s="309"/>
      <c r="CK29" s="309"/>
      <c r="CL29" s="309"/>
      <c r="CM29" s="309"/>
      <c r="CN29" s="309"/>
      <c r="CO29" s="309"/>
      <c r="CP29" s="309"/>
      <c r="CQ29" s="309"/>
      <c r="CR29" s="309"/>
      <c r="CS29" s="309"/>
      <c r="CT29" s="309"/>
      <c r="CU29" s="309"/>
      <c r="CV29" s="309"/>
      <c r="CW29" s="309"/>
      <c r="CX29" s="310"/>
      <c r="CY29" s="92"/>
      <c r="CZ29" s="351"/>
      <c r="DA29" s="309"/>
      <c r="DB29" s="309"/>
      <c r="DC29" s="309"/>
      <c r="DD29" s="309"/>
      <c r="DE29" s="309"/>
      <c r="DF29" s="309"/>
      <c r="DG29" s="309"/>
      <c r="DH29" s="309"/>
      <c r="DI29" s="309"/>
      <c r="DJ29" s="309"/>
      <c r="DK29" s="309"/>
      <c r="DL29" s="309"/>
      <c r="DM29" s="309"/>
      <c r="DN29" s="309"/>
      <c r="DO29" s="309"/>
      <c r="DP29" s="309"/>
      <c r="DQ29" s="309"/>
      <c r="DR29" s="309"/>
      <c r="DS29" s="309"/>
      <c r="DT29" s="309"/>
      <c r="DU29" s="309"/>
      <c r="DV29" s="309"/>
      <c r="DW29" s="309"/>
      <c r="DX29" s="309"/>
      <c r="DY29" s="309"/>
      <c r="DZ29" s="309"/>
      <c r="EA29" s="309"/>
      <c r="EB29" s="309"/>
      <c r="EC29" s="309"/>
      <c r="ED29" s="132" t="s">
        <v>84</v>
      </c>
      <c r="EE29" s="132"/>
      <c r="EF29" s="132" t="s">
        <v>85</v>
      </c>
      <c r="EG29" s="357"/>
      <c r="EH29" s="92"/>
      <c r="EI29" s="348"/>
      <c r="EJ29" s="349"/>
      <c r="EK29" s="349"/>
      <c r="EL29" s="349"/>
      <c r="EM29" s="349"/>
      <c r="EN29" s="349"/>
      <c r="EO29" s="349"/>
      <c r="EP29" s="349"/>
      <c r="EQ29" s="349"/>
      <c r="ER29" s="349"/>
      <c r="ES29" s="349"/>
      <c r="ET29" s="349"/>
      <c r="EU29" s="349"/>
      <c r="EV29" s="349"/>
      <c r="EW29" s="349"/>
      <c r="EX29" s="349"/>
      <c r="EY29" s="350"/>
      <c r="EZ29" s="77"/>
    </row>
    <row r="30" customHeight="1" spans="1:156">
      <c r="A30" s="92"/>
      <c r="B30" s="301" t="str">
        <f>IF(AND('幕间计算'!A18&lt;&gt;"",COUNTIFS('幕间计算'!$A$210:$A$409,IFERROR(VALUE('幕间与结算'!$B$3),0),'幕间计算'!$B$210:$B$409,1,'幕间与结算'!$E$9:$E$208,'幕间计算'!A18)&gt;0,COUNTIFS('幕间计算'!$A$500:$A$739,IFERROR(VALUE('幕间与结算'!$B$3),0),'幕间计算'!$C$500:$C$739,1,'幕间与结算'!$C$215:$C$454,'幕间计算'!A18)=0),"√","☐")</f>
        <v>☐</v>
      </c>
      <c r="C30" s="302"/>
      <c r="D30" s="303" t="s">
        <v>94</v>
      </c>
      <c r="E30" s="303"/>
      <c r="F30" s="303"/>
      <c r="G30" s="303"/>
      <c r="H30" s="303"/>
      <c r="I30" s="303"/>
      <c r="J30" s="303"/>
      <c r="K30" s="303"/>
      <c r="L30" s="303"/>
      <c r="M30" s="303"/>
      <c r="N30" s="303"/>
      <c r="O30" s="303"/>
      <c r="P30" s="304">
        <f>MAX(0,MIN(99,IF(V30="",N(S30),N(V30))+N(Y30)+N(AB30)))</f>
        <v>0</v>
      </c>
      <c r="Q30" s="304"/>
      <c r="R30" s="304"/>
      <c r="S30" s="305">
        <v>0</v>
      </c>
      <c r="T30" s="305"/>
      <c r="U30" s="305"/>
      <c r="V30" s="139" t="str">
        <f ca="1">IF(职业选项!V72&gt;0,职业选项!V72,"")</f>
        <v/>
      </c>
      <c r="W30" s="139"/>
      <c r="X30" s="139"/>
      <c r="Y30" s="139" t="str">
        <f ca="1">规则数据!H36</f>
        <v/>
      </c>
      <c r="Z30" s="139"/>
      <c r="AA30" s="139"/>
      <c r="AB30" s="139">
        <f>'幕间计算'!B18+IF(AND('幕间计算'!A18&lt;&gt;"",COUNTIF('幕间计算'!$A$2:A18,'幕间计算'!A18)=1),SUMIF('幕间与结算'!$E$9:$E$208,'幕间计算'!A18,'幕间与结算'!$K$9:$K$208)+SUMIF('幕间与结算'!$C$215:$C$454,'幕间计算'!A18,'幕间与结算'!$G$215:$G$454),0)</f>
        <v>0</v>
      </c>
      <c r="AC30" s="139"/>
      <c r="AD30" s="306"/>
      <c r="AE30" s="307" t="str">
        <f>IF(AND('幕间计算'!A48&lt;&gt;"",COUNTIFS('幕间计算'!$A$210:$A$409,IFERROR(VALUE('幕间与结算'!$B$3),0),'幕间计算'!$B$210:$B$409,1,'幕间与结算'!$E$9:$E$208,'幕间计算'!A48)&gt;0,COUNTIFS('幕间计算'!$A$500:$A$739,IFERROR(VALUE('幕间与结算'!$B$3),0),'幕间计算'!$C$500:$C$739,1,'幕间与结算'!$C$215:$C$454,'幕间计算'!A48)=0),"√","☐")</f>
        <v>☐</v>
      </c>
      <c r="AF30" s="302"/>
      <c r="AG30" s="330" t="s">
        <v>93</v>
      </c>
      <c r="AH30" s="331"/>
      <c r="AI30" s="331"/>
      <c r="AJ30" s="331"/>
      <c r="AK30" s="331"/>
      <c r="AL30" s="331"/>
      <c r="AM30" s="332" t="str">
        <f ca="1">IF(COUNTIF(职业选项!$I$2:$I$28,"科学2")&gt;0,IFERROR(INDEX(职业选项!$F$2:$F$28,MATCH("科学2",职业选项!$I$2:$I$28,0)),""),IFERROR(MID(IFERROR(INDEX(规则数据!$C$2:$C$9,SMALL(规则数据!$AW$2:$AW$9,2-COUNTIF(职业选项!$C$2:$C$28,"科学"))),""),LEN("科学")+2,LEN(IFERROR(INDEX(规则数据!$C$2:$C$9,SMALL(规则数据!$AW$2:$AW$9,2-COUNTIF(职业选项!$C$2:$C$28,"科学"))),""))-LEN("科学")-2),""))</f>
        <v/>
      </c>
      <c r="AN30" s="332"/>
      <c r="AO30" s="332"/>
      <c r="AP30" s="332"/>
      <c r="AQ30" s="332"/>
      <c r="AR30" s="333"/>
      <c r="AS30" s="304">
        <f>MAX(0,MIN(99,IF(AY30="",N(AV30),N(AY30))+N(BB30)+N(BE30)))</f>
        <v>0</v>
      </c>
      <c r="AT30" s="304"/>
      <c r="AU30" s="304"/>
      <c r="AV30" s="305">
        <v>0</v>
      </c>
      <c r="AW30" s="305"/>
      <c r="AX30" s="305"/>
      <c r="AY30" s="139" t="str">
        <f ca="1">IF(职业选项!V73&gt;0,职业选项!V73,"")</f>
        <v/>
      </c>
      <c r="AZ30" s="139"/>
      <c r="BA30" s="139"/>
      <c r="BB30" s="139" t="str">
        <f ca="1">规则数据!H66</f>
        <v/>
      </c>
      <c r="BC30" s="139"/>
      <c r="BD30" s="139"/>
      <c r="BE30" s="139">
        <f>'幕间计算'!B48+IF(AND('幕间计算'!A48&lt;&gt;"",COUNTIF('幕间计算'!$A$2:A48,'幕间计算'!A48)=1),SUMIF('幕间与结算'!$E$9:$E$208,'幕间计算'!A48,'幕间与结算'!$K$9:$K$208)+SUMIF('幕间与结算'!$C$215:$C$454,'幕间计算'!A48,'幕间与结算'!$G$215:$G$454),0)</f>
        <v>0</v>
      </c>
      <c r="BF30" s="139"/>
      <c r="BG30" s="308"/>
      <c r="BH30" s="359"/>
      <c r="BI30" s="358"/>
      <c r="BJ30" s="309"/>
      <c r="BK30" s="309"/>
      <c r="BL30" s="309"/>
      <c r="BM30" s="309"/>
      <c r="BN30" s="309"/>
      <c r="BO30" s="309"/>
      <c r="BP30" s="309"/>
      <c r="BQ30" s="309"/>
      <c r="BR30" s="309"/>
      <c r="BS30" s="309"/>
      <c r="BT30" s="309"/>
      <c r="BU30" s="309"/>
      <c r="BV30" s="309"/>
      <c r="BW30" s="309"/>
      <c r="BX30" s="309"/>
      <c r="BY30" s="309"/>
      <c r="BZ30" s="309"/>
      <c r="CA30" s="309"/>
      <c r="CB30" s="309"/>
      <c r="CC30" s="309"/>
      <c r="CD30" s="309"/>
      <c r="CE30" s="309"/>
      <c r="CF30" s="309"/>
      <c r="CG30" s="309"/>
      <c r="CH30" s="309"/>
      <c r="CI30" s="309"/>
      <c r="CJ30" s="309"/>
      <c r="CK30" s="309"/>
      <c r="CL30" s="309"/>
      <c r="CM30" s="309"/>
      <c r="CN30" s="309"/>
      <c r="CO30" s="309"/>
      <c r="CP30" s="309"/>
      <c r="CQ30" s="309"/>
      <c r="CR30" s="309"/>
      <c r="CS30" s="309"/>
      <c r="CT30" s="309"/>
      <c r="CU30" s="309"/>
      <c r="CV30" s="309"/>
      <c r="CW30" s="309"/>
      <c r="CX30" s="310"/>
      <c r="CY30" s="92"/>
      <c r="CZ30" s="351"/>
      <c r="DA30" s="309"/>
      <c r="DB30" s="309"/>
      <c r="DC30" s="309"/>
      <c r="DD30" s="309"/>
      <c r="DE30" s="309"/>
      <c r="DF30" s="309"/>
      <c r="DG30" s="309"/>
      <c r="DH30" s="309"/>
      <c r="DI30" s="309"/>
      <c r="DJ30" s="309"/>
      <c r="DK30" s="309"/>
      <c r="DL30" s="309"/>
      <c r="DM30" s="309"/>
      <c r="DN30" s="309"/>
      <c r="DO30" s="309"/>
      <c r="DP30" s="309"/>
      <c r="DQ30" s="309"/>
      <c r="DR30" s="309"/>
      <c r="DS30" s="309"/>
      <c r="DT30" s="309"/>
      <c r="DU30" s="309"/>
      <c r="DV30" s="309"/>
      <c r="DW30" s="309"/>
      <c r="DX30" s="309"/>
      <c r="DY30" s="309"/>
      <c r="DZ30" s="309"/>
      <c r="EA30" s="309"/>
      <c r="EB30" s="309"/>
      <c r="EC30" s="309"/>
      <c r="ED30" s="352" t="str">
        <f>IF(CZ29="","",MAX(0,MIN(EF$22,IF('幕间计算'!Q4&gt;0,IFERROR(INDEX('幕间与结算'!$F$9:$F$208,'幕间计算'!Q4-8),0)+SUMIFS('幕间与结算'!$K$9:$K$208,'幕间与结算'!$E$9:$E$208,"重要关系3",'幕间计算'!$F$210:$F$409,"&gt;="&amp;'幕间计算'!Q4)-SUMIFS('幕间计算'!$D$210:$D$409,'幕间与结算'!$L$9:$L$208,"重要关系3",'幕间计算'!$F$210:$F$409,"&gt;="&amp;'幕间计算'!Q4)+SUMIFS('幕间与结算'!$K$9:$K$208,'幕间与结算'!$E$9:$E$208,"魅力",'幕间与结算'!$K$9:$K$208,"&lt;0",'幕间计算'!$F$210:$F$409,"&gt;="&amp;'幕间计算'!Q4),N('幕间计算'!P4)+SUMIF('幕间与结算'!$E$9:$E$208,"重要关系3",'幕间与结算'!$K$9:$K$208)-SUMIF('幕间与结算'!$L$9:$L$208,"重要关系3",'幕间计算'!$D$210:$D$409)+SUMIFS('幕间与结算'!$K$9:$K$208,'幕间与结算'!$E$9:$E$208,"魅力",'幕间与结算'!$K$9:$K$208,"&lt;0")))))</f>
        <v/>
      </c>
      <c r="EE30" s="353"/>
      <c r="EF30" s="312" t="s">
        <v>88</v>
      </c>
      <c r="EG30" s="354"/>
      <c r="EH30" s="92"/>
      <c r="EI30" s="348"/>
      <c r="EJ30" s="349"/>
      <c r="EK30" s="349"/>
      <c r="EL30" s="349"/>
      <c r="EM30" s="349"/>
      <c r="EN30" s="349"/>
      <c r="EO30" s="349"/>
      <c r="EP30" s="349"/>
      <c r="EQ30" s="349"/>
      <c r="ER30" s="349"/>
      <c r="ES30" s="349"/>
      <c r="ET30" s="349"/>
      <c r="EU30" s="349"/>
      <c r="EV30" s="349"/>
      <c r="EW30" s="349"/>
      <c r="EX30" s="349"/>
      <c r="EY30" s="350"/>
      <c r="EZ30" s="77"/>
    </row>
    <row r="31" customHeight="1" spans="1:156">
      <c r="A31" s="92"/>
      <c r="B31" s="301" t="str">
        <f>IF(AND('幕间计算'!A19&lt;&gt;"",COUNTIFS('幕间计算'!$A$210:$A$409,IFERROR(VALUE('幕间与结算'!$B$3),0),'幕间计算'!$B$210:$B$409,1,'幕间与结算'!$E$9:$E$208,'幕间计算'!A19)&gt;0,COUNTIFS('幕间计算'!$A$500:$A$739,IFERROR(VALUE('幕间与结算'!$B$3),0),'幕间计算'!$C$500:$C$739,1,'幕间与结算'!$C$215:$C$454,'幕间计算'!A19)=0),"√","☐")</f>
        <v>☐</v>
      </c>
      <c r="C31" s="302"/>
      <c r="D31" s="303" t="s">
        <v>95</v>
      </c>
      <c r="E31" s="303"/>
      <c r="F31" s="303"/>
      <c r="G31" s="303"/>
      <c r="H31" s="303"/>
      <c r="I31" s="303"/>
      <c r="J31" s="303"/>
      <c r="K31" s="303"/>
      <c r="L31" s="303"/>
      <c r="M31" s="303"/>
      <c r="N31" s="303"/>
      <c r="O31" s="303"/>
      <c r="P31" s="304">
        <f>MAX(0,MIN(99,IF(V31="",N(S31),N(V31))+N(Y31)+N(AB31)))</f>
        <v>10</v>
      </c>
      <c r="Q31" s="304"/>
      <c r="R31" s="304"/>
      <c r="S31" s="305">
        <v>10</v>
      </c>
      <c r="T31" s="305"/>
      <c r="U31" s="305"/>
      <c r="V31" s="139" t="str">
        <f ca="1">IF(职业选项!V74&gt;0,职业选项!V74,"")</f>
        <v/>
      </c>
      <c r="W31" s="139"/>
      <c r="X31" s="139"/>
      <c r="Y31" s="139" t="str">
        <f ca="1">规则数据!H37</f>
        <v/>
      </c>
      <c r="Z31" s="139"/>
      <c r="AA31" s="139"/>
      <c r="AB31" s="139">
        <f>'幕间计算'!B19+IF(AND('幕间计算'!A19&lt;&gt;"",COUNTIF('幕间计算'!$A$2:A19,'幕间计算'!A19)=1),SUMIF('幕间与结算'!$E$9:$E$208,'幕间计算'!A19,'幕间与结算'!$K$9:$K$208)+SUMIF('幕间与结算'!$C$215:$C$454,'幕间计算'!A19,'幕间与结算'!$G$215:$G$454),0)</f>
        <v>0</v>
      </c>
      <c r="AC31" s="139"/>
      <c r="AD31" s="306"/>
      <c r="AE31" s="307" t="str">
        <f>IF(AND('幕间计算'!A49&lt;&gt;"",COUNTIFS('幕间计算'!$A$210:$A$409,IFERROR(VALUE('幕间与结算'!$B$3),0),'幕间计算'!$B$210:$B$409,1,'幕间与结算'!$E$9:$E$208,'幕间计算'!A49)&gt;0,COUNTIFS('幕间计算'!$A$500:$A$739,IFERROR(VALUE('幕间与结算'!$B$3),0),'幕间计算'!$C$500:$C$739,1,'幕间与结算'!$C$215:$C$454,'幕间计算'!A49)=0),"√","☐")</f>
        <v>☐</v>
      </c>
      <c r="AF31" s="302"/>
      <c r="AG31" s="321" t="s">
        <v>93</v>
      </c>
      <c r="AH31" s="322"/>
      <c r="AI31" s="322"/>
      <c r="AJ31" s="322"/>
      <c r="AK31" s="322"/>
      <c r="AL31" s="322"/>
      <c r="AM31" s="323" t="str">
        <f ca="1">IF(COUNTIF(职业选项!$I$2:$I$28,"科学3")&gt;0,IFERROR(INDEX(职业选项!$F$2:$F$28,MATCH("科学3",职业选项!$I$2:$I$28,0)),""),IFERROR(MID(IFERROR(INDEX(规则数据!$C$2:$C$9,SMALL(规则数据!$AW$2:$AW$9,3-COUNTIF(职业选项!$C$2:$C$28,"科学"))),""),LEN("科学")+2,LEN(IFERROR(INDEX(规则数据!$C$2:$C$9,SMALL(规则数据!$AW$2:$AW$9,3-COUNTIF(职业选项!$C$2:$C$28,"科学"))),""))-LEN("科学")-2),""))</f>
        <v/>
      </c>
      <c r="AN31" s="323"/>
      <c r="AO31" s="323"/>
      <c r="AP31" s="323"/>
      <c r="AQ31" s="323"/>
      <c r="AR31" s="324"/>
      <c r="AS31" s="304">
        <f>MAX(0,MIN(99,IF(AY31="",N(AV31),N(AY31))+N(BB31)+N(BE31)))</f>
        <v>0</v>
      </c>
      <c r="AT31" s="304"/>
      <c r="AU31" s="304"/>
      <c r="AV31" s="305">
        <v>0</v>
      </c>
      <c r="AW31" s="305"/>
      <c r="AX31" s="305"/>
      <c r="AY31" s="139" t="str">
        <f ca="1">IF(职业选项!V75&gt;0,职业选项!V75,"")</f>
        <v/>
      </c>
      <c r="AZ31" s="139"/>
      <c r="BA31" s="139"/>
      <c r="BB31" s="139" t="str">
        <f ca="1">规则数据!H67</f>
        <v/>
      </c>
      <c r="BC31" s="139"/>
      <c r="BD31" s="139"/>
      <c r="BE31" s="139">
        <f>'幕间计算'!B49+IF(AND('幕间计算'!A49&lt;&gt;"",COUNTIF('幕间计算'!$A$2:A49,'幕间计算'!A49)=1),SUMIF('幕间与结算'!$E$9:$E$208,'幕间计算'!A49,'幕间与结算'!$K$9:$K$208)+SUMIF('幕间与结算'!$C$215:$C$454,'幕间计算'!A49,'幕间与结算'!$G$215:$G$454),0)</f>
        <v>0</v>
      </c>
      <c r="BF31" s="139"/>
      <c r="BG31" s="308"/>
      <c r="BH31" s="359"/>
      <c r="BI31" s="358"/>
      <c r="BJ31" s="309"/>
      <c r="BK31" s="309"/>
      <c r="BL31" s="309"/>
      <c r="BM31" s="309"/>
      <c r="BN31" s="309"/>
      <c r="BO31" s="309"/>
      <c r="BP31" s="309"/>
      <c r="BQ31" s="309"/>
      <c r="BR31" s="309"/>
      <c r="BS31" s="309"/>
      <c r="BT31" s="309"/>
      <c r="BU31" s="309"/>
      <c r="BV31" s="309"/>
      <c r="BW31" s="309"/>
      <c r="BX31" s="309"/>
      <c r="BY31" s="309"/>
      <c r="BZ31" s="309"/>
      <c r="CA31" s="309"/>
      <c r="CB31" s="309"/>
      <c r="CC31" s="309"/>
      <c r="CD31" s="309"/>
      <c r="CE31" s="309"/>
      <c r="CF31" s="309"/>
      <c r="CG31" s="309"/>
      <c r="CH31" s="309"/>
      <c r="CI31" s="309"/>
      <c r="CJ31" s="309"/>
      <c r="CK31" s="309"/>
      <c r="CL31" s="309"/>
      <c r="CM31" s="309"/>
      <c r="CN31" s="309"/>
      <c r="CO31" s="309"/>
      <c r="CP31" s="309"/>
      <c r="CQ31" s="309"/>
      <c r="CR31" s="309"/>
      <c r="CS31" s="309"/>
      <c r="CT31" s="309"/>
      <c r="CU31" s="309"/>
      <c r="CV31" s="309"/>
      <c r="CW31" s="309"/>
      <c r="CX31" s="310"/>
      <c r="CY31" s="92"/>
      <c r="CZ31" s="351"/>
      <c r="DA31" s="309"/>
      <c r="DB31" s="309"/>
      <c r="DC31" s="309"/>
      <c r="DD31" s="309"/>
      <c r="DE31" s="309"/>
      <c r="DF31" s="309"/>
      <c r="DG31" s="309"/>
      <c r="DH31" s="309"/>
      <c r="DI31" s="309"/>
      <c r="DJ31" s="309"/>
      <c r="DK31" s="309"/>
      <c r="DL31" s="309"/>
      <c r="DM31" s="309"/>
      <c r="DN31" s="309"/>
      <c r="DO31" s="309"/>
      <c r="DP31" s="309"/>
      <c r="DQ31" s="309"/>
      <c r="DR31" s="309"/>
      <c r="DS31" s="309"/>
      <c r="DT31" s="309"/>
      <c r="DU31" s="309"/>
      <c r="DV31" s="309"/>
      <c r="DW31" s="309"/>
      <c r="DX31" s="309"/>
      <c r="DY31" s="309"/>
      <c r="DZ31" s="309"/>
      <c r="EA31" s="309"/>
      <c r="EB31" s="309"/>
      <c r="EC31" s="309"/>
      <c r="ED31" s="355"/>
      <c r="EE31" s="356"/>
      <c r="EF31" s="312"/>
      <c r="EG31" s="354"/>
      <c r="EH31" s="92"/>
      <c r="EI31" s="348"/>
      <c r="EJ31" s="349"/>
      <c r="EK31" s="349"/>
      <c r="EL31" s="349"/>
      <c r="EM31" s="349"/>
      <c r="EN31" s="349"/>
      <c r="EO31" s="349"/>
      <c r="EP31" s="349"/>
      <c r="EQ31" s="349"/>
      <c r="ER31" s="349"/>
      <c r="ES31" s="349"/>
      <c r="ET31" s="349"/>
      <c r="EU31" s="349"/>
      <c r="EV31" s="349"/>
      <c r="EW31" s="349"/>
      <c r="EX31" s="349"/>
      <c r="EY31" s="350"/>
      <c r="EZ31" s="77"/>
    </row>
    <row r="32" customHeight="1" spans="1:156">
      <c r="A32" s="92"/>
      <c r="B32" s="301" t="str">
        <f>IF(AND('幕间计算'!A20&lt;&gt;"",COUNTIFS('幕间计算'!$A$210:$A$409,IFERROR(VALUE('幕间与结算'!$B$3),0),'幕间计算'!$B$210:$B$409,1,'幕间与结算'!$E$9:$E$208,'幕间计算'!A20)&gt;0,COUNTIFS('幕间计算'!$A$500:$A$739,IFERROR(VALUE('幕间与结算'!$B$3),0),'幕间计算'!$C$500:$C$739,1,'幕间与结算'!$C$215:$C$454,'幕间计算'!A20)=0),"√","☐")</f>
        <v>☐</v>
      </c>
      <c r="C32" s="302"/>
      <c r="D32" s="303" t="s">
        <v>96</v>
      </c>
      <c r="E32" s="303"/>
      <c r="F32" s="303"/>
      <c r="G32" s="303"/>
      <c r="H32" s="303"/>
      <c r="I32" s="303"/>
      <c r="J32" s="303"/>
      <c r="K32" s="303"/>
      <c r="L32" s="303"/>
      <c r="M32" s="303"/>
      <c r="N32" s="303"/>
      <c r="O32" s="303"/>
      <c r="P32" s="304">
        <f>MAX(0,MIN(99,IF(V32="",N(S32),N(V32))+N(Y32)+N(AB32)))</f>
        <v>30</v>
      </c>
      <c r="Q32" s="304"/>
      <c r="R32" s="304"/>
      <c r="S32" s="305">
        <v>30</v>
      </c>
      <c r="T32" s="305"/>
      <c r="U32" s="305"/>
      <c r="V32" s="139" t="str">
        <f ca="1">IF(职业选项!V76&gt;0,职业选项!V76,"")</f>
        <v/>
      </c>
      <c r="W32" s="139"/>
      <c r="X32" s="139"/>
      <c r="Y32" s="139" t="str">
        <f ca="1">规则数据!H38</f>
        <v/>
      </c>
      <c r="Z32" s="139"/>
      <c r="AA32" s="139"/>
      <c r="AB32" s="139">
        <f>'幕间计算'!B20+IF(AND('幕间计算'!A20&lt;&gt;"",COUNTIF('幕间计算'!$A$2:A20,'幕间计算'!A20)=1),SUMIF('幕间与结算'!$E$9:$E$208,'幕间计算'!A20,'幕间与结算'!$K$9:$K$208)+SUMIF('幕间与结算'!$C$215:$C$454,'幕间计算'!A20,'幕间与结算'!$G$215:$G$454),0)</f>
        <v>0</v>
      </c>
      <c r="AC32" s="139"/>
      <c r="AD32" s="306"/>
      <c r="AE32" s="307" t="str">
        <f>IF(AND('幕间计算'!A50&lt;&gt;"",COUNTIFS('幕间计算'!$A$210:$A$409,IFERROR(VALUE('幕间与结算'!$B$3),0),'幕间计算'!$B$210:$B$409,1,'幕间与结算'!$E$9:$E$208,'幕间计算'!A50)&gt;0,COUNTIFS('幕间计算'!$A$500:$A$739,IFERROR(VALUE('幕间与结算'!$B$3),0),'幕间计算'!$C$500:$C$739,1,'幕间与结算'!$C$215:$C$454,'幕间计算'!A50)=0),"√","☐")</f>
        <v>☐</v>
      </c>
      <c r="AF32" s="302"/>
      <c r="AG32" s="303" t="s">
        <v>97</v>
      </c>
      <c r="AH32" s="303"/>
      <c r="AI32" s="303"/>
      <c r="AJ32" s="303"/>
      <c r="AK32" s="303"/>
      <c r="AL32" s="303"/>
      <c r="AM32" s="303"/>
      <c r="AN32" s="303"/>
      <c r="AO32" s="303"/>
      <c r="AP32" s="303"/>
      <c r="AQ32" s="303"/>
      <c r="AR32" s="303"/>
      <c r="AS32" s="304">
        <f>MAX(0,MIN(99,IF(AY32="",N(AV32),N(AY32))+N(BB32)+N(BE32)))</f>
        <v>20</v>
      </c>
      <c r="AT32" s="304"/>
      <c r="AU32" s="304"/>
      <c r="AV32" s="305">
        <v>20</v>
      </c>
      <c r="AW32" s="305"/>
      <c r="AX32" s="305"/>
      <c r="AY32" s="139" t="str">
        <f ca="1">IF(职业选项!V77&gt;0,职业选项!V77,"")</f>
        <v/>
      </c>
      <c r="AZ32" s="139"/>
      <c r="BA32" s="139"/>
      <c r="BB32" s="139" t="str">
        <f ca="1">规则数据!H68</f>
        <v/>
      </c>
      <c r="BC32" s="139"/>
      <c r="BD32" s="139"/>
      <c r="BE32" s="139">
        <f>'幕间计算'!B50+IF(AND('幕间计算'!A50&lt;&gt;"",COUNTIF('幕间计算'!$A$2:A50,'幕间计算'!A50)=1),SUMIF('幕间与结算'!$E$9:$E$208,'幕间计算'!A50,'幕间与结算'!$K$9:$K$208)+SUMIF('幕间与结算'!$C$215:$C$454,'幕间计算'!A50,'幕间与结算'!$G$215:$G$454),0)</f>
        <v>0</v>
      </c>
      <c r="BF32" s="139"/>
      <c r="BG32" s="308"/>
      <c r="BH32" s="359"/>
      <c r="BI32" s="358"/>
      <c r="BJ32" s="309"/>
      <c r="BK32" s="309"/>
      <c r="BL32" s="309"/>
      <c r="BM32" s="309"/>
      <c r="BN32" s="309"/>
      <c r="BO32" s="309"/>
      <c r="BP32" s="309"/>
      <c r="BQ32" s="309"/>
      <c r="BR32" s="309"/>
      <c r="BS32" s="309"/>
      <c r="BT32" s="309"/>
      <c r="BU32" s="309"/>
      <c r="BV32" s="309"/>
      <c r="BW32" s="309"/>
      <c r="BX32" s="309"/>
      <c r="BY32" s="309"/>
      <c r="BZ32" s="309"/>
      <c r="CA32" s="309"/>
      <c r="CB32" s="309"/>
      <c r="CC32" s="309"/>
      <c r="CD32" s="309"/>
      <c r="CE32" s="309"/>
      <c r="CF32" s="309"/>
      <c r="CG32" s="309"/>
      <c r="CH32" s="309"/>
      <c r="CI32" s="309"/>
      <c r="CJ32" s="309"/>
      <c r="CK32" s="309"/>
      <c r="CL32" s="309"/>
      <c r="CM32" s="309"/>
      <c r="CN32" s="309"/>
      <c r="CO32" s="309"/>
      <c r="CP32" s="309"/>
      <c r="CQ32" s="309"/>
      <c r="CR32" s="309"/>
      <c r="CS32" s="309"/>
      <c r="CT32" s="309"/>
      <c r="CU32" s="309"/>
      <c r="CV32" s="309"/>
      <c r="CW32" s="309"/>
      <c r="CX32" s="310"/>
      <c r="CY32" s="92"/>
      <c r="CZ32" s="351"/>
      <c r="DA32" s="309"/>
      <c r="DB32" s="309"/>
      <c r="DC32" s="309"/>
      <c r="DD32" s="309"/>
      <c r="DE32" s="309"/>
      <c r="DF32" s="309"/>
      <c r="DG32" s="309"/>
      <c r="DH32" s="309"/>
      <c r="DI32" s="309"/>
      <c r="DJ32" s="309"/>
      <c r="DK32" s="309"/>
      <c r="DL32" s="309"/>
      <c r="DM32" s="309"/>
      <c r="DN32" s="309"/>
      <c r="DO32" s="309"/>
      <c r="DP32" s="309"/>
      <c r="DQ32" s="309"/>
      <c r="DR32" s="309"/>
      <c r="DS32" s="309"/>
      <c r="DT32" s="309"/>
      <c r="DU32" s="309"/>
      <c r="DV32" s="309"/>
      <c r="DW32" s="309"/>
      <c r="DX32" s="309"/>
      <c r="DY32" s="309"/>
      <c r="DZ32" s="309"/>
      <c r="EA32" s="309"/>
      <c r="EB32" s="309"/>
      <c r="EC32" s="309"/>
      <c r="ED32" s="132" t="s">
        <v>84</v>
      </c>
      <c r="EE32" s="132"/>
      <c r="EF32" s="132" t="s">
        <v>85</v>
      </c>
      <c r="EG32" s="357"/>
      <c r="EH32" s="92"/>
      <c r="EI32" s="348"/>
      <c r="EJ32" s="349"/>
      <c r="EK32" s="349"/>
      <c r="EL32" s="349"/>
      <c r="EM32" s="349"/>
      <c r="EN32" s="349"/>
      <c r="EO32" s="349"/>
      <c r="EP32" s="349"/>
      <c r="EQ32" s="349"/>
      <c r="ER32" s="349"/>
      <c r="ES32" s="349"/>
      <c r="ET32" s="349"/>
      <c r="EU32" s="349"/>
      <c r="EV32" s="349"/>
      <c r="EW32" s="349"/>
      <c r="EX32" s="349"/>
      <c r="EY32" s="350"/>
      <c r="EZ32" s="77"/>
    </row>
    <row r="33" customHeight="1" spans="1:156">
      <c r="A33" s="92"/>
      <c r="B33" s="301" t="str">
        <f>IF(AND('幕间计算'!A21&lt;&gt;"",COUNTIFS('幕间计算'!$A$210:$A$409,IFERROR(VALUE('幕间与结算'!$B$3),0),'幕间计算'!$B$210:$B$409,1,'幕间与结算'!$E$9:$E$208,'幕间计算'!A21)&gt;0,COUNTIFS('幕间计算'!$A$500:$A$739,IFERROR(VALUE('幕间与结算'!$B$3),0),'幕间计算'!$C$500:$C$739,1,'幕间与结算'!$C$215:$C$454,'幕间计算'!A21)=0),"√","☐")</f>
        <v>☐</v>
      </c>
      <c r="C33" s="302"/>
      <c r="D33" s="303" t="s">
        <v>98</v>
      </c>
      <c r="E33" s="303"/>
      <c r="F33" s="303"/>
      <c r="G33" s="303"/>
      <c r="H33" s="303"/>
      <c r="I33" s="303"/>
      <c r="J33" s="303"/>
      <c r="K33" s="303"/>
      <c r="L33" s="303"/>
      <c r="M33" s="303"/>
      <c r="N33" s="303"/>
      <c r="O33" s="303"/>
      <c r="P33" s="304">
        <f>MAX(0,MIN(99,IF(V33="",N(S33),N(V33))+N(Y33)+N(AB33)))</f>
        <v>20</v>
      </c>
      <c r="Q33" s="304"/>
      <c r="R33" s="304"/>
      <c r="S33" s="305">
        <v>20</v>
      </c>
      <c r="T33" s="305"/>
      <c r="U33" s="305"/>
      <c r="V33" s="139" t="str">
        <f ca="1">IF(职业选项!V78&gt;0,职业选项!V78,"")</f>
        <v/>
      </c>
      <c r="W33" s="139"/>
      <c r="X33" s="139"/>
      <c r="Y33" s="139" t="str">
        <f ca="1">规则数据!H39</f>
        <v/>
      </c>
      <c r="Z33" s="139"/>
      <c r="AA33" s="139"/>
      <c r="AB33" s="139">
        <f>'幕间计算'!B21+IF(AND('幕间计算'!A21&lt;&gt;"",COUNTIF('幕间计算'!$A$2:A21,'幕间计算'!A21)=1),SUMIF('幕间与结算'!$E$9:$E$208,'幕间计算'!A21,'幕间与结算'!$K$9:$K$208)+SUMIF('幕间与结算'!$C$215:$C$454,'幕间计算'!A21,'幕间与结算'!$G$215:$G$454),0)</f>
        <v>0</v>
      </c>
      <c r="AC33" s="139"/>
      <c r="AD33" s="306"/>
      <c r="AE33" s="307" t="str">
        <f>IF(AND('幕间计算'!A51&lt;&gt;"",COUNTIFS('幕间计算'!$A$210:$A$409,IFERROR(VALUE('幕间与结算'!$B$3),0),'幕间计算'!$B$210:$B$409,1,'幕间与结算'!$E$9:$E$208,'幕间计算'!A51)&gt;0,COUNTIFS('幕间计算'!$A$500:$A$739,IFERROR(VALUE('幕间与结算'!$B$3),0),'幕间计算'!$C$500:$C$739,1,'幕间与结算'!$C$215:$C$454,'幕间计算'!A51)=0),"√","☐")</f>
        <v>☐</v>
      </c>
      <c r="AF33" s="302"/>
      <c r="AG33" s="303" t="s">
        <v>99</v>
      </c>
      <c r="AH33" s="303"/>
      <c r="AI33" s="303"/>
      <c r="AJ33" s="303"/>
      <c r="AK33" s="303"/>
      <c r="AL33" s="303"/>
      <c r="AM33" s="303"/>
      <c r="AN33" s="303"/>
      <c r="AO33" s="303"/>
      <c r="AP33" s="303"/>
      <c r="AQ33" s="303"/>
      <c r="AR33" s="303"/>
      <c r="AS33" s="304">
        <f>MAX(0,MIN(99,IF(AY33="",N(AV33),N(AY33))+N(BB33)+N(BE33)))</f>
        <v>0</v>
      </c>
      <c r="AT33" s="304"/>
      <c r="AU33" s="304"/>
      <c r="AV33" s="305">
        <v>0</v>
      </c>
      <c r="AW33" s="305"/>
      <c r="AX33" s="305"/>
      <c r="AY33" s="139" t="str">
        <f ca="1">IF(职业选项!V79&gt;0,职业选项!V79,"")</f>
        <v/>
      </c>
      <c r="AZ33" s="139"/>
      <c r="BA33" s="139"/>
      <c r="BB33" s="139" t="str">
        <f ca="1">规则数据!H69</f>
        <v/>
      </c>
      <c r="BC33" s="139"/>
      <c r="BD33" s="139"/>
      <c r="BE33" s="139">
        <f>'幕间计算'!B51+IF(AND('幕间计算'!A51&lt;&gt;"",COUNTIF('幕间计算'!$A$2:A51,'幕间计算'!A51)=1),SUMIF('幕间与结算'!$E$9:$E$208,'幕间计算'!A51,'幕间与结算'!$K$9:$K$208)+SUMIF('幕间与结算'!$C$215:$C$454,'幕间计算'!A51,'幕间与结算'!$G$215:$G$454),0)</f>
        <v>0</v>
      </c>
      <c r="BF33" s="139"/>
      <c r="BG33" s="308"/>
      <c r="BH33" s="359"/>
      <c r="BI33" s="358"/>
      <c r="BJ33" s="309"/>
      <c r="BK33" s="309"/>
      <c r="BL33" s="309"/>
      <c r="BM33" s="309"/>
      <c r="BN33" s="309"/>
      <c r="BO33" s="309"/>
      <c r="BP33" s="309"/>
      <c r="BQ33" s="309"/>
      <c r="BR33" s="309"/>
      <c r="BS33" s="309"/>
      <c r="BT33" s="309"/>
      <c r="BU33" s="309"/>
      <c r="BV33" s="309"/>
      <c r="BW33" s="309"/>
      <c r="BX33" s="309"/>
      <c r="BY33" s="309"/>
      <c r="BZ33" s="309"/>
      <c r="CA33" s="309"/>
      <c r="CB33" s="309"/>
      <c r="CC33" s="309"/>
      <c r="CD33" s="309"/>
      <c r="CE33" s="309"/>
      <c r="CF33" s="309"/>
      <c r="CG33" s="309"/>
      <c r="CH33" s="309"/>
      <c r="CI33" s="309"/>
      <c r="CJ33" s="309"/>
      <c r="CK33" s="309"/>
      <c r="CL33" s="309"/>
      <c r="CM33" s="309"/>
      <c r="CN33" s="309"/>
      <c r="CO33" s="309"/>
      <c r="CP33" s="309"/>
      <c r="CQ33" s="309"/>
      <c r="CR33" s="309"/>
      <c r="CS33" s="309"/>
      <c r="CT33" s="309"/>
      <c r="CU33" s="309"/>
      <c r="CV33" s="309"/>
      <c r="CW33" s="309"/>
      <c r="CX33" s="310"/>
      <c r="CY33" s="92"/>
      <c r="CZ33" s="351"/>
      <c r="DA33" s="309"/>
      <c r="DB33" s="309"/>
      <c r="DC33" s="309"/>
      <c r="DD33" s="309"/>
      <c r="DE33" s="309"/>
      <c r="DF33" s="309"/>
      <c r="DG33" s="309"/>
      <c r="DH33" s="309"/>
      <c r="DI33" s="309"/>
      <c r="DJ33" s="309"/>
      <c r="DK33" s="309"/>
      <c r="DL33" s="309"/>
      <c r="DM33" s="309"/>
      <c r="DN33" s="309"/>
      <c r="DO33" s="309"/>
      <c r="DP33" s="309"/>
      <c r="DQ33" s="309"/>
      <c r="DR33" s="309"/>
      <c r="DS33" s="309"/>
      <c r="DT33" s="309"/>
      <c r="DU33" s="309"/>
      <c r="DV33" s="309"/>
      <c r="DW33" s="309"/>
      <c r="DX33" s="309"/>
      <c r="DY33" s="309"/>
      <c r="DZ33" s="309"/>
      <c r="EA33" s="309"/>
      <c r="EB33" s="309"/>
      <c r="EC33" s="309"/>
      <c r="ED33" s="352" t="str">
        <f>IF(CZ32="","",MAX(0,MIN(EF$22,IF('幕间计算'!Q5&gt;0,IFERROR(INDEX('幕间与结算'!$F$9:$F$208,'幕间计算'!Q5-8),0)+SUMIFS('幕间与结算'!$K$9:$K$208,'幕间与结算'!$E$9:$E$208,"重要关系4",'幕间计算'!$F$210:$F$409,"&gt;="&amp;'幕间计算'!Q5)-SUMIFS('幕间计算'!$D$210:$D$409,'幕间与结算'!$L$9:$L$208,"重要关系4",'幕间计算'!$F$210:$F$409,"&gt;="&amp;'幕间计算'!Q5)+SUMIFS('幕间与结算'!$K$9:$K$208,'幕间与结算'!$E$9:$E$208,"魅力",'幕间与结算'!$K$9:$K$208,"&lt;0",'幕间计算'!$F$210:$F$409,"&gt;="&amp;'幕间计算'!Q5),N('幕间计算'!P5)+SUMIF('幕间与结算'!$E$9:$E$208,"重要关系4",'幕间与结算'!$K$9:$K$208)-SUMIF('幕间与结算'!$L$9:$L$208,"重要关系4",'幕间计算'!$D$210:$D$409)+SUMIFS('幕间与结算'!$K$9:$K$208,'幕间与结算'!$E$9:$E$208,"魅力",'幕间与结算'!$K$9:$K$208,"&lt;0")))))</f>
        <v/>
      </c>
      <c r="EE33" s="353"/>
      <c r="EF33" s="312" t="s">
        <v>88</v>
      </c>
      <c r="EG33" s="354"/>
      <c r="EH33" s="92"/>
      <c r="EI33" s="348"/>
      <c r="EJ33" s="349"/>
      <c r="EK33" s="349"/>
      <c r="EL33" s="349"/>
      <c r="EM33" s="349"/>
      <c r="EN33" s="349"/>
      <c r="EO33" s="349"/>
      <c r="EP33" s="349"/>
      <c r="EQ33" s="349"/>
      <c r="ER33" s="349"/>
      <c r="ES33" s="349"/>
      <c r="ET33" s="349"/>
      <c r="EU33" s="349"/>
      <c r="EV33" s="349"/>
      <c r="EW33" s="349"/>
      <c r="EX33" s="349"/>
      <c r="EY33" s="350"/>
      <c r="EZ33" s="77"/>
    </row>
    <row r="34" customHeight="1" spans="1:156">
      <c r="A34" s="92"/>
      <c r="B34" s="301" t="str">
        <f>IF(AND('幕间计算'!A22&lt;&gt;"",COUNTIFS('幕间计算'!$A$210:$A$409,IFERROR(VALUE('幕间与结算'!$B$3),0),'幕间计算'!$B$210:$B$409,1,'幕间与结算'!$E$9:$E$208,'幕间计算'!A22)&gt;0,COUNTIFS('幕间计算'!$A$500:$A$739,IFERROR(VALUE('幕间与结算'!$B$3),0),'幕间计算'!$C$500:$C$739,1,'幕间与结算'!$C$215:$C$454,'幕间计算'!A22)=0),"√","☐")</f>
        <v>☐</v>
      </c>
      <c r="C34" s="302"/>
      <c r="D34" s="303" t="s">
        <v>100</v>
      </c>
      <c r="E34" s="303"/>
      <c r="F34" s="303"/>
      <c r="G34" s="303"/>
      <c r="H34" s="303"/>
      <c r="I34" s="303"/>
      <c r="J34" s="303"/>
      <c r="K34" s="303"/>
      <c r="L34" s="303"/>
      <c r="M34" s="303"/>
      <c r="N34" s="303"/>
      <c r="O34" s="303"/>
      <c r="P34" s="304">
        <f>MAX(0,MIN(99,IF(V34="",N(S34),N(V34))+N(Y34)+N(AB34)))</f>
        <v>20</v>
      </c>
      <c r="Q34" s="304"/>
      <c r="R34" s="304"/>
      <c r="S34" s="305">
        <v>20</v>
      </c>
      <c r="T34" s="305"/>
      <c r="U34" s="305"/>
      <c r="V34" s="139" t="str">
        <f ca="1">IF(职业选项!V80&gt;0,职业选项!V80,"")</f>
        <v/>
      </c>
      <c r="W34" s="139"/>
      <c r="X34" s="139"/>
      <c r="Y34" s="139" t="str">
        <f ca="1">规则数据!H40</f>
        <v/>
      </c>
      <c r="Z34" s="139"/>
      <c r="AA34" s="139"/>
      <c r="AB34" s="139">
        <f>'幕间计算'!B22+IF(AND('幕间计算'!A22&lt;&gt;"",COUNTIF('幕间计算'!$A$2:A22,'幕间计算'!A22)=1),SUMIF('幕间与结算'!$E$9:$E$208,'幕间计算'!A22,'幕间与结算'!$K$9:$K$208)+SUMIF('幕间与结算'!$C$215:$C$454,'幕间计算'!A22,'幕间与结算'!$G$215:$G$454),0)</f>
        <v>0</v>
      </c>
      <c r="AC34" s="139"/>
      <c r="AD34" s="306"/>
      <c r="AE34" s="307" t="str">
        <f>IF(AND('幕间计算'!A52&lt;&gt;"",COUNTIFS('幕间计算'!$A$210:$A$409,IFERROR(VALUE('幕间与结算'!$B$3),0),'幕间计算'!$B$210:$B$409,1,'幕间与结算'!$E$9:$E$208,'幕间计算'!A52)&gt;0,COUNTIFS('幕间计算'!$A$500:$A$739,IFERROR(VALUE('幕间与结算'!$B$3),0),'幕间计算'!$C$500:$C$739,1,'幕间与结算'!$C$215:$C$454,'幕间计算'!A52)=0),"√","☐")</f>
        <v>☐</v>
      </c>
      <c r="AF34" s="302"/>
      <c r="AG34" s="303" t="s">
        <v>101</v>
      </c>
      <c r="AH34" s="303"/>
      <c r="AI34" s="303"/>
      <c r="AJ34" s="303"/>
      <c r="AK34" s="303"/>
      <c r="AL34" s="303"/>
      <c r="AM34" s="303"/>
      <c r="AN34" s="303"/>
      <c r="AO34" s="303"/>
      <c r="AP34" s="303"/>
      <c r="AQ34" s="303"/>
      <c r="AR34" s="303"/>
      <c r="AS34" s="304">
        <f>MAX(0,MIN(99,IF(AY34="",N(AV34),N(AY34))+N(BB34)+N(BE34)))</f>
        <v>10</v>
      </c>
      <c r="AT34" s="304"/>
      <c r="AU34" s="304"/>
      <c r="AV34" s="305">
        <v>10</v>
      </c>
      <c r="AW34" s="305"/>
      <c r="AX34" s="305"/>
      <c r="AY34" s="139" t="str">
        <f ca="1">IF(职业选项!V81&gt;0,职业选项!V81,"")</f>
        <v/>
      </c>
      <c r="AZ34" s="139"/>
      <c r="BA34" s="139"/>
      <c r="BB34" s="139" t="str">
        <f ca="1">规则数据!H70</f>
        <v/>
      </c>
      <c r="BC34" s="139"/>
      <c r="BD34" s="139"/>
      <c r="BE34" s="139">
        <f>'幕间计算'!B52+IF(AND('幕间计算'!A52&lt;&gt;"",COUNTIF('幕间计算'!$A$2:A52,'幕间计算'!A52)=1),SUMIF('幕间与结算'!$E$9:$E$208,'幕间计算'!A52,'幕间与结算'!$K$9:$K$208)+SUMIF('幕间与结算'!$C$215:$C$454,'幕间计算'!A52,'幕间与结算'!$G$215:$G$454),0)</f>
        <v>0</v>
      </c>
      <c r="BF34" s="139"/>
      <c r="BG34" s="308"/>
      <c r="BH34" s="359"/>
      <c r="BI34" s="358"/>
      <c r="BJ34" s="309"/>
      <c r="BK34" s="309"/>
      <c r="BL34" s="309"/>
      <c r="BM34" s="309"/>
      <c r="BN34" s="309"/>
      <c r="BO34" s="309"/>
      <c r="BP34" s="309"/>
      <c r="BQ34" s="309"/>
      <c r="BR34" s="309"/>
      <c r="BS34" s="309"/>
      <c r="BT34" s="309"/>
      <c r="BU34" s="309"/>
      <c r="BV34" s="309"/>
      <c r="BW34" s="309"/>
      <c r="BX34" s="309"/>
      <c r="BY34" s="309"/>
      <c r="BZ34" s="309"/>
      <c r="CA34" s="309"/>
      <c r="CB34" s="309"/>
      <c r="CC34" s="309"/>
      <c r="CD34" s="309"/>
      <c r="CE34" s="309"/>
      <c r="CF34" s="309"/>
      <c r="CG34" s="309"/>
      <c r="CH34" s="309"/>
      <c r="CI34" s="309"/>
      <c r="CJ34" s="309"/>
      <c r="CK34" s="309"/>
      <c r="CL34" s="309"/>
      <c r="CM34" s="309"/>
      <c r="CN34" s="309"/>
      <c r="CO34" s="309"/>
      <c r="CP34" s="309"/>
      <c r="CQ34" s="309"/>
      <c r="CR34" s="309"/>
      <c r="CS34" s="309"/>
      <c r="CT34" s="309"/>
      <c r="CU34" s="309"/>
      <c r="CV34" s="309"/>
      <c r="CW34" s="309"/>
      <c r="CX34" s="310"/>
      <c r="CY34" s="92"/>
      <c r="CZ34" s="351"/>
      <c r="DA34" s="309"/>
      <c r="DB34" s="309"/>
      <c r="DC34" s="309"/>
      <c r="DD34" s="309"/>
      <c r="DE34" s="309"/>
      <c r="DF34" s="309"/>
      <c r="DG34" s="309"/>
      <c r="DH34" s="309"/>
      <c r="DI34" s="309"/>
      <c r="DJ34" s="309"/>
      <c r="DK34" s="309"/>
      <c r="DL34" s="309"/>
      <c r="DM34" s="309"/>
      <c r="DN34" s="309"/>
      <c r="DO34" s="309"/>
      <c r="DP34" s="309"/>
      <c r="DQ34" s="309"/>
      <c r="DR34" s="309"/>
      <c r="DS34" s="309"/>
      <c r="DT34" s="309"/>
      <c r="DU34" s="309"/>
      <c r="DV34" s="309"/>
      <c r="DW34" s="309"/>
      <c r="DX34" s="309"/>
      <c r="DY34" s="309"/>
      <c r="DZ34" s="309"/>
      <c r="EA34" s="309"/>
      <c r="EB34" s="309"/>
      <c r="EC34" s="309"/>
      <c r="ED34" s="355"/>
      <c r="EE34" s="356"/>
      <c r="EF34" s="312"/>
      <c r="EG34" s="354"/>
      <c r="EH34" s="92"/>
      <c r="EI34" s="348"/>
      <c r="EJ34" s="349"/>
      <c r="EK34" s="349"/>
      <c r="EL34" s="349"/>
      <c r="EM34" s="349"/>
      <c r="EN34" s="349"/>
      <c r="EO34" s="349"/>
      <c r="EP34" s="349"/>
      <c r="EQ34" s="349"/>
      <c r="ER34" s="349"/>
      <c r="ES34" s="349"/>
      <c r="ET34" s="349"/>
      <c r="EU34" s="349"/>
      <c r="EV34" s="349"/>
      <c r="EW34" s="349"/>
      <c r="EX34" s="349"/>
      <c r="EY34" s="350"/>
      <c r="EZ34" s="77"/>
    </row>
    <row r="35" customHeight="1" spans="1:156">
      <c r="A35" s="92"/>
      <c r="B35" s="301" t="str">
        <f>IF(AND('幕间计算'!A23&lt;&gt;"",COUNTIFS('幕间计算'!$A$210:$A$409,IFERROR(VALUE('幕间与结算'!$B$3),0),'幕间计算'!$B$210:$B$409,1,'幕间与结算'!$E$9:$E$208,'幕间计算'!A23)&gt;0,COUNTIFS('幕间计算'!$A$500:$A$739,IFERROR(VALUE('幕间与结算'!$B$3),0),'幕间计算'!$C$500:$C$739,1,'幕间与结算'!$C$215:$C$454,'幕间计算'!A23)=0),"√","☐")</f>
        <v>☐</v>
      </c>
      <c r="C35" s="302"/>
      <c r="D35" s="303" t="s">
        <v>102</v>
      </c>
      <c r="E35" s="303"/>
      <c r="F35" s="303"/>
      <c r="G35" s="303"/>
      <c r="H35" s="303"/>
      <c r="I35" s="303"/>
      <c r="J35" s="303"/>
      <c r="K35" s="303"/>
      <c r="L35" s="303"/>
      <c r="M35" s="303"/>
      <c r="N35" s="303"/>
      <c r="O35" s="303"/>
      <c r="P35" s="304">
        <f>MAX(0,MIN(99,IF(V35="",N(S35),N(V35))+N(Y35)+N(AB35)))</f>
        <v>10</v>
      </c>
      <c r="Q35" s="304"/>
      <c r="R35" s="304"/>
      <c r="S35" s="305">
        <v>10</v>
      </c>
      <c r="T35" s="305"/>
      <c r="U35" s="305"/>
      <c r="V35" s="139" t="str">
        <f ca="1">IF(职业选项!V82&gt;0,职业选项!V82,"")</f>
        <v/>
      </c>
      <c r="W35" s="139"/>
      <c r="X35" s="139"/>
      <c r="Y35" s="139" t="str">
        <f ca="1">规则数据!H41</f>
        <v/>
      </c>
      <c r="Z35" s="139"/>
      <c r="AA35" s="139"/>
      <c r="AB35" s="139">
        <f>'幕间计算'!B23+IF(AND('幕间计算'!A23&lt;&gt;"",COUNTIF('幕间计算'!$A$2:A23,'幕间计算'!A23)=1),SUMIF('幕间与结算'!$E$9:$E$208,'幕间计算'!A23,'幕间与结算'!$K$9:$K$208)+SUMIF('幕间与结算'!$C$215:$C$454,'幕间计算'!A23,'幕间与结算'!$G$215:$G$454),0)</f>
        <v>0</v>
      </c>
      <c r="AC35" s="139"/>
      <c r="AD35" s="306"/>
      <c r="AE35" s="307" t="str">
        <f>IF(AND('幕间计算'!A53&lt;&gt;"",COUNTIFS('幕间计算'!$A$210:$A$409,IFERROR(VALUE('幕间与结算'!$B$3),0),'幕间计算'!$B$210:$B$409,1,'幕间与结算'!$E$9:$E$208,'幕间计算'!A53)&gt;0,COUNTIFS('幕间计算'!$A$500:$A$739,IFERROR(VALUE('幕间与结算'!$B$3),0),'幕间计算'!$C$500:$C$739,1,'幕间与结算'!$C$215:$C$454,'幕间计算'!A53)=0),"√","☐")</f>
        <v>☐</v>
      </c>
      <c r="AF35" s="302"/>
      <c r="AG35" s="303" t="s">
        <v>103</v>
      </c>
      <c r="AH35" s="303"/>
      <c r="AI35" s="303"/>
      <c r="AJ35" s="303"/>
      <c r="AK35" s="303"/>
      <c r="AL35" s="303"/>
      <c r="AM35" s="303"/>
      <c r="AN35" s="303"/>
      <c r="AO35" s="303"/>
      <c r="AP35" s="303"/>
      <c r="AQ35" s="303"/>
      <c r="AR35" s="303"/>
      <c r="AS35" s="304">
        <f>MAX(0,MIN(99,IF(AY35="",N(AV35),N(AY35))+N(BB35)+N(BE35)))</f>
        <v>0</v>
      </c>
      <c r="AT35" s="304"/>
      <c r="AU35" s="304"/>
      <c r="AV35" s="305">
        <v>0</v>
      </c>
      <c r="AW35" s="305"/>
      <c r="AX35" s="305"/>
      <c r="AY35" s="139" t="str">
        <f ca="1">IF(职业选项!V83&gt;0,职业选项!V83,"")</f>
        <v/>
      </c>
      <c r="AZ35" s="139"/>
      <c r="BA35" s="139"/>
      <c r="BB35" s="139" t="str">
        <f ca="1">规则数据!H71</f>
        <v/>
      </c>
      <c r="BC35" s="139"/>
      <c r="BD35" s="139"/>
      <c r="BE35" s="139">
        <f>'幕间计算'!B53+IF(AND('幕间计算'!A53&lt;&gt;"",COUNTIF('幕间计算'!$A$2:A53,'幕间计算'!A53)=1),SUMIF('幕间与结算'!$E$9:$E$208,'幕间计算'!A53,'幕间与结算'!$K$9:$K$208)+SUMIF('幕间与结算'!$C$215:$C$454,'幕间计算'!A53,'幕间与结算'!$G$215:$G$454),0)</f>
        <v>0</v>
      </c>
      <c r="BF35" s="139"/>
      <c r="BG35" s="308"/>
      <c r="BH35" s="359"/>
      <c r="BI35" s="358"/>
      <c r="BJ35" s="309"/>
      <c r="BK35" s="309"/>
      <c r="BL35" s="309"/>
      <c r="BM35" s="309"/>
      <c r="BN35" s="309"/>
      <c r="BO35" s="309"/>
      <c r="BP35" s="309"/>
      <c r="BQ35" s="309"/>
      <c r="BR35" s="309"/>
      <c r="BS35" s="309"/>
      <c r="BT35" s="309"/>
      <c r="BU35" s="309"/>
      <c r="BV35" s="309"/>
      <c r="BW35" s="309"/>
      <c r="BX35" s="309"/>
      <c r="BY35" s="309"/>
      <c r="BZ35" s="309"/>
      <c r="CA35" s="309"/>
      <c r="CB35" s="309"/>
      <c r="CC35" s="309"/>
      <c r="CD35" s="309"/>
      <c r="CE35" s="309"/>
      <c r="CF35" s="309"/>
      <c r="CG35" s="309"/>
      <c r="CH35" s="309"/>
      <c r="CI35" s="309"/>
      <c r="CJ35" s="309"/>
      <c r="CK35" s="309"/>
      <c r="CL35" s="309"/>
      <c r="CM35" s="309"/>
      <c r="CN35" s="309"/>
      <c r="CO35" s="309"/>
      <c r="CP35" s="309"/>
      <c r="CQ35" s="309"/>
      <c r="CR35" s="309"/>
      <c r="CS35" s="309"/>
      <c r="CT35" s="309"/>
      <c r="CU35" s="309"/>
      <c r="CV35" s="309"/>
      <c r="CW35" s="309"/>
      <c r="CX35" s="310"/>
      <c r="CY35" s="92"/>
      <c r="CZ35" s="351"/>
      <c r="DA35" s="309"/>
      <c r="DB35" s="309"/>
      <c r="DC35" s="309"/>
      <c r="DD35" s="309"/>
      <c r="DE35" s="309"/>
      <c r="DF35" s="309"/>
      <c r="DG35" s="309"/>
      <c r="DH35" s="309"/>
      <c r="DI35" s="309"/>
      <c r="DJ35" s="309"/>
      <c r="DK35" s="309"/>
      <c r="DL35" s="309"/>
      <c r="DM35" s="309"/>
      <c r="DN35" s="309"/>
      <c r="DO35" s="309"/>
      <c r="DP35" s="309"/>
      <c r="DQ35" s="309"/>
      <c r="DR35" s="309"/>
      <c r="DS35" s="309"/>
      <c r="DT35" s="309"/>
      <c r="DU35" s="309"/>
      <c r="DV35" s="309"/>
      <c r="DW35" s="309"/>
      <c r="DX35" s="309"/>
      <c r="DY35" s="309"/>
      <c r="DZ35" s="309"/>
      <c r="EA35" s="309"/>
      <c r="EB35" s="309"/>
      <c r="EC35" s="309"/>
      <c r="ED35" s="132" t="s">
        <v>84</v>
      </c>
      <c r="EE35" s="132"/>
      <c r="EF35" s="132" t="s">
        <v>85</v>
      </c>
      <c r="EG35" s="357"/>
      <c r="EH35" s="92"/>
      <c r="EI35" s="348"/>
      <c r="EJ35" s="349"/>
      <c r="EK35" s="349"/>
      <c r="EL35" s="349"/>
      <c r="EM35" s="349"/>
      <c r="EN35" s="349"/>
      <c r="EO35" s="349"/>
      <c r="EP35" s="349"/>
      <c r="EQ35" s="349"/>
      <c r="ER35" s="349"/>
      <c r="ES35" s="349"/>
      <c r="ET35" s="349"/>
      <c r="EU35" s="349"/>
      <c r="EV35" s="349"/>
      <c r="EW35" s="349"/>
      <c r="EX35" s="349"/>
      <c r="EY35" s="350"/>
      <c r="EZ35" s="77"/>
    </row>
    <row r="36" customHeight="1" spans="1:156">
      <c r="A36" s="92"/>
      <c r="B36" s="301" t="str">
        <f>IF(AND('幕间计算'!A24&lt;&gt;"",COUNTIFS('幕间计算'!$A$210:$A$409,IFERROR(VALUE('幕间与结算'!$B$3),0),'幕间计算'!$B$210:$B$409,1,'幕间与结算'!$E$9:$E$208,'幕间计算'!A24)&gt;0,COUNTIFS('幕间计算'!$A$500:$A$739,IFERROR(VALUE('幕间与结算'!$B$3),0),'幕间计算'!$C$500:$C$739,1,'幕间与结算'!$C$215:$C$454,'幕间计算'!A24)=0),"√","☐")</f>
        <v>☐</v>
      </c>
      <c r="C36" s="302"/>
      <c r="D36" s="330" t="s">
        <v>104</v>
      </c>
      <c r="E36" s="331"/>
      <c r="F36" s="331"/>
      <c r="G36" s="331"/>
      <c r="H36" s="331"/>
      <c r="I36" s="331"/>
      <c r="J36" s="332" t="str">
        <f>IF(COUNTIF(职业选项!$I$2:$I$28,"外语1")&gt;0,IFERROR(INDEX(职业选项!$F$2:$F$28,MATCH("外语1",职业选项!$I$2:$I$28,0)),""),IFERROR(MID(IFERROR(INDEX(规则数据!$C$2:$C$9,SMALL(规则数据!$AT$2:$AT$9,1-COUNTIF(职业选项!$C$2:$C$28,"外语"))),""),LEN("外语")+2,LEN(IFERROR(INDEX(规则数据!$C$2:$C$9,SMALL(规则数据!$AT$2:$AT$9,1-COUNTIF(职业选项!$C$2:$C$28,"外语"))),""))-LEN("外语")-2),""))</f>
        <v/>
      </c>
      <c r="K36" s="332"/>
      <c r="L36" s="332"/>
      <c r="M36" s="332"/>
      <c r="N36" s="332"/>
      <c r="O36" s="333"/>
      <c r="P36" s="304">
        <f>MAX(0,MIN(99,IF(V36="",N(S36),N(V36))+N(Y36)+N(AB36)))</f>
        <v>0</v>
      </c>
      <c r="Q36" s="304"/>
      <c r="R36" s="304"/>
      <c r="S36" s="305">
        <v>0</v>
      </c>
      <c r="T36" s="305"/>
      <c r="U36" s="305"/>
      <c r="V36" s="139" t="str">
        <f ca="1">IF(职业选项!V84&gt;0,职业选项!V84,"")</f>
        <v/>
      </c>
      <c r="W36" s="139"/>
      <c r="X36" s="139"/>
      <c r="Y36" s="139" t="str">
        <f ca="1">规则数据!H42</f>
        <v/>
      </c>
      <c r="Z36" s="139"/>
      <c r="AA36" s="139"/>
      <c r="AB36" s="139">
        <f>'幕间计算'!B24+IF(AND('幕间计算'!A24&lt;&gt;"",COUNTIF('幕间计算'!$A$2:A24,'幕间计算'!A24)=1),SUMIF('幕间与结算'!$E$9:$E$208,'幕间计算'!A24,'幕间与结算'!$K$9:$K$208)+SUMIF('幕间与结算'!$C$215:$C$454,'幕间计算'!A24,'幕间与结算'!$G$215:$G$454),0)</f>
        <v>0</v>
      </c>
      <c r="AC36" s="139"/>
      <c r="AD36" s="306"/>
      <c r="AE36" s="307" t="str">
        <f>IF(AND('幕间计算'!A54&lt;&gt;"",COUNTIFS('幕间计算'!$A$210:$A$409,IFERROR(VALUE('幕间与结算'!$B$3),0),'幕间计算'!$B$210:$B$409,1,'幕间与结算'!$E$9:$E$208,'幕间计算'!A54)&gt;0,COUNTIFS('幕间计算'!$A$500:$A$739,IFERROR(VALUE('幕间与结算'!$B$3),0),'幕间计算'!$C$500:$C$739,1,'幕间与结算'!$C$215:$C$454,'幕间计算'!A54)=0),"√","☐")</f>
        <v>☐</v>
      </c>
      <c r="AF36" s="302"/>
      <c r="AG36" s="303" t="s">
        <v>105</v>
      </c>
      <c r="AH36" s="303"/>
      <c r="AI36" s="303"/>
      <c r="AJ36" s="303"/>
      <c r="AK36" s="303"/>
      <c r="AL36" s="303"/>
      <c r="AM36" s="303"/>
      <c r="AN36" s="303"/>
      <c r="AO36" s="303"/>
      <c r="AP36" s="303"/>
      <c r="AQ36" s="303"/>
      <c r="AR36" s="303"/>
      <c r="AS36" s="304">
        <f>MAX(0,MIN(99,IF(AY36="",N(AV36),N(AY36))+N(BB36)+N(BE36)))</f>
        <v>10</v>
      </c>
      <c r="AT36" s="304"/>
      <c r="AU36" s="304"/>
      <c r="AV36" s="305">
        <v>10</v>
      </c>
      <c r="AW36" s="305"/>
      <c r="AX36" s="305"/>
      <c r="AY36" s="139" t="str">
        <f ca="1">IF(职业选项!V85&gt;0,职业选项!V85,"")</f>
        <v/>
      </c>
      <c r="AZ36" s="139"/>
      <c r="BA36" s="139"/>
      <c r="BB36" s="139" t="str">
        <f ca="1">规则数据!H72</f>
        <v/>
      </c>
      <c r="BC36" s="139"/>
      <c r="BD36" s="139"/>
      <c r="BE36" s="139">
        <f>'幕间计算'!B54+IF(AND('幕间计算'!A54&lt;&gt;"",COUNTIF('幕间计算'!$A$2:A54,'幕间计算'!A54)=1),SUMIF('幕间与结算'!$E$9:$E$208,'幕间计算'!A54,'幕间与结算'!$K$9:$K$208)+SUMIF('幕间与结算'!$C$215:$C$454,'幕间计算'!A54,'幕间与结算'!$G$215:$G$454),0)</f>
        <v>0</v>
      </c>
      <c r="BF36" s="139"/>
      <c r="BG36" s="308"/>
      <c r="BH36" s="359"/>
      <c r="BI36" s="358"/>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10"/>
      <c r="CY36" s="92"/>
      <c r="CZ36" s="351"/>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52" t="str">
        <f>IF(CZ35="","",MAX(0,MIN(EF$22,IF('幕间计算'!Q6&gt;0,IFERROR(INDEX('幕间与结算'!$F$9:$F$208,'幕间计算'!Q6-8),0)+SUMIFS('幕间与结算'!$K$9:$K$208,'幕间与结算'!$E$9:$E$208,"重要关系5",'幕间计算'!$F$210:$F$409,"&gt;="&amp;'幕间计算'!Q6)-SUMIFS('幕间计算'!$D$210:$D$409,'幕间与结算'!$L$9:$L$208,"重要关系5",'幕间计算'!$F$210:$F$409,"&gt;="&amp;'幕间计算'!Q6)+SUMIFS('幕间与结算'!$K$9:$K$208,'幕间与结算'!$E$9:$E$208,"魅力",'幕间与结算'!$K$9:$K$208,"&lt;0",'幕间计算'!$F$210:$F$409,"&gt;="&amp;'幕间计算'!Q6),N('幕间计算'!P6)+SUMIF('幕间与结算'!$E$9:$E$208,"重要关系5",'幕间与结算'!$K$9:$K$208)-SUMIF('幕间与结算'!$L$9:$L$208,"重要关系5",'幕间计算'!$D$210:$D$409)+SUMIFS('幕间与结算'!$K$9:$K$208,'幕间与结算'!$E$9:$E$208,"魅力",'幕间与结算'!$K$9:$K$208,"&lt;0")))))</f>
        <v/>
      </c>
      <c r="EE36" s="353"/>
      <c r="EF36" s="312" t="s">
        <v>88</v>
      </c>
      <c r="EG36" s="354"/>
      <c r="EH36" s="92"/>
      <c r="EI36" s="348"/>
      <c r="EJ36" s="349"/>
      <c r="EK36" s="349"/>
      <c r="EL36" s="349"/>
      <c r="EM36" s="349"/>
      <c r="EN36" s="349"/>
      <c r="EO36" s="349"/>
      <c r="EP36" s="349"/>
      <c r="EQ36" s="349"/>
      <c r="ER36" s="349"/>
      <c r="ES36" s="349"/>
      <c r="ET36" s="349"/>
      <c r="EU36" s="349"/>
      <c r="EV36" s="349"/>
      <c r="EW36" s="349"/>
      <c r="EX36" s="349"/>
      <c r="EY36" s="350"/>
      <c r="EZ36" s="77"/>
    </row>
    <row r="37" customHeight="1" spans="1:156">
      <c r="A37" s="92"/>
      <c r="B37" s="301" t="str">
        <f>IF(AND('幕间计算'!A25&lt;&gt;"",COUNTIFS('幕间计算'!$A$210:$A$409,IFERROR(VALUE('幕间与结算'!$B$3),0),'幕间计算'!$B$210:$B$409,1,'幕间与结算'!$E$9:$E$208,'幕间计算'!A25)&gt;0,COUNTIFS('幕间计算'!$A$500:$A$739,IFERROR(VALUE('幕间与结算'!$B$3),0),'幕间计算'!$C$500:$C$739,1,'幕间与结算'!$C$215:$C$454,'幕间计算'!A25)=0),"√","☐")</f>
        <v>☐</v>
      </c>
      <c r="C37" s="302"/>
      <c r="D37" s="321" t="s">
        <v>104</v>
      </c>
      <c r="E37" s="322"/>
      <c r="F37" s="322"/>
      <c r="G37" s="322"/>
      <c r="H37" s="322"/>
      <c r="I37" s="322"/>
      <c r="J37" s="323" t="str">
        <f>IF(COUNTIF(职业选项!$I$2:$I$28,"外语2")&gt;0,IFERROR(INDEX(职业选项!$F$2:$F$28,MATCH("外语2",职业选项!$I$2:$I$28,0)),""),IFERROR(MID(IFERROR(INDEX(规则数据!$C$2:$C$9,SMALL(规则数据!$AT$2:$AT$9,2-COUNTIF(职业选项!$C$2:$C$28,"外语"))),""),LEN("外语")+2,LEN(IFERROR(INDEX(规则数据!$C$2:$C$9,SMALL(规则数据!$AT$2:$AT$9,2-COUNTIF(职业选项!$C$2:$C$28,"外语"))),""))-LEN("外语")-2),""))</f>
        <v/>
      </c>
      <c r="K37" s="323"/>
      <c r="L37" s="323"/>
      <c r="M37" s="323"/>
      <c r="N37" s="323"/>
      <c r="O37" s="324"/>
      <c r="P37" s="304">
        <f>MAX(0,MIN(99,IF(V37="",N(S37),N(V37))+N(Y37)+N(AB37)))</f>
        <v>0</v>
      </c>
      <c r="Q37" s="304"/>
      <c r="R37" s="304"/>
      <c r="S37" s="305">
        <v>0</v>
      </c>
      <c r="T37" s="305"/>
      <c r="U37" s="305"/>
      <c r="V37" s="139" t="str">
        <f ca="1">IF(职业选项!V86&gt;0,职业选项!V86,"")</f>
        <v/>
      </c>
      <c r="W37" s="139"/>
      <c r="X37" s="139"/>
      <c r="Y37" s="139" t="str">
        <f ca="1">规则数据!H43</f>
        <v/>
      </c>
      <c r="Z37" s="139"/>
      <c r="AA37" s="139"/>
      <c r="AB37" s="139">
        <f>'幕间计算'!B25+IF(AND('幕间计算'!A25&lt;&gt;"",COUNTIF('幕间计算'!$A$2:A25,'幕间计算'!A25)=1),SUMIF('幕间与结算'!$E$9:$E$208,'幕间计算'!A25,'幕间与结算'!$K$9:$K$208)+SUMIF('幕间与结算'!$C$215:$C$454,'幕间计算'!A25,'幕间与结算'!$G$215:$G$454),0)</f>
        <v>0</v>
      </c>
      <c r="AC37" s="139"/>
      <c r="AD37" s="306"/>
      <c r="AE37" s="307" t="str">
        <f>IF(AND('幕间计算'!A55&lt;&gt;"",COUNTIFS('幕间计算'!$A$210:$A$409,IFERROR(VALUE('幕间与结算'!$B$3),0),'幕间计算'!$B$210:$B$409,1,'幕间与结算'!$E$9:$E$208,'幕间计算'!A55)&gt;0,COUNTIFS('幕间计算'!$A$500:$A$739,IFERROR(VALUE('幕间与结算'!$B$3),0),'幕间计算'!$C$500:$C$739,1,'幕间与结算'!$C$215:$C$454,'幕间计算'!A55)=0),"√","☐")</f>
        <v>☐</v>
      </c>
      <c r="AF37" s="302"/>
      <c r="AG37" s="303" t="s">
        <v>106</v>
      </c>
      <c r="AH37" s="303"/>
      <c r="AI37" s="303"/>
      <c r="AJ37" s="303"/>
      <c r="AK37" s="303"/>
      <c r="AL37" s="303"/>
      <c r="AM37" s="303"/>
      <c r="AN37" s="303"/>
      <c r="AO37" s="303"/>
      <c r="AP37" s="303"/>
      <c r="AQ37" s="303"/>
      <c r="AR37" s="303"/>
      <c r="AS37" s="304">
        <f>MAX(0,MIN(99,IF(AY37="",N(AV37),N(AY37))+N(BB37)+N(BE37)))</f>
        <v>20</v>
      </c>
      <c r="AT37" s="304"/>
      <c r="AU37" s="304"/>
      <c r="AV37" s="305">
        <v>20</v>
      </c>
      <c r="AW37" s="305"/>
      <c r="AX37" s="305"/>
      <c r="AY37" s="139" t="str">
        <f ca="1">IF(职业选项!V87&gt;0,职业选项!V87,"")</f>
        <v/>
      </c>
      <c r="AZ37" s="139"/>
      <c r="BA37" s="139"/>
      <c r="BB37" s="139" t="str">
        <f ca="1">规则数据!H73</f>
        <v/>
      </c>
      <c r="BC37" s="139"/>
      <c r="BD37" s="139"/>
      <c r="BE37" s="139">
        <f>'幕间计算'!B55+IF(AND('幕间计算'!A55&lt;&gt;"",COUNTIF('幕间计算'!$A$2:A55,'幕间计算'!A55)=1),SUMIF('幕间与结算'!$E$9:$E$208,'幕间计算'!A55,'幕间与结算'!$K$9:$K$208)+SUMIF('幕间与结算'!$C$215:$C$454,'幕间计算'!A55,'幕间与结算'!$G$215:$G$454),0)</f>
        <v>0</v>
      </c>
      <c r="BF37" s="139"/>
      <c r="BG37" s="308"/>
      <c r="BH37" s="359"/>
      <c r="BI37" s="358"/>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10"/>
      <c r="CY37" s="92"/>
      <c r="CZ37" s="351"/>
      <c r="DA37" s="309"/>
      <c r="DB37" s="309"/>
      <c r="DC37" s="309"/>
      <c r="DD37" s="309"/>
      <c r="DE37" s="309"/>
      <c r="DF37" s="309"/>
      <c r="DG37" s="309"/>
      <c r="DH37" s="309"/>
      <c r="DI37" s="309"/>
      <c r="DJ37" s="309"/>
      <c r="DK37" s="309"/>
      <c r="DL37" s="309"/>
      <c r="DM37" s="309"/>
      <c r="DN37" s="309"/>
      <c r="DO37" s="309"/>
      <c r="DP37" s="309"/>
      <c r="DQ37" s="309"/>
      <c r="DR37" s="309"/>
      <c r="DS37" s="309"/>
      <c r="DT37" s="309"/>
      <c r="DU37" s="309"/>
      <c r="DV37" s="309"/>
      <c r="DW37" s="309"/>
      <c r="DX37" s="309"/>
      <c r="DY37" s="309"/>
      <c r="DZ37" s="309"/>
      <c r="EA37" s="309"/>
      <c r="EB37" s="309"/>
      <c r="EC37" s="309"/>
      <c r="ED37" s="355"/>
      <c r="EE37" s="356"/>
      <c r="EF37" s="312"/>
      <c r="EG37" s="354"/>
      <c r="EH37" s="92"/>
      <c r="EI37" s="348"/>
      <c r="EJ37" s="349"/>
      <c r="EK37" s="349"/>
      <c r="EL37" s="349"/>
      <c r="EM37" s="349"/>
      <c r="EN37" s="349"/>
      <c r="EO37" s="349"/>
      <c r="EP37" s="349"/>
      <c r="EQ37" s="349"/>
      <c r="ER37" s="349"/>
      <c r="ES37" s="349"/>
      <c r="ET37" s="349"/>
      <c r="EU37" s="349"/>
      <c r="EV37" s="349"/>
      <c r="EW37" s="349"/>
      <c r="EX37" s="349"/>
      <c r="EY37" s="350"/>
      <c r="EZ37" s="77"/>
    </row>
    <row r="38" customHeight="1" spans="1:156">
      <c r="A38" s="92"/>
      <c r="B38" s="301" t="str">
        <f>IF(AND('幕间计算'!A26&lt;&gt;"",COUNTIFS('幕间计算'!$A$210:$A$409,IFERROR(VALUE('幕间与结算'!$B$3),0),'幕间计算'!$B$210:$B$409,1,'幕间与结算'!$E$9:$E$208,'幕间计算'!A26)&gt;0,COUNTIFS('幕间计算'!$A$500:$A$739,IFERROR(VALUE('幕间与结算'!$B$3),0),'幕间计算'!$C$500:$C$739,1,'幕间与结算'!$C$215:$C$454,'幕间计算'!A26)=0),"√","☐")</f>
        <v>☐</v>
      </c>
      <c r="C38" s="302"/>
      <c r="D38" s="330" t="s">
        <v>104</v>
      </c>
      <c r="E38" s="331"/>
      <c r="F38" s="331"/>
      <c r="G38" s="331"/>
      <c r="H38" s="331"/>
      <c r="I38" s="331"/>
      <c r="J38" s="332" t="str">
        <f ca="1">IF(COUNTIF(职业选项!$I$2:$I$28,"外语3")&gt;0,IFERROR(INDEX(职业选项!$F$2:$F$28,MATCH("外语3",职业选项!$I$2:$I$28,0)),""),IFERROR(MID(IFERROR(INDEX(规则数据!$C$2:$C$9,SMALL(规则数据!$AT$2:$AT$9,3-COUNTIF(职业选项!$C$2:$C$28,"外语"))),""),LEN("外语")+2,LEN(IFERROR(INDEX(规则数据!$C$2:$C$9,SMALL(规则数据!$AT$2:$AT$9,3-COUNTIF(职业选项!$C$2:$C$28,"外语"))),""))-LEN("外语")-2),""))</f>
        <v/>
      </c>
      <c r="K38" s="332"/>
      <c r="L38" s="332"/>
      <c r="M38" s="332"/>
      <c r="N38" s="332"/>
      <c r="O38" s="333"/>
      <c r="P38" s="304">
        <f>MAX(0,MIN(99,IF(V38="",N(S38),N(V38))+N(Y38)+N(AB38)))</f>
        <v>0</v>
      </c>
      <c r="Q38" s="304"/>
      <c r="R38" s="304"/>
      <c r="S38" s="305">
        <v>0</v>
      </c>
      <c r="T38" s="305"/>
      <c r="U38" s="305"/>
      <c r="V38" s="139" t="str">
        <f ca="1">IF(职业选项!V88&gt;0,职业选项!V88,"")</f>
        <v/>
      </c>
      <c r="W38" s="139"/>
      <c r="X38" s="139"/>
      <c r="Y38" s="139" t="str">
        <f ca="1">规则数据!H44</f>
        <v/>
      </c>
      <c r="Z38" s="139"/>
      <c r="AA38" s="139"/>
      <c r="AB38" s="139">
        <f>'幕间计算'!B26+IF(AND('幕间计算'!A26&lt;&gt;"",COUNTIF('幕间计算'!$A$2:A26,'幕间计算'!A26)=1),SUMIF('幕间与结算'!$E$9:$E$208,'幕间计算'!A26,'幕间与结算'!$K$9:$K$208)+SUMIF('幕间与结算'!$C$215:$C$454,'幕间计算'!A26,'幕间与结算'!$G$215:$G$454),0)</f>
        <v>0</v>
      </c>
      <c r="AC38" s="139"/>
      <c r="AD38" s="306"/>
      <c r="AE38" s="307" t="str">
        <f>IF(AND('幕间计算'!A56&lt;&gt;"",COUNTIFS('幕间计算'!$A$210:$A$409,IFERROR(VALUE('幕间与结算'!$B$3),0),'幕间计算'!$B$210:$B$409,1,'幕间与结算'!$E$9:$E$208,'幕间计算'!A56)&gt;0,COUNTIFS('幕间计算'!$A$500:$A$739,IFERROR(VALUE('幕间与结算'!$B$3),0),'幕间计算'!$C$500:$C$739,1,'幕间与结算'!$C$215:$C$454,'幕间计算'!A56)=0),"√","☐")</f>
        <v>☐</v>
      </c>
      <c r="AF38" s="302"/>
      <c r="AG38" s="303" t="s">
        <v>107</v>
      </c>
      <c r="AH38" s="303"/>
      <c r="AI38" s="303"/>
      <c r="AJ38" s="303"/>
      <c r="AK38" s="303"/>
      <c r="AL38" s="303"/>
      <c r="AM38" s="303"/>
      <c r="AN38" s="303"/>
      <c r="AO38" s="303"/>
      <c r="AP38" s="303"/>
      <c r="AQ38" s="303"/>
      <c r="AR38" s="303"/>
      <c r="AS38" s="304">
        <f>MAX(0,MIN(99,IF(AY38="",N(AV38),N(AY38))+N(BB38)+N(BE38)))</f>
        <v>40</v>
      </c>
      <c r="AT38" s="304"/>
      <c r="AU38" s="304"/>
      <c r="AV38" s="305">
        <v>40</v>
      </c>
      <c r="AW38" s="305"/>
      <c r="AX38" s="305"/>
      <c r="AY38" s="139" t="str">
        <f ca="1">IF(职业选项!V89&gt;0,职业选项!V89,"")</f>
        <v/>
      </c>
      <c r="AZ38" s="139"/>
      <c r="BA38" s="139"/>
      <c r="BB38" s="139" t="str">
        <f ca="1">规则数据!H74</f>
        <v/>
      </c>
      <c r="BC38" s="139"/>
      <c r="BD38" s="139"/>
      <c r="BE38" s="139">
        <f>'幕间计算'!B56+IF(AND('幕间计算'!A56&lt;&gt;"",COUNTIF('幕间计算'!$A$2:A56,'幕间计算'!A56)=1),SUMIF('幕间与结算'!$E$9:$E$208,'幕间计算'!A56,'幕间与结算'!$K$9:$K$208)+SUMIF('幕间与结算'!$C$215:$C$454,'幕间计算'!A56,'幕间与结算'!$G$215:$G$454),0)</f>
        <v>0</v>
      </c>
      <c r="BF38" s="139"/>
      <c r="BG38" s="308"/>
      <c r="BH38" s="359"/>
      <c r="BI38" s="358"/>
      <c r="BJ38" s="309"/>
      <c r="BK38" s="309"/>
      <c r="BL38" s="309"/>
      <c r="BM38" s="309"/>
      <c r="BN38" s="309"/>
      <c r="BO38" s="309"/>
      <c r="BP38" s="309"/>
      <c r="BQ38" s="309"/>
      <c r="BR38" s="309"/>
      <c r="BS38" s="309"/>
      <c r="BT38" s="309"/>
      <c r="BU38" s="309"/>
      <c r="BV38" s="309"/>
      <c r="BW38" s="309"/>
      <c r="BX38" s="309"/>
      <c r="BY38" s="309"/>
      <c r="BZ38" s="309"/>
      <c r="CA38" s="309"/>
      <c r="CB38" s="309"/>
      <c r="CC38" s="309"/>
      <c r="CD38" s="309"/>
      <c r="CE38" s="309"/>
      <c r="CF38" s="309"/>
      <c r="CG38" s="309"/>
      <c r="CH38" s="309"/>
      <c r="CI38" s="309"/>
      <c r="CJ38" s="309"/>
      <c r="CK38" s="309"/>
      <c r="CL38" s="309"/>
      <c r="CM38" s="309"/>
      <c r="CN38" s="309"/>
      <c r="CO38" s="309"/>
      <c r="CP38" s="309"/>
      <c r="CQ38" s="309"/>
      <c r="CR38" s="309"/>
      <c r="CS38" s="309"/>
      <c r="CT38" s="309"/>
      <c r="CU38" s="309"/>
      <c r="CV38" s="309"/>
      <c r="CW38" s="309"/>
      <c r="CX38" s="310"/>
      <c r="CY38" s="92"/>
      <c r="CZ38" s="351"/>
      <c r="DA38" s="309"/>
      <c r="DB38" s="309"/>
      <c r="DC38" s="309"/>
      <c r="DD38" s="309"/>
      <c r="DE38" s="309"/>
      <c r="DF38" s="309"/>
      <c r="DG38" s="309"/>
      <c r="DH38" s="309"/>
      <c r="DI38" s="309"/>
      <c r="DJ38" s="309"/>
      <c r="DK38" s="309"/>
      <c r="DL38" s="309"/>
      <c r="DM38" s="309"/>
      <c r="DN38" s="309"/>
      <c r="DO38" s="309"/>
      <c r="DP38" s="309"/>
      <c r="DQ38" s="309"/>
      <c r="DR38" s="309"/>
      <c r="DS38" s="309"/>
      <c r="DT38" s="309"/>
      <c r="DU38" s="309"/>
      <c r="DV38" s="309"/>
      <c r="DW38" s="309"/>
      <c r="DX38" s="309"/>
      <c r="DY38" s="309"/>
      <c r="DZ38" s="309"/>
      <c r="EA38" s="309"/>
      <c r="EB38" s="309"/>
      <c r="EC38" s="309"/>
      <c r="ED38" s="132" t="s">
        <v>84</v>
      </c>
      <c r="EE38" s="132"/>
      <c r="EF38" s="132" t="s">
        <v>85</v>
      </c>
      <c r="EG38" s="357"/>
      <c r="EH38" s="92"/>
      <c r="EI38" s="348"/>
      <c r="EJ38" s="349"/>
      <c r="EK38" s="349"/>
      <c r="EL38" s="349"/>
      <c r="EM38" s="349"/>
      <c r="EN38" s="349"/>
      <c r="EO38" s="349"/>
      <c r="EP38" s="349"/>
      <c r="EQ38" s="349"/>
      <c r="ER38" s="349"/>
      <c r="ES38" s="349"/>
      <c r="ET38" s="349"/>
      <c r="EU38" s="349"/>
      <c r="EV38" s="349"/>
      <c r="EW38" s="349"/>
      <c r="EX38" s="349"/>
      <c r="EY38" s="350"/>
      <c r="EZ38" s="77"/>
    </row>
    <row r="39" customHeight="1" spans="1:156">
      <c r="A39" s="92"/>
      <c r="B39" s="301" t="str">
        <f>IF(AND('幕间计算'!A27&lt;&gt;"",COUNTIFS('幕间计算'!$A$210:$A$409,IFERROR(VALUE('幕间与结算'!$B$3),0),'幕间计算'!$B$210:$B$409,1,'幕间与结算'!$E$9:$E$208,'幕间计算'!A27)&gt;0,COUNTIFS('幕间计算'!$A$500:$A$739,IFERROR(VALUE('幕间与结算'!$B$3),0),'幕间计算'!$C$500:$C$739,1,'幕间与结算'!$C$215:$C$454,'幕间计算'!A27)=0),"√","☐")</f>
        <v>☐</v>
      </c>
      <c r="C39" s="302"/>
      <c r="D39" s="303" t="s">
        <v>108</v>
      </c>
      <c r="E39" s="303"/>
      <c r="F39" s="303"/>
      <c r="G39" s="303"/>
      <c r="H39" s="303"/>
      <c r="I39" s="303"/>
      <c r="J39" s="303"/>
      <c r="K39" s="303"/>
      <c r="L39" s="303"/>
      <c r="M39" s="303"/>
      <c r="N39" s="303"/>
      <c r="O39" s="303"/>
      <c r="P39" s="304">
        <f>MAX(0,MIN(99,IF(V39="",N(S39),N(V39))+N(Y39)+N(AB39)))</f>
        <v>0</v>
      </c>
      <c r="Q39" s="304"/>
      <c r="R39" s="304"/>
      <c r="S39" s="305">
        <v>0</v>
      </c>
      <c r="T39" s="305"/>
      <c r="U39" s="305"/>
      <c r="V39" s="139" t="str">
        <f ca="1">IF(职业选项!V90&gt;0,职业选项!V90,"")</f>
        <v/>
      </c>
      <c r="W39" s="139"/>
      <c r="X39" s="139"/>
      <c r="Y39" s="139" t="str">
        <f ca="1">规则数据!H45</f>
        <v/>
      </c>
      <c r="Z39" s="139"/>
      <c r="AA39" s="139"/>
      <c r="AB39" s="139">
        <f>'幕间计算'!B27+IF(AND('幕间计算'!A27&lt;&gt;"",COUNTIF('幕间计算'!$A$2:A27,'幕间计算'!A27)=1),SUMIF('幕间与结算'!$E$9:$E$208,'幕间计算'!A27,'幕间与结算'!$K$9:$K$208)+SUMIF('幕间与结算'!$C$215:$C$454,'幕间计算'!A27,'幕间与结算'!$G$215:$G$454),0)</f>
        <v>0</v>
      </c>
      <c r="AC39" s="139"/>
      <c r="AD39" s="306"/>
      <c r="AE39" s="360" t="str">
        <f>IF(AND('幕间计算'!A57&lt;&gt;"",COUNTIFS('幕间计算'!$A$210:$A$409,IFERROR(VALUE('幕间与结算'!$B$3),0),'幕间计算'!$B$210:$B$409,1,'幕间与结算'!$E$9:$E$208,'幕间计算'!A57)&gt;0,COUNTIFS('幕间计算'!$A$500:$A$739,IFERROR(VALUE('幕间与结算'!$B$3),0),'幕间计算'!$C$500:$C$739,1,'幕间与结算'!$C$215:$C$454,'幕间计算'!A57)=0),"√","☐")</f>
        <v>☐</v>
      </c>
      <c r="AF39" s="361"/>
      <c r="AG39" s="303" t="s">
        <v>109</v>
      </c>
      <c r="AH39" s="303"/>
      <c r="AI39" s="303"/>
      <c r="AJ39" s="303"/>
      <c r="AK39" s="303"/>
      <c r="AL39" s="303"/>
      <c r="AM39" s="303"/>
      <c r="AN39" s="303"/>
      <c r="AO39" s="303"/>
      <c r="AP39" s="303"/>
      <c r="AQ39" s="303"/>
      <c r="AR39" s="303"/>
      <c r="AS39" s="304">
        <f>MAX(0,MIN(99,N(BB39)+N(BE39)))</f>
        <v>0</v>
      </c>
      <c r="AT39" s="304"/>
      <c r="AU39" s="304"/>
      <c r="AV39" s="305">
        <v>0</v>
      </c>
      <c r="AW39" s="305"/>
      <c r="AX39" s="305"/>
      <c r="AY39" s="305" t="s">
        <v>110</v>
      </c>
      <c r="AZ39" s="305"/>
      <c r="BA39" s="305"/>
      <c r="BB39" s="305">
        <f>IF(DF46="人类不应知道之事",10,0)</f>
        <v>0</v>
      </c>
      <c r="BC39" s="305"/>
      <c r="BD39" s="305"/>
      <c r="BE39" s="139">
        <f>'幕间计算'!B57+IF(AND('幕间计算'!A57&lt;&gt;"",COUNTIF('幕间计算'!$A$2:A57,'幕间计算'!A57)=1),SUMIF('幕间与结算'!$E$9:$E$208,'幕间计算'!A57,'幕间与结算'!$K$9:$K$208)+SUMIF('幕间与结算'!$C$215:$C$454,'幕间计算'!A57,'幕间与结算'!$G$215:$G$454),0)</f>
        <v>0</v>
      </c>
      <c r="BF39" s="139"/>
      <c r="BG39" s="308"/>
      <c r="BH39" s="359"/>
      <c r="BI39" s="358"/>
      <c r="BJ39" s="309"/>
      <c r="BK39" s="309"/>
      <c r="BL39" s="309"/>
      <c r="BM39" s="309"/>
      <c r="BN39" s="309"/>
      <c r="BO39" s="309"/>
      <c r="BP39" s="309"/>
      <c r="BQ39" s="309"/>
      <c r="BR39" s="309"/>
      <c r="BS39" s="309"/>
      <c r="BT39" s="309"/>
      <c r="BU39" s="309"/>
      <c r="BV39" s="309"/>
      <c r="BW39" s="309"/>
      <c r="BX39" s="309"/>
      <c r="BY39" s="309"/>
      <c r="BZ39" s="309"/>
      <c r="CA39" s="309"/>
      <c r="CB39" s="309"/>
      <c r="CC39" s="309"/>
      <c r="CD39" s="309"/>
      <c r="CE39" s="309"/>
      <c r="CF39" s="309"/>
      <c r="CG39" s="309"/>
      <c r="CH39" s="309"/>
      <c r="CI39" s="309"/>
      <c r="CJ39" s="309"/>
      <c r="CK39" s="309"/>
      <c r="CL39" s="309"/>
      <c r="CM39" s="309"/>
      <c r="CN39" s="309"/>
      <c r="CO39" s="309"/>
      <c r="CP39" s="309"/>
      <c r="CQ39" s="309"/>
      <c r="CR39" s="309"/>
      <c r="CS39" s="309"/>
      <c r="CT39" s="309"/>
      <c r="CU39" s="309"/>
      <c r="CV39" s="309"/>
      <c r="CW39" s="309"/>
      <c r="CX39" s="310"/>
      <c r="CY39" s="92"/>
      <c r="CZ39" s="351"/>
      <c r="DA39" s="309"/>
      <c r="DB39" s="309"/>
      <c r="DC39" s="309"/>
      <c r="DD39" s="309"/>
      <c r="DE39" s="309"/>
      <c r="DF39" s="309"/>
      <c r="DG39" s="309"/>
      <c r="DH39" s="309"/>
      <c r="DI39" s="309"/>
      <c r="DJ39" s="309"/>
      <c r="DK39" s="309"/>
      <c r="DL39" s="309"/>
      <c r="DM39" s="309"/>
      <c r="DN39" s="309"/>
      <c r="DO39" s="309"/>
      <c r="DP39" s="309"/>
      <c r="DQ39" s="309"/>
      <c r="DR39" s="309"/>
      <c r="DS39" s="309"/>
      <c r="DT39" s="309"/>
      <c r="DU39" s="309"/>
      <c r="DV39" s="309"/>
      <c r="DW39" s="309"/>
      <c r="DX39" s="309"/>
      <c r="DY39" s="309"/>
      <c r="DZ39" s="309"/>
      <c r="EA39" s="309"/>
      <c r="EB39" s="309"/>
      <c r="EC39" s="309"/>
      <c r="ED39" s="352" t="str">
        <f>IF(CZ38="","",MAX(0,MIN(EF$22,IF('幕间计算'!Q7&gt;0,IFERROR(INDEX('幕间与结算'!$F$9:$F$208,'幕间计算'!Q7-8),0)+SUMIFS('幕间与结算'!$K$9:$K$208,'幕间与结算'!$E$9:$E$208,"重要关系6",'幕间计算'!$F$210:$F$409,"&gt;="&amp;'幕间计算'!Q7)-SUMIFS('幕间计算'!$D$210:$D$409,'幕间与结算'!$L$9:$L$208,"重要关系6",'幕间计算'!$F$210:$F$409,"&gt;="&amp;'幕间计算'!Q7)+SUMIFS('幕间与结算'!$K$9:$K$208,'幕间与结算'!$E$9:$E$208,"魅力",'幕间与结算'!$K$9:$K$208,"&lt;0",'幕间计算'!$F$210:$F$409,"&gt;="&amp;'幕间计算'!Q7),N('幕间计算'!P7)+SUMIF('幕间与结算'!$E$9:$E$208,"重要关系6",'幕间与结算'!$K$9:$K$208)-SUMIF('幕间与结算'!$L$9:$L$208,"重要关系6",'幕间计算'!$D$210:$D$409)+SUMIFS('幕间与结算'!$K$9:$K$208,'幕间与结算'!$E$9:$E$208,"魅力",'幕间与结算'!$K$9:$K$208,"&lt;0")))))</f>
        <v/>
      </c>
      <c r="EE39" s="353"/>
      <c r="EF39" s="312" t="s">
        <v>88</v>
      </c>
      <c r="EG39" s="354"/>
      <c r="EH39" s="92"/>
      <c r="EI39" s="348"/>
      <c r="EJ39" s="349"/>
      <c r="EK39" s="349"/>
      <c r="EL39" s="349"/>
      <c r="EM39" s="349"/>
      <c r="EN39" s="349"/>
      <c r="EO39" s="349"/>
      <c r="EP39" s="349"/>
      <c r="EQ39" s="349"/>
      <c r="ER39" s="349"/>
      <c r="ES39" s="349"/>
      <c r="ET39" s="349"/>
      <c r="EU39" s="349"/>
      <c r="EV39" s="349"/>
      <c r="EW39" s="349"/>
      <c r="EX39" s="349"/>
      <c r="EY39" s="350"/>
      <c r="EZ39" s="77"/>
    </row>
    <row r="40" customHeight="1" spans="1:156">
      <c r="A40" s="92"/>
      <c r="B40" s="301" t="str">
        <f>IF(AND('幕间计算'!A28&lt;&gt;"",COUNTIFS('幕间计算'!$A$210:$A$409,IFERROR(VALUE('幕间与结算'!$B$3),0),'幕间计算'!$B$210:$B$409,1,'幕间与结算'!$E$9:$E$208,'幕间计算'!A28)&gt;0,COUNTIFS('幕间计算'!$A$500:$A$739,IFERROR(VALUE('幕间与结算'!$B$3),0),'幕间计算'!$C$500:$C$739,1,'幕间与结算'!$C$215:$C$454,'幕间计算'!A28)=0),"√","☐")</f>
        <v>☐</v>
      </c>
      <c r="C40" s="302"/>
      <c r="D40" s="303" t="s">
        <v>111</v>
      </c>
      <c r="E40" s="303"/>
      <c r="F40" s="303"/>
      <c r="G40" s="303"/>
      <c r="H40" s="303"/>
      <c r="I40" s="303"/>
      <c r="J40" s="303"/>
      <c r="K40" s="303"/>
      <c r="L40" s="303"/>
      <c r="M40" s="303"/>
      <c r="N40" s="303"/>
      <c r="O40" s="303"/>
      <c r="P40" s="304">
        <f>MAX(0,MIN(99,IF(V40="",N(S40),N(V40))+N(Y40)+N(AB40)))</f>
        <v>10</v>
      </c>
      <c r="Q40" s="304"/>
      <c r="R40" s="304"/>
      <c r="S40" s="305">
        <v>10</v>
      </c>
      <c r="T40" s="305"/>
      <c r="U40" s="305"/>
      <c r="V40" s="139" t="str">
        <f ca="1">IF(职业选项!V91&gt;0,职业选项!V91,"")</f>
        <v/>
      </c>
      <c r="W40" s="139"/>
      <c r="X40" s="139"/>
      <c r="Y40" s="139" t="str">
        <f ca="1">规则数据!H46</f>
        <v/>
      </c>
      <c r="Z40" s="139"/>
      <c r="AA40" s="139"/>
      <c r="AB40" s="139">
        <f>'幕间计算'!B28+IF(AND('幕间计算'!A28&lt;&gt;"",COUNTIF('幕间计算'!$A$2:A28,'幕间计算'!A28)=1),SUMIF('幕间与结算'!$E$9:$E$208,'幕间计算'!A28,'幕间与结算'!$K$9:$K$208)+SUMIF('幕间与结算'!$C$215:$C$454,'幕间计算'!A28,'幕间与结算'!$G$215:$G$454),0)</f>
        <v>0</v>
      </c>
      <c r="AC40" s="139"/>
      <c r="AD40" s="306"/>
      <c r="AE40" s="307" t="str">
        <f>IF(AND('幕间计算'!A58&lt;&gt;"",COUNTIFS('幕间计算'!$A$210:$A$409,IFERROR(VALUE('幕间与结算'!$B$3),0),'幕间计算'!$B$210:$B$409,1,'幕间与结算'!$E$9:$E$208,'幕间计算'!A58)&gt;0,COUNTIFS('幕间计算'!$A$500:$A$739,IFERROR(VALUE('幕间与结算'!$B$3),0),'幕间计算'!$C$500:$C$739,1,'幕间与结算'!$C$215:$C$454,'幕间计算'!A58)=0),"√","☐")</f>
        <v>☐</v>
      </c>
      <c r="AF40" s="302"/>
      <c r="AG40" s="362" t="str">
        <f ca="1">IFERROR(INDEX(规则数据!$C$2:$C$9,SMALL(规则数据!$AX$2:$AX$9,1)),"")</f>
        <v/>
      </c>
      <c r="AH40" s="362"/>
      <c r="AI40" s="362"/>
      <c r="AJ40" s="362"/>
      <c r="AK40" s="362"/>
      <c r="AL40" s="362"/>
      <c r="AM40" s="362"/>
      <c r="AN40" s="362"/>
      <c r="AO40" s="362"/>
      <c r="AP40" s="362"/>
      <c r="AQ40" s="362"/>
      <c r="AR40" s="362"/>
      <c r="AS40" s="363">
        <f>MAX(0,MIN(99,IF(AY40="",N(AV40),N(AY40))+N(BB40)+N(BE40)))</f>
        <v>0</v>
      </c>
      <c r="AT40" s="363"/>
      <c r="AU40" s="363"/>
      <c r="AV40" s="139"/>
      <c r="AW40" s="139"/>
      <c r="AX40" s="139"/>
      <c r="AY40" s="139"/>
      <c r="AZ40" s="139"/>
      <c r="BA40" s="139"/>
      <c r="BB40" s="139" t="str">
        <f ca="1">规则数据!H75</f>
        <v/>
      </c>
      <c r="BC40" s="139"/>
      <c r="BD40" s="139"/>
      <c r="BE40" s="139">
        <f>'幕间计算'!B58+IF(AND('幕间计算'!A58&lt;&gt;"",COUNTIF('幕间计算'!$A$2:A58,'幕间计算'!A58)=1),SUMIF('幕间与结算'!$E$9:$E$208,'幕间计算'!A58,'幕间与结算'!$K$9:$K$208)+SUMIF('幕间与结算'!$C$215:$C$454,'幕间计算'!A58,'幕间与结算'!$G$215:$G$454),0)</f>
        <v>0</v>
      </c>
      <c r="BF40" s="139"/>
      <c r="BG40" s="308"/>
      <c r="BH40" s="359"/>
      <c r="BI40" s="358"/>
      <c r="BJ40" s="309"/>
      <c r="BK40" s="309"/>
      <c r="BL40" s="309"/>
      <c r="BM40" s="309"/>
      <c r="BN40" s="309"/>
      <c r="BO40" s="309"/>
      <c r="BP40" s="309"/>
      <c r="BQ40" s="309"/>
      <c r="BR40" s="309"/>
      <c r="BS40" s="309"/>
      <c r="BT40" s="309"/>
      <c r="BU40" s="309"/>
      <c r="BV40" s="309"/>
      <c r="BW40" s="309"/>
      <c r="BX40" s="309"/>
      <c r="BY40" s="309"/>
      <c r="BZ40" s="309"/>
      <c r="CA40" s="309"/>
      <c r="CB40" s="309"/>
      <c r="CC40" s="309"/>
      <c r="CD40" s="309"/>
      <c r="CE40" s="309"/>
      <c r="CF40" s="309"/>
      <c r="CG40" s="309"/>
      <c r="CH40" s="309"/>
      <c r="CI40" s="309"/>
      <c r="CJ40" s="309"/>
      <c r="CK40" s="309"/>
      <c r="CL40" s="309"/>
      <c r="CM40" s="309"/>
      <c r="CN40" s="309"/>
      <c r="CO40" s="309"/>
      <c r="CP40" s="309"/>
      <c r="CQ40" s="309"/>
      <c r="CR40" s="309"/>
      <c r="CS40" s="309"/>
      <c r="CT40" s="309"/>
      <c r="CU40" s="309"/>
      <c r="CV40" s="309"/>
      <c r="CW40" s="309"/>
      <c r="CX40" s="310"/>
      <c r="CY40" s="92"/>
      <c r="CZ40" s="351"/>
      <c r="DA40" s="309"/>
      <c r="DB40" s="309"/>
      <c r="DC40" s="309"/>
      <c r="DD40" s="309"/>
      <c r="DE40" s="309"/>
      <c r="DF40" s="309"/>
      <c r="DG40" s="309"/>
      <c r="DH40" s="309"/>
      <c r="DI40" s="309"/>
      <c r="DJ40" s="309"/>
      <c r="DK40" s="309"/>
      <c r="DL40" s="309"/>
      <c r="DM40" s="309"/>
      <c r="DN40" s="309"/>
      <c r="DO40" s="309"/>
      <c r="DP40" s="309"/>
      <c r="DQ40" s="309"/>
      <c r="DR40" s="309"/>
      <c r="DS40" s="309"/>
      <c r="DT40" s="309"/>
      <c r="DU40" s="309"/>
      <c r="DV40" s="309"/>
      <c r="DW40" s="309"/>
      <c r="DX40" s="309"/>
      <c r="DY40" s="309"/>
      <c r="DZ40" s="309"/>
      <c r="EA40" s="309"/>
      <c r="EB40" s="309"/>
      <c r="EC40" s="309"/>
      <c r="ED40" s="355"/>
      <c r="EE40" s="356"/>
      <c r="EF40" s="312"/>
      <c r="EG40" s="354"/>
      <c r="EH40" s="92"/>
      <c r="EI40" s="348"/>
      <c r="EJ40" s="349"/>
      <c r="EK40" s="349"/>
      <c r="EL40" s="349"/>
      <c r="EM40" s="349"/>
      <c r="EN40" s="349"/>
      <c r="EO40" s="349"/>
      <c r="EP40" s="349"/>
      <c r="EQ40" s="349"/>
      <c r="ER40" s="349"/>
      <c r="ES40" s="349"/>
      <c r="ET40" s="349"/>
      <c r="EU40" s="349"/>
      <c r="EV40" s="349"/>
      <c r="EW40" s="349"/>
      <c r="EX40" s="349"/>
      <c r="EY40" s="350"/>
      <c r="EZ40" s="77"/>
    </row>
    <row r="41" customHeight="1" spans="1:156">
      <c r="A41" s="92"/>
      <c r="B41" s="301" t="str">
        <f>IF(AND('幕间计算'!A29&lt;&gt;"",COUNTIFS('幕间计算'!$A$210:$A$409,IFERROR(VALUE('幕间与结算'!$B$3),0),'幕间计算'!$B$210:$B$409,1,'幕间与结算'!$E$9:$E$208,'幕间计算'!A29)&gt;0,COUNTIFS('幕间计算'!$A$500:$A$739,IFERROR(VALUE('幕间与结算'!$B$3),0),'幕间计算'!$C$500:$C$739,1,'幕间与结算'!$C$215:$C$454,'幕间计算'!A29)=0),"√","☐")</f>
        <v>☐</v>
      </c>
      <c r="C41" s="302"/>
      <c r="D41" s="303" t="s">
        <v>112</v>
      </c>
      <c r="E41" s="303"/>
      <c r="F41" s="303"/>
      <c r="G41" s="303"/>
      <c r="H41" s="303"/>
      <c r="I41" s="303"/>
      <c r="J41" s="303"/>
      <c r="K41" s="303"/>
      <c r="L41" s="303"/>
      <c r="M41" s="303"/>
      <c r="N41" s="303"/>
      <c r="O41" s="303"/>
      <c r="P41" s="304">
        <f>MAX(0,MIN(99,IF(V41="",N(S41),N(V41))+N(Y41)+N(AB41)))</f>
        <v>0</v>
      </c>
      <c r="Q41" s="304"/>
      <c r="R41" s="304"/>
      <c r="S41" s="305">
        <v>0</v>
      </c>
      <c r="T41" s="305"/>
      <c r="U41" s="305"/>
      <c r="V41" s="139" t="str">
        <f ca="1">IF(职业选项!V92&gt;0,职业选项!V92,"")</f>
        <v/>
      </c>
      <c r="W41" s="139"/>
      <c r="X41" s="139"/>
      <c r="Y41" s="139" t="str">
        <f ca="1">规则数据!H47</f>
        <v/>
      </c>
      <c r="Z41" s="139"/>
      <c r="AA41" s="139"/>
      <c r="AB41" s="139">
        <f>'幕间计算'!B29+IF(AND('幕间计算'!A29&lt;&gt;"",COUNTIF('幕间计算'!$A$2:A29,'幕间计算'!A29)=1),SUMIF('幕间与结算'!$E$9:$E$208,'幕间计算'!A29,'幕间与结算'!$K$9:$K$208)+SUMIF('幕间与结算'!$C$215:$C$454,'幕间计算'!A29,'幕间与结算'!$G$215:$G$454),0)</f>
        <v>0</v>
      </c>
      <c r="AC41" s="139"/>
      <c r="AD41" s="306"/>
      <c r="AE41" s="307" t="str">
        <f>IF(AND('幕间计算'!A59&lt;&gt;"",COUNTIFS('幕间计算'!$A$210:$A$409,IFERROR(VALUE('幕间与结算'!$B$3),0),'幕间计算'!$B$210:$B$409,1,'幕间与结算'!$E$9:$E$208,'幕间计算'!A59)&gt;0,COUNTIFS('幕间计算'!$A$500:$A$739,IFERROR(VALUE('幕间与结算'!$B$3),0),'幕间计算'!$C$500:$C$739,1,'幕间与结算'!$C$215:$C$454,'幕间计算'!A59)=0),"√","☐")</f>
        <v>☐</v>
      </c>
      <c r="AF41" s="302"/>
      <c r="AG41" s="362" t="str">
        <f ca="1">IFERROR(INDEX(规则数据!$C$2:$C$9,SMALL(规则数据!$AX$2:$AX$9,2)),"")</f>
        <v/>
      </c>
      <c r="AH41" s="362"/>
      <c r="AI41" s="362"/>
      <c r="AJ41" s="362"/>
      <c r="AK41" s="362"/>
      <c r="AL41" s="362"/>
      <c r="AM41" s="362"/>
      <c r="AN41" s="362"/>
      <c r="AO41" s="362"/>
      <c r="AP41" s="362"/>
      <c r="AQ41" s="362"/>
      <c r="AR41" s="362"/>
      <c r="AS41" s="363">
        <f>MAX(0,MIN(99,IF(AY41="",N(AV41),N(AY41))+N(BB41)+N(BE41)))</f>
        <v>0</v>
      </c>
      <c r="AT41" s="363"/>
      <c r="AU41" s="363"/>
      <c r="AV41" s="139"/>
      <c r="AW41" s="139"/>
      <c r="AX41" s="139"/>
      <c r="AY41" s="139"/>
      <c r="AZ41" s="139"/>
      <c r="BA41" s="139"/>
      <c r="BB41" s="139" t="str">
        <f ca="1">规则数据!H76</f>
        <v/>
      </c>
      <c r="BC41" s="139"/>
      <c r="BD41" s="139"/>
      <c r="BE41" s="139">
        <f>'幕间计算'!B59+IF(AND('幕间计算'!A59&lt;&gt;"",COUNTIF('幕间计算'!$A$2:A59,'幕间计算'!A59)=1),SUMIF('幕间与结算'!$E$9:$E$208,'幕间计算'!A59,'幕间与结算'!$K$9:$K$208)+SUMIF('幕间与结算'!$C$215:$C$454,'幕间计算'!A59,'幕间与结算'!$G$215:$G$454),0)</f>
        <v>0</v>
      </c>
      <c r="BF41" s="139"/>
      <c r="BG41" s="308"/>
      <c r="BH41" s="359"/>
      <c r="BI41" s="358"/>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10"/>
      <c r="CY41" s="92"/>
      <c r="CZ41" s="351"/>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09"/>
      <c r="EA41" s="309"/>
      <c r="EB41" s="309"/>
      <c r="EC41" s="309"/>
      <c r="ED41" s="132" t="s">
        <v>84</v>
      </c>
      <c r="EE41" s="132"/>
      <c r="EF41" s="132" t="s">
        <v>85</v>
      </c>
      <c r="EG41" s="357"/>
      <c r="EH41" s="92"/>
      <c r="EI41" s="348"/>
      <c r="EJ41" s="349"/>
      <c r="EK41" s="349"/>
      <c r="EL41" s="349"/>
      <c r="EM41" s="349"/>
      <c r="EN41" s="349"/>
      <c r="EO41" s="349"/>
      <c r="EP41" s="349"/>
      <c r="EQ41" s="349"/>
      <c r="ER41" s="349"/>
      <c r="ES41" s="349"/>
      <c r="ET41" s="349"/>
      <c r="EU41" s="349"/>
      <c r="EV41" s="349"/>
      <c r="EW41" s="349"/>
      <c r="EX41" s="349"/>
      <c r="EY41" s="350"/>
      <c r="EZ41" s="77"/>
    </row>
    <row r="42" customHeight="1" spans="1:156">
      <c r="A42" s="92"/>
      <c r="B42" s="301" t="str">
        <f>IF(AND('幕间计算'!A30&lt;&gt;"",COUNTIFS('幕间计算'!$A$210:$A$409,IFERROR(VALUE('幕间与结算'!$B$3),0),'幕间计算'!$B$210:$B$409,1,'幕间与结算'!$E$9:$E$208,'幕间计算'!A30)&gt;0,COUNTIFS('幕间计算'!$A$500:$A$739,IFERROR(VALUE('幕间与结算'!$B$3),0),'幕间计算'!$C$500:$C$739,1,'幕间与结算'!$C$215:$C$454,'幕间计算'!A30)=0),"√","☐")</f>
        <v>☐</v>
      </c>
      <c r="C42" s="302"/>
      <c r="D42" s="303" t="s">
        <v>113</v>
      </c>
      <c r="E42" s="303"/>
      <c r="F42" s="303"/>
      <c r="G42" s="303"/>
      <c r="H42" s="303"/>
      <c r="I42" s="303"/>
      <c r="J42" s="303"/>
      <c r="K42" s="303"/>
      <c r="L42" s="303"/>
      <c r="M42" s="303"/>
      <c r="N42" s="303"/>
      <c r="O42" s="303"/>
      <c r="P42" s="304">
        <f>MAX(0,MIN(99,IF(V42="",N(S42),N(V42))+N(Y42)+N(AB42)))</f>
        <v>10</v>
      </c>
      <c r="Q42" s="304"/>
      <c r="R42" s="304"/>
      <c r="S42" s="305">
        <v>10</v>
      </c>
      <c r="T42" s="305"/>
      <c r="U42" s="305"/>
      <c r="V42" s="139" t="str">
        <f ca="1">IF(职业选项!V93&gt;0,职业选项!V93,"")</f>
        <v/>
      </c>
      <c r="W42" s="139"/>
      <c r="X42" s="139"/>
      <c r="Y42" s="139" t="str">
        <f ca="1">规则数据!H48</f>
        <v/>
      </c>
      <c r="Z42" s="139"/>
      <c r="AA42" s="139"/>
      <c r="AB42" s="139">
        <f>'幕间计算'!B30+IF(AND('幕间计算'!A30&lt;&gt;"",COUNTIF('幕间计算'!$A$2:A30,'幕间计算'!A30)=1),SUMIF('幕间与结算'!$E$9:$E$208,'幕间计算'!A30,'幕间与结算'!$K$9:$K$208)+SUMIF('幕间与结算'!$C$215:$C$454,'幕间计算'!A30,'幕间与结算'!$G$215:$G$454),0)</f>
        <v>0</v>
      </c>
      <c r="AC42" s="139"/>
      <c r="AD42" s="306"/>
      <c r="AE42" s="307" t="str">
        <f>IF(AND('幕间计算'!A60&lt;&gt;"",COUNTIFS('幕间计算'!$A$210:$A$409,IFERROR(VALUE('幕间与结算'!$B$3),0),'幕间计算'!$B$210:$B$409,1,'幕间与结算'!$E$9:$E$208,'幕间计算'!A60)&gt;0,COUNTIFS('幕间计算'!$A$500:$A$739,IFERROR(VALUE('幕间与结算'!$B$3),0),'幕间计算'!$C$500:$C$739,1,'幕间与结算'!$C$215:$C$454,'幕间计算'!A60)=0),"√","☐")</f>
        <v>☐</v>
      </c>
      <c r="AF42" s="302"/>
      <c r="AG42" s="362" t="str">
        <f ca="1">IFERROR(INDEX(规则数据!$C$2:$C$9,SMALL(规则数据!$AX$2:$AX$9,3)),"")</f>
        <v/>
      </c>
      <c r="AH42" s="362"/>
      <c r="AI42" s="362"/>
      <c r="AJ42" s="362"/>
      <c r="AK42" s="362"/>
      <c r="AL42" s="362"/>
      <c r="AM42" s="362"/>
      <c r="AN42" s="362"/>
      <c r="AO42" s="362"/>
      <c r="AP42" s="362"/>
      <c r="AQ42" s="362"/>
      <c r="AR42" s="362"/>
      <c r="AS42" s="363">
        <f>MAX(0,MIN(99,IF(AY42="",N(AV42),N(AY42))+N(BB42)+N(BE42)))</f>
        <v>0</v>
      </c>
      <c r="AT42" s="363"/>
      <c r="AU42" s="363"/>
      <c r="AV42" s="139"/>
      <c r="AW42" s="139"/>
      <c r="AX42" s="139"/>
      <c r="AY42" s="139"/>
      <c r="AZ42" s="139"/>
      <c r="BA42" s="139"/>
      <c r="BB42" s="139" t="str">
        <f ca="1">规则数据!H77</f>
        <v/>
      </c>
      <c r="BC42" s="139"/>
      <c r="BD42" s="139"/>
      <c r="BE42" s="139">
        <f>'幕间计算'!B60+IF(AND('幕间计算'!A60&lt;&gt;"",COUNTIF('幕间计算'!$A$2:A60,'幕间计算'!A60)=1),SUMIF('幕间与结算'!$E$9:$E$208,'幕间计算'!A60,'幕间与结算'!$K$9:$K$208)+SUMIF('幕间与结算'!$C$215:$C$454,'幕间计算'!A60,'幕间与结算'!$G$215:$G$454),0)</f>
        <v>0</v>
      </c>
      <c r="BF42" s="139"/>
      <c r="BG42" s="308"/>
      <c r="BH42" s="359"/>
      <c r="BI42" s="358"/>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10"/>
      <c r="CY42" s="92"/>
      <c r="CZ42" s="351"/>
      <c r="DA42" s="309"/>
      <c r="DB42" s="309"/>
      <c r="DC42" s="309"/>
      <c r="DD42" s="309"/>
      <c r="DE42" s="309"/>
      <c r="DF42" s="309"/>
      <c r="DG42" s="309"/>
      <c r="DH42" s="309"/>
      <c r="DI42" s="309"/>
      <c r="DJ42" s="309"/>
      <c r="DK42" s="309"/>
      <c r="DL42" s="309"/>
      <c r="DM42" s="309"/>
      <c r="DN42" s="309"/>
      <c r="DO42" s="309"/>
      <c r="DP42" s="309"/>
      <c r="DQ42" s="309"/>
      <c r="DR42" s="309"/>
      <c r="DS42" s="309"/>
      <c r="DT42" s="309"/>
      <c r="DU42" s="309"/>
      <c r="DV42" s="309"/>
      <c r="DW42" s="309"/>
      <c r="DX42" s="309"/>
      <c r="DY42" s="309"/>
      <c r="DZ42" s="309"/>
      <c r="EA42" s="309"/>
      <c r="EB42" s="309"/>
      <c r="EC42" s="309"/>
      <c r="ED42" s="352" t="str">
        <f>IF(CZ41="","",MAX(0,MIN(EF$22,IF('幕间计算'!Q8&gt;0,IFERROR(INDEX('幕间与结算'!$F$9:$F$208,'幕间计算'!Q8-8),0)+SUMIFS('幕间与结算'!$K$9:$K$208,'幕间与结算'!$E$9:$E$208,"重要关系7",'幕间计算'!$F$210:$F$409,"&gt;="&amp;'幕间计算'!Q8)-SUMIFS('幕间计算'!$D$210:$D$409,'幕间与结算'!$L$9:$L$208,"重要关系7",'幕间计算'!$F$210:$F$409,"&gt;="&amp;'幕间计算'!Q8)+SUMIFS('幕间与结算'!$K$9:$K$208,'幕间与结算'!$E$9:$E$208,"魅力",'幕间与结算'!$K$9:$K$208,"&lt;0",'幕间计算'!$F$210:$F$409,"&gt;="&amp;'幕间计算'!Q8),N('幕间计算'!P8)+SUMIF('幕间与结算'!$E$9:$E$208,"重要关系7",'幕间与结算'!$K$9:$K$208)-SUMIF('幕间与结算'!$L$9:$L$208,"重要关系7",'幕间计算'!$D$210:$D$409)+SUMIFS('幕间与结算'!$K$9:$K$208,'幕间与结算'!$E$9:$E$208,"魅力",'幕间与结算'!$K$9:$K$208,"&lt;0")))))</f>
        <v/>
      </c>
      <c r="EE42" s="353"/>
      <c r="EF42" s="312" t="s">
        <v>88</v>
      </c>
      <c r="EG42" s="354"/>
      <c r="EH42" s="92"/>
      <c r="EI42" s="348"/>
      <c r="EJ42" s="349"/>
      <c r="EK42" s="349"/>
      <c r="EL42" s="349"/>
      <c r="EM42" s="349"/>
      <c r="EN42" s="349"/>
      <c r="EO42" s="349"/>
      <c r="EP42" s="349"/>
      <c r="EQ42" s="349"/>
      <c r="ER42" s="349"/>
      <c r="ES42" s="349"/>
      <c r="ET42" s="349"/>
      <c r="EU42" s="349"/>
      <c r="EV42" s="349"/>
      <c r="EW42" s="349"/>
      <c r="EX42" s="349"/>
      <c r="EY42" s="350"/>
      <c r="EZ42" s="77"/>
    </row>
    <row r="43" customHeight="1" spans="1:156">
      <c r="A43" s="92"/>
      <c r="B43" s="364" t="str">
        <f>IF(AND('幕间计算'!A31&lt;&gt;"",COUNTIFS('幕间计算'!$A$210:$A$409,IFERROR(VALUE('幕间与结算'!$B$3),0),'幕间计算'!$B$210:$B$409,1,'幕间与结算'!$E$9:$E$208,'幕间计算'!A31)&gt;0,COUNTIFS('幕间计算'!$A$500:$A$739,IFERROR(VALUE('幕间与结算'!$B$3),0),'幕间计算'!$C$500:$C$739,1,'幕间与结算'!$C$215:$C$454,'幕间计算'!A31)=0),"√","☐")</f>
        <v>☐</v>
      </c>
      <c r="C43" s="365"/>
      <c r="D43" s="366" t="s">
        <v>114</v>
      </c>
      <c r="E43" s="366"/>
      <c r="F43" s="366"/>
      <c r="G43" s="366"/>
      <c r="H43" s="366"/>
      <c r="I43" s="366"/>
      <c r="J43" s="366"/>
      <c r="K43" s="366"/>
      <c r="L43" s="366"/>
      <c r="M43" s="366"/>
      <c r="N43" s="366"/>
      <c r="O43" s="366"/>
      <c r="P43" s="367">
        <f>MAX(0,MIN(99,IF(V43="",N(S43),N(V43))+N(Y43)+N(AB43)))</f>
        <v>10</v>
      </c>
      <c r="Q43" s="367"/>
      <c r="R43" s="367"/>
      <c r="S43" s="368">
        <v>10</v>
      </c>
      <c r="T43" s="368"/>
      <c r="U43" s="368"/>
      <c r="V43" s="369" t="str">
        <f ca="1">IF(职业选项!V94&gt;0,职业选项!V94,"")</f>
        <v/>
      </c>
      <c r="W43" s="369"/>
      <c r="X43" s="369"/>
      <c r="Y43" s="369" t="str">
        <f ca="1">规则数据!H49</f>
        <v/>
      </c>
      <c r="Z43" s="369"/>
      <c r="AA43" s="369"/>
      <c r="AB43" s="369">
        <f>'幕间计算'!B31+IF(AND('幕间计算'!A31&lt;&gt;"",COUNTIF('幕间计算'!$A$2:A31,'幕间计算'!A31)=1),SUMIF('幕间与结算'!$E$9:$E$208,'幕间计算'!A31,'幕间与结算'!$K$9:$K$208)+SUMIF('幕间与结算'!$C$215:$C$454,'幕间计算'!A31,'幕间与结算'!$G$215:$G$454),0)</f>
        <v>0</v>
      </c>
      <c r="AC43" s="369"/>
      <c r="AD43" s="370"/>
      <c r="AE43" s="371" t="str">
        <f>IF(AND('幕间计算'!A61&lt;&gt;"",COUNTIFS('幕间计算'!$A$210:$A$409,IFERROR(VALUE('幕间与结算'!$B$3),0),'幕间计算'!$B$210:$B$409,1,'幕间与结算'!$E$9:$E$208,'幕间计算'!A61)&gt;0,COUNTIFS('幕间计算'!$A$500:$A$739,IFERROR(VALUE('幕间与结算'!$B$3),0),'幕间计算'!$C$500:$C$739,1,'幕间与结算'!$C$215:$C$454,'幕间计算'!A61)=0),"√","☐")</f>
        <v>☐</v>
      </c>
      <c r="AF43" s="365"/>
      <c r="AG43" s="372" t="str">
        <f ca="1">IFERROR(INDEX(规则数据!$C$2:$C$9,SMALL(规则数据!$AX$2:$AX$9,4)),"")</f>
        <v/>
      </c>
      <c r="AH43" s="372"/>
      <c r="AI43" s="372"/>
      <c r="AJ43" s="372"/>
      <c r="AK43" s="372"/>
      <c r="AL43" s="372"/>
      <c r="AM43" s="372"/>
      <c r="AN43" s="372"/>
      <c r="AO43" s="372"/>
      <c r="AP43" s="372"/>
      <c r="AQ43" s="372"/>
      <c r="AR43" s="372"/>
      <c r="AS43" s="373">
        <f>MAX(0,MIN(99,IF(AY43="",N(AV43),N(AY43))+N(BB43)+N(BE43)))</f>
        <v>0</v>
      </c>
      <c r="AT43" s="373"/>
      <c r="AU43" s="373"/>
      <c r="AV43" s="369"/>
      <c r="AW43" s="369"/>
      <c r="AX43" s="369"/>
      <c r="AY43" s="369"/>
      <c r="AZ43" s="369"/>
      <c r="BA43" s="369"/>
      <c r="BB43" s="369" t="str">
        <f ca="1">规则数据!H78</f>
        <v/>
      </c>
      <c r="BC43" s="369"/>
      <c r="BD43" s="369"/>
      <c r="BE43" s="369">
        <f>'幕间计算'!B61+IF(AND('幕间计算'!A61&lt;&gt;"",COUNTIF('幕间计算'!$A$2:A61,'幕间计算'!A61)=1),SUMIF('幕间与结算'!$E$9:$E$208,'幕间计算'!A61,'幕间与结算'!$K$9:$K$208)+SUMIF('幕间与结算'!$C$215:$C$454,'幕间计算'!A61,'幕间与结算'!$G$215:$G$454),0)</f>
        <v>0</v>
      </c>
      <c r="BF43" s="369"/>
      <c r="BG43" s="374"/>
      <c r="BH43" s="359"/>
      <c r="BI43" s="375"/>
      <c r="BJ43" s="376"/>
      <c r="BK43" s="376"/>
      <c r="BL43" s="376"/>
      <c r="BM43" s="376"/>
      <c r="BN43" s="376"/>
      <c r="BO43" s="376"/>
      <c r="BP43" s="376"/>
      <c r="BQ43" s="376"/>
      <c r="BR43" s="376"/>
      <c r="BS43" s="376"/>
      <c r="BT43" s="376"/>
      <c r="BU43" s="376"/>
      <c r="BV43" s="376"/>
      <c r="BW43" s="376"/>
      <c r="BX43" s="376"/>
      <c r="BY43" s="376"/>
      <c r="BZ43" s="376"/>
      <c r="CA43" s="376"/>
      <c r="CB43" s="376"/>
      <c r="CC43" s="376"/>
      <c r="CD43" s="376"/>
      <c r="CE43" s="376"/>
      <c r="CF43" s="376"/>
      <c r="CG43" s="376"/>
      <c r="CH43" s="376"/>
      <c r="CI43" s="376"/>
      <c r="CJ43" s="376"/>
      <c r="CK43" s="376"/>
      <c r="CL43" s="376"/>
      <c r="CM43" s="376"/>
      <c r="CN43" s="376"/>
      <c r="CO43" s="376"/>
      <c r="CP43" s="376"/>
      <c r="CQ43" s="376"/>
      <c r="CR43" s="376"/>
      <c r="CS43" s="376"/>
      <c r="CT43" s="376"/>
      <c r="CU43" s="376"/>
      <c r="CV43" s="376"/>
      <c r="CW43" s="376"/>
      <c r="CX43" s="377"/>
      <c r="CY43" s="92"/>
      <c r="CZ43" s="378"/>
      <c r="DA43" s="376"/>
      <c r="DB43" s="376"/>
      <c r="DC43" s="376"/>
      <c r="DD43" s="376"/>
      <c r="DE43" s="376"/>
      <c r="DF43" s="376"/>
      <c r="DG43" s="376"/>
      <c r="DH43" s="376"/>
      <c r="DI43" s="376"/>
      <c r="DJ43" s="376"/>
      <c r="DK43" s="376"/>
      <c r="DL43" s="376"/>
      <c r="DM43" s="376"/>
      <c r="DN43" s="376"/>
      <c r="DO43" s="376"/>
      <c r="DP43" s="376"/>
      <c r="DQ43" s="376"/>
      <c r="DR43" s="376"/>
      <c r="DS43" s="376"/>
      <c r="DT43" s="376"/>
      <c r="DU43" s="376"/>
      <c r="DV43" s="376"/>
      <c r="DW43" s="376"/>
      <c r="DX43" s="376"/>
      <c r="DY43" s="376"/>
      <c r="DZ43" s="376"/>
      <c r="EA43" s="376"/>
      <c r="EB43" s="376"/>
      <c r="EC43" s="376"/>
      <c r="ED43" s="379"/>
      <c r="EE43" s="380"/>
      <c r="EF43" s="381"/>
      <c r="EG43" s="382"/>
      <c r="EH43" s="92"/>
      <c r="EI43" s="348"/>
      <c r="EJ43" s="349"/>
      <c r="EK43" s="349"/>
      <c r="EL43" s="349"/>
      <c r="EM43" s="349"/>
      <c r="EN43" s="349"/>
      <c r="EO43" s="349"/>
      <c r="EP43" s="349"/>
      <c r="EQ43" s="349"/>
      <c r="ER43" s="349"/>
      <c r="ES43" s="349"/>
      <c r="ET43" s="349"/>
      <c r="EU43" s="349"/>
      <c r="EV43" s="349"/>
      <c r="EW43" s="349"/>
      <c r="EX43" s="349"/>
      <c r="EY43" s="350"/>
      <c r="EZ43" s="77"/>
    </row>
    <row r="44" customHeight="1" spans="1:15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I44" s="76"/>
      <c r="BJ44" s="76"/>
      <c r="BK44" s="76"/>
      <c r="BL44" s="76"/>
      <c r="BM44" s="76"/>
      <c r="BN44" s="76"/>
      <c r="BO44" s="76"/>
      <c r="BP44" s="76"/>
      <c r="BQ44" s="76"/>
      <c r="BR44" s="383"/>
      <c r="BS44" s="383"/>
      <c r="BT44" s="383"/>
      <c r="BU44" s="383"/>
      <c r="BV44" s="383"/>
      <c r="BW44" s="383"/>
      <c r="BX44" s="383"/>
      <c r="BY44" s="383"/>
      <c r="BZ44" s="383"/>
      <c r="CA44" s="383"/>
      <c r="CB44" s="383"/>
      <c r="CC44" s="383"/>
      <c r="CD44" s="383"/>
      <c r="CE44" s="383"/>
      <c r="CF44" s="383"/>
      <c r="CG44" s="383"/>
      <c r="CH44" s="383"/>
      <c r="CI44" s="383"/>
      <c r="CJ44" s="383"/>
      <c r="CK44" s="383"/>
      <c r="CL44" s="383"/>
      <c r="CM44" s="383"/>
      <c r="CN44" s="76"/>
      <c r="CO44" s="76"/>
      <c r="CP44" s="76"/>
      <c r="CQ44" s="76"/>
      <c r="CR44" s="76"/>
      <c r="CS44" s="76"/>
      <c r="CT44" s="76"/>
      <c r="CU44" s="76"/>
      <c r="CV44" s="76"/>
      <c r="CW44" s="76"/>
      <c r="CX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c r="DZ44" s="76"/>
      <c r="EA44" s="76"/>
      <c r="EB44" s="76"/>
      <c r="EC44" s="76"/>
      <c r="ED44" s="76"/>
      <c r="EE44" s="76"/>
      <c r="EF44" s="76"/>
      <c r="EG44" s="76"/>
      <c r="EI44" s="76"/>
      <c r="EJ44" s="76"/>
      <c r="EK44" s="76"/>
      <c r="EL44" s="76"/>
      <c r="EM44" s="76"/>
      <c r="EN44" s="76"/>
      <c r="EO44" s="76"/>
      <c r="EP44" s="76"/>
      <c r="EQ44" s="76"/>
      <c r="ER44" s="76"/>
      <c r="ES44" s="76"/>
      <c r="ET44" s="76"/>
      <c r="EU44" s="76"/>
      <c r="EV44" s="76"/>
      <c r="EW44" s="76"/>
      <c r="EX44" s="76"/>
      <c r="EY44" s="76"/>
    </row>
    <row r="45" customHeight="1" spans="1:156">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84"/>
      <c r="BD45" s="384"/>
      <c r="BE45" s="384"/>
      <c r="BF45" s="384"/>
      <c r="BG45" s="384"/>
      <c r="BH45" s="384"/>
      <c r="BI45" s="384"/>
      <c r="BJ45" s="384"/>
      <c r="BK45" s="384"/>
      <c r="BL45" s="384"/>
      <c r="BM45" s="384"/>
      <c r="BN45" s="384"/>
      <c r="BO45" s="384"/>
      <c r="BP45" s="384"/>
      <c r="BQ45" s="384"/>
      <c r="BR45" s="385"/>
      <c r="BS45" s="385"/>
      <c r="BT45" s="385"/>
      <c r="BU45" s="338"/>
      <c r="BV45" s="383"/>
      <c r="BW45" s="383"/>
      <c r="BX45" s="383"/>
      <c r="BY45" s="383"/>
      <c r="BZ45" s="383"/>
      <c r="CA45" s="383"/>
      <c r="CB45" s="383"/>
      <c r="CC45" s="383"/>
      <c r="CD45" s="383"/>
      <c r="CE45" s="383"/>
      <c r="CF45" s="383"/>
      <c r="CG45" s="383"/>
      <c r="CH45" s="383"/>
      <c r="CI45" s="383"/>
      <c r="CJ45" s="383"/>
      <c r="CK45" s="383"/>
      <c r="CL45" s="383"/>
      <c r="CM45" s="383"/>
      <c r="CN45" s="76"/>
      <c r="CO45" s="76"/>
      <c r="CP45" s="76"/>
      <c r="CQ45" s="76"/>
      <c r="CR45" s="76"/>
      <c r="CS45" s="76"/>
      <c r="CT45" s="76"/>
      <c r="CU45" s="76"/>
      <c r="CV45" s="76"/>
      <c r="CW45" s="76"/>
      <c r="CX45" s="76"/>
      <c r="CZ45" s="76"/>
      <c r="DA45" s="76"/>
      <c r="DB45" s="76"/>
      <c r="DC45" s="76"/>
      <c r="DD45" s="76"/>
      <c r="DE45" s="76"/>
      <c r="DF45" s="80"/>
      <c r="DG45" s="80"/>
      <c r="DH45" s="80"/>
      <c r="DI45" s="80"/>
      <c r="DJ45" s="80"/>
      <c r="DK45" s="80"/>
      <c r="DL45" s="80"/>
      <c r="DM45" s="80"/>
      <c r="DN45" s="80"/>
      <c r="DO45" s="80"/>
      <c r="DP45" s="80"/>
      <c r="DQ45" s="80"/>
      <c r="DR45" s="80"/>
      <c r="DS45" s="76"/>
      <c r="DT45" s="76"/>
      <c r="DU45" s="76"/>
      <c r="DV45" s="76"/>
      <c r="DW45" s="76"/>
      <c r="DX45" s="76"/>
      <c r="DY45" s="76"/>
      <c r="DZ45" s="76"/>
      <c r="EA45" s="76"/>
      <c r="EB45" s="76"/>
      <c r="EC45" s="76"/>
      <c r="ED45" s="76"/>
      <c r="EE45" s="76"/>
      <c r="EF45" s="76"/>
      <c r="EG45" s="76"/>
      <c r="EI45" s="76"/>
      <c r="EJ45" s="76"/>
      <c r="EK45" s="76"/>
      <c r="EL45" s="76"/>
      <c r="EM45" s="76"/>
      <c r="EN45" s="76"/>
      <c r="EO45" s="76"/>
      <c r="EP45" s="76"/>
      <c r="EQ45" s="76"/>
      <c r="ER45" s="76"/>
      <c r="ES45" s="76"/>
      <c r="ET45" s="76"/>
      <c r="EU45" s="76"/>
      <c r="EV45" s="76"/>
      <c r="EW45" s="76"/>
      <c r="EX45" s="76"/>
      <c r="EY45" s="76"/>
    </row>
    <row r="46" customHeight="1" spans="1:156">
      <c r="A46" s="92"/>
      <c r="B46" s="386" t="s">
        <v>115</v>
      </c>
      <c r="C46" s="387"/>
      <c r="D46" s="387"/>
      <c r="E46" s="387"/>
      <c r="F46" s="387"/>
      <c r="G46" s="388"/>
      <c r="H46" s="389" t="inlineStr">
        <is>
          <t xml:space="preserve">（创建新职业）</t>
        </is>
      </c>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c r="AF46" s="390"/>
      <c r="AG46" s="390"/>
      <c r="AH46" s="390"/>
      <c r="AI46" s="390"/>
      <c r="AJ46" s="391"/>
      <c r="AK46" s="392"/>
      <c r="AL46" s="393"/>
      <c r="AM46" s="393"/>
      <c r="AN46" s="393"/>
      <c r="AO46" s="393"/>
      <c r="AP46" s="393"/>
      <c r="AQ46" s="393"/>
      <c r="AR46" s="393"/>
      <c r="AS46" s="393"/>
      <c r="AT46" s="393"/>
      <c r="AU46" s="393"/>
      <c r="AV46" s="393"/>
      <c r="AW46" s="393"/>
      <c r="AX46" s="393"/>
      <c r="AY46" s="393"/>
      <c r="AZ46" s="393"/>
      <c r="BA46" s="393"/>
      <c r="BB46" s="393"/>
      <c r="BC46" s="394"/>
      <c r="BD46" s="77"/>
      <c r="BN46" s="395" t="s">
        <v>117</v>
      </c>
      <c r="BO46" s="396"/>
      <c r="BP46" s="396"/>
      <c r="BQ46" s="396"/>
      <c r="BR46" s="396"/>
      <c r="BS46" s="396"/>
      <c r="BT46" s="396"/>
      <c r="BU46" s="396"/>
      <c r="BV46" s="397"/>
      <c r="BW46" s="398" t="inlineStr">
        <is>
          <t xml:space="preserve">（自选）</t>
        </is>
      </c>
      <c r="BX46" s="398"/>
      <c r="BY46" s="398"/>
      <c r="BZ46" s="398"/>
      <c r="CA46" s="398"/>
      <c r="CB46" s="398"/>
      <c r="CC46" s="398"/>
      <c r="CD46" s="398"/>
      <c r="CE46" s="398"/>
      <c r="CF46" s="398"/>
      <c r="CG46" s="398"/>
      <c r="CH46" s="398"/>
      <c r="CI46" s="398"/>
      <c r="CJ46" s="398"/>
      <c r="CK46" s="398"/>
      <c r="CL46" s="398"/>
      <c r="CM46" s="398"/>
      <c r="CN46" s="398"/>
      <c r="CO46" s="398"/>
      <c r="CP46" s="398"/>
      <c r="CQ46" s="399"/>
      <c r="CZ46" s="395" t="s">
        <v>119</v>
      </c>
      <c r="DA46" s="396"/>
      <c r="DB46" s="396"/>
      <c r="DC46" s="396"/>
      <c r="DD46" s="396"/>
      <c r="DE46" s="396"/>
      <c r="DF46" s="400" t="inlineStr">
        <is>
          <t xml:space="preserve">（无）</t>
        </is>
      </c>
      <c r="DG46" s="401"/>
      <c r="DH46" s="401"/>
      <c r="DI46" s="401"/>
      <c r="DJ46" s="401"/>
      <c r="DK46" s="401"/>
      <c r="DL46" s="401"/>
      <c r="DM46" s="401"/>
      <c r="DN46" s="401"/>
      <c r="DO46" s="401"/>
      <c r="DP46" s="401"/>
      <c r="DQ46" s="401"/>
      <c r="DR46" s="402"/>
      <c r="DS46" s="77"/>
    </row>
    <row r="47" customHeight="1" spans="1:156">
      <c r="A47" s="92"/>
      <c r="B47" s="403" t="s">
        <v>121</v>
      </c>
      <c r="C47" s="404"/>
      <c r="D47" s="404"/>
      <c r="E47" s="404"/>
      <c r="F47" s="404"/>
      <c r="G47" s="405"/>
      <c r="H47" s="406"/>
      <c r="I47" s="407"/>
      <c r="J47" s="407"/>
      <c r="K47" s="407"/>
      <c r="L47" s="407"/>
      <c r="M47" s="407"/>
      <c r="N47" s="407"/>
      <c r="O47" s="407"/>
      <c r="P47" s="407"/>
      <c r="Q47" s="407"/>
      <c r="R47" s="407"/>
      <c r="S47" s="407"/>
      <c r="T47" s="407"/>
      <c r="U47" s="408"/>
      <c r="V47" s="409" t="str">
        <f>IF(附表!I12=FALSE,"←请选择子模板","")</f>
        <v/>
      </c>
      <c r="W47" s="409"/>
      <c r="X47" s="409"/>
      <c r="Y47" s="409"/>
      <c r="Z47" s="409"/>
      <c r="AA47" s="409"/>
      <c r="AB47" s="409"/>
      <c r="AC47" s="409"/>
      <c r="AD47" s="409"/>
      <c r="AE47" s="409"/>
      <c r="AF47" s="409"/>
      <c r="AG47" s="409"/>
      <c r="AH47" s="409"/>
      <c r="AI47" s="409"/>
      <c r="AJ47" s="409"/>
      <c r="AK47" s="76"/>
      <c r="AL47" s="410"/>
      <c r="AM47" s="410"/>
      <c r="AN47" s="410"/>
      <c r="AO47" s="410"/>
      <c r="AP47" s="410"/>
      <c r="AQ47" s="410"/>
      <c r="AR47" s="410"/>
      <c r="AS47" s="410"/>
      <c r="AT47" s="410"/>
      <c r="AU47" s="410"/>
      <c r="AV47" s="410"/>
      <c r="AW47" s="410"/>
      <c r="AX47" s="410"/>
      <c r="AY47" s="410"/>
      <c r="AZ47" s="410"/>
      <c r="BA47" s="410"/>
      <c r="BB47" s="410"/>
      <c r="BC47" s="411"/>
      <c r="BD47" s="412"/>
      <c r="BE47" s="413"/>
      <c r="BN47" s="414" t="inlineStr">
        <is>
          <t>右栏可替换固定项；留空沿用模板。</t>
        </is>
      </c>
      <c r="BO47" s="415"/>
      <c r="BP47" s="415"/>
      <c r="BQ47" s="415"/>
      <c r="BR47" s="415"/>
      <c r="BS47" s="415"/>
      <c r="BT47" s="415"/>
      <c r="BU47" s="415"/>
      <c r="BV47" s="415"/>
      <c r="BW47" s="415"/>
      <c r="BX47" s="415"/>
      <c r="BY47" s="415"/>
      <c r="BZ47" s="415"/>
      <c r="CA47" s="415"/>
      <c r="CB47" s="415"/>
      <c r="CC47" s="415"/>
      <c r="CD47" s="415"/>
      <c r="CE47" s="415"/>
      <c r="CF47" s="415"/>
      <c r="CG47" s="415"/>
      <c r="CH47" s="415"/>
      <c r="CI47" s="415"/>
      <c r="CJ47" s="415"/>
      <c r="CK47" s="415"/>
      <c r="CL47" s="415"/>
      <c r="CM47" s="415"/>
      <c r="CN47" s="415"/>
      <c r="CO47" s="415"/>
      <c r="CP47" s="415"/>
      <c r="CQ47" s="416"/>
      <c r="CY47" s="220"/>
      <c r="CZ47" s="417" t="str">
        <f>IFERROR(IF(INDEX(附表!$B$84:$G$88,MATCH($DF$46,附表!$A$84:$A$88,0),1)=0,"",INDEX(附表!$B$84:$G$88,MATCH($DF$46,附表!$A$84:$A$88,0),1)),"")</f>
        <v> </v>
      </c>
      <c r="DA47" s="418"/>
      <c r="DB47" s="418"/>
      <c r="DC47" s="418"/>
      <c r="DD47" s="418"/>
      <c r="DE47" s="418"/>
      <c r="DF47" s="418"/>
      <c r="DG47" s="418"/>
      <c r="DH47" s="418"/>
      <c r="DI47" s="418"/>
      <c r="DJ47" s="418"/>
      <c r="DK47" s="418"/>
      <c r="DL47" s="418"/>
      <c r="DM47" s="418"/>
      <c r="DN47" s="418"/>
      <c r="DO47" s="418"/>
      <c r="DP47" s="418"/>
      <c r="DQ47" s="418"/>
      <c r="DR47" s="419"/>
      <c r="DS47" s="77"/>
    </row>
    <row r="48" customHeight="1" spans="1:156">
      <c r="A48" s="92"/>
      <c r="B48" s="420" t="str">
        <f>IF(附表!$I$12,IF(附表!A20=0,"",附表!A20),"")</f>
        <v>任选10个本职技能，分配350</v>
      </c>
      <c r="C48" s="421"/>
      <c r="D48" s="421"/>
      <c r="E48" s="421"/>
      <c r="F48" s="421"/>
      <c r="G48" s="421"/>
      <c r="H48" s="421"/>
      <c r="I48" s="421"/>
      <c r="J48" s="421"/>
      <c r="K48" s="421"/>
      <c r="L48" s="421"/>
      <c r="M48" s="421"/>
      <c r="N48" s="421"/>
      <c r="O48" s="421"/>
      <c r="P48" s="422" t="str">
        <f>IF(职业选项!$T$3&gt;0,"下拉选"&amp;职业选项!$T$3&amp;"·已选"&amp;职业选项!$T$4,"无任选项")</f>
        <v>无任选项</v>
      </c>
      <c r="Q48" s="422"/>
      <c r="R48" s="422"/>
      <c r="S48" s="422"/>
      <c r="T48" s="422"/>
      <c r="U48" s="422"/>
      <c r="V48" s="422"/>
      <c r="W48" s="422"/>
      <c r="X48" s="422"/>
      <c r="Y48" s="422"/>
      <c r="Z48" s="423"/>
      <c r="AA48" s="424" t="s">
        <v>123</v>
      </c>
      <c r="AB48" s="425"/>
      <c r="AC48" s="425"/>
      <c r="AD48" s="425"/>
      <c r="AE48" s="425"/>
      <c r="AF48" s="425"/>
      <c r="AG48" s="425"/>
      <c r="AH48" s="426" t="str">
        <f>附表!C16</f>
        <v>≤4</v>
      </c>
      <c r="AI48" s="427"/>
      <c r="AJ48" s="427"/>
      <c r="AK48" s="428" t="str">
        <f>IF(附表!AN15=0,"","装备：")</f>
        <v/>
      </c>
      <c r="AL48" s="428"/>
      <c r="AM48" s="428"/>
      <c r="AN48" s="428"/>
      <c r="AO48" s="428"/>
      <c r="AP48" s="428"/>
      <c r="AQ48" s="428"/>
      <c r="AR48" s="428"/>
      <c r="AS48" s="428"/>
      <c r="AT48" s="428"/>
      <c r="AU48" s="428"/>
      <c r="AV48" s="428"/>
      <c r="AW48" s="428"/>
      <c r="AX48" s="428"/>
      <c r="AY48" s="428"/>
      <c r="AZ48" s="428"/>
      <c r="BA48" s="428"/>
      <c r="BB48" s="428"/>
      <c r="BC48" s="429"/>
      <c r="BD48" s="412"/>
      <c r="BE48" s="413"/>
      <c r="BN48" s="430" t="s">
        <v>124</v>
      </c>
      <c r="BO48" s="428"/>
      <c r="BP48" s="428"/>
      <c r="BQ48" s="428"/>
      <c r="BR48" s="428"/>
      <c r="BS48" s="428"/>
      <c r="BT48" s="428"/>
      <c r="BU48" s="428"/>
      <c r="BV48" s="428"/>
      <c r="BZ48" s="430" t="inlineStr">
        <is>
          <t>替换／任选</t>
        </is>
      </c>
      <c r="CQ48" s="431"/>
      <c r="CY48" s="220"/>
      <c r="CZ48" s="432" t="str">
        <f>IFERROR(IF(INDEX(附表!$B$84:$G$88,MATCH($DF$46,附表!$A$84:$A$88,0),2)=0,"",INDEX(附表!$B$84:$G$88,MATCH($DF$46,附表!$A$84:$A$88,0),2)),"")</f>
        <v> </v>
      </c>
      <c r="DR48" s="433"/>
      <c r="DS48" s="77"/>
    </row>
    <row r="49" customHeight="1" spans="1:123">
      <c r="A49" s="92"/>
      <c r="B49" s="420" t="str">
        <f>IF(附表!$I$12,IF(附表!A21=0,"",附表!A21),"")</f>
        <v>技能点，额外加在基础值上，</v>
      </c>
      <c r="C49" s="421"/>
      <c r="D49" s="421"/>
      <c r="E49" s="421"/>
      <c r="F49" s="421"/>
      <c r="G49" s="421"/>
      <c r="H49" s="421"/>
      <c r="I49" s="421"/>
      <c r="J49" s="421"/>
      <c r="K49" s="421"/>
      <c r="L49" s="421"/>
      <c r="M49" s="421"/>
      <c r="N49" s="421"/>
      <c r="O49" s="421"/>
      <c r="P49" s="491" t="inlineStr">
        <is>
          <t xml:space="preserve">☐</t>
        </is>
      </c>
      <c r="Q49" s="427"/>
      <c r="R49" s="492" t="str">
        <f>IF(AND(附表!$I$12,职业选项!A18&lt;&gt;""),职业选项!A18,"")</f>
        <v/>
      </c>
      <c r="S49" s="427"/>
      <c r="T49" s="427"/>
      <c r="U49" s="427"/>
      <c r="V49" s="427"/>
      <c r="W49" s="427"/>
      <c r="X49" s="427"/>
      <c r="Y49" s="427"/>
      <c r="Z49" s="434"/>
      <c r="AA49" s="435" t="str">
        <f>IF(附表!B16=0,"","推荐属性：")</f>
        <v/>
      </c>
      <c r="AB49" s="435"/>
      <c r="AC49" s="435"/>
      <c r="AD49" s="435"/>
      <c r="AE49" s="435"/>
      <c r="AF49" s="435"/>
      <c r="AG49" s="436"/>
      <c r="AH49" s="436"/>
      <c r="AI49" s="436"/>
      <c r="AJ49" s="437"/>
      <c r="AK49" s="438" t="str">
        <f>IF(附表!AN15=0,"",附表!AN15)</f>
        <v/>
      </c>
      <c r="AL49" s="438"/>
      <c r="AM49" s="438"/>
      <c r="AN49" s="438"/>
      <c r="AO49" s="438"/>
      <c r="AP49" s="438"/>
      <c r="AQ49" s="438"/>
      <c r="AR49" s="438"/>
      <c r="AS49" s="438"/>
      <c r="AT49" s="438"/>
      <c r="AU49" s="438"/>
      <c r="AV49" s="438"/>
      <c r="AW49" s="438"/>
      <c r="AX49" s="438"/>
      <c r="AY49" s="438"/>
      <c r="AZ49" s="438"/>
      <c r="BA49" s="438"/>
      <c r="BB49" s="438"/>
      <c r="BC49" s="439"/>
      <c r="BD49" s="412"/>
      <c r="BE49" s="413"/>
      <c r="BN49" s="430" t="str">
        <f ca="1">规则数据!A2</f>
        <v>自选技能1（+20）</v>
      </c>
      <c r="BO49" s="440"/>
      <c r="BP49" s="440"/>
      <c r="BQ49" s="440"/>
      <c r="BR49" s="440"/>
      <c r="BS49" s="440"/>
      <c r="BT49" s="440"/>
      <c r="BU49" s="440"/>
      <c r="BV49" s="440"/>
      <c r="BW49" s="440"/>
      <c r="BX49" s="440"/>
      <c r="BY49" s="440"/>
      <c r="BZ49" s="441"/>
      <c r="CA49" s="440"/>
      <c r="CB49" s="440"/>
      <c r="CC49" s="440"/>
      <c r="CD49" s="440"/>
      <c r="CE49" s="440"/>
      <c r="CF49" s="440"/>
      <c r="CG49" s="440"/>
      <c r="CH49" s="440"/>
      <c r="CI49" s="440"/>
      <c r="CJ49" s="440"/>
      <c r="CK49" s="440"/>
      <c r="CQ49" s="431"/>
      <c r="CY49" s="220"/>
      <c r="CZ49" s="432" t="str">
        <f>IFERROR(IF(INDEX(附表!$B$84:$G$88,MATCH($DF$46,附表!$A$84:$A$88,0),3)=0,"",INDEX(附表!$B$84:$G$88,MATCH($DF$46,附表!$A$84:$A$88,0),3)),"")</f>
        <v> </v>
      </c>
      <c r="DR49" s="433"/>
      <c r="DS49" s="77"/>
    </row>
    <row r="50" customHeight="1" spans="1:123">
      <c r="A50" s="92"/>
      <c r="B50" s="420" t="str">
        <f>IF(附表!$I$12,IF(附表!A22=0,"",附表!A22),"")</f>
        <v>最高至60%。重要关系自4个开</v>
      </c>
      <c r="C50" s="421"/>
      <c r="D50" s="421"/>
      <c r="E50" s="421"/>
      <c r="F50" s="421"/>
      <c r="G50" s="421"/>
      <c r="H50" s="421"/>
      <c r="I50" s="421"/>
      <c r="J50" s="421"/>
      <c r="K50" s="421"/>
      <c r="L50" s="421"/>
      <c r="M50" s="421"/>
      <c r="N50" s="421"/>
      <c r="O50" s="421"/>
      <c r="P50" s="493" t="inlineStr">
        <is>
          <t xml:space="preserve">☐</t>
        </is>
      </c>
      <c r="Q50" s="427"/>
      <c r="R50" s="494" t="str">
        <f>IF(AND(附表!$I$12,职业选项!A19&lt;&gt;""),职业选项!A19,"")</f>
        <v/>
      </c>
      <c r="S50" s="427"/>
      <c r="T50" s="427"/>
      <c r="U50" s="427"/>
      <c r="V50" s="427"/>
      <c r="W50" s="427"/>
      <c r="X50" s="427"/>
      <c r="Y50" s="427"/>
      <c r="Z50" s="434"/>
      <c r="AA50" s="442" t="str">
        <f>IF(附表!B16=0,"",附表!B16)</f>
        <v/>
      </c>
      <c r="AB50" s="443"/>
      <c r="AC50" s="443"/>
      <c r="AD50" s="443"/>
      <c r="AE50" s="443"/>
      <c r="AF50" s="443"/>
      <c r="AG50" s="443"/>
      <c r="AH50" s="443"/>
      <c r="AI50" s="443"/>
      <c r="AJ50" s="443"/>
      <c r="AK50" s="438"/>
      <c r="AL50" s="438"/>
      <c r="AM50" s="438"/>
      <c r="AN50" s="438"/>
      <c r="AO50" s="438"/>
      <c r="AP50" s="438"/>
      <c r="AQ50" s="438"/>
      <c r="AR50" s="438"/>
      <c r="AS50" s="438"/>
      <c r="AT50" s="438"/>
      <c r="AU50" s="438"/>
      <c r="AV50" s="438"/>
      <c r="AW50" s="438"/>
      <c r="AX50" s="438"/>
      <c r="AY50" s="438"/>
      <c r="AZ50" s="438"/>
      <c r="BA50" s="438"/>
      <c r="BB50" s="438"/>
      <c r="BC50" s="439"/>
      <c r="BD50" s="412"/>
      <c r="BE50" s="413"/>
      <c r="BN50" s="430" t="str">
        <f ca="1">规则数据!A3</f>
        <v>自选技能2（+20）</v>
      </c>
      <c r="BO50" s="440"/>
      <c r="BP50" s="440"/>
      <c r="BQ50" s="440"/>
      <c r="BR50" s="440"/>
      <c r="BS50" s="440"/>
      <c r="BT50" s="440"/>
      <c r="BU50" s="440"/>
      <c r="BV50" s="440"/>
      <c r="BW50" s="440"/>
      <c r="BX50" s="440"/>
      <c r="BY50" s="440"/>
      <c r="BZ50" s="441"/>
      <c r="CA50" s="440"/>
      <c r="CB50" s="440"/>
      <c r="CC50" s="440"/>
      <c r="CD50" s="440"/>
      <c r="CE50" s="440"/>
      <c r="CF50" s="440"/>
      <c r="CG50" s="440"/>
      <c r="CH50" s="440"/>
      <c r="CI50" s="440"/>
      <c r="CJ50" s="440"/>
      <c r="CK50" s="440"/>
      <c r="CQ50" s="431"/>
      <c r="CY50" s="220"/>
      <c r="CZ50" s="432" t="str">
        <f>IFERROR(IF(INDEX(附表!$B$84:$G$88,MATCH($DF$46,附表!$A$84:$A$88,0),4)=0,"",INDEX(附表!$B$84:$G$88,MATCH($DF$46,附表!$A$84:$A$88,0),4)),"")</f>
        <v> </v>
      </c>
      <c r="DR50" s="433"/>
      <c r="DS50" s="77"/>
    </row>
    <row r="51" customHeight="1" spans="1:123">
      <c r="A51" s="92"/>
      <c r="B51" s="420" t="str">
        <f>IF(附表!$I$12,IF(附表!A23=0,"",附表!A23),"")</f>
        <v>始每少一个（最少1个），增</v>
      </c>
      <c r="C51" s="421"/>
      <c r="D51" s="421"/>
      <c r="E51" s="421"/>
      <c r="F51" s="421"/>
      <c r="G51" s="421"/>
      <c r="H51" s="421"/>
      <c r="I51" s="421"/>
      <c r="J51" s="421"/>
      <c r="K51" s="421"/>
      <c r="L51" s="421"/>
      <c r="M51" s="421"/>
      <c r="N51" s="421"/>
      <c r="O51" s="421"/>
      <c r="P51" s="495" t="inlineStr">
        <is>
          <t xml:space="preserve">☐</t>
        </is>
      </c>
      <c r="Q51" s="427"/>
      <c r="R51" s="496" t="str">
        <f>IF(AND(附表!$I$12,职业选项!A20&lt;&gt;""),职业选项!A20,"")</f>
        <v/>
      </c>
      <c r="S51" s="427"/>
      <c r="T51" s="427"/>
      <c r="U51" s="427"/>
      <c r="V51" s="427"/>
      <c r="W51" s="427"/>
      <c r="X51" s="427"/>
      <c r="Y51" s="427"/>
      <c r="Z51" s="434"/>
      <c r="AA51" s="444" t="str">
        <f>IF(附表!F20=0,"","建议额外技能：")</f>
        <v/>
      </c>
      <c r="AB51" s="445"/>
      <c r="AC51" s="445"/>
      <c r="AD51" s="445"/>
      <c r="AE51" s="445"/>
      <c r="AF51" s="445"/>
      <c r="AG51" s="445"/>
      <c r="AH51" s="445"/>
      <c r="AI51" s="445"/>
      <c r="AJ51" s="445"/>
      <c r="AK51" s="438"/>
      <c r="AL51" s="438"/>
      <c r="AM51" s="438"/>
      <c r="AN51" s="438"/>
      <c r="AO51" s="438"/>
      <c r="AP51" s="438"/>
      <c r="AQ51" s="438"/>
      <c r="AR51" s="438"/>
      <c r="AS51" s="438"/>
      <c r="AT51" s="438"/>
      <c r="AU51" s="438"/>
      <c r="AV51" s="438"/>
      <c r="AW51" s="438"/>
      <c r="AX51" s="438"/>
      <c r="AY51" s="438"/>
      <c r="AZ51" s="438"/>
      <c r="BA51" s="438"/>
      <c r="BB51" s="438"/>
      <c r="BC51" s="439"/>
      <c r="BD51" s="77"/>
      <c r="BN51" s="430" t="str">
        <f ca="1">规则数据!A4</f>
        <v>自选技能3（+20）</v>
      </c>
      <c r="BO51" s="440"/>
      <c r="BP51" s="440"/>
      <c r="BQ51" s="440"/>
      <c r="BR51" s="440"/>
      <c r="BS51" s="440"/>
      <c r="BT51" s="440"/>
      <c r="BU51" s="440"/>
      <c r="BV51" s="440"/>
      <c r="BW51" s="440"/>
      <c r="BX51" s="440"/>
      <c r="BY51" s="440"/>
      <c r="BZ51" s="441"/>
      <c r="CA51" s="440"/>
      <c r="CB51" s="440"/>
      <c r="CC51" s="440"/>
      <c r="CD51" s="440"/>
      <c r="CE51" s="440"/>
      <c r="CF51" s="440"/>
      <c r="CG51" s="440"/>
      <c r="CH51" s="440"/>
      <c r="CI51" s="440"/>
      <c r="CJ51" s="440"/>
      <c r="CK51" s="440"/>
      <c r="CQ51" s="431"/>
      <c r="CY51" s="220"/>
      <c r="CZ51" s="432" t="str">
        <f>IFERROR(IF(INDEX(附表!$B$84:$G$88,MATCH($DF$46,附表!$A$84:$A$88,0),5)=0,"",INDEX(附表!$B$84:$G$88,MATCH($DF$46,附表!$A$84:$A$88,0),5)),"")</f>
        <v> </v>
      </c>
      <c r="DR51" s="433"/>
      <c r="DS51" s="77"/>
    </row>
    <row r="52" customHeight="1" spans="1:123">
      <c r="A52" s="92"/>
      <c r="B52" s="420" t="str">
        <f>IF(附表!$I$12,IF(附表!A24=0,"",附表!A24),"")</f>
        <v>加50本职技能点。</v>
      </c>
      <c r="C52" s="421"/>
      <c r="D52" s="421"/>
      <c r="E52" s="421"/>
      <c r="F52" s="421"/>
      <c r="G52" s="421"/>
      <c r="H52" s="421"/>
      <c r="I52" s="421"/>
      <c r="J52" s="421"/>
      <c r="K52" s="421"/>
      <c r="L52" s="421"/>
      <c r="M52" s="421"/>
      <c r="N52" s="421"/>
      <c r="O52" s="421"/>
      <c r="P52" s="497" t="inlineStr">
        <is>
          <t xml:space="preserve">☐</t>
        </is>
      </c>
      <c r="Q52" s="427"/>
      <c r="R52" s="498" t="str">
        <f>IF(AND(附表!$I$12,职业选项!A21&lt;&gt;""),职业选项!A21,"")</f>
        <v/>
      </c>
      <c r="S52" s="427"/>
      <c r="T52" s="427"/>
      <c r="U52" s="427"/>
      <c r="V52" s="427"/>
      <c r="W52" s="427"/>
      <c r="X52" s="427"/>
      <c r="Y52" s="427"/>
      <c r="Z52" s="434"/>
      <c r="AA52" s="442" t="str">
        <f>IF(附表!F20=0,"",附表!F20)</f>
        <v/>
      </c>
      <c r="AB52" s="443"/>
      <c r="AC52" s="443"/>
      <c r="AD52" s="443"/>
      <c r="AE52" s="443"/>
      <c r="AF52" s="443"/>
      <c r="AG52" s="443"/>
      <c r="AH52" s="443"/>
      <c r="AI52" s="443"/>
      <c r="AJ52" s="443"/>
      <c r="AK52" s="438"/>
      <c r="AL52" s="438"/>
      <c r="AM52" s="438"/>
      <c r="AN52" s="438"/>
      <c r="AO52" s="438"/>
      <c r="AP52" s="438"/>
      <c r="AQ52" s="438"/>
      <c r="AR52" s="438"/>
      <c r="AS52" s="438"/>
      <c r="AT52" s="438"/>
      <c r="AU52" s="438"/>
      <c r="AV52" s="438"/>
      <c r="AW52" s="438"/>
      <c r="AX52" s="438"/>
      <c r="AY52" s="438"/>
      <c r="AZ52" s="438"/>
      <c r="BA52" s="438"/>
      <c r="BB52" s="438"/>
      <c r="BC52" s="439"/>
      <c r="BD52" s="77"/>
      <c r="BN52" s="430" t="str">
        <f ca="1">规则数据!A5</f>
        <v>自选技能4（+20）</v>
      </c>
      <c r="BO52" s="440"/>
      <c r="BP52" s="440"/>
      <c r="BQ52" s="440"/>
      <c r="BR52" s="440"/>
      <c r="BS52" s="440"/>
      <c r="BT52" s="440"/>
      <c r="BU52" s="440"/>
      <c r="BV52" s="440"/>
      <c r="BW52" s="440"/>
      <c r="BX52" s="440"/>
      <c r="BY52" s="440"/>
      <c r="BZ52" s="441"/>
      <c r="CA52" s="440"/>
      <c r="CB52" s="440"/>
      <c r="CC52" s="440"/>
      <c r="CD52" s="440"/>
      <c r="CE52" s="440"/>
      <c r="CF52" s="440"/>
      <c r="CG52" s="440"/>
      <c r="CH52" s="440"/>
      <c r="CI52" s="440"/>
      <c r="CJ52" s="440"/>
      <c r="CK52" s="440"/>
      <c r="CQ52" s="431"/>
      <c r="CY52" s="220"/>
      <c r="CZ52" s="446" t="str">
        <f>IFERROR(IF(INDEX(附表!$B$84:$G$88,MATCH($DF$46,附表!$A$84:$A$88,0),6)=0,"",INDEX(附表!$B$84:$G$88,MATCH($DF$46,附表!$A$84:$A$88,0),6)),"")</f>
        <v> </v>
      </c>
      <c r="DA52" s="447"/>
      <c r="DB52" s="447"/>
      <c r="DC52" s="447"/>
      <c r="DD52" s="447"/>
      <c r="DE52" s="447"/>
      <c r="DF52" s="447"/>
      <c r="DG52" s="447"/>
      <c r="DH52" s="447"/>
      <c r="DI52" s="447"/>
      <c r="DJ52" s="447"/>
      <c r="DK52" s="447"/>
      <c r="DL52" s="447"/>
      <c r="DM52" s="447"/>
      <c r="DN52" s="447"/>
      <c r="DO52" s="447"/>
      <c r="DP52" s="447"/>
      <c r="DQ52" s="447"/>
      <c r="DR52" s="448"/>
      <c r="DS52" s="77"/>
    </row>
    <row r="53" customHeight="1" spans="1:123">
      <c r="A53" s="92"/>
      <c r="B53" s="420" t="str">
        <f>IF(附表!$I$12,IF(附表!A25=0,"",附表!A25),"")</f>
        <v/>
      </c>
      <c r="C53" s="421"/>
      <c r="D53" s="421"/>
      <c r="E53" s="421"/>
      <c r="F53" s="421"/>
      <c r="G53" s="421"/>
      <c r="H53" s="421"/>
      <c r="I53" s="421"/>
      <c r="J53" s="421"/>
      <c r="K53" s="421"/>
      <c r="L53" s="421"/>
      <c r="M53" s="421"/>
      <c r="N53" s="421"/>
      <c r="O53" s="421"/>
      <c r="P53" s="499" t="inlineStr">
        <is>
          <t xml:space="preserve">☐</t>
        </is>
      </c>
      <c r="Q53" s="427"/>
      <c r="R53" s="500" t="str">
        <f>IF(AND(附表!$I$12,职业选项!A22&lt;&gt;""),职业选项!A22,"")</f>
        <v/>
      </c>
      <c r="S53" s="427"/>
      <c r="T53" s="427"/>
      <c r="U53" s="427"/>
      <c r="V53" s="427"/>
      <c r="W53" s="427"/>
      <c r="X53" s="427"/>
      <c r="Y53" s="427"/>
      <c r="Z53" s="434"/>
      <c r="AA53" s="442" t="str">
        <f>IF(附表!F21=0,"",附表!F21)</f>
        <v/>
      </c>
      <c r="AB53" s="443"/>
      <c r="AC53" s="443"/>
      <c r="AD53" s="443"/>
      <c r="AE53" s="443"/>
      <c r="AF53" s="443"/>
      <c r="AG53" s="443"/>
      <c r="AH53" s="443"/>
      <c r="AI53" s="443"/>
      <c r="AJ53" s="443"/>
      <c r="AK53" s="438"/>
      <c r="AL53" s="438"/>
      <c r="AM53" s="438"/>
      <c r="AN53" s="438"/>
      <c r="AO53" s="438"/>
      <c r="AP53" s="438"/>
      <c r="AQ53" s="438"/>
      <c r="AR53" s="438"/>
      <c r="AS53" s="438"/>
      <c r="AT53" s="438"/>
      <c r="AU53" s="438"/>
      <c r="AV53" s="438"/>
      <c r="AW53" s="438"/>
      <c r="AX53" s="438"/>
      <c r="AY53" s="438"/>
      <c r="AZ53" s="438"/>
      <c r="BA53" s="438"/>
      <c r="BB53" s="438"/>
      <c r="BC53" s="439"/>
      <c r="BD53" s="77"/>
      <c r="BN53" s="430" t="str">
        <f ca="1">规则数据!A6</f>
        <v>自选技能5（+20）</v>
      </c>
      <c r="BO53" s="440"/>
      <c r="BP53" s="440"/>
      <c r="BQ53" s="440"/>
      <c r="BR53" s="440"/>
      <c r="BS53" s="440"/>
      <c r="BT53" s="440"/>
      <c r="BU53" s="440"/>
      <c r="BV53" s="440"/>
      <c r="BW53" s="440"/>
      <c r="BX53" s="440"/>
      <c r="BY53" s="440"/>
      <c r="BZ53" s="441"/>
      <c r="CA53" s="440"/>
      <c r="CB53" s="440"/>
      <c r="CC53" s="440"/>
      <c r="CD53" s="440"/>
      <c r="CE53" s="440"/>
      <c r="CF53" s="440"/>
      <c r="CG53" s="440"/>
      <c r="CH53" s="440"/>
      <c r="CI53" s="440"/>
      <c r="CJ53" s="440"/>
      <c r="CK53" s="440"/>
      <c r="CQ53" s="431"/>
      <c r="CZ53" s="76"/>
      <c r="DA53" s="76"/>
      <c r="DB53" s="76"/>
      <c r="DC53" s="76"/>
      <c r="DD53" s="76"/>
      <c r="DE53" s="76"/>
      <c r="DF53" s="76"/>
      <c r="DG53" s="76"/>
      <c r="DH53" s="76"/>
      <c r="DI53" s="76"/>
      <c r="DJ53" s="76"/>
      <c r="DK53" s="76"/>
      <c r="DL53" s="76"/>
      <c r="DM53" s="76"/>
      <c r="DN53" s="76"/>
      <c r="DO53" s="76"/>
      <c r="DP53" s="76"/>
      <c r="DQ53" s="76"/>
      <c r="DR53" s="76"/>
    </row>
    <row r="54" customHeight="1" spans="1:123">
      <c r="A54" s="92"/>
      <c r="B54" s="420" t="str">
        <f>IF(附表!$I$12,IF(附表!A26=0,"",附表!A26),"")</f>
        <v/>
      </c>
      <c r="C54" s="421"/>
      <c r="D54" s="421"/>
      <c r="E54" s="421"/>
      <c r="F54" s="421"/>
      <c r="G54" s="421"/>
      <c r="H54" s="421"/>
      <c r="I54" s="421"/>
      <c r="J54" s="421"/>
      <c r="K54" s="421"/>
      <c r="L54" s="421"/>
      <c r="M54" s="421"/>
      <c r="N54" s="421"/>
      <c r="O54" s="421"/>
      <c r="P54" s="501" t="inlineStr">
        <is>
          <t xml:space="preserve">☐</t>
        </is>
      </c>
      <c r="Q54" s="427"/>
      <c r="R54" s="502" t="str">
        <f>IF(AND(附表!$I$12,职业选项!A23&lt;&gt;""),职业选项!A23,"")</f>
        <v/>
      </c>
      <c r="S54" s="427"/>
      <c r="T54" s="427"/>
      <c r="U54" s="427"/>
      <c r="V54" s="427"/>
      <c r="W54" s="427"/>
      <c r="X54" s="427"/>
      <c r="Y54" s="427"/>
      <c r="Z54" s="434"/>
      <c r="AA54" s="442" t="str">
        <f>IF(附表!F22=0,"",附表!F22)</f>
        <v/>
      </c>
      <c r="AB54" s="443"/>
      <c r="AC54" s="443"/>
      <c r="AD54" s="443"/>
      <c r="AE54" s="443"/>
      <c r="AF54" s="443"/>
      <c r="AG54" s="443"/>
      <c r="AH54" s="443"/>
      <c r="AI54" s="443"/>
      <c r="AJ54" s="443"/>
      <c r="AK54" s="438"/>
      <c r="AL54" s="438"/>
      <c r="AM54" s="438"/>
      <c r="AN54" s="438"/>
      <c r="AO54" s="438"/>
      <c r="AP54" s="438"/>
      <c r="AQ54" s="438"/>
      <c r="AR54" s="438"/>
      <c r="AS54" s="438"/>
      <c r="AT54" s="438"/>
      <c r="AU54" s="438"/>
      <c r="AV54" s="438"/>
      <c r="AW54" s="438"/>
      <c r="AX54" s="438"/>
      <c r="AY54" s="438"/>
      <c r="AZ54" s="438"/>
      <c r="BA54" s="438"/>
      <c r="BB54" s="438"/>
      <c r="BC54" s="439"/>
      <c r="BD54" s="77"/>
      <c r="BN54" s="430" t="str">
        <f ca="1">规则数据!A7</f>
        <v>自选技能6（+20）</v>
      </c>
      <c r="BO54" s="440"/>
      <c r="BP54" s="440"/>
      <c r="BQ54" s="440"/>
      <c r="BR54" s="440"/>
      <c r="BS54" s="440"/>
      <c r="BT54" s="440"/>
      <c r="BU54" s="440"/>
      <c r="BV54" s="440"/>
      <c r="BW54" s="440"/>
      <c r="BX54" s="440"/>
      <c r="BY54" s="440"/>
      <c r="BZ54" s="441"/>
      <c r="CA54" s="440"/>
      <c r="CB54" s="440"/>
      <c r="CC54" s="440"/>
      <c r="CD54" s="440"/>
      <c r="CE54" s="440"/>
      <c r="CF54" s="440"/>
      <c r="CG54" s="440"/>
      <c r="CH54" s="440"/>
      <c r="CI54" s="440"/>
      <c r="CJ54" s="440"/>
      <c r="CK54" s="440"/>
      <c r="CQ54" s="431"/>
      <c r="CZ54" s="430" t="s">
        <v>126</v>
      </c>
      <c r="DF54" s="441">
        <f>N('幕间与结算'!E5)</f>
        <v>0</v>
      </c>
      <c r="DK54" s="430" t="s">
        <v>127</v>
      </c>
      <c r="DR54" s="441">
        <f>N('幕间与结算'!F5)</f>
        <v>0</v>
      </c>
    </row>
    <row r="55" customHeight="1" spans="1:123">
      <c r="A55" s="92"/>
      <c r="B55" s="420" t="str">
        <f>IF(附表!$I$12,IF(附表!A27=0,"",附表!A27),"")</f>
        <v/>
      </c>
      <c r="C55" s="421"/>
      <c r="D55" s="421"/>
      <c r="E55" s="421"/>
      <c r="F55" s="421"/>
      <c r="G55" s="421"/>
      <c r="H55" s="421"/>
      <c r="I55" s="421"/>
      <c r="J55" s="421"/>
      <c r="K55" s="421"/>
      <c r="L55" s="421"/>
      <c r="M55" s="421"/>
      <c r="N55" s="421"/>
      <c r="O55" s="421"/>
      <c r="P55" s="503" t="inlineStr">
        <is>
          <t xml:space="preserve">☐</t>
        </is>
      </c>
      <c r="Q55" s="427"/>
      <c r="R55" s="504" t="str">
        <f>IF(AND(附表!$I$12,职业选项!A24&lt;&gt;""),职业选项!A24,"")</f>
        <v/>
      </c>
      <c r="S55" s="427"/>
      <c r="T55" s="427"/>
      <c r="U55" s="427"/>
      <c r="V55" s="427"/>
      <c r="W55" s="427"/>
      <c r="X55" s="427"/>
      <c r="Y55" s="427"/>
      <c r="Z55" s="434"/>
      <c r="AA55" s="442" t="str">
        <f>IF(附表!F23=0,"",附表!F23)</f>
        <v/>
      </c>
      <c r="AB55" s="443"/>
      <c r="AC55" s="443"/>
      <c r="AD55" s="443"/>
      <c r="AE55" s="443"/>
      <c r="AF55" s="443"/>
      <c r="AG55" s="443"/>
      <c r="AH55" s="443"/>
      <c r="AI55" s="443"/>
      <c r="AJ55" s="443"/>
      <c r="AK55" s="438"/>
      <c r="AL55" s="438"/>
      <c r="AM55" s="438"/>
      <c r="AN55" s="438"/>
      <c r="AO55" s="438"/>
      <c r="AP55" s="438"/>
      <c r="AQ55" s="438"/>
      <c r="AR55" s="438"/>
      <c r="AS55" s="438"/>
      <c r="AT55" s="438"/>
      <c r="AU55" s="438"/>
      <c r="AV55" s="438"/>
      <c r="AW55" s="438"/>
      <c r="AX55" s="438"/>
      <c r="AY55" s="438"/>
      <c r="AZ55" s="438"/>
      <c r="BA55" s="438"/>
      <c r="BB55" s="438"/>
      <c r="BC55" s="439"/>
      <c r="BD55" s="77"/>
      <c r="BN55" s="430" t="str">
        <f ca="1">规则数据!A8</f>
        <v>自选技能7（+20）</v>
      </c>
      <c r="BO55" s="440"/>
      <c r="BP55" s="440"/>
      <c r="BQ55" s="440"/>
      <c r="BR55" s="440"/>
      <c r="BS55" s="440"/>
      <c r="BT55" s="440"/>
      <c r="BU55" s="440"/>
      <c r="BV55" s="440"/>
      <c r="BW55" s="440"/>
      <c r="BX55" s="440"/>
      <c r="BY55" s="440"/>
      <c r="BZ55" s="441"/>
      <c r="CA55" s="440"/>
      <c r="CB55" s="440"/>
      <c r="CC55" s="440"/>
      <c r="CD55" s="440"/>
      <c r="CE55" s="440"/>
      <c r="CF55" s="440"/>
      <c r="CG55" s="440"/>
      <c r="CH55" s="440"/>
      <c r="CI55" s="440"/>
      <c r="CJ55" s="440"/>
      <c r="CK55" s="440"/>
      <c r="CQ55" s="431"/>
      <c r="CZ55" s="430" t="s">
        <v>128</v>
      </c>
      <c r="DF55" s="441"/>
      <c r="DK55" s="430" t="s">
        <v>129</v>
      </c>
      <c r="DR55" s="441"/>
    </row>
    <row r="56" customHeight="1" spans="1:123">
      <c r="A56" s="92"/>
      <c r="B56" s="420" t="str">
        <f>IF(附表!$I$12,IF(附表!A28=0,"",附表!A28),"")</f>
        <v/>
      </c>
      <c r="C56" s="421"/>
      <c r="D56" s="421"/>
      <c r="E56" s="421"/>
      <c r="F56" s="421"/>
      <c r="G56" s="421"/>
      <c r="H56" s="421"/>
      <c r="I56" s="421"/>
      <c r="J56" s="421"/>
      <c r="K56" s="421"/>
      <c r="L56" s="421"/>
      <c r="M56" s="421"/>
      <c r="N56" s="421"/>
      <c r="O56" s="421"/>
      <c r="P56" s="505" t="inlineStr">
        <is>
          <t xml:space="preserve">☐</t>
        </is>
      </c>
      <c r="Q56" s="427"/>
      <c r="R56" s="506" t="str">
        <f>IF(AND(附表!$I$12,职业选项!A25&lt;&gt;""),职业选项!A25,"")</f>
        <v/>
      </c>
      <c r="S56" s="427"/>
      <c r="T56" s="427"/>
      <c r="U56" s="427"/>
      <c r="V56" s="427"/>
      <c r="W56" s="427"/>
      <c r="X56" s="427"/>
      <c r="Y56" s="427"/>
      <c r="Z56" s="434"/>
      <c r="AJ56" s="220"/>
      <c r="AK56" s="438"/>
      <c r="AL56" s="438"/>
      <c r="AM56" s="438"/>
      <c r="AN56" s="438"/>
      <c r="AO56" s="438"/>
      <c r="AP56" s="438"/>
      <c r="AQ56" s="438"/>
      <c r="AR56" s="438"/>
      <c r="AS56" s="438"/>
      <c r="AT56" s="438"/>
      <c r="AU56" s="438"/>
      <c r="AV56" s="438"/>
      <c r="AW56" s="438"/>
      <c r="AX56" s="438"/>
      <c r="AY56" s="438"/>
      <c r="AZ56" s="438"/>
      <c r="BA56" s="438"/>
      <c r="BB56" s="438"/>
      <c r="BC56" s="439"/>
      <c r="BD56" s="77"/>
      <c r="BN56" s="430" t="str">
        <f ca="1">规则数据!A9</f>
        <v>自选技能8（+20）</v>
      </c>
      <c r="BO56" s="449"/>
      <c r="BP56" s="449"/>
      <c r="BQ56" s="449"/>
      <c r="BR56" s="449"/>
      <c r="BS56" s="449"/>
      <c r="BT56" s="449"/>
      <c r="BU56" s="449"/>
      <c r="BV56" s="449"/>
      <c r="BW56" s="449"/>
      <c r="BX56" s="449"/>
      <c r="BY56" s="449"/>
      <c r="BZ56" s="441"/>
      <c r="CA56" s="449"/>
      <c r="CB56" s="449"/>
      <c r="CC56" s="449"/>
      <c r="CD56" s="449"/>
      <c r="CE56" s="449"/>
      <c r="CF56" s="449"/>
      <c r="CG56" s="449"/>
      <c r="CH56" s="449"/>
      <c r="CI56" s="449"/>
      <c r="CJ56" s="449"/>
      <c r="CK56" s="449"/>
      <c r="CL56" s="450"/>
      <c r="CM56" s="450"/>
      <c r="CN56" s="450"/>
      <c r="CO56" s="450"/>
      <c r="CP56" s="450"/>
      <c r="CQ56" s="431"/>
      <c r="CZ56" s="414" t="str">
        <f ca="1">规则数据!S8</f>
        <v>固定效果已计入</v>
      </c>
    </row>
    <row r="57" customHeight="1" spans="1:123">
      <c r="A57" s="92"/>
      <c r="B57" s="420" t="str">
        <f>IF(附表!$I$12,IF(附表!A29=0,"",附表!A29),"")</f>
        <v/>
      </c>
      <c r="C57" s="421"/>
      <c r="D57" s="421"/>
      <c r="E57" s="421"/>
      <c r="F57" s="421"/>
      <c r="G57" s="421"/>
      <c r="H57" s="421"/>
      <c r="I57" s="421"/>
      <c r="J57" s="421"/>
      <c r="K57" s="421"/>
      <c r="L57" s="421"/>
      <c r="M57" s="421"/>
      <c r="N57" s="421"/>
      <c r="O57" s="421"/>
      <c r="P57" s="507" t="inlineStr">
        <is>
          <t xml:space="preserve">☐</t>
        </is>
      </c>
      <c r="Q57" s="427"/>
      <c r="R57" s="508" t="str">
        <f>IF(AND(附表!$I$12,职业选项!A26&lt;&gt;""),职业选项!A26,"")</f>
        <v/>
      </c>
      <c r="S57" s="427"/>
      <c r="T57" s="427"/>
      <c r="U57" s="427"/>
      <c r="V57" s="427"/>
      <c r="W57" s="427"/>
      <c r="X57" s="427"/>
      <c r="Y57" s="427"/>
      <c r="Z57" s="434"/>
      <c r="AJ57" s="220"/>
      <c r="AK57" s="438"/>
      <c r="AL57" s="438"/>
      <c r="AM57" s="438"/>
      <c r="AN57" s="438"/>
      <c r="AO57" s="438"/>
      <c r="AP57" s="438"/>
      <c r="AQ57" s="438"/>
      <c r="AR57" s="438"/>
      <c r="AS57" s="438"/>
      <c r="AT57" s="438"/>
      <c r="AU57" s="438"/>
      <c r="AV57" s="438"/>
      <c r="AW57" s="438"/>
      <c r="AX57" s="438"/>
      <c r="AY57" s="438"/>
      <c r="AZ57" s="438"/>
      <c r="BA57" s="438"/>
      <c r="BB57" s="438"/>
      <c r="BC57" s="439"/>
      <c r="BD57" s="77"/>
      <c r="BN57" s="414" t="str">
        <f ca="1">规则数据!S6</f>
        <v>0/8项；已加0/160点；待填细项／选择</v>
      </c>
      <c r="BO57" s="440"/>
      <c r="BP57" s="440"/>
      <c r="BQ57" s="440"/>
      <c r="BR57" s="440"/>
      <c r="BS57" s="440"/>
      <c r="BT57" s="440"/>
      <c r="BU57" s="440"/>
      <c r="BV57" s="440"/>
      <c r="BW57" s="440"/>
      <c r="BX57" s="440"/>
      <c r="BY57" s="440"/>
      <c r="BZ57" s="440"/>
      <c r="CA57" s="440"/>
      <c r="CB57" s="440"/>
      <c r="CC57" s="440"/>
      <c r="CD57" s="440"/>
      <c r="CE57" s="440"/>
      <c r="CF57" s="440"/>
      <c r="CG57" s="440"/>
      <c r="CH57" s="440"/>
      <c r="CI57" s="440"/>
      <c r="CJ57" s="440"/>
      <c r="CK57" s="440"/>
      <c r="CL57" s="440"/>
      <c r="CM57" s="440"/>
      <c r="CN57" s="440"/>
      <c r="CO57" s="440"/>
      <c r="CP57" s="440"/>
      <c r="CQ57" s="451"/>
      <c r="CZ57" s="430" t="s">
        <v>130</v>
      </c>
      <c r="DF57" s="441"/>
    </row>
    <row r="58" customHeight="1" spans="1:123">
      <c r="B58" s="420" t="str">
        <f>IF(附表!$I$12,IF(附表!A30=0,"",附表!A30),"")</f>
        <v/>
      </c>
      <c r="C58" s="421"/>
      <c r="D58" s="421"/>
      <c r="E58" s="421"/>
      <c r="F58" s="421"/>
      <c r="G58" s="421"/>
      <c r="H58" s="421"/>
      <c r="I58" s="421"/>
      <c r="J58" s="421"/>
      <c r="K58" s="421"/>
      <c r="L58" s="421"/>
      <c r="M58" s="421"/>
      <c r="N58" s="421"/>
      <c r="O58" s="421"/>
      <c r="P58" s="509" t="inlineStr">
        <is>
          <t xml:space="preserve">☐</t>
        </is>
      </c>
      <c r="Q58" s="427"/>
      <c r="R58" s="510" t="str">
        <f>IF(AND(附表!$I$12,职业选项!A27&lt;&gt;""),职业选项!A27,"")</f>
        <v/>
      </c>
      <c r="S58" s="427"/>
      <c r="T58" s="427"/>
      <c r="U58" s="427"/>
      <c r="V58" s="427"/>
      <c r="W58" s="427"/>
      <c r="X58" s="427"/>
      <c r="Y58" s="427"/>
      <c r="Z58" s="434"/>
      <c r="AJ58" s="220"/>
      <c r="AK58" s="438"/>
      <c r="AL58" s="438"/>
      <c r="AM58" s="438"/>
      <c r="AN58" s="438"/>
      <c r="AO58" s="438"/>
      <c r="AP58" s="438"/>
      <c r="AQ58" s="438"/>
      <c r="AR58" s="438"/>
      <c r="AS58" s="438"/>
      <c r="AT58" s="438"/>
      <c r="AU58" s="438"/>
      <c r="AV58" s="438"/>
      <c r="AW58" s="438"/>
      <c r="AX58" s="438"/>
      <c r="AY58" s="438"/>
      <c r="AZ58" s="438"/>
      <c r="BA58" s="438"/>
      <c r="BB58" s="438"/>
      <c r="BC58" s="439"/>
      <c r="BD58" s="79"/>
      <c r="BE58" s="76"/>
      <c r="BF58" s="76"/>
      <c r="BG58" s="76"/>
      <c r="BH58" s="76"/>
      <c r="BI58" s="76"/>
      <c r="BJ58" s="76"/>
      <c r="BK58" s="76"/>
      <c r="BL58" s="76"/>
      <c r="BM58" s="76"/>
      <c r="BN58" s="76"/>
      <c r="BO58" s="76"/>
      <c r="BP58" s="76"/>
      <c r="BQ58" s="76"/>
      <c r="BR58" s="76"/>
      <c r="BS58" s="76"/>
      <c r="BT58" s="76"/>
      <c r="CZ58" s="430" t="s">
        <v>131</v>
      </c>
      <c r="DF58" s="441"/>
    </row>
    <row r="59" customHeight="1" spans="1:123">
      <c r="B59" s="420" t="str">
        <f>IF(附表!$I$12,IF(附表!A31=0,"",附表!A31),"")</f>
        <v/>
      </c>
      <c r="C59" s="421"/>
      <c r="D59" s="421"/>
      <c r="E59" s="421"/>
      <c r="F59" s="421"/>
      <c r="G59" s="421"/>
      <c r="H59" s="421"/>
      <c r="I59" s="421"/>
      <c r="J59" s="421"/>
      <c r="K59" s="421"/>
      <c r="L59" s="421"/>
      <c r="M59" s="421"/>
      <c r="N59" s="421"/>
      <c r="O59" s="421"/>
      <c r="P59" s="511" t="inlineStr">
        <is>
          <t xml:space="preserve">☐</t>
        </is>
      </c>
      <c r="Q59" s="427"/>
      <c r="R59" s="512" t="str">
        <f>IF(AND(附表!$I$12,职业选项!A28&lt;&gt;""),职业选项!A28,"")</f>
        <v/>
      </c>
      <c r="S59" s="427"/>
      <c r="T59" s="427"/>
      <c r="U59" s="427"/>
      <c r="V59" s="427"/>
      <c r="W59" s="427"/>
      <c r="X59" s="427"/>
      <c r="Y59" s="427"/>
      <c r="Z59" s="434"/>
      <c r="AJ59" s="220"/>
      <c r="AK59" s="438"/>
      <c r="AL59" s="438"/>
      <c r="AM59" s="438"/>
      <c r="AN59" s="438"/>
      <c r="AO59" s="438"/>
      <c r="AP59" s="438"/>
      <c r="AQ59" s="438"/>
      <c r="AR59" s="438"/>
      <c r="AS59" s="438"/>
      <c r="AT59" s="438"/>
      <c r="AU59" s="438"/>
      <c r="AV59" s="438"/>
      <c r="AW59" s="438"/>
      <c r="AX59" s="438"/>
      <c r="AY59" s="438"/>
      <c r="AZ59" s="438"/>
      <c r="BA59" s="438"/>
      <c r="BB59" s="438"/>
      <c r="BC59" s="439"/>
      <c r="BD59" s="77"/>
      <c r="CZ59" s="430" t="s">
        <v>132</v>
      </c>
      <c r="DF59" s="441"/>
    </row>
    <row r="60" customHeight="1" spans="1:123">
      <c r="B60" s="420" t="str">
        <f>IF(附表!$I$12,IF(附表!A32=0,"",附表!A32),"")</f>
        <v/>
      </c>
      <c r="C60" s="421"/>
      <c r="D60" s="421"/>
      <c r="E60" s="421"/>
      <c r="F60" s="421"/>
      <c r="G60" s="421"/>
      <c r="H60" s="421"/>
      <c r="I60" s="421"/>
      <c r="J60" s="421"/>
      <c r="K60" s="421"/>
      <c r="L60" s="421"/>
      <c r="M60" s="421"/>
      <c r="N60" s="421"/>
      <c r="O60" s="421"/>
      <c r="AA60" s="452" t="str">
        <f ca="1">职业选项!$T$8</f>
        <v>任选已完成
细项直接填上方</v>
      </c>
      <c r="AB60" s="453"/>
      <c r="AC60" s="453"/>
      <c r="AD60" s="453"/>
      <c r="AE60" s="453"/>
      <c r="AF60" s="453"/>
      <c r="AG60" s="453"/>
      <c r="AH60" s="453"/>
      <c r="AI60" s="453"/>
      <c r="AJ60" s="454"/>
      <c r="AK60" s="438"/>
      <c r="AL60" s="438"/>
      <c r="AM60" s="438"/>
      <c r="AN60" s="438"/>
      <c r="AO60" s="438"/>
      <c r="AP60" s="438"/>
      <c r="AQ60" s="438"/>
      <c r="AR60" s="438"/>
      <c r="AS60" s="438"/>
      <c r="AT60" s="438"/>
      <c r="AU60" s="438"/>
      <c r="AV60" s="438"/>
      <c r="AW60" s="438"/>
      <c r="AX60" s="438"/>
      <c r="AY60" s="438"/>
      <c r="AZ60" s="438"/>
      <c r="BA60" s="438"/>
      <c r="BB60" s="438"/>
      <c r="BC60" s="439"/>
      <c r="BD60" s="77"/>
      <c r="CZ60" s="430" t="s">
        <v>133</v>
      </c>
      <c r="DF60" s="441"/>
    </row>
    <row r="61" customHeight="1" spans="1:123">
      <c r="B61" s="420" t="str">
        <f>IF(附表!$I$12,IF(附表!A33=0,"",附表!A33),"")</f>
        <v/>
      </c>
      <c r="C61" s="421"/>
      <c r="D61" s="421"/>
      <c r="E61" s="421"/>
      <c r="F61" s="421"/>
      <c r="G61" s="421"/>
      <c r="H61" s="421"/>
      <c r="I61" s="421"/>
      <c r="J61" s="421"/>
      <c r="K61" s="421"/>
      <c r="L61" s="421"/>
      <c r="M61" s="421"/>
      <c r="N61" s="421"/>
      <c r="O61" s="421"/>
      <c r="P61" s="421" t="str">
        <f ca="1">IF(COUNTIF(职业选项!$E$2:$E$28,"skill")&gt;0,"固定二选一：","")</f>
        <v/>
      </c>
      <c r="AA61" s="455"/>
      <c r="AB61" s="456"/>
      <c r="AC61" s="456"/>
      <c r="AD61" s="456"/>
      <c r="AE61" s="456"/>
      <c r="AF61" s="456"/>
      <c r="AG61" s="456"/>
      <c r="AH61" s="456"/>
      <c r="AI61" s="456"/>
      <c r="AJ61" s="457"/>
      <c r="AK61" s="438"/>
      <c r="AL61" s="438"/>
      <c r="AM61" s="438"/>
      <c r="AN61" s="438"/>
      <c r="AO61" s="438"/>
      <c r="AP61" s="438"/>
      <c r="AQ61" s="438"/>
      <c r="AR61" s="438"/>
      <c r="AS61" s="438"/>
      <c r="AT61" s="438"/>
      <c r="AU61" s="438"/>
      <c r="AV61" s="438"/>
      <c r="AW61" s="438"/>
      <c r="AX61" s="438"/>
      <c r="AY61" s="438"/>
      <c r="AZ61" s="438"/>
      <c r="BA61" s="438"/>
      <c r="BB61" s="438"/>
      <c r="BC61" s="439"/>
      <c r="BD61" s="77"/>
      <c r="CZ61" s="430" t="s">
        <v>134</v>
      </c>
      <c r="DF61" s="441"/>
    </row>
    <row r="62" customHeight="1" spans="1:123">
      <c r="B62" s="420" t="str">
        <f>IF(附表!$I$12,IF(附表!A34=0,"",附表!A34),"")</f>
        <v/>
      </c>
      <c r="C62" s="421"/>
      <c r="D62" s="421"/>
      <c r="E62" s="421"/>
      <c r="F62" s="421"/>
      <c r="G62" s="421"/>
      <c r="H62" s="421"/>
      <c r="I62" s="421"/>
      <c r="J62" s="421"/>
      <c r="K62" s="421"/>
      <c r="L62" s="421"/>
      <c r="M62" s="421"/>
      <c r="N62" s="421"/>
      <c r="O62" s="421"/>
      <c r="P62" s="421"/>
      <c r="AA62" s="455"/>
      <c r="AB62" s="456"/>
      <c r="AC62" s="456"/>
      <c r="AD62" s="456"/>
      <c r="AE62" s="456"/>
      <c r="AF62" s="456"/>
      <c r="AG62" s="456"/>
      <c r="AH62" s="456"/>
      <c r="AI62" s="456"/>
      <c r="AJ62" s="457"/>
      <c r="AK62" s="438"/>
      <c r="AL62" s="438"/>
      <c r="AM62" s="438"/>
      <c r="AN62" s="438"/>
      <c r="AO62" s="438"/>
      <c r="AP62" s="438"/>
      <c r="AQ62" s="438"/>
      <c r="AR62" s="438"/>
      <c r="AS62" s="438"/>
      <c r="AT62" s="438"/>
      <c r="AU62" s="438"/>
      <c r="AV62" s="438"/>
      <c r="AW62" s="438"/>
      <c r="AX62" s="438"/>
      <c r="AY62" s="438"/>
      <c r="AZ62" s="438"/>
      <c r="BA62" s="438"/>
      <c r="BB62" s="438"/>
      <c r="BC62" s="439"/>
      <c r="BD62" s="77"/>
    </row>
    <row r="63" customHeight="1" spans="1:123">
      <c r="B63" s="458" t="str">
        <f>IF(附表!$I$12,IF(附表!A35=0,"",附表!A35),"")</f>
        <v/>
      </c>
      <c r="C63" s="459"/>
      <c r="D63" s="459"/>
      <c r="E63" s="459"/>
      <c r="F63" s="459"/>
      <c r="G63" s="459"/>
      <c r="H63" s="459"/>
      <c r="I63" s="459"/>
      <c r="J63" s="459"/>
      <c r="K63" s="459"/>
      <c r="L63" s="459"/>
      <c r="M63" s="459"/>
      <c r="N63" s="459"/>
      <c r="O63" s="459"/>
      <c r="P63" s="447"/>
      <c r="Q63" s="447"/>
      <c r="R63" s="447"/>
      <c r="S63" s="447"/>
      <c r="T63" s="447"/>
      <c r="U63" s="447"/>
      <c r="V63" s="447"/>
      <c r="W63" s="447"/>
      <c r="X63" s="447"/>
      <c r="Y63" s="447"/>
      <c r="Z63" s="447"/>
      <c r="AA63" s="460"/>
      <c r="AB63" s="461"/>
      <c r="AC63" s="461"/>
      <c r="AD63" s="461"/>
      <c r="AE63" s="461"/>
      <c r="AF63" s="461"/>
      <c r="AG63" s="461"/>
      <c r="AH63" s="461"/>
      <c r="AI63" s="461"/>
      <c r="AJ63" s="462"/>
      <c r="AK63" s="463"/>
      <c r="AL63" s="463"/>
      <c r="AM63" s="463"/>
      <c r="AN63" s="463"/>
      <c r="AO63" s="463"/>
      <c r="AP63" s="463"/>
      <c r="AQ63" s="463"/>
      <c r="AR63" s="463"/>
      <c r="AS63" s="463"/>
      <c r="AT63" s="463"/>
      <c r="AU63" s="463"/>
      <c r="AV63" s="463"/>
      <c r="AW63" s="463"/>
      <c r="AX63" s="463"/>
      <c r="AY63" s="463"/>
      <c r="AZ63" s="463"/>
      <c r="BA63" s="463"/>
      <c r="BB63" s="463"/>
      <c r="BC63" s="464"/>
      <c r="BD63" s="77"/>
    </row>
    <row r="64" customHeight="1" spans="1:123">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row>
    <row r="65">
      <c r="B65" s="551" t="inlineStr">
        <is>
          <t xml:space="preserve">模组经历备忘录</t>
        </is>
      </c>
      <c r="AB65" s="551" t="inlineStr">
        <is>
          <t xml:space="preserve">绿箱生成器</t>
        </is>
      </c>
      <c r="BI65" s="551" t="inlineStr">
        <is>
          <t xml:space="preserve">规则速查</t>
        </is>
      </c>
      <c r="BX65" s="551" t="inlineStr">
        <is>
          <t xml:space="preserve">更新记录</t>
        </is>
      </c>
    </row>
    <row r="71" customHeight="1" spans="29:29">
      <c r="AC71" s="465"/>
    </row>
    <row r="72" customHeight="1" spans="29:29">
      <c r="AC72" s="466"/>
    </row>
  </sheetData>
  <sheetProtection selectLockedCells="1" formatCells="0"/>
  <mergeCells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count="770">
    <mergeCell ref="AQ1:BG1"/>
    <mergeCell ref="B2:Z2"/>
    <mergeCell ref="AB2:AG2"/>
    <mergeCell ref="AH2:AJ2"/>
    <mergeCell ref="AK2:AM2"/>
    <mergeCell ref="AN2:AP2"/>
    <mergeCell ref="AQ2:BG2"/>
    <mergeCell ref="BX2:CO2"/>
    <mergeCell ref="CP2:CX2"/>
    <mergeCell ref="CZ2:EY2"/>
    <mergeCell ref="B3:D3"/>
    <mergeCell ref="E3:Z3"/>
    <mergeCell ref="AB3:AD3"/>
    <mergeCell ref="AE3:AG3"/>
    <mergeCell ref="AH3:AJ3"/>
    <mergeCell ref="AK3:AM3"/>
    <mergeCell ref="AN3:AP3"/>
    <mergeCell ref="AQ3:BG3"/>
    <mergeCell ref="BX3:CO3"/>
    <mergeCell ref="CP3:CX3"/>
    <mergeCell ref="B4:D4"/>
    <mergeCell ref="E4:Z4"/>
    <mergeCell ref="AB4:AD4"/>
    <mergeCell ref="AE4:AG4"/>
    <mergeCell ref="AH4:AJ4"/>
    <mergeCell ref="AK4:AM4"/>
    <mergeCell ref="AN4:AP4"/>
    <mergeCell ref="AQ4:BG4"/>
    <mergeCell ref="BX4:CO4"/>
    <mergeCell ref="CP4:CX4"/>
    <mergeCell ref="B5:D5"/>
    <mergeCell ref="E5:M5"/>
    <mergeCell ref="N5:P5"/>
    <mergeCell ref="Q5:Z5"/>
    <mergeCell ref="AB5:AD5"/>
    <mergeCell ref="AE5:AG5"/>
    <mergeCell ref="AH5:AJ5"/>
    <mergeCell ref="AK5:AM5"/>
    <mergeCell ref="AN5:AP5"/>
    <mergeCell ref="AQ5:BG5"/>
    <mergeCell ref="BX5:CO5"/>
    <mergeCell ref="CP5:CX5"/>
    <mergeCell ref="B6:D6"/>
    <mergeCell ref="E6:M6"/>
    <mergeCell ref="N6:P6"/>
    <mergeCell ref="Q6:Z6"/>
    <mergeCell ref="AB6:AD6"/>
    <mergeCell ref="AE6:AG6"/>
    <mergeCell ref="AH6:AJ6"/>
    <mergeCell ref="AK6:AM6"/>
    <mergeCell ref="AN6:AP6"/>
    <mergeCell ref="AQ6:BG6"/>
    <mergeCell ref="BX6:CO6"/>
    <mergeCell ref="CP6:CX6"/>
    <mergeCell ref="B7:D7"/>
    <mergeCell ref="E7:Z7"/>
    <mergeCell ref="AB7:AD7"/>
    <mergeCell ref="AE7:AG7"/>
    <mergeCell ref="AH7:AJ7"/>
    <mergeCell ref="AK7:AM7"/>
    <mergeCell ref="AN7:AP7"/>
    <mergeCell ref="AQ7:BG7"/>
    <mergeCell ref="BX7:CO7"/>
    <mergeCell ref="CP7:CX7"/>
    <mergeCell ref="B8:D8"/>
    <mergeCell ref="E8:Z8"/>
    <mergeCell ref="AB8:AD8"/>
    <mergeCell ref="AE8:AG8"/>
    <mergeCell ref="AH8:AJ8"/>
    <mergeCell ref="AK8:AM8"/>
    <mergeCell ref="AN8:AP8"/>
    <mergeCell ref="AQ8:BG8"/>
    <mergeCell ref="BX8:CO8"/>
    <mergeCell ref="CP8:CX8"/>
    <mergeCell ref="R9:W9"/>
    <mergeCell ref="X9:AA9"/>
    <mergeCell ref="AB9:AH9"/>
    <mergeCell ref="AI9:AK9"/>
    <mergeCell ref="AL9:AS9"/>
    <mergeCell ref="AT9:AV9"/>
    <mergeCell ref="AW9:BC9"/>
    <mergeCell ref="BD9:BG9"/>
    <mergeCell ref="BX9:CO9"/>
    <mergeCell ref="CP9:CX9"/>
    <mergeCell ref="B10:G10"/>
    <mergeCell ref="N10:U10"/>
    <mergeCell ref="AB10:AG10"/>
    <mergeCell ref="AN10:AT10"/>
    <mergeCell ref="AX10:BC10"/>
    <mergeCell ref="BD10:BG10"/>
    <mergeCell ref="BX10:CO10"/>
    <mergeCell ref="CP10:CX10"/>
    <mergeCell ref="B11:G11"/>
    <mergeCell ref="N11:U11"/>
    <mergeCell ref="AB11:AG11"/>
    <mergeCell ref="AN11:AT11"/>
    <mergeCell ref="AX11:BC11"/>
    <mergeCell ref="BD11:BG11"/>
    <mergeCell ref="BX11:CO11"/>
    <mergeCell ref="CP11:CX11"/>
    <mergeCell ref="B13:O13"/>
    <mergeCell ref="P13:R13"/>
    <mergeCell ref="S13:U13"/>
    <mergeCell ref="V13:X13"/>
    <mergeCell ref="Y13:AA13"/>
    <mergeCell ref="AB13:AD13"/>
    <mergeCell ref="AE13:AR13"/>
    <mergeCell ref="AS13:AU13"/>
    <mergeCell ref="AV13:AX13"/>
    <mergeCell ref="AY13:BA13"/>
    <mergeCell ref="BB13:BD13"/>
    <mergeCell ref="BE13:BG13"/>
    <mergeCell ref="CZ13:DL13"/>
    <mergeCell ref="DM13:DP13"/>
    <mergeCell ref="DQ13:DV13"/>
    <mergeCell ref="DW13:DY13"/>
    <mergeCell ref="DZ13:EC13"/>
    <mergeCell ref="ED13:EG13"/>
    <mergeCell ref="EI13:EP13"/>
    <mergeCell ref="B14:C14"/>
    <mergeCell ref="D14:O14"/>
    <mergeCell ref="P14:R14"/>
    <mergeCell ref="S14:U14"/>
    <mergeCell ref="V14:X14"/>
    <mergeCell ref="Y14:AA14"/>
    <mergeCell ref="AB14:AD14"/>
    <mergeCell ref="AE14:AF14"/>
    <mergeCell ref="AG14:AR14"/>
    <mergeCell ref="AS14:AU14"/>
    <mergeCell ref="AV14:AX14"/>
    <mergeCell ref="AY14:BA14"/>
    <mergeCell ref="BB14:BD14"/>
    <mergeCell ref="BE14:BG14"/>
    <mergeCell ref="CZ14:DL14"/>
    <mergeCell ref="DM14:DP14"/>
    <mergeCell ref="DQ14:DV14"/>
    <mergeCell ref="DW14:DY14"/>
    <mergeCell ref="DZ14:EC14"/>
    <mergeCell ref="ED14:EG14"/>
    <mergeCell ref="EI14:EP14"/>
    <mergeCell ref="B15:C15"/>
    <mergeCell ref="D15:O15"/>
    <mergeCell ref="P15:R15"/>
    <mergeCell ref="S15:U15"/>
    <mergeCell ref="V15:X15"/>
    <mergeCell ref="Y15:AA15"/>
    <mergeCell ref="AB15:AD15"/>
    <mergeCell ref="AE15:AF15"/>
    <mergeCell ref="AG15:AR15"/>
    <mergeCell ref="AS15:AU15"/>
    <mergeCell ref="AV15:AX15"/>
    <mergeCell ref="AY15:BA15"/>
    <mergeCell ref="BB15:BD15"/>
    <mergeCell ref="BE15:BG15"/>
    <mergeCell ref="CZ15:DL15"/>
    <mergeCell ref="DM15:DP15"/>
    <mergeCell ref="DQ15:DV15"/>
    <mergeCell ref="DW15:DY15"/>
    <mergeCell ref="DZ15:EC15"/>
    <mergeCell ref="ED15:EG15"/>
    <mergeCell ref="EI15:EY15"/>
    <mergeCell ref="B16:C16"/>
    <mergeCell ref="D16:O16"/>
    <mergeCell ref="P16:R16"/>
    <mergeCell ref="S16:U16"/>
    <mergeCell ref="V16:X16"/>
    <mergeCell ref="Y16:AA16"/>
    <mergeCell ref="AB16:AD16"/>
    <mergeCell ref="AE16:AF16"/>
    <mergeCell ref="AG16:AR16"/>
    <mergeCell ref="AS16:AU16"/>
    <mergeCell ref="AV16:AX16"/>
    <mergeCell ref="AY16:BA16"/>
    <mergeCell ref="BB16:BD16"/>
    <mergeCell ref="BE16:BG16"/>
    <mergeCell ref="CZ16:DL16"/>
    <mergeCell ref="DM16:DP16"/>
    <mergeCell ref="DQ16:DV16"/>
    <mergeCell ref="DW16:DY16"/>
    <mergeCell ref="DZ16:EC16"/>
    <mergeCell ref="ED16:EG16"/>
    <mergeCell ref="EI16:EY16"/>
    <mergeCell ref="B17:C17"/>
    <mergeCell ref="D17:O17"/>
    <mergeCell ref="P17:R17"/>
    <mergeCell ref="S17:U17"/>
    <mergeCell ref="V17:X17"/>
    <mergeCell ref="Y17:AA17"/>
    <mergeCell ref="AB17:AD17"/>
    <mergeCell ref="AE17:AF17"/>
    <mergeCell ref="AG17:AL17"/>
    <mergeCell ref="AM17:AR17"/>
    <mergeCell ref="AS17:AU17"/>
    <mergeCell ref="AV17:AX17"/>
    <mergeCell ref="AY17:BA17"/>
    <mergeCell ref="BB17:BD17"/>
    <mergeCell ref="BE17:BG17"/>
    <mergeCell ref="CZ17:DL17"/>
    <mergeCell ref="DM17:DP17"/>
    <mergeCell ref="DQ17:DV17"/>
    <mergeCell ref="DW17:DY17"/>
    <mergeCell ref="DZ17:EC17"/>
    <mergeCell ref="ED17:EG17"/>
    <mergeCell ref="B18:C18"/>
    <mergeCell ref="D18:I18"/>
    <mergeCell ref="J18:O18"/>
    <mergeCell ref="P18:R18"/>
    <mergeCell ref="S18:U18"/>
    <mergeCell ref="V18:X18"/>
    <mergeCell ref="Y18:AA18"/>
    <mergeCell ref="AB18:AD18"/>
    <mergeCell ref="AE18:AF18"/>
    <mergeCell ref="AG18:AL18"/>
    <mergeCell ref="AM18:AR18"/>
    <mergeCell ref="AS18:AU18"/>
    <mergeCell ref="AV18:AX18"/>
    <mergeCell ref="AY18:BA18"/>
    <mergeCell ref="BB18:BD18"/>
    <mergeCell ref="BE18:BG18"/>
    <mergeCell ref="CZ18:DL18"/>
    <mergeCell ref="DM18:DP18"/>
    <mergeCell ref="DQ18:DV18"/>
    <mergeCell ref="DW18:DY18"/>
    <mergeCell ref="DZ18:EC18"/>
    <mergeCell ref="ED18:EG18"/>
    <mergeCell ref="B19:C19"/>
    <mergeCell ref="D19:I19"/>
    <mergeCell ref="J19:O19"/>
    <mergeCell ref="P19:R19"/>
    <mergeCell ref="S19:U19"/>
    <mergeCell ref="V19:X19"/>
    <mergeCell ref="Y19:AA19"/>
    <mergeCell ref="AB19:AD19"/>
    <mergeCell ref="AE19:AF19"/>
    <mergeCell ref="AG19:AL19"/>
    <mergeCell ref="AM19:AR19"/>
    <mergeCell ref="AS19:AU19"/>
    <mergeCell ref="AV19:AX19"/>
    <mergeCell ref="AY19:BA19"/>
    <mergeCell ref="BB19:BD19"/>
    <mergeCell ref="BE19:BG19"/>
    <mergeCell ref="CZ19:DL19"/>
    <mergeCell ref="DM19:DP19"/>
    <mergeCell ref="DQ19:DV19"/>
    <mergeCell ref="DW19:DY19"/>
    <mergeCell ref="DZ19:EC19"/>
    <mergeCell ref="ED19:EG19"/>
    <mergeCell ref="B20:C20"/>
    <mergeCell ref="D20:I20"/>
    <mergeCell ref="J20:O20"/>
    <mergeCell ref="P20:R20"/>
    <mergeCell ref="S20:U20"/>
    <mergeCell ref="V20:X20"/>
    <mergeCell ref="Y20:AA20"/>
    <mergeCell ref="AB20:AD20"/>
    <mergeCell ref="AE20:AF20"/>
    <mergeCell ref="AG20:AR20"/>
    <mergeCell ref="AS20:AU20"/>
    <mergeCell ref="AV20:AX20"/>
    <mergeCell ref="AY20:BA20"/>
    <mergeCell ref="BB20:BD20"/>
    <mergeCell ref="BE20:BG20"/>
    <mergeCell ref="CZ20:DL20"/>
    <mergeCell ref="DM20:DP20"/>
    <mergeCell ref="DQ20:DV20"/>
    <mergeCell ref="DW20:DY20"/>
    <mergeCell ref="DZ20:EC20"/>
    <mergeCell ref="ED20:EG20"/>
    <mergeCell ref="B21:C21"/>
    <mergeCell ref="D21:O21"/>
    <mergeCell ref="P21:R21"/>
    <mergeCell ref="S21:U21"/>
    <mergeCell ref="V21:X21"/>
    <mergeCell ref="Y21:AA21"/>
    <mergeCell ref="AB21:AD21"/>
    <mergeCell ref="AE21:AF21"/>
    <mergeCell ref="AG21:AR21"/>
    <mergeCell ref="AS21:AU21"/>
    <mergeCell ref="AV21:AX21"/>
    <mergeCell ref="AY21:BA21"/>
    <mergeCell ref="BB21:BD21"/>
    <mergeCell ref="BE21:BG21"/>
    <mergeCell ref="B22:C22"/>
    <mergeCell ref="D22:O22"/>
    <mergeCell ref="P22:R22"/>
    <mergeCell ref="S22:U22"/>
    <mergeCell ref="V22:X22"/>
    <mergeCell ref="Y22:AA22"/>
    <mergeCell ref="AB22:AD22"/>
    <mergeCell ref="AE22:AF22"/>
    <mergeCell ref="AG22:AR22"/>
    <mergeCell ref="AS22:AU22"/>
    <mergeCell ref="AV22:AX22"/>
    <mergeCell ref="AY22:BA22"/>
    <mergeCell ref="BB22:BD22"/>
    <mergeCell ref="BE22:BG22"/>
    <mergeCell ref="DT22:DW22"/>
    <mergeCell ref="DX22:DY22"/>
    <mergeCell ref="DZ22:EA22"/>
    <mergeCell ref="EC22:EE22"/>
    <mergeCell ref="EF22:EG22"/>
    <mergeCell ref="EI22:EY22"/>
    <mergeCell ref="B23:C23"/>
    <mergeCell ref="D23:O23"/>
    <mergeCell ref="P23:R23"/>
    <mergeCell ref="S23:U23"/>
    <mergeCell ref="V23:X23"/>
    <mergeCell ref="Y23:AA23"/>
    <mergeCell ref="AB23:AD23"/>
    <mergeCell ref="AE23:AF23"/>
    <mergeCell ref="AG23:AR23"/>
    <mergeCell ref="AS23:AU23"/>
    <mergeCell ref="AV23:AX23"/>
    <mergeCell ref="AY23:BA23"/>
    <mergeCell ref="BB23:BD23"/>
    <mergeCell ref="BE23:BG23"/>
    <mergeCell ref="ED23:EE23"/>
    <mergeCell ref="EF23:EG23"/>
    <mergeCell ref="B24:C24"/>
    <mergeCell ref="D24:O24"/>
    <mergeCell ref="P24:R24"/>
    <mergeCell ref="S24:U24"/>
    <mergeCell ref="V24:X24"/>
    <mergeCell ref="Y24:AA24"/>
    <mergeCell ref="AB24:AD24"/>
    <mergeCell ref="AE24:AF24"/>
    <mergeCell ref="AG24:AL24"/>
    <mergeCell ref="AM24:AR24"/>
    <mergeCell ref="AS24:AU24"/>
    <mergeCell ref="AV24:AX24"/>
    <mergeCell ref="AY24:BA24"/>
    <mergeCell ref="BB24:BD24"/>
    <mergeCell ref="BE24:BG24"/>
    <mergeCell ref="B25:C25"/>
    <mergeCell ref="D25:I25"/>
    <mergeCell ref="J25:O25"/>
    <mergeCell ref="P25:R25"/>
    <mergeCell ref="S25:U25"/>
    <mergeCell ref="V25:X25"/>
    <mergeCell ref="Y25:AA25"/>
    <mergeCell ref="AB25:AD25"/>
    <mergeCell ref="AE25:AF25"/>
    <mergeCell ref="AG25:AL25"/>
    <mergeCell ref="AM25:AR25"/>
    <mergeCell ref="AS25:AU25"/>
    <mergeCell ref="AV25:AX25"/>
    <mergeCell ref="AY25:BA25"/>
    <mergeCell ref="BB25:BD25"/>
    <mergeCell ref="BE25:BG25"/>
    <mergeCell ref="B26:C26"/>
    <mergeCell ref="D26:I26"/>
    <mergeCell ref="J26:O26"/>
    <mergeCell ref="P26:R26"/>
    <mergeCell ref="S26:U26"/>
    <mergeCell ref="V26:X26"/>
    <mergeCell ref="Y26:AA26"/>
    <mergeCell ref="AB26:AD26"/>
    <mergeCell ref="AE26:AF26"/>
    <mergeCell ref="AG26:AL26"/>
    <mergeCell ref="AM26:AR26"/>
    <mergeCell ref="AS26:AU26"/>
    <mergeCell ref="AV26:AX26"/>
    <mergeCell ref="AY26:BA26"/>
    <mergeCell ref="BB26:BD26"/>
    <mergeCell ref="BE26:BG26"/>
    <mergeCell ref="ED26:EE26"/>
    <mergeCell ref="EF26:EG26"/>
    <mergeCell ref="B27:C27"/>
    <mergeCell ref="D27:I27"/>
    <mergeCell ref="J27:O27"/>
    <mergeCell ref="P27:R27"/>
    <mergeCell ref="S27:U27"/>
    <mergeCell ref="V27:X27"/>
    <mergeCell ref="Y27:AA27"/>
    <mergeCell ref="AB27:AD27"/>
    <mergeCell ref="AE27:AF27"/>
    <mergeCell ref="AG27:AR27"/>
    <mergeCell ref="AS27:AU27"/>
    <mergeCell ref="AV27:AX27"/>
    <mergeCell ref="AY27:BA27"/>
    <mergeCell ref="BB27:BD27"/>
    <mergeCell ref="BE27:BG27"/>
    <mergeCell ref="B28:C28"/>
    <mergeCell ref="D28:I28"/>
    <mergeCell ref="J28:O28"/>
    <mergeCell ref="P28:R28"/>
    <mergeCell ref="S28:U28"/>
    <mergeCell ref="V28:X28"/>
    <mergeCell ref="Y28:AA28"/>
    <mergeCell ref="AB28:AD28"/>
    <mergeCell ref="AE28:AF28"/>
    <mergeCell ref="AG28:AR28"/>
    <mergeCell ref="AS28:AU28"/>
    <mergeCell ref="AV28:AX28"/>
    <mergeCell ref="AY28:BA28"/>
    <mergeCell ref="BB28:BD28"/>
    <mergeCell ref="BE28:BG28"/>
    <mergeCell ref="B29:C29"/>
    <mergeCell ref="D29:O29"/>
    <mergeCell ref="P29:R29"/>
    <mergeCell ref="S29:U29"/>
    <mergeCell ref="V29:X29"/>
    <mergeCell ref="Y29:AA29"/>
    <mergeCell ref="AB29:AD29"/>
    <mergeCell ref="AE29:AF29"/>
    <mergeCell ref="AG29:AL29"/>
    <mergeCell ref="AM29:AR29"/>
    <mergeCell ref="AS29:AU29"/>
    <mergeCell ref="AV29:AX29"/>
    <mergeCell ref="AY29:BA29"/>
    <mergeCell ref="BB29:BD29"/>
    <mergeCell ref="BE29:BG29"/>
    <mergeCell ref="ED29:EE29"/>
    <mergeCell ref="EF29:EG29"/>
    <mergeCell ref="B30:C30"/>
    <mergeCell ref="D30:O30"/>
    <mergeCell ref="P30:R30"/>
    <mergeCell ref="S30:U30"/>
    <mergeCell ref="V30:X30"/>
    <mergeCell ref="Y30:AA30"/>
    <mergeCell ref="AB30:AD30"/>
    <mergeCell ref="AE30:AF30"/>
    <mergeCell ref="AG30:AL30"/>
    <mergeCell ref="AM30:AR30"/>
    <mergeCell ref="AS30:AU30"/>
    <mergeCell ref="AV30:AX30"/>
    <mergeCell ref="AY30:BA30"/>
    <mergeCell ref="BB30:BD30"/>
    <mergeCell ref="BE30:BG30"/>
    <mergeCell ref="B31:C31"/>
    <mergeCell ref="D31:O31"/>
    <mergeCell ref="P31:R31"/>
    <mergeCell ref="S31:U31"/>
    <mergeCell ref="V31:X31"/>
    <mergeCell ref="Y31:AA31"/>
    <mergeCell ref="AB31:AD31"/>
    <mergeCell ref="AE31:AF31"/>
    <mergeCell ref="AG31:AL31"/>
    <mergeCell ref="AM31:AR31"/>
    <mergeCell ref="AS31:AU31"/>
    <mergeCell ref="AV31:AX31"/>
    <mergeCell ref="AY31:BA31"/>
    <mergeCell ref="BB31:BD31"/>
    <mergeCell ref="BE31:BG31"/>
    <mergeCell ref="B32:C32"/>
    <mergeCell ref="D32:O32"/>
    <mergeCell ref="P32:R32"/>
    <mergeCell ref="S32:U32"/>
    <mergeCell ref="V32:X32"/>
    <mergeCell ref="Y32:AA32"/>
    <mergeCell ref="AB32:AD32"/>
    <mergeCell ref="AE32:AF32"/>
    <mergeCell ref="AG32:AR32"/>
    <mergeCell ref="AS32:AU32"/>
    <mergeCell ref="AV32:AX32"/>
    <mergeCell ref="AY32:BA32"/>
    <mergeCell ref="BB32:BD32"/>
    <mergeCell ref="BE32:BG32"/>
    <mergeCell ref="ED32:EE32"/>
    <mergeCell ref="EF32:EG32"/>
    <mergeCell ref="B33:C33"/>
    <mergeCell ref="D33:O33"/>
    <mergeCell ref="P33:R33"/>
    <mergeCell ref="S33:U33"/>
    <mergeCell ref="V33:X33"/>
    <mergeCell ref="Y33:AA33"/>
    <mergeCell ref="AB33:AD33"/>
    <mergeCell ref="AE33:AF33"/>
    <mergeCell ref="AG33:AR33"/>
    <mergeCell ref="AS33:AU33"/>
    <mergeCell ref="AV33:AX33"/>
    <mergeCell ref="AY33:BA33"/>
    <mergeCell ref="BB33:BD33"/>
    <mergeCell ref="BE33:BG33"/>
    <mergeCell ref="B34:C34"/>
    <mergeCell ref="D34:O34"/>
    <mergeCell ref="P34:R34"/>
    <mergeCell ref="S34:U34"/>
    <mergeCell ref="V34:X34"/>
    <mergeCell ref="Y34:AA34"/>
    <mergeCell ref="AB34:AD34"/>
    <mergeCell ref="AE34:AF34"/>
    <mergeCell ref="AG34:AR34"/>
    <mergeCell ref="AS34:AU34"/>
    <mergeCell ref="AV34:AX34"/>
    <mergeCell ref="AY34:BA34"/>
    <mergeCell ref="BB34:BD34"/>
    <mergeCell ref="BE34:BG34"/>
    <mergeCell ref="B35:C35"/>
    <mergeCell ref="D35:O35"/>
    <mergeCell ref="P35:R35"/>
    <mergeCell ref="S35:U35"/>
    <mergeCell ref="V35:X35"/>
    <mergeCell ref="Y35:AA35"/>
    <mergeCell ref="AB35:AD35"/>
    <mergeCell ref="AE35:AF35"/>
    <mergeCell ref="AG35:AR35"/>
    <mergeCell ref="AS35:AU35"/>
    <mergeCell ref="AV35:AX35"/>
    <mergeCell ref="AY35:BA35"/>
    <mergeCell ref="BB35:BD35"/>
    <mergeCell ref="BE35:BG35"/>
    <mergeCell ref="ED35:EE35"/>
    <mergeCell ref="EF35:EG35"/>
    <mergeCell ref="B36:C36"/>
    <mergeCell ref="D36:I36"/>
    <mergeCell ref="J36:O36"/>
    <mergeCell ref="P36:R36"/>
    <mergeCell ref="S36:U36"/>
    <mergeCell ref="V36:X36"/>
    <mergeCell ref="Y36:AA36"/>
    <mergeCell ref="AB36:AD36"/>
    <mergeCell ref="AE36:AF36"/>
    <mergeCell ref="AG36:AR36"/>
    <mergeCell ref="AS36:AU36"/>
    <mergeCell ref="AV36:AX36"/>
    <mergeCell ref="AY36:BA36"/>
    <mergeCell ref="BB36:BD36"/>
    <mergeCell ref="BE36:BG36"/>
    <mergeCell ref="B37:C37"/>
    <mergeCell ref="D37:I37"/>
    <mergeCell ref="J37:O37"/>
    <mergeCell ref="P37:R37"/>
    <mergeCell ref="S37:U37"/>
    <mergeCell ref="V37:X37"/>
    <mergeCell ref="Y37:AA37"/>
    <mergeCell ref="AB37:AD37"/>
    <mergeCell ref="AE37:AF37"/>
    <mergeCell ref="AG37:AR37"/>
    <mergeCell ref="AS37:AU37"/>
    <mergeCell ref="AV37:AX37"/>
    <mergeCell ref="AY37:BA37"/>
    <mergeCell ref="BB37:BD37"/>
    <mergeCell ref="BE37:BG37"/>
    <mergeCell ref="B38:C38"/>
    <mergeCell ref="D38:I38"/>
    <mergeCell ref="J38:O38"/>
    <mergeCell ref="P38:R38"/>
    <mergeCell ref="S38:U38"/>
    <mergeCell ref="V38:X38"/>
    <mergeCell ref="Y38:AA38"/>
    <mergeCell ref="AB38:AD38"/>
    <mergeCell ref="AE38:AF38"/>
    <mergeCell ref="AG38:AR38"/>
    <mergeCell ref="AS38:AU38"/>
    <mergeCell ref="AV38:AX38"/>
    <mergeCell ref="AY38:BA38"/>
    <mergeCell ref="BB38:BD38"/>
    <mergeCell ref="BE38:BG38"/>
    <mergeCell ref="ED38:EE38"/>
    <mergeCell ref="EF38:EG38"/>
    <mergeCell ref="B39:C39"/>
    <mergeCell ref="D39:O39"/>
    <mergeCell ref="P39:R39"/>
    <mergeCell ref="S39:U39"/>
    <mergeCell ref="V39:X39"/>
    <mergeCell ref="Y39:AA39"/>
    <mergeCell ref="AB39:AD39"/>
    <mergeCell ref="AE39:AF39"/>
    <mergeCell ref="AG39:AR39"/>
    <mergeCell ref="AS39:AU39"/>
    <mergeCell ref="AV39:AX39"/>
    <mergeCell ref="AY39:BA39"/>
    <mergeCell ref="BB39:BD39"/>
    <mergeCell ref="BE39:BG39"/>
    <mergeCell ref="B40:C40"/>
    <mergeCell ref="D40:O40"/>
    <mergeCell ref="P40:R40"/>
    <mergeCell ref="S40:U40"/>
    <mergeCell ref="V40:X40"/>
    <mergeCell ref="Y40:AA40"/>
    <mergeCell ref="AB40:AD40"/>
    <mergeCell ref="AE40:AF40"/>
    <mergeCell ref="AG40:AR40"/>
    <mergeCell ref="AS40:AU40"/>
    <mergeCell ref="AV40:AX40"/>
    <mergeCell ref="AY40:BA40"/>
    <mergeCell ref="BB40:BD40"/>
    <mergeCell ref="BE40:BG40"/>
    <mergeCell ref="B41:C41"/>
    <mergeCell ref="D41:O41"/>
    <mergeCell ref="P41:R41"/>
    <mergeCell ref="S41:U41"/>
    <mergeCell ref="V41:X41"/>
    <mergeCell ref="Y41:AA41"/>
    <mergeCell ref="AB41:AD41"/>
    <mergeCell ref="AE41:AF41"/>
    <mergeCell ref="AG41:AR41"/>
    <mergeCell ref="AS41:AU41"/>
    <mergeCell ref="AV41:AX41"/>
    <mergeCell ref="AY41:BA41"/>
    <mergeCell ref="BB41:BD41"/>
    <mergeCell ref="BE41:BG41"/>
    <mergeCell ref="ED41:EE41"/>
    <mergeCell ref="EF41:EG41"/>
    <mergeCell ref="B42:C42"/>
    <mergeCell ref="D42:O42"/>
    <mergeCell ref="P42:R42"/>
    <mergeCell ref="S42:U42"/>
    <mergeCell ref="V42:X42"/>
    <mergeCell ref="Y42:AA42"/>
    <mergeCell ref="AB42:AD42"/>
    <mergeCell ref="AE42:AF42"/>
    <mergeCell ref="AG42:AR42"/>
    <mergeCell ref="AS42:AU42"/>
    <mergeCell ref="AV42:AX42"/>
    <mergeCell ref="AY42:BA42"/>
    <mergeCell ref="BB42:BD42"/>
    <mergeCell ref="BE42:BG42"/>
    <mergeCell ref="B43:C43"/>
    <mergeCell ref="D43:O43"/>
    <mergeCell ref="P43:R43"/>
    <mergeCell ref="S43:U43"/>
    <mergeCell ref="V43:X43"/>
    <mergeCell ref="Y43:AA43"/>
    <mergeCell ref="AB43:AD43"/>
    <mergeCell ref="AE43:AF43"/>
    <mergeCell ref="AG43:AR43"/>
    <mergeCell ref="AS43:AU43"/>
    <mergeCell ref="AV43:AX43"/>
    <mergeCell ref="AY43:BA43"/>
    <mergeCell ref="BB43:BD43"/>
    <mergeCell ref="BE43:BG43"/>
    <mergeCell ref="B46:G46"/>
    <mergeCell ref="H46:AJ46"/>
    <mergeCell ref="BN46:BV46"/>
    <mergeCell ref="BW46:CQ46"/>
    <mergeCell ref="CZ46:DE46"/>
    <mergeCell ref="DF46:DR46"/>
    <mergeCell ref="B47:G47"/>
    <mergeCell ref="H47:U47"/>
    <mergeCell ref="V47:AJ47"/>
    <mergeCell ref="BN47:CQ47"/>
    <mergeCell ref="B48:O48"/>
    <mergeCell ref="P48:Y48"/>
    <mergeCell ref="AA48:AG48"/>
    <mergeCell ref="AH48:AJ48"/>
    <mergeCell ref="AK48:BC48"/>
    <mergeCell ref="BN48:BV48"/>
    <mergeCell ref="BZ48:CK48"/>
    <mergeCell ref="B49:O49"/>
    <mergeCell ref="P49:Q49"/>
    <mergeCell ref="AA49:AF49"/>
    <mergeCell ref="BN49:BY49"/>
    <mergeCell ref="BZ49:CK49"/>
    <mergeCell ref="B50:O50"/>
    <mergeCell ref="P50:Q50"/>
    <mergeCell ref="AA50:AJ50"/>
    <mergeCell ref="BN50:BY50"/>
    <mergeCell ref="BZ50:CK50"/>
    <mergeCell ref="B51:O51"/>
    <mergeCell ref="P51:Q51"/>
    <mergeCell ref="AA51:AJ51"/>
    <mergeCell ref="BN51:BY51"/>
    <mergeCell ref="BZ51:CK51"/>
    <mergeCell ref="B52:O52"/>
    <mergeCell ref="P52:Q52"/>
    <mergeCell ref="AA52:AJ52"/>
    <mergeCell ref="BN52:BY52"/>
    <mergeCell ref="BZ52:CK52"/>
    <mergeCell ref="B53:O53"/>
    <mergeCell ref="P53:Q53"/>
    <mergeCell ref="AA53:AJ53"/>
    <mergeCell ref="BN53:BY53"/>
    <mergeCell ref="BZ53:CK53"/>
    <mergeCell ref="B54:O54"/>
    <mergeCell ref="P54:Q54"/>
    <mergeCell ref="AA54:AJ54"/>
    <mergeCell ref="BN54:BY54"/>
    <mergeCell ref="BZ54:CK54"/>
    <mergeCell ref="CZ54:DE54"/>
    <mergeCell ref="DF54:DI54"/>
    <mergeCell ref="DK54:DQ54"/>
    <mergeCell ref="DR54:DU54"/>
    <mergeCell ref="B55:O55"/>
    <mergeCell ref="P55:Q55"/>
    <mergeCell ref="AA55:AJ55"/>
    <mergeCell ref="BN55:BY55"/>
    <mergeCell ref="BZ55:CK55"/>
    <mergeCell ref="CZ55:DE55"/>
    <mergeCell ref="DF55:DI55"/>
    <mergeCell ref="DK55:DQ55"/>
    <mergeCell ref="DR55:EY55"/>
    <mergeCell ref="B56:O56"/>
    <mergeCell ref="P56:Q56"/>
    <mergeCell ref="BN57:CP57"/>
    <mergeCell ref="CZ56:EY56"/>
    <mergeCell ref="B57:O57"/>
    <mergeCell ref="P57:Q57"/>
    <mergeCell ref="BN56:BY56"/>
    <mergeCell ref="BZ56:CK56"/>
    <mergeCell ref="CZ57:DE57"/>
    <mergeCell ref="DF57:EY57"/>
    <mergeCell ref="B58:O58"/>
    <mergeCell ref="P58:Q58"/>
    <mergeCell ref="CZ58:DE58"/>
    <mergeCell ref="DF58:EY58"/>
    <mergeCell ref="B59:O59"/>
    <mergeCell ref="P59:Q59"/>
    <mergeCell ref="CZ59:DE59"/>
    <mergeCell ref="DF59:EY59"/>
    <mergeCell ref="B60:O60"/>
    <mergeCell ref="CZ60:DE60"/>
    <mergeCell ref="DF60:EY60"/>
    <mergeCell ref="B61:O61"/>
    <mergeCell ref="P61:Z61"/>
    <mergeCell ref="CZ61:DE61"/>
    <mergeCell ref="DF61:EY61"/>
    <mergeCell ref="B62:O62"/>
    <mergeCell ref="P62:Z62"/>
    <mergeCell ref="B63:O63"/>
    <mergeCell ref="EI8:EJ11"/>
    <mergeCell ref="EK8:EY11"/>
    <mergeCell ref="BN17:CX26"/>
    <mergeCell ref="BI17:BM26"/>
    <mergeCell ref="BI27:CX43"/>
    <mergeCell ref="BI14:BM16"/>
    <mergeCell ref="BN14:CX16"/>
    <mergeCell ref="CZ35:EC37"/>
    <mergeCell ref="DR3:EH11"/>
    <mergeCell ref="CZ3:DQ11"/>
    <mergeCell ref="BI2:BV11"/>
    <mergeCell ref="ED42:EE43"/>
    <mergeCell ref="EF42:EG43"/>
    <mergeCell ref="CZ41:EC43"/>
    <mergeCell ref="ED36:EE37"/>
    <mergeCell ref="EF36:EG37"/>
    <mergeCell ref="ED24:EE25"/>
    <mergeCell ref="EF24:EG25"/>
    <mergeCell ref="CZ23:EC25"/>
    <mergeCell ref="CZ26:EC28"/>
    <mergeCell ref="ED27:EE28"/>
    <mergeCell ref="EF27:EG28"/>
    <mergeCell ref="CZ38:EC40"/>
    <mergeCell ref="ED39:EE40"/>
    <mergeCell ref="EF39:EG40"/>
    <mergeCell ref="EQ13:EY14"/>
    <mergeCell ref="EI23:EY43"/>
    <mergeCell ref="EI17:EY20"/>
    <mergeCell ref="CZ29:EC31"/>
    <mergeCell ref="CZ32:EC34"/>
    <mergeCell ref="ED33:EE34"/>
    <mergeCell ref="EF33:EG34"/>
    <mergeCell ref="ED30:EE31"/>
    <mergeCell ref="EF30:EG31"/>
    <mergeCell ref="AK49:BC63"/>
    <mergeCell ref="AA60:AJ63"/>
    <mergeCell ref="V10:X11"/>
    <mergeCell ref="Y10:AA11"/>
    <mergeCell ref="AH10:AJ11"/>
    <mergeCell ref="AK10:AM11"/>
    <mergeCell ref="H10:J11"/>
    <mergeCell ref="K10:M11"/>
    <mergeCell ref="AU10:AW11"/>
    <mergeCell ref="EI3:EY7"/>
    <mergeCell ref="R49:Z49"/>
    <mergeCell ref="R50:Z50"/>
    <mergeCell ref="R51:Z51"/>
    <mergeCell ref="R52:Z52"/>
    <mergeCell ref="R53:Z53"/>
    <mergeCell ref="R54:Z54"/>
    <mergeCell ref="R55:Z55"/>
    <mergeCell ref="R56:Z56"/>
    <mergeCell ref="R57:Z57"/>
    <mergeCell ref="R58:Z58"/>
    <mergeCell ref="R59:Z59"/>
    <mergeCell ref="B65:Z65"/>
    <mergeCell ref="AB65:BG65"/>
    <mergeCell ref="BI65:BW65"/>
    <mergeCell ref="BX65:CX65"/>
  </mergeCells>
  <conditionalFormatting sqref="B47:G47">
    <cfRule type="expression" dxfId="0" priority="461">
      <formula>NOT(附表!$I$11)</formula>
    </cfRule>
  </conditionalFormatting>
  <conditionalFormatting sqref="H47">
    <cfRule type="expression" dxfId="1" priority="459">
      <formula>附表!$I$12=FALSE</formula>
    </cfRule>
  </conditionalFormatting>
  <conditionalFormatting sqref="H47:U47">
    <cfRule type="expression" dxfId="2" priority="462">
      <formula>NOT(附表!$I$11)</formula>
    </cfRule>
  </conditionalFormatting>
  <conditionalFormatting sqref="V47">
    <cfRule type="expression" dxfId="3" priority="460">
      <formula>附表!$I$12=FALSE</formula>
    </cfRule>
  </conditionalFormatting>
  <conditionalFormatting sqref="AB3:BG8 B14:BG43 B3:Z4 BX3:CX11 B5:E6 N5:N6 Q5:Q6 B7:Z8 CZ14:EG20">
    <cfRule type="expression" dxfId="4" priority="458">
      <formula>MOD(ROW(),2)=0</formula>
    </cfRule>
  </conditionalFormatting>
  <conditionalFormatting sqref="AH3:AJ8">
    <cfRule type="cellIs" dxfId="5" priority="3" operator="lessThan">
      <formula>9</formula>
    </cfRule>
    <cfRule type="cellIs" dxfId="6" priority="437" operator="greaterThan">
      <formula>12</formula>
    </cfRule>
    <cfRule type="expression" dxfId="7" priority="440">
      <formula>NOT(ISBLANK(AN3))</formula>
    </cfRule>
  </conditionalFormatting>
  <conditionalFormatting sqref="BD10:BG11">
    <cfRule type="cellIs" dxfId="8" priority="424" operator="equal">
      <formula>"已适应"</formula>
    </cfRule>
    <cfRule type="cellIs" dxfId="9" priority="436" operator="equal">
      <formula>"☐☐☐"</formula>
    </cfRule>
  </conditionalFormatting>
  <conditionalFormatting sqref="B14:C43 AE14:AE43">
    <cfRule type="cellIs" dxfId="10" priority="438" operator="equal">
      <formula>"√"</formula>
    </cfRule>
  </conditionalFormatting>
  <conditionalFormatting sqref="AV14:AX38 S14:U43 AV40:AX43">
    <cfRule type="expression" dxfId="11" priority="2">
      <formula>NOT(ISBLANK(V14))</formula>
    </cfRule>
  </conditionalFormatting>
  <conditionalFormatting sqref="AG17:AL19 D18:I20 AG24:AL26 D25:I28 AG29:AL31 D36:I38">
    <cfRule type="expression" dxfId="12" priority="1">
      <formula>ISBLANK(J18)</formula>
    </cfRule>
  </conditionalFormatting>
  <conditionalFormatting sqref="CZ23:EG43">
    <cfRule type="expression" dxfId="4" priority="447">
      <formula>MOD(FLOOR((ROW()-2)/3,1),2)=1</formula>
    </cfRule>
  </conditionalFormatting>
  <conditionalFormatting sqref="EF24 EF27 EF30 EF33 EF36 EF39 EF42">
    <cfRule type="cellIs" dxfId="13" priority="376" operator="equal">
      <formula>"×"</formula>
    </cfRule>
  </conditionalFormatting>
  <conditionalFormatting sqref="P49:Q59">
    <cfRule type="expression" dxfId="20" priority="463" stopIfTrue="1">
      <formula>$R49=""</formula>
    </cfRule>
  </conditionalFormatting>
  <dataValidations count="43">
    <dataValidation type="list" allowBlank="1" sqref="CZ14:DL14 CZ15:DL15 CZ16:DL16 CZ17:DL17 CZ18:DL18 CZ19:DL19 CZ20:DL20" showInputMessage="0">
      <formula1>武器下拉列表</formula1>
    </dataValidation>
    <dataValidation type="list" allowBlank="1" sqref="AM17 AM18 AM19" showInputMessage="0">
      <formula1>子技能!$E$2:$E$4</formula1>
    </dataValidation>
    <dataValidation type="list" allowBlank="1" sqref="J18 J19 J20" showInputMessage="0">
      <formula1>子技能!$A$2:$A$11</formula1>
    </dataValidation>
    <dataValidation type="list" allowBlank="1" sqref="AM24 AM25 AM26" showInputMessage="0">
      <formula1>子技能!$G$2:$G$9</formula1>
    </dataValidation>
    <dataValidation type="list" allowBlank="1" showErrorMessage="1" sqref="EF24 EF27 EF30 EF33 EF36 EF39 EF42" showInputMessage="0">
      <formula1>"×,√"</formula1>
    </dataValidation>
    <dataValidation type="list" allowBlank="1" sqref="J25 J26 J27 J28" showInputMessage="0">
      <formula1>子技能!$C$2:$C$14</formula1>
    </dataValidation>
    <dataValidation type="list" allowBlank="1" sqref="AM29 AM30 AM31" showInputMessage="0">
      <formula1>子技能!$I$2:$I$27</formula1>
    </dataValidation>
    <dataValidation type="list" allowBlank="1" sqref="J36 J37 J38" showInputMessage="0">
      <formula1>"英语,法语,德语,西班牙语,俄语,日语,阿拉伯语,汉语,韩语,意大利语,葡萄牙语,拉丁语"</formula1>
    </dataValidation>
    <dataValidation type="list" allowBlank="1" showErrorMessage="1" sqref="H46:AJ46" showInputMessage="0">
      <formula1>附表!$A$169:$A$273</formula1>
    </dataValidation>
    <dataValidation type="list" allowBlank="1" showErrorMessage="1" sqref="BW46:CQ46" showInputMessage="0">
      <formula1>额外技能包!$A$2:$A$30</formula1>
    </dataValidation>
    <dataValidation type="list" allowBlank="1" showErrorMessage="1" sqref="DF46:DR46" showInputMessage="0">
      <formula1>附表!$A$84:$A$88</formula1>
    </dataValidation>
    <dataValidation type="list" allowBlank="1" showErrorMessage="1" sqref="H47:U47" showInputMessage="0">
      <formula1>OFFSET(附表!$B$62,0,0,附表!$A$63,1)</formula1>
    </dataValidation>
    <dataValidation type="list" allowBlank="1" sqref="BZ49:CK49" showInputMessage="0">
      <formula1>额外第1项</formula1>
    </dataValidation>
    <dataValidation type="list" allowBlank="1" sqref="BZ50:CK50" showInputMessage="0">
      <formula1>额外第2项</formula1>
    </dataValidation>
    <dataValidation type="list" allowBlank="1" sqref="BZ51:CK51" showInputMessage="0">
      <formula1>额外第3项</formula1>
    </dataValidation>
    <dataValidation type="list" allowBlank="1" sqref="BZ52:CK52" showInputMessage="0">
      <formula1>额外第4项</formula1>
    </dataValidation>
    <dataValidation type="list" allowBlank="1" sqref="BZ53:CK53" showInputMessage="0">
      <formula1>额外第5项</formula1>
    </dataValidation>
    <dataValidation type="list" allowBlank="1" sqref="BZ54:CK54" showInputMessage="0">
      <formula1>额外第6项</formula1>
    </dataValidation>
    <dataValidation type="whole" operator="between" allowBlank="1" showErrorMessage="1" sqref="DF54:DI54" showInputMessage="0">
      <formula1>1</formula1>
      <formula2>18</formula2>
    </dataValidation>
    <dataValidation type="whole" operator="between" allowBlank="1" showErrorMessage="1" sqref="DR54:DU54" showInputMessage="0">
      <formula1>1</formula1>
      <formula2>18</formula2>
    </dataValidation>
    <dataValidation type="list" allowBlank="1" sqref="BZ55:CK55" showInputMessage="0">
      <formula1>额外第7项</formula1>
    </dataValidation>
    <dataValidation type="list" allowBlank="1" showErrorMessage="1" sqref="DF55:DI55" showInputMessage="0">
      <formula1>"1,2,3,4,5,6,7"</formula1>
    </dataValidation>
    <dataValidation type="list" allowBlank="1" sqref="DR55:EY55" showInputMessage="0">
      <formula1>非自然心理疾病</formula1>
    </dataValidation>
    <dataValidation type="list" allowBlank="1" sqref="BZ56:CK56" showInputMessage="0">
      <formula1>额外第8项</formula1>
    </dataValidation>
    <dataValidation type="list" allowBlank="1" sqref="DF57:EY57 DF58:EY58 DF59:EY59 DF60:EY60 DF61:EY61" showInputMessage="0">
      <formula1>主卡技能选项</formula1>
    </dataValidation>
    <dataValidation type="list" allowBlank="1" showErrorMessage="1" sqref="P62:Z62" showInputMessage="0">
      <formula1>"人类学,考古学"</formula1>
    </dataValidation>
    <dataValidation type="list" allowBlank="1" showErrorMessage="1" sqref="AE14:AE43 B14:C43" showInputMessage="0">
      <formula1>"☐,√"</formula1>
    </dataValidation>
    <dataValidation type="list" allowBlank="1" showErrorMessage="1" sqref="BD10:BG11" showInputMessage="0">
      <formula1>"☐☐☐,√☐☐,√√☐,已适应"</formula1>
    </dataValidation>
    <dataValidation type="list" allowBlank="1" sqref="EK8:EY11" showInputMessage="0">
      <formula1>护甲下拉列表</formula1>
    </dataValidation>
    <dataValidation type="list" allowBlank="1" sqref="CP3:CX11" showInputMessage="0">
      <formula1>特训对应项</formula1>
    </dataValidation>
    <s:dataValidation xmlns:s="http://schemas.openxmlformats.org/spreadsheetml/2006/main" type="list" allowBlank="1" showErrorMessage="1" errorTitle="请选择勾选状态" error="请选择☑或☐，或清空。" sqref="P49" showInputMessage="0">
      <s:formula1>IF($R49&lt;&gt;"",任选勾选值,空白选项)</s:formula1>
    </s:dataValidation>
    <s:dataValidation xmlns:s="http://schemas.openxmlformats.org/spreadsheetml/2006/main" type="list" allowBlank="1" showErrorMessage="1" errorTitle="请选择勾选状态" error="请选择☑或☐，或清空。" sqref="P50" showInputMessage="0">
      <s:formula1>IF($R50&lt;&gt;"",任选勾选值,空白选项)</s:formula1>
    </s:dataValidation>
    <s:dataValidation xmlns:s="http://schemas.openxmlformats.org/spreadsheetml/2006/main" type="list" allowBlank="1" showErrorMessage="1" errorTitle="请选择勾选状态" error="请选择☑或☐，或清空。" sqref="P51" showInputMessage="0">
      <s:formula1>IF($R51&lt;&gt;"",任选勾选值,空白选项)</s:formula1>
    </s:dataValidation>
    <s:dataValidation xmlns:s="http://schemas.openxmlformats.org/spreadsheetml/2006/main" type="list" allowBlank="1" showErrorMessage="1" errorTitle="请选择勾选状态" error="请选择☑或☐，或清空。" sqref="P52" showInputMessage="0">
      <s:formula1>IF($R52&lt;&gt;"",任选勾选值,空白选项)</s:formula1>
    </s:dataValidation>
    <s:dataValidation xmlns:s="http://schemas.openxmlformats.org/spreadsheetml/2006/main" type="list" allowBlank="1" showErrorMessage="1" errorTitle="请选择勾选状态" error="请选择☑或☐，或清空。" sqref="P53" showInputMessage="0">
      <s:formula1>IF($R53&lt;&gt;"",任选勾选值,空白选项)</s:formula1>
    </s:dataValidation>
    <s:dataValidation xmlns:s="http://schemas.openxmlformats.org/spreadsheetml/2006/main" type="list" allowBlank="1" showErrorMessage="1" errorTitle="请选择勾选状态" error="请选择☑或☐，或清空。" sqref="P54" showInputMessage="0">
      <s:formula1>IF($R54&lt;&gt;"",任选勾选值,空白选项)</s:formula1>
    </s:dataValidation>
    <s:dataValidation xmlns:s="http://schemas.openxmlformats.org/spreadsheetml/2006/main" type="list" allowBlank="1" showErrorMessage="1" errorTitle="请选择勾选状态" error="请选择☑或☐，或清空。" sqref="P55" showInputMessage="0">
      <s:formula1>IF($R55&lt;&gt;"",任选勾选值,空白选项)</s:formula1>
    </s:dataValidation>
    <s:dataValidation xmlns:s="http://schemas.openxmlformats.org/spreadsheetml/2006/main" type="list" allowBlank="1" showErrorMessage="1" errorTitle="请选择勾选状态" error="请选择☑或☐，或清空。" sqref="P56" showInputMessage="0">
      <s:formula1>IF($R56&lt;&gt;"",任选勾选值,空白选项)</s:formula1>
    </s:dataValidation>
    <s:dataValidation xmlns:s="http://schemas.openxmlformats.org/spreadsheetml/2006/main" type="list" allowBlank="1" showErrorMessage="1" errorTitle="请选择勾选状态" error="请选择☑或☐，或清空。" sqref="P57" showInputMessage="0">
      <s:formula1>IF($R57&lt;&gt;"",任选勾选值,空白选项)</s:formula1>
    </s:dataValidation>
    <s:dataValidation xmlns:s="http://schemas.openxmlformats.org/spreadsheetml/2006/main" type="list" allowBlank="1" showErrorMessage="1" errorTitle="请选择勾选状态" error="请选择☑或☐，或清空。" sqref="P58" showInputMessage="0">
      <s:formula1>IF($R58&lt;&gt;"",任选勾选值,空白选项)</s:formula1>
    </s:dataValidation>
    <s:dataValidation xmlns:s="http://schemas.openxmlformats.org/spreadsheetml/2006/main" type="list" allowBlank="1" showErrorMessage="1" errorTitle="请选择勾选状态" error="请选择☑或☐，或清空。" sqref="P59" showInputMessage="0">
      <s:formula1>IF($R59&lt;&gt;"",任选勾选值,空白选项)</s:formula1>
    </s:dataValidation>
    <s:dataValidation xmlns:s="http://schemas.openxmlformats.org/spreadsheetml/2006/main" type="list" allowBlank="1" showErrorMessage="0" sqref="BX3 BX4 BX5 BX6 BX7 BX8 BX9 BX10 BX11" showInputMessage="0">
      <s:formula1>特训范例</s:formula1>
    </s:dataValidation>
    <dataValidation type="list" allowBlank="1" showDropDown="0" showInputMessage="0" showErrorMessage="0" sqref="CZ23 CZ26 CZ29 CZ32 CZ35 CZ38 CZ41" errorTitle="请检查输入" error="请选择列表项目或填写允许的数值。">
      <formula1>关系称谓</formula1>
    </dataValidation>
  </dataValidations>
  <hyperlinks>
    <hyperlink ref="B65" location="'模组经历备忘录'!A1"/>
    <hyperlink ref="AB65" r:id="rIdV16Link4"/>
    <hyperlink ref="BI65" location="'规则速查'!A1"/>
    <hyperlink ref="BX65" location="'更新记录'!A1"/>
  </hyperlinks>
  <pageMargins left="0.7" right="0.7" top="0.75" bottom="0.75" header="0.3" footer="0.3"/>
  <pageSetup paperSize="1" orientation="portrait"/>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B4C6E7"/>
  </sheetPr>
  <dimension ref="A1:D4"/>
  <sheetViews>
    <sheetView workbookViewId="0">
      <selection activeCell="B2" sqref="B2"/>
    </sheetView>
  </sheetViews>
  <sheetFormatPr defaultColWidth="8.86666666666667" defaultRowHeight="14" outlineLevelRow="3" outlineLevelCol="3"/>
  <cols>
    <col min="1" max="1" width="49.6666666666667" style="72" customWidth="1"/>
    <col min="2" max="2" width="38.7333333333333" style="72" customWidth="1"/>
    <col min="3" max="3" width="35.1333333333333" style="72" customWidth="1"/>
    <col min="4" max="16384" width="8.86666666666667" style="72"/>
  </cols>
  <sheetData>
    <row r="1" spans="1:4">
      <c r="A1" s="552" t="s">
        <v>135</v>
      </c>
    </row>
    <row r="2" ht="190.9" customHeight="1" spans="1:4">
      <c r="A2" s="553" t="s">
        <v>136</v>
      </c>
      <c r="B2" s="554" t="str">
        <f ca="1">".st "&amp;_xlfn.CONCAT(附表!E93:E162)</f>
        <v>.st 会计学10警觉20运动30行政10犯罪学10乔装10闪避30机动车驾驶20射击20急救10重型机械10历史10人源情报10近战武器30导航10神秘学10说服20精神治疗10骑术10搜寻20潜藏10生存10游泳20徒手搏斗40</v>
      </c>
      <c r="D2" s="553"/>
    </row>
    <row r="3" spans="1:4">
      <c r="A3" s="552" t="s">
        <v>137</v>
      </c>
    </row>
    <row r="4" spans="1:4">
      <c r="A4" s="555" t="s">
        <v>138</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B4C6E7"/>
  </sheetPr>
  <dimension ref="A1:AO126"/>
  <sheetViews>
    <sheetView zoomScale="55" zoomScaleNormal="55" workbookViewId="0">
      <pane xSplit="1" ySplit="1" topLeftCell="T13" activePane="bottomRight" state="frozen"/>
      <selection/>
      <selection pane="topRight"/>
      <selection pane="bottomLeft"/>
      <selection pane="bottomRight" activeCell="A54" sqref="A54:A55"/>
    </sheetView>
  </sheetViews>
  <sheetFormatPr defaultColWidth="9" defaultRowHeight="14"/>
  <cols>
    <col min="1" max="1" width="58.4" customWidth="1"/>
    <col min="2" max="2" width="17.6" customWidth="1"/>
    <col min="3" max="3" width="11.4" customWidth="1"/>
    <col min="4" max="4" width="27.8666666666667" customWidth="1"/>
    <col min="5" max="5" width="28.2666666666667" customWidth="1"/>
    <col min="6" max="6" width="28.5333333333333" customWidth="1"/>
    <col min="7" max="7" width="24.3333333333333" customWidth="1"/>
    <col min="8" max="8" width="17.8666666666667" customWidth="1"/>
    <col min="9" max="10" width="22.0666666666667" customWidth="1"/>
    <col min="11" max="11" width="19.9333333333333" customWidth="1"/>
    <col min="12" max="19" width="13.7333333333333" customWidth="1"/>
    <col min="20" max="20" width="15.4666666666667" customWidth="1"/>
    <col min="21" max="21" width="17.8666666666667" customWidth="1"/>
    <col min="22" max="22" width="22.0666666666667" customWidth="1"/>
    <col min="23" max="23" width="17.8666666666667" hidden="1" customWidth="1"/>
    <col min="24" max="24" width="22.0666666666667" customWidth="1"/>
    <col min="25" max="25" width="15.6" customWidth="1"/>
    <col min="26" max="26" width="13.7333333333333" customWidth="1"/>
    <col min="27" max="27" width="17.8666666666667" customWidth="1"/>
    <col min="28" max="28" width="11.7333333333333" customWidth="1"/>
    <col min="29" max="29" width="22.0666666666667" customWidth="1"/>
    <col min="30" max="30" width="11.7333333333333" customWidth="1"/>
    <col min="31" max="35" width="17.8666666666667" customWidth="1"/>
    <col min="36" max="37" width="13.2" customWidth="1"/>
    <col min="38" max="38" width="13.4666666666667" customWidth="1"/>
    <col min="39" max="39" width="15.4666666666667" customWidth="1"/>
    <col min="40" max="40" width="125.266666666667" customWidth="1"/>
    <col min="41" max="41" width="9" customWidth="1"/>
  </cols>
  <sheetData>
    <row r="1" s="66" customFormat="1" spans="1:41">
      <c r="A1" s="556" t="s">
        <v>139</v>
      </c>
      <c r="B1" s="556" t="s">
        <v>140</v>
      </c>
      <c r="C1" s="556" t="s">
        <v>141</v>
      </c>
      <c r="D1" s="556" t="s">
        <v>142</v>
      </c>
      <c r="T1" s="556" t="s">
        <v>143</v>
      </c>
      <c r="U1" s="556" t="s">
        <v>144</v>
      </c>
      <c r="AF1" s="556" t="s">
        <v>145</v>
      </c>
      <c r="AJ1" s="556" t="s">
        <v>146</v>
      </c>
      <c r="AN1" s="556" t="s">
        <v>147</v>
      </c>
    </row>
    <row r="2" spans="1:41">
      <c r="A2" t="s" s="557">
        <v>148</v>
      </c>
      <c r="C2" t="s" s="557">
        <v>149</v>
      </c>
      <c r="D2" s="557" t="str">
        <f t="array" ref="D2:H2">TRANSPOSE(附表!A37:A41)</f>
        <v>任选10个本职技能，分配350</v>
      </c>
      <c r="E2" s="557" t="str">
        <v>技能点，额外加在基础值上，</v>
      </c>
      <c r="F2" s="557" t="str">
        <v>最高至60%。重要关系自4个开</v>
      </c>
      <c r="G2" s="557" t="str">
        <v>始每少一个（最少1个），增</v>
      </c>
      <c r="H2" s="557" t="str">
        <v>加50本职技能点。</v>
      </c>
      <c r="AO2" s="557">
        <f>ROW()</f>
        <v>2</v>
      </c>
    </row>
    <row r="3" s="68" customFormat="1" spans="1:41">
      <c r="A3" s="558" t="s">
        <v>150</v>
      </c>
      <c r="B3" s="559"/>
      <c r="C3" s="559"/>
      <c r="D3" s="559"/>
      <c r="E3" s="559"/>
      <c r="F3" s="559"/>
      <c r="G3" s="559"/>
      <c r="H3" s="559"/>
      <c r="I3" s="559"/>
      <c r="J3" s="559"/>
      <c r="K3" s="559"/>
      <c r="L3" s="559"/>
      <c r="M3" s="559"/>
      <c r="N3" s="559"/>
      <c r="O3" s="559"/>
      <c r="P3" s="559"/>
      <c r="Q3" s="559"/>
      <c r="R3" s="559"/>
      <c r="S3" s="559"/>
      <c r="T3" s="559"/>
      <c r="U3" s="559"/>
      <c r="V3" s="559"/>
      <c r="W3" s="559"/>
      <c r="X3" s="559"/>
      <c r="Y3" s="559"/>
      <c r="Z3" s="559"/>
      <c r="AA3" s="559"/>
      <c r="AB3" s="559"/>
      <c r="AC3" s="559"/>
      <c r="AD3" s="559"/>
      <c r="AE3" s="559"/>
      <c r="AF3" s="559"/>
      <c r="AG3" s="559"/>
      <c r="AH3" s="559"/>
      <c r="AI3" s="559"/>
      <c r="AJ3" s="559"/>
      <c r="AK3" s="559"/>
      <c r="AL3" s="559"/>
      <c r="AM3" s="559"/>
      <c r="AN3" s="559"/>
      <c r="AO3" s="560">
        <f>IF(LEFT(TRIM(A3&amp;"$"),1)="（",65536,ROW())</f>
        <v>65536</v>
      </c>
    </row>
    <row r="4" s="68" customFormat="1" spans="1:41">
      <c r="A4" s="558" t="s">
        <v>151</v>
      </c>
      <c r="B4" s="559"/>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559"/>
      <c r="AE4" s="559"/>
      <c r="AF4" s="559"/>
      <c r="AG4" s="559"/>
      <c r="AH4" s="559"/>
      <c r="AI4" s="559"/>
      <c r="AJ4" s="559"/>
      <c r="AK4" s="559"/>
      <c r="AL4" s="559"/>
      <c r="AM4" s="559"/>
      <c r="AN4" s="559"/>
      <c r="AO4" s="560">
        <f t="shared" ref="AO4:AO7" si="0">IF(LEFT(TRIM(A4&amp;"$"),1)="（",65536,ROW())</f>
        <v>65536</v>
      </c>
    </row>
    <row r="5" s="68" customFormat="1" spans="1:41">
      <c r="A5" s="558" t="s">
        <v>152</v>
      </c>
      <c r="B5" s="559"/>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559"/>
      <c r="AE5" s="559"/>
      <c r="AF5" s="559"/>
      <c r="AG5" s="559"/>
      <c r="AH5" s="559"/>
      <c r="AI5" s="559"/>
      <c r="AJ5" s="559"/>
      <c r="AK5" s="559"/>
      <c r="AL5" s="559"/>
      <c r="AM5" s="559"/>
      <c r="AN5" s="559"/>
      <c r="AO5" s="560">
        <f t="shared" si="0"/>
        <v>65536</v>
      </c>
    </row>
    <row r="6" s="68" customFormat="1" spans="1:41">
      <c r="A6" s="558" t="s">
        <v>153</v>
      </c>
      <c r="B6" s="559"/>
      <c r="C6" s="559"/>
      <c r="D6" s="559"/>
      <c r="E6" s="559"/>
      <c r="F6" s="559"/>
      <c r="G6" s="559"/>
      <c r="H6" s="559"/>
      <c r="I6" s="559"/>
      <c r="J6" s="559"/>
      <c r="K6" s="559"/>
      <c r="L6" s="559"/>
      <c r="M6" s="559"/>
      <c r="N6" s="559"/>
      <c r="O6" s="559"/>
      <c r="P6" s="559"/>
      <c r="Q6" s="559"/>
      <c r="R6" s="559"/>
      <c r="S6" s="559"/>
      <c r="T6" s="559"/>
      <c r="U6" s="559"/>
      <c r="V6" s="559"/>
      <c r="W6" s="559"/>
      <c r="X6" s="559"/>
      <c r="Y6" s="559"/>
      <c r="Z6" s="559"/>
      <c r="AA6" s="559"/>
      <c r="AB6" s="559"/>
      <c r="AC6" s="559"/>
      <c r="AD6" s="559"/>
      <c r="AE6" s="559"/>
      <c r="AF6" s="559"/>
      <c r="AG6" s="559"/>
      <c r="AH6" s="559"/>
      <c r="AI6" s="559"/>
      <c r="AJ6" s="559"/>
      <c r="AK6" s="559"/>
      <c r="AL6" s="559"/>
      <c r="AM6" s="559"/>
      <c r="AN6" s="559"/>
      <c r="AO6" s="560">
        <f t="shared" si="0"/>
        <v>65536</v>
      </c>
    </row>
    <row r="7" s="68" customFormat="1" spans="1:41">
      <c r="A7" s="558" t="s">
        <v>154</v>
      </c>
      <c r="B7" s="559"/>
      <c r="C7" s="559"/>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559"/>
      <c r="AE7" s="559"/>
      <c r="AF7" s="559"/>
      <c r="AG7" s="559"/>
      <c r="AH7" s="559"/>
      <c r="AI7" s="559"/>
      <c r="AJ7" s="559"/>
      <c r="AK7" s="559"/>
      <c r="AL7" s="559"/>
      <c r="AM7" s="559"/>
      <c r="AN7" s="559"/>
      <c r="AO7" s="560">
        <f t="shared" si="0"/>
        <v>65536</v>
      </c>
    </row>
    <row r="8" spans="1:41">
      <c r="A8" t="s" s="557">
        <v>155</v>
      </c>
      <c r="B8" t="s" s="557">
        <v>22</v>
      </c>
      <c r="C8" s="557">
        <v>4</v>
      </c>
      <c r="D8" t="s" s="557">
        <v>156</v>
      </c>
      <c r="E8" t="s" s="557">
        <v>157</v>
      </c>
      <c r="F8" t="s" s="557">
        <v>158</v>
      </c>
      <c r="G8" t="s" s="557">
        <v>159</v>
      </c>
      <c r="H8" t="s" s="557">
        <v>160</v>
      </c>
      <c r="I8" t="s" s="557">
        <v>161</v>
      </c>
      <c r="J8" t="s" s="557">
        <v>162</v>
      </c>
      <c r="T8" s="557">
        <v>2</v>
      </c>
      <c r="U8" t="s" s="557">
        <v>163</v>
      </c>
      <c r="V8" t="s" s="557">
        <v>164</v>
      </c>
      <c r="W8" t="s" s="557">
        <v>165</v>
      </c>
      <c r="X8" t="s" s="557">
        <v>166</v>
      </c>
      <c r="Y8" t="s" s="557">
        <v>167</v>
      </c>
      <c r="Z8" t="s" s="557">
        <v>168</v>
      </c>
      <c r="AA8" t="s" s="557">
        <v>169</v>
      </c>
      <c r="AO8" s="560">
        <f t="shared" ref="AO8:AO71" si="1">ROW()</f>
        <v>8</v>
      </c>
    </row>
    <row r="9" spans="1:41">
      <c r="A9" t="s" s="557">
        <v>170</v>
      </c>
      <c r="B9" t="s" s="557">
        <v>22</v>
      </c>
      <c r="C9" s="557">
        <v>3</v>
      </c>
      <c r="D9" t="s" s="557">
        <v>171</v>
      </c>
      <c r="E9" t="s" s="557">
        <v>172</v>
      </c>
      <c r="F9" t="s" s="557">
        <v>173</v>
      </c>
      <c r="G9" t="s" s="557">
        <v>174</v>
      </c>
      <c r="H9" t="s" s="557">
        <v>175</v>
      </c>
      <c r="I9" t="s" s="557">
        <v>176</v>
      </c>
      <c r="T9" s="557">
        <v>4</v>
      </c>
      <c r="U9" t="s" s="557">
        <v>177</v>
      </c>
      <c r="V9" t="s" s="557">
        <v>178</v>
      </c>
      <c r="W9" t="s" s="557">
        <v>179</v>
      </c>
      <c r="X9" t="s" s="557">
        <v>159</v>
      </c>
      <c r="Y9" t="s" s="557">
        <v>180</v>
      </c>
      <c r="Z9" t="s" s="557">
        <v>181</v>
      </c>
      <c r="AA9" t="s" s="557">
        <v>182</v>
      </c>
      <c r="AO9" s="560">
        <f t="shared" si="1"/>
        <v>9</v>
      </c>
    </row>
    <row r="10" spans="1:41">
      <c r="A10" t="s" s="557">
        <v>183</v>
      </c>
      <c r="B10" t="s" s="557">
        <v>184</v>
      </c>
      <c r="C10" s="557">
        <v>3</v>
      </c>
      <c r="D10" t="s" s="557">
        <v>185</v>
      </c>
      <c r="E10" t="s" s="557">
        <v>157</v>
      </c>
      <c r="F10" t="s" s="557">
        <v>186</v>
      </c>
      <c r="G10" t="s" s="557">
        <v>187</v>
      </c>
      <c r="H10" t="s" s="557">
        <v>188</v>
      </c>
      <c r="I10" t="s" s="557">
        <v>189</v>
      </c>
      <c r="J10" t="s" s="557">
        <v>190</v>
      </c>
      <c r="K10" t="s" s="557">
        <v>191</v>
      </c>
      <c r="L10" t="s" s="557">
        <v>192</v>
      </c>
      <c r="M10" t="s" s="557">
        <v>193</v>
      </c>
      <c r="N10" t="s" s="557">
        <v>194</v>
      </c>
      <c r="T10" s="557">
        <v>1</v>
      </c>
      <c r="U10" t="s" s="557">
        <v>195</v>
      </c>
      <c r="V10" t="s" s="557">
        <v>196</v>
      </c>
      <c r="W10" t="s" s="557">
        <v>158</v>
      </c>
      <c r="X10" t="s" s="557">
        <v>197</v>
      </c>
      <c r="Y10" t="s" s="557">
        <v>198</v>
      </c>
      <c r="AO10" s="560">
        <f t="shared" si="1"/>
        <v>10</v>
      </c>
    </row>
    <row r="11" spans="1:41">
      <c r="A11" t="s" s="557">
        <v>199</v>
      </c>
      <c r="B11" t="s" s="557">
        <v>200</v>
      </c>
      <c r="C11" s="557">
        <v>3</v>
      </c>
      <c r="D11" t="s" s="557">
        <v>178</v>
      </c>
      <c r="E11" t="s" s="557">
        <v>201</v>
      </c>
      <c r="F11" t="s" s="557">
        <v>202</v>
      </c>
      <c r="G11" t="s" s="557">
        <v>162</v>
      </c>
      <c r="H11" t="s" s="557">
        <v>198</v>
      </c>
      <c r="I11" t="s" s="557">
        <v>203</v>
      </c>
      <c r="J11" t="s" s="557">
        <v>204</v>
      </c>
      <c r="T11" s="557">
        <v>2</v>
      </c>
      <c r="U11" t="s" s="557">
        <v>205</v>
      </c>
      <c r="V11" t="s" s="557">
        <v>206</v>
      </c>
      <c r="W11" t="s" s="557">
        <v>207</v>
      </c>
      <c r="X11" t="s" s="557">
        <v>208</v>
      </c>
      <c r="AO11" s="560">
        <f t="shared" si="1"/>
        <v>11</v>
      </c>
    </row>
    <row r="12" spans="1:41">
      <c r="A12" t="s" s="557">
        <v>116</v>
      </c>
      <c r="B12" t="s" s="557">
        <v>22</v>
      </c>
      <c r="C12" s="557">
        <v>4</v>
      </c>
      <c r="D12" t="s" s="557">
        <v>157</v>
      </c>
      <c r="E12" t="s" s="557">
        <v>209</v>
      </c>
      <c r="F12" t="s" s="557">
        <v>210</v>
      </c>
      <c r="G12" t="s" s="557">
        <v>207</v>
      </c>
      <c r="H12" t="s" s="557">
        <v>207</v>
      </c>
      <c r="T12" s="557">
        <v>3</v>
      </c>
      <c r="U12" t="s" s="557">
        <v>177</v>
      </c>
      <c r="V12" t="s" s="557">
        <v>179</v>
      </c>
      <c r="W12" t="s" s="557">
        <v>159</v>
      </c>
      <c r="X12" t="s" s="557">
        <v>211</v>
      </c>
      <c r="Y12" t="s" s="557">
        <v>181</v>
      </c>
      <c r="Z12" t="s" s="557">
        <v>212</v>
      </c>
      <c r="AO12" s="560">
        <f t="shared" si="1"/>
        <v>12</v>
      </c>
    </row>
    <row r="13" spans="1:41">
      <c r="A13" t="s" s="557">
        <v>213</v>
      </c>
      <c r="B13" t="s" s="557">
        <v>214</v>
      </c>
      <c r="C13" s="557">
        <v>2</v>
      </c>
      <c r="D13" t="s" s="557">
        <v>215</v>
      </c>
      <c r="E13" t="s" s="557">
        <v>216</v>
      </c>
      <c r="F13" t="s" s="557">
        <v>217</v>
      </c>
      <c r="G13" t="s" s="557">
        <v>218</v>
      </c>
      <c r="H13" t="s" s="557">
        <v>197</v>
      </c>
      <c r="I13" t="s" s="557">
        <v>219</v>
      </c>
      <c r="J13" t="s" s="557">
        <v>220</v>
      </c>
      <c r="K13" t="s" s="557">
        <v>166</v>
      </c>
      <c r="L13" t="s" s="557">
        <v>221</v>
      </c>
      <c r="M13" t="s" s="557">
        <v>169</v>
      </c>
      <c r="N13" t="s" s="557">
        <v>222</v>
      </c>
      <c r="O13" t="s" s="557">
        <v>194</v>
      </c>
      <c r="AO13" s="560">
        <f t="shared" si="1"/>
        <v>13</v>
      </c>
    </row>
    <row r="14" spans="1:41">
      <c r="A14" t="s" s="557">
        <v>223</v>
      </c>
      <c r="B14" t="s" s="557">
        <v>224</v>
      </c>
      <c r="C14" s="557">
        <v>4</v>
      </c>
      <c r="D14" t="s" s="557">
        <v>185</v>
      </c>
      <c r="E14" t="s" s="557">
        <v>225</v>
      </c>
      <c r="F14" t="s" s="557">
        <v>226</v>
      </c>
      <c r="G14" t="s" s="557">
        <v>227</v>
      </c>
      <c r="H14" t="s" s="557">
        <v>187</v>
      </c>
      <c r="I14" t="s" s="557">
        <v>228</v>
      </c>
      <c r="J14" t="s" s="557">
        <v>229</v>
      </c>
      <c r="K14" t="s" s="557">
        <v>230</v>
      </c>
      <c r="L14" t="s" s="557">
        <v>192</v>
      </c>
      <c r="M14" t="s" s="557">
        <v>221</v>
      </c>
      <c r="N14" t="s" s="557">
        <v>231</v>
      </c>
      <c r="T14" s="557">
        <v>2</v>
      </c>
      <c r="U14" t="s" s="557">
        <v>232</v>
      </c>
      <c r="V14" t="s" s="557">
        <v>217</v>
      </c>
      <c r="W14" t="s" s="557">
        <v>233</v>
      </c>
      <c r="X14" t="s" s="557">
        <v>159</v>
      </c>
      <c r="Y14" t="s" s="557">
        <v>211</v>
      </c>
      <c r="Z14" t="s" s="557">
        <v>165</v>
      </c>
      <c r="AA14" t="s" s="557">
        <v>166</v>
      </c>
      <c r="AB14" t="s" s="557">
        <v>234</v>
      </c>
      <c r="AC14" t="s" s="557">
        <v>212</v>
      </c>
      <c r="AO14" s="560">
        <f t="shared" si="1"/>
        <v>14</v>
      </c>
    </row>
    <row r="15" spans="1:41">
      <c r="A15" t="s" s="557">
        <v>235</v>
      </c>
      <c r="B15" t="s" s="557">
        <v>236</v>
      </c>
      <c r="C15" s="557">
        <v>3</v>
      </c>
      <c r="D15" t="s" s="557">
        <v>185</v>
      </c>
      <c r="E15" t="s" s="557">
        <v>216</v>
      </c>
      <c r="F15" t="s" s="557">
        <v>237</v>
      </c>
      <c r="G15" t="s" s="557">
        <v>238</v>
      </c>
      <c r="H15" t="s" s="557">
        <v>239</v>
      </c>
      <c r="I15" t="s" s="557">
        <v>187</v>
      </c>
      <c r="J15" t="s" s="557">
        <v>240</v>
      </c>
      <c r="K15" t="s" s="557">
        <v>211</v>
      </c>
      <c r="L15" t="s" s="557">
        <v>180</v>
      </c>
      <c r="M15" t="s" s="557">
        <v>166</v>
      </c>
      <c r="N15" t="s" s="557">
        <v>204</v>
      </c>
      <c r="AO15" s="560">
        <f t="shared" si="1"/>
        <v>15</v>
      </c>
    </row>
    <row r="16" spans="1:41">
      <c r="A16" t="s" s="557">
        <v>241</v>
      </c>
      <c r="B16" t="s" s="557">
        <v>242</v>
      </c>
      <c r="C16" s="557">
        <v>3</v>
      </c>
      <c r="D16" t="s" s="557">
        <v>243</v>
      </c>
      <c r="E16" t="s" s="557">
        <v>163</v>
      </c>
      <c r="F16" t="s" s="557">
        <v>244</v>
      </c>
      <c r="G16" t="s" s="557">
        <v>158</v>
      </c>
      <c r="H16" t="s" s="557">
        <v>158</v>
      </c>
      <c r="I16" t="s" s="557">
        <v>159</v>
      </c>
      <c r="J16" t="s" s="557">
        <v>245</v>
      </c>
      <c r="K16" t="s" s="557">
        <v>165</v>
      </c>
      <c r="L16" t="s" s="557">
        <v>181</v>
      </c>
      <c r="M16" t="s" s="557">
        <v>192</v>
      </c>
      <c r="AO16" s="560">
        <f t="shared" si="1"/>
        <v>16</v>
      </c>
    </row>
    <row r="17" spans="1:41">
      <c r="A17" t="s" s="557">
        <v>246</v>
      </c>
      <c r="B17" t="s" s="557">
        <v>22</v>
      </c>
      <c r="C17" s="557">
        <v>3</v>
      </c>
      <c r="D17" t="s" s="557">
        <v>163</v>
      </c>
      <c r="E17" t="s" s="557">
        <v>178</v>
      </c>
      <c r="F17" t="s" s="557">
        <v>209</v>
      </c>
      <c r="G17" t="s" s="557">
        <v>247</v>
      </c>
      <c r="H17" t="s" s="557">
        <v>158</v>
      </c>
      <c r="I17" t="s" s="557">
        <v>158</v>
      </c>
      <c r="J17" t="s" s="557">
        <v>159</v>
      </c>
      <c r="K17" t="s" s="557">
        <v>245</v>
      </c>
      <c r="L17" t="s" s="557">
        <v>165</v>
      </c>
      <c r="M17" t="s" s="557">
        <v>176</v>
      </c>
      <c r="AO17" s="560">
        <f t="shared" si="1"/>
        <v>17</v>
      </c>
    </row>
    <row r="18" spans="1:41">
      <c r="A18" t="s" s="557">
        <v>248</v>
      </c>
      <c r="B18" t="s" s="557">
        <v>249</v>
      </c>
      <c r="C18" s="557">
        <v>2</v>
      </c>
      <c r="D18" t="s" s="557">
        <v>185</v>
      </c>
      <c r="E18" t="s" s="557">
        <v>157</v>
      </c>
      <c r="F18" t="s" s="557">
        <v>186</v>
      </c>
      <c r="G18" t="s" s="557">
        <v>233</v>
      </c>
      <c r="H18" t="s" s="557">
        <v>250</v>
      </c>
      <c r="I18" t="s" s="557">
        <v>228</v>
      </c>
      <c r="J18" t="s" s="557">
        <v>158</v>
      </c>
      <c r="K18" t="s" s="557">
        <v>159</v>
      </c>
      <c r="L18" t="s" s="557">
        <v>190</v>
      </c>
      <c r="M18" t="s" s="557">
        <v>251</v>
      </c>
      <c r="N18" t="s" s="557">
        <v>176</v>
      </c>
      <c r="O18" t="s" s="557">
        <v>221</v>
      </c>
      <c r="P18" t="s" s="557">
        <v>231</v>
      </c>
      <c r="AO18" s="560">
        <f t="shared" si="1"/>
        <v>18</v>
      </c>
    </row>
    <row r="19" spans="1:41">
      <c r="A19" t="s" s="557">
        <v>252</v>
      </c>
      <c r="B19" t="s" s="557">
        <v>242</v>
      </c>
      <c r="C19" s="557">
        <v>4</v>
      </c>
      <c r="D19" t="s" s="557">
        <v>177</v>
      </c>
      <c r="E19" t="s" s="557">
        <v>178</v>
      </c>
      <c r="F19" t="s" s="557">
        <v>253</v>
      </c>
      <c r="G19" t="s" s="557">
        <v>251</v>
      </c>
      <c r="T19" s="557">
        <v>4</v>
      </c>
      <c r="U19" t="s" s="557">
        <v>196</v>
      </c>
      <c r="V19" t="s" s="557">
        <v>226</v>
      </c>
      <c r="W19" t="s" s="557">
        <v>158</v>
      </c>
      <c r="X19" t="s" s="557">
        <v>254</v>
      </c>
      <c r="Y19" t="s" s="557">
        <v>198</v>
      </c>
      <c r="AO19" s="560">
        <f t="shared" si="1"/>
        <v>19</v>
      </c>
    </row>
    <row r="20" spans="1:41">
      <c r="A20" t="s" s="557">
        <v>255</v>
      </c>
      <c r="B20" t="s" s="557">
        <v>242</v>
      </c>
      <c r="C20" s="557">
        <v>4</v>
      </c>
      <c r="D20" t="s" s="557">
        <v>256</v>
      </c>
      <c r="E20" t="s" s="557">
        <v>245</v>
      </c>
      <c r="F20" t="s" s="557">
        <v>253</v>
      </c>
      <c r="G20" t="s" s="557">
        <v>192</v>
      </c>
      <c r="T20" s="557">
        <v>5</v>
      </c>
      <c r="U20" t="s" s="557">
        <v>163</v>
      </c>
      <c r="V20" t="s" s="557">
        <v>164</v>
      </c>
      <c r="W20" t="s" s="557">
        <v>257</v>
      </c>
      <c r="X20" t="s" s="557">
        <v>178</v>
      </c>
      <c r="Y20" t="s" s="557">
        <v>209</v>
      </c>
      <c r="Z20" t="s" s="557">
        <v>186</v>
      </c>
      <c r="AA20" t="s" s="557">
        <v>159</v>
      </c>
      <c r="AB20" t="s" s="557">
        <v>181</v>
      </c>
      <c r="AC20" t="s" s="557">
        <v>258</v>
      </c>
      <c r="AD20" t="s" s="557">
        <v>234</v>
      </c>
      <c r="AE20" t="s" s="557">
        <v>182</v>
      </c>
      <c r="AO20" s="560">
        <f t="shared" si="1"/>
        <v>20</v>
      </c>
    </row>
    <row r="21" spans="1:41">
      <c r="A21" t="s" s="557">
        <v>259</v>
      </c>
      <c r="B21" t="s" s="557">
        <v>249</v>
      </c>
      <c r="C21" s="557">
        <v>4</v>
      </c>
      <c r="D21" t="s" s="557">
        <v>260</v>
      </c>
      <c r="E21" t="s" s="557">
        <v>157</v>
      </c>
      <c r="F21" t="s" s="557">
        <v>201</v>
      </c>
      <c r="G21" t="s" s="557">
        <v>253</v>
      </c>
      <c r="H21" t="s" s="557">
        <v>261</v>
      </c>
      <c r="I21" t="s" s="557">
        <v>162</v>
      </c>
      <c r="J21" t="s" s="557">
        <v>212</v>
      </c>
      <c r="K21" t="s" s="557">
        <v>262</v>
      </c>
      <c r="T21" s="557">
        <v>2</v>
      </c>
      <c r="U21" t="s" s="557">
        <v>263</v>
      </c>
      <c r="V21" t="s" s="557">
        <v>211</v>
      </c>
      <c r="W21" t="s" s="557">
        <v>166</v>
      </c>
      <c r="X21" t="s" s="557">
        <v>264</v>
      </c>
      <c r="Y21" t="s" s="557">
        <v>168</v>
      </c>
      <c r="AO21" s="560">
        <f t="shared" si="1"/>
        <v>21</v>
      </c>
    </row>
    <row r="22" spans="1:41">
      <c r="A22" t="s" s="557">
        <v>265</v>
      </c>
      <c r="B22" t="s" s="557">
        <v>266</v>
      </c>
      <c r="C22" s="557">
        <v>3</v>
      </c>
      <c r="D22" t="s" s="557">
        <v>215</v>
      </c>
      <c r="E22" t="s" s="557">
        <v>267</v>
      </c>
      <c r="F22" t="s" s="557">
        <v>237</v>
      </c>
      <c r="G22" t="s" s="557">
        <v>238</v>
      </c>
      <c r="H22" t="s" s="557">
        <v>166</v>
      </c>
      <c r="I22" t="s" s="557">
        <v>268</v>
      </c>
      <c r="J22" t="s" s="557">
        <v>269</v>
      </c>
      <c r="K22" t="s" s="557">
        <v>270</v>
      </c>
      <c r="T22" s="557">
        <v>2</v>
      </c>
      <c r="U22" t="s" s="557">
        <v>158</v>
      </c>
      <c r="V22" t="s" s="557">
        <v>271</v>
      </c>
      <c r="W22" t="s" s="557">
        <v>197</v>
      </c>
      <c r="X22" t="s" s="557">
        <v>272</v>
      </c>
      <c r="AO22" s="560">
        <f t="shared" si="1"/>
        <v>22</v>
      </c>
    </row>
    <row r="23" spans="1:41">
      <c r="A23" t="s" s="557">
        <v>273</v>
      </c>
      <c r="B23" t="s" s="557">
        <v>214</v>
      </c>
      <c r="C23" s="557">
        <v>3</v>
      </c>
      <c r="D23" t="s" s="557">
        <v>215</v>
      </c>
      <c r="E23" t="s" s="557">
        <v>157</v>
      </c>
      <c r="F23" t="s" s="557">
        <v>247</v>
      </c>
      <c r="G23" t="s" s="557">
        <v>187</v>
      </c>
      <c r="H23" t="s" s="557">
        <v>228</v>
      </c>
      <c r="I23" t="s" s="557">
        <v>274</v>
      </c>
      <c r="J23" t="s" s="557">
        <v>165</v>
      </c>
      <c r="K23" t="s" s="557">
        <v>191</v>
      </c>
      <c r="L23" t="s" s="557">
        <v>219</v>
      </c>
      <c r="M23" t="s" s="557">
        <v>275</v>
      </c>
      <c r="N23" t="s" s="557">
        <v>162</v>
      </c>
      <c r="O23" t="s" s="557">
        <v>204</v>
      </c>
      <c r="P23" t="s" s="557">
        <v>194</v>
      </c>
      <c r="T23" s="557">
        <v>1</v>
      </c>
      <c r="U23" t="s" s="557">
        <v>205</v>
      </c>
      <c r="V23" t="s" s="557">
        <v>276</v>
      </c>
      <c r="W23" t="s" s="557">
        <v>197</v>
      </c>
      <c r="X23" t="s" s="557">
        <v>277</v>
      </c>
      <c r="AO23" s="560">
        <f t="shared" si="1"/>
        <v>23</v>
      </c>
    </row>
    <row r="24" spans="1:41">
      <c r="A24" t="s" s="557">
        <v>278</v>
      </c>
      <c r="B24" t="s" s="557">
        <v>242</v>
      </c>
      <c r="C24" s="557">
        <v>4</v>
      </c>
      <c r="D24" t="s" s="557">
        <v>195</v>
      </c>
      <c r="E24" t="s" s="557">
        <v>244</v>
      </c>
      <c r="F24" t="s" s="557">
        <v>196</v>
      </c>
      <c r="G24" t="s" s="557">
        <v>279</v>
      </c>
      <c r="H24" t="s" s="557">
        <v>158</v>
      </c>
      <c r="I24" t="s" s="557">
        <v>245</v>
      </c>
      <c r="J24" t="s" s="557">
        <v>181</v>
      </c>
      <c r="K24" t="s" s="557">
        <v>192</v>
      </c>
      <c r="T24" s="557">
        <v>1</v>
      </c>
      <c r="U24" t="s" s="557">
        <v>280</v>
      </c>
      <c r="V24" t="s" s="557">
        <v>281</v>
      </c>
      <c r="W24" t="s" s="557">
        <v>282</v>
      </c>
      <c r="X24" t="s" s="557">
        <v>283</v>
      </c>
      <c r="AO24" s="560">
        <f t="shared" si="1"/>
        <v>24</v>
      </c>
    </row>
    <row r="25" spans="1:41">
      <c r="A25" t="s" s="557">
        <v>284</v>
      </c>
      <c r="B25" t="s" s="557">
        <v>285</v>
      </c>
      <c r="C25" s="557">
        <v>4</v>
      </c>
      <c r="D25" t="s" s="557">
        <v>185</v>
      </c>
      <c r="E25" t="s" s="557">
        <v>225</v>
      </c>
      <c r="F25" t="s" s="557">
        <v>267</v>
      </c>
      <c r="G25" t="s" s="557">
        <v>250</v>
      </c>
      <c r="H25" t="s" s="557">
        <v>228</v>
      </c>
      <c r="I25" t="s" s="557">
        <v>286</v>
      </c>
      <c r="J25" t="s" s="557">
        <v>287</v>
      </c>
      <c r="K25" t="s" s="557">
        <v>275</v>
      </c>
      <c r="L25" t="s" s="557">
        <v>288</v>
      </c>
      <c r="M25" t="s" s="557">
        <v>231</v>
      </c>
      <c r="T25" s="557">
        <v>3</v>
      </c>
      <c r="U25" t="s" s="557">
        <v>289</v>
      </c>
      <c r="V25" t="s" s="557">
        <v>209</v>
      </c>
      <c r="W25" t="s" s="557">
        <v>179</v>
      </c>
      <c r="X25" t="s" s="557">
        <v>217</v>
      </c>
      <c r="Y25" t="s" s="557">
        <v>159</v>
      </c>
      <c r="Z25" t="s" s="557">
        <v>180</v>
      </c>
      <c r="AA25" t="s" s="557">
        <v>290</v>
      </c>
      <c r="AB25" t="s" s="557">
        <v>168</v>
      </c>
      <c r="AC25" t="s" s="557">
        <v>176</v>
      </c>
      <c r="AD25" t="s" s="557">
        <v>291</v>
      </c>
      <c r="AO25" s="560">
        <f t="shared" si="1"/>
        <v>25</v>
      </c>
    </row>
    <row r="26" spans="1:41">
      <c r="A26" t="s" s="557">
        <v>292</v>
      </c>
      <c r="AF26" t="s" s="557">
        <v>183</v>
      </c>
      <c r="AJ26" t="s" s="557">
        <v>92</v>
      </c>
      <c r="AK26" t="s" s="557">
        <v>83</v>
      </c>
      <c r="AL26" t="s" s="557">
        <v>293</v>
      </c>
      <c r="AM26" t="s" s="557">
        <v>97</v>
      </c>
      <c r="AN26" s="557" t="str">
        <f>附表!$L$62&amp;"。"</f>
        <v>参见《特工手册》的“本职装备：联邦探员”。</v>
      </c>
      <c r="AO26" s="560">
        <f t="shared" si="1"/>
        <v>26</v>
      </c>
    </row>
    <row r="27" spans="1:41">
      <c r="A27" t="s" s="557">
        <v>294</v>
      </c>
      <c r="AF27" t="s" s="557">
        <v>183</v>
      </c>
      <c r="AG27" t="s" s="557">
        <v>122</v>
      </c>
      <c r="AH27" t="s" s="557">
        <v>295</v>
      </c>
      <c r="AJ27" t="s" s="557">
        <v>296</v>
      </c>
      <c r="AK27" t="s" s="557">
        <v>114</v>
      </c>
      <c r="AL27" t="s" s="557">
        <v>99</v>
      </c>
      <c r="AM27" t="s" s="557">
        <v>86</v>
      </c>
      <c r="AN27" s="557" t="str">
        <f>附表!$L$62&amp;"，此外还有一台强固式笔电，加载先进的数据分析软件，化学嗅探器/分析仪。"</f>
        <v>参见《特工手册》的“本职装备：联邦探员”，此外还有一台强固式笔电，加载先进的数据分析软件，化学嗅探器/分析仪。</v>
      </c>
      <c r="AO27" s="560">
        <f t="shared" si="1"/>
        <v>27</v>
      </c>
    </row>
    <row r="28" spans="1:41">
      <c r="A28" t="s" s="557">
        <v>297</v>
      </c>
      <c r="AF28" t="s" s="557">
        <v>298</v>
      </c>
      <c r="AG28" t="s" s="557">
        <v>295</v>
      </c>
      <c r="AH28" t="s" s="557">
        <v>199</v>
      </c>
      <c r="AI28" t="s" s="557">
        <v>116</v>
      </c>
      <c r="AJ28" t="s" s="557">
        <v>86</v>
      </c>
      <c r="AK28" t="s" s="557">
        <v>114</v>
      </c>
      <c r="AL28" t="s" s="557">
        <v>90</v>
      </c>
      <c r="AM28" t="s" s="557">
        <v>299</v>
      </c>
      <c r="AN28" t="s" s="557">
        <v>300</v>
      </c>
      <c r="AO28" s="560">
        <f t="shared" si="1"/>
        <v>28</v>
      </c>
    </row>
    <row r="29" spans="1:41">
      <c r="A29" t="s" s="557">
        <v>301</v>
      </c>
      <c r="AF29" t="s" s="557">
        <v>122</v>
      </c>
      <c r="AG29" t="s" s="557">
        <v>295</v>
      </c>
      <c r="AJ29" t="s" s="557">
        <v>92</v>
      </c>
      <c r="AK29" t="s" s="557">
        <v>108</v>
      </c>
      <c r="AL29" t="s" s="557">
        <v>100</v>
      </c>
      <c r="AM29" t="s" s="557">
        <v>60</v>
      </c>
      <c r="AN29" t="s" s="557">
        <v>302</v>
      </c>
      <c r="AO29" s="560">
        <f t="shared" si="1"/>
        <v>29</v>
      </c>
    </row>
    <row r="30" spans="1:41">
      <c r="A30" t="s" s="557">
        <v>303</v>
      </c>
      <c r="C30" s="557">
        <v>1</v>
      </c>
      <c r="D30" t="s" s="557">
        <v>215</v>
      </c>
      <c r="E30" t="s" s="557">
        <v>216</v>
      </c>
      <c r="F30" t="s" s="557">
        <v>217</v>
      </c>
      <c r="G30" t="s" s="557">
        <v>304</v>
      </c>
      <c r="H30" t="s" s="557">
        <v>218</v>
      </c>
      <c r="I30" t="s" s="557">
        <v>189</v>
      </c>
      <c r="J30" t="s" s="557">
        <v>197</v>
      </c>
      <c r="K30" t="s" s="557">
        <v>219</v>
      </c>
      <c r="L30" t="s" s="557">
        <v>220</v>
      </c>
      <c r="M30" t="s" s="557">
        <v>166</v>
      </c>
      <c r="N30" t="s" s="557">
        <v>221</v>
      </c>
      <c r="O30" t="s" s="557">
        <v>169</v>
      </c>
      <c r="P30" t="s" s="557">
        <v>222</v>
      </c>
      <c r="Q30" t="s" s="557">
        <v>194</v>
      </c>
      <c r="AJ30" t="s" s="557">
        <v>92</v>
      </c>
      <c r="AK30" t="s" s="557">
        <v>100</v>
      </c>
      <c r="AL30" t="s" s="557">
        <v>67</v>
      </c>
      <c r="AM30" t="s" s="557">
        <v>101</v>
      </c>
      <c r="AN30" s="557" t="str">
        <f>附表!$L$63&amp;"。HRT还能获得专业便携式电脑，可使用FBI的指纹自动识别系统（IAFIS）及DoD的自动生物识别系统（ABIS）。"</f>
        <v>参见《特工手册》的“本职装备：特警部队”。HRT还能获得专业便携式电脑，可使用FBI的指纹自动识别系统（IAFIS）及DoD的自动生物识别系统（ABIS）。</v>
      </c>
      <c r="AO30" s="560">
        <f t="shared" si="1"/>
        <v>30</v>
      </c>
    </row>
    <row r="31" spans="1:41">
      <c r="A31" t="s" s="557">
        <v>305</v>
      </c>
      <c r="AF31" t="s" s="557">
        <v>183</v>
      </c>
      <c r="AG31" t="s" s="557">
        <v>306</v>
      </c>
      <c r="AJ31" t="s" s="557">
        <v>92</v>
      </c>
      <c r="AK31" t="s" s="557">
        <v>83</v>
      </c>
      <c r="AL31" t="s" s="557">
        <v>293</v>
      </c>
      <c r="AM31" t="s" s="557">
        <v>97</v>
      </c>
      <c r="AN31" s="557" t="str">
        <f>附表!$L$62&amp;"。"</f>
        <v>参见《特工手册》的“本职装备：联邦探员”。</v>
      </c>
      <c r="AO31" s="560">
        <f t="shared" si="1"/>
        <v>31</v>
      </c>
    </row>
    <row r="32" spans="1:41">
      <c r="A32" t="s" s="557">
        <v>307</v>
      </c>
      <c r="AF32" t="s" s="557">
        <v>155</v>
      </c>
      <c r="AG32" t="s" s="557">
        <v>308</v>
      </c>
      <c r="AH32" t="s" s="557">
        <v>309</v>
      </c>
      <c r="AI32" t="s" s="557">
        <v>116</v>
      </c>
      <c r="AJ32" t="s" s="557">
        <v>59</v>
      </c>
      <c r="AK32" t="s" s="557">
        <v>108</v>
      </c>
      <c r="AL32" t="s" s="557">
        <v>60</v>
      </c>
      <c r="AM32" t="s" s="557">
        <v>83</v>
      </c>
      <c r="AN32" t="s" s="557">
        <v>310</v>
      </c>
      <c r="AO32" s="560">
        <f t="shared" si="1"/>
        <v>32</v>
      </c>
    </row>
    <row r="33" spans="1:41">
      <c r="A33" t="s" s="557">
        <v>311</v>
      </c>
      <c r="AF33" t="s" s="557">
        <v>298</v>
      </c>
      <c r="AG33" t="s" s="557">
        <v>122</v>
      </c>
      <c r="AJ33" t="s" s="557">
        <v>86</v>
      </c>
      <c r="AK33" t="s" s="557">
        <v>92</v>
      </c>
      <c r="AL33" t="s" s="557">
        <v>60</v>
      </c>
      <c r="AM33" t="s" s="557">
        <v>99</v>
      </c>
      <c r="AN33" t="s" s="557">
        <v>312</v>
      </c>
      <c r="AO33" s="560">
        <f t="shared" si="1"/>
        <v>33</v>
      </c>
    </row>
    <row r="34" spans="1:41">
      <c r="A34" t="s" s="557">
        <v>313</v>
      </c>
      <c r="C34" s="557">
        <v>2</v>
      </c>
      <c r="D34" t="s" s="557">
        <v>185</v>
      </c>
      <c r="E34" t="s" s="557">
        <v>157</v>
      </c>
      <c r="F34" t="s" s="557">
        <v>186</v>
      </c>
      <c r="G34" t="s" s="557">
        <v>250</v>
      </c>
      <c r="H34" t="s" s="557">
        <v>188</v>
      </c>
      <c r="I34" t="s" s="557">
        <v>314</v>
      </c>
      <c r="J34" t="s" s="557">
        <v>189</v>
      </c>
      <c r="K34" t="s" s="557">
        <v>315</v>
      </c>
      <c r="L34" t="s" s="557">
        <v>316</v>
      </c>
      <c r="M34" t="s" s="557">
        <v>191</v>
      </c>
      <c r="N34" t="s" s="557">
        <v>317</v>
      </c>
      <c r="O34" t="s" s="557">
        <v>162</v>
      </c>
      <c r="P34" t="s" s="557">
        <v>318</v>
      </c>
      <c r="Q34" t="s" s="557">
        <v>193</v>
      </c>
      <c r="R34" t="s" s="557">
        <v>319</v>
      </c>
      <c r="S34" t="s" s="557">
        <v>194</v>
      </c>
      <c r="AJ34" t="s" s="557">
        <v>76</v>
      </c>
      <c r="AK34" t="s" s="557">
        <v>100</v>
      </c>
      <c r="AL34" t="s" s="557">
        <v>108</v>
      </c>
      <c r="AM34" t="s" s="557">
        <v>97</v>
      </c>
      <c r="AN34" s="557" t="str">
        <f>附表!$L$64&amp;"。"</f>
        <v>参见《特工手册》的“本职装备：警局警员”。</v>
      </c>
      <c r="AO34" s="560">
        <f t="shared" si="1"/>
        <v>34</v>
      </c>
    </row>
    <row r="35" spans="1:41">
      <c r="A35" t="s" s="557">
        <v>320</v>
      </c>
      <c r="AF35" t="s" s="557">
        <v>183</v>
      </c>
      <c r="AJ35" t="s" s="557">
        <v>82</v>
      </c>
      <c r="AK35" t="s" s="557">
        <v>92</v>
      </c>
      <c r="AL35" t="s" s="557">
        <v>108</v>
      </c>
      <c r="AM35" t="s" s="557">
        <v>114</v>
      </c>
      <c r="AN35" s="557" t="str">
        <f>附表!$L$62&amp;"。"</f>
        <v>参见《特工手册》的“本职装备：联邦探员”。</v>
      </c>
      <c r="AO35" s="560">
        <f t="shared" si="1"/>
        <v>35</v>
      </c>
    </row>
    <row r="36" spans="1:41">
      <c r="A36" t="s" s="557">
        <v>321</v>
      </c>
      <c r="AF36" t="s" s="557">
        <v>322</v>
      </c>
      <c r="AG36" t="s" s="557">
        <v>122</v>
      </c>
      <c r="AJ36" t="s" s="557">
        <v>82</v>
      </c>
      <c r="AK36" t="s" s="557">
        <v>86</v>
      </c>
      <c r="AL36" t="s" s="557">
        <v>299</v>
      </c>
      <c r="AM36" t="s" s="557">
        <v>99</v>
      </c>
      <c r="AN36" s="557" t="str">
        <f>附表!$L$62&amp;"。"</f>
        <v>参见《特工手册》的“本职装备：联邦探员”。</v>
      </c>
      <c r="AO36" s="560">
        <f t="shared" si="1"/>
        <v>36</v>
      </c>
    </row>
    <row r="37" spans="1:41">
      <c r="A37" t="s" s="557">
        <v>323</v>
      </c>
      <c r="C37" s="557">
        <v>2</v>
      </c>
      <c r="D37" t="s" s="557">
        <v>185</v>
      </c>
      <c r="E37" t="s" s="557">
        <v>157</v>
      </c>
      <c r="F37" t="s" s="557">
        <v>186</v>
      </c>
      <c r="G37" t="s" s="557">
        <v>304</v>
      </c>
      <c r="H37" t="s" s="557">
        <v>187</v>
      </c>
      <c r="I37" t="s" s="557">
        <v>188</v>
      </c>
      <c r="J37" t="s" s="557">
        <v>189</v>
      </c>
      <c r="K37" t="s" s="557">
        <v>197</v>
      </c>
      <c r="L37" t="s" s="557">
        <v>190</v>
      </c>
      <c r="M37" t="s" s="557">
        <v>191</v>
      </c>
      <c r="N37" t="s" s="557">
        <v>192</v>
      </c>
      <c r="O37" t="s" s="557">
        <v>193</v>
      </c>
      <c r="P37" t="s" s="557">
        <v>324</v>
      </c>
      <c r="Q37" t="s" s="557">
        <v>194</v>
      </c>
      <c r="AJ37" t="s" s="557">
        <v>96</v>
      </c>
      <c r="AK37" t="s" s="557">
        <v>100</v>
      </c>
      <c r="AL37" t="s" s="557">
        <v>92</v>
      </c>
      <c r="AM37" t="s" s="557">
        <v>67</v>
      </c>
      <c r="AN37" s="557" t="str">
        <f>附表!$L$63&amp;"。"</f>
        <v>参见《特工手册》的“本职装备：特警部队”。</v>
      </c>
      <c r="AO37" s="560">
        <f t="shared" si="1"/>
        <v>37</v>
      </c>
    </row>
    <row r="38" spans="1:41">
      <c r="A38" t="s" s="557">
        <v>325</v>
      </c>
      <c r="AF38" t="s" s="557">
        <v>183</v>
      </c>
      <c r="AJ38" t="s" s="557">
        <v>76</v>
      </c>
      <c r="AK38" t="s" s="557">
        <v>114</v>
      </c>
      <c r="AL38" t="s" s="557">
        <v>77</v>
      </c>
      <c r="AM38" t="s" s="557">
        <v>107</v>
      </c>
      <c r="AN38" s="557" t="str">
        <f>附表!$L$62&amp;"。"</f>
        <v>参见《特工手册》的“本职装备：联邦探员”。</v>
      </c>
      <c r="AO38" s="560">
        <f t="shared" si="1"/>
        <v>38</v>
      </c>
    </row>
    <row r="39" spans="1:41">
      <c r="A39" t="s" s="557">
        <v>326</v>
      </c>
      <c r="AF39" t="s" s="557">
        <v>183</v>
      </c>
      <c r="AJ39" t="s" s="557">
        <v>92</v>
      </c>
      <c r="AK39" t="s" s="557">
        <v>108</v>
      </c>
      <c r="AL39" t="s" s="557">
        <v>60</v>
      </c>
      <c r="AM39" t="s" s="557">
        <v>97</v>
      </c>
      <c r="AN39" s="557" t="str">
        <f>附表!$L$62&amp;"。"</f>
        <v>参见《特工手册》的“本职装备：联邦探员”。</v>
      </c>
      <c r="AO39" s="560">
        <f t="shared" si="1"/>
        <v>39</v>
      </c>
    </row>
    <row r="40" spans="1:41">
      <c r="A40" t="s" s="557">
        <v>327</v>
      </c>
      <c r="C40" s="557">
        <v>2</v>
      </c>
      <c r="D40" t="s" s="557">
        <v>185</v>
      </c>
      <c r="E40" t="s" s="557">
        <v>328</v>
      </c>
      <c r="F40" t="s" s="557">
        <v>157</v>
      </c>
      <c r="G40" t="s" s="557">
        <v>186</v>
      </c>
      <c r="H40" t="s" s="557">
        <v>227</v>
      </c>
      <c r="I40" t="s" s="557">
        <v>187</v>
      </c>
      <c r="J40" t="s" s="557">
        <v>188</v>
      </c>
      <c r="K40" t="s" s="557">
        <v>189</v>
      </c>
      <c r="L40" t="s" s="557">
        <v>197</v>
      </c>
      <c r="M40" t="s" s="557">
        <v>190</v>
      </c>
      <c r="N40" t="s" s="557">
        <v>191</v>
      </c>
      <c r="O40" t="s" s="557">
        <v>192</v>
      </c>
      <c r="P40" t="s" s="557">
        <v>193</v>
      </c>
      <c r="Q40" t="s" s="557">
        <v>324</v>
      </c>
      <c r="R40" t="s" s="557">
        <v>194</v>
      </c>
      <c r="AJ40" t="s" s="557">
        <v>76</v>
      </c>
      <c r="AK40" t="s" s="557">
        <v>96</v>
      </c>
      <c r="AL40" t="s" s="557">
        <v>100</v>
      </c>
      <c r="AM40" t="s" s="557">
        <v>107</v>
      </c>
      <c r="AN40" s="557" t="str">
        <f>附表!$L$63&amp;"。"</f>
        <v>参见《特工手册》的“本职装备：特警部队”。</v>
      </c>
      <c r="AO40" s="560">
        <f t="shared" si="1"/>
        <v>40</v>
      </c>
    </row>
    <row r="41" spans="1:41">
      <c r="A41" t="s" s="557">
        <v>329</v>
      </c>
      <c r="AF41" t="s" s="557">
        <v>116</v>
      </c>
      <c r="AJ41" t="s" s="557">
        <v>82</v>
      </c>
      <c r="AK41" t="s" s="557">
        <v>330</v>
      </c>
      <c r="AL41" t="s" s="557">
        <v>83</v>
      </c>
      <c r="AM41" t="s" s="557">
        <v>331</v>
      </c>
      <c r="AN41" t="s" s="557">
        <v>332</v>
      </c>
      <c r="AO41" s="560">
        <f t="shared" si="1"/>
        <v>41</v>
      </c>
    </row>
    <row r="42" spans="1:41">
      <c r="A42" t="s" s="557">
        <v>333</v>
      </c>
      <c r="AF42" t="s" s="557">
        <v>334</v>
      </c>
      <c r="AJ42" t="s" s="557">
        <v>82</v>
      </c>
      <c r="AK42" t="s" s="557">
        <v>114</v>
      </c>
      <c r="AL42" t="s" s="557">
        <v>335</v>
      </c>
      <c r="AM42" t="s" s="557">
        <v>99</v>
      </c>
      <c r="AN42" s="557" t="str">
        <f>附表!$L$65&amp;"，还有特化的情报和许多不同的生存装备。"</f>
        <v>参见《特工手册》的“本职装备：特种作战员”，还有特化的情报和许多不同的生存装备。</v>
      </c>
      <c r="AO42" s="560">
        <f t="shared" si="1"/>
        <v>42</v>
      </c>
    </row>
    <row r="43" spans="1:41">
      <c r="A43" t="s" s="557">
        <v>336</v>
      </c>
      <c r="C43" s="557">
        <v>3</v>
      </c>
      <c r="D43" t="s" s="557">
        <v>185</v>
      </c>
      <c r="E43" t="s" s="557">
        <v>216</v>
      </c>
      <c r="F43" t="s" s="557">
        <v>267</v>
      </c>
      <c r="G43" t="s" s="557">
        <v>250</v>
      </c>
      <c r="H43" t="s" s="557">
        <v>228</v>
      </c>
      <c r="I43" t="s" s="557">
        <v>274</v>
      </c>
      <c r="J43" t="s" s="557">
        <v>287</v>
      </c>
      <c r="K43" t="s" s="557">
        <v>166</v>
      </c>
      <c r="L43" t="s" s="557">
        <v>288</v>
      </c>
      <c r="M43" t="s" s="557">
        <v>169</v>
      </c>
      <c r="N43" t="s" s="557">
        <v>231</v>
      </c>
      <c r="T43" s="557">
        <v>3</v>
      </c>
      <c r="U43" t="s" s="557">
        <v>209</v>
      </c>
      <c r="V43" t="s" s="557">
        <v>179</v>
      </c>
      <c r="W43" t="s" s="557">
        <v>217</v>
      </c>
      <c r="X43" t="s" s="557">
        <v>159</v>
      </c>
      <c r="Y43" t="s" s="557">
        <v>180</v>
      </c>
      <c r="Z43" t="s" s="557">
        <v>290</v>
      </c>
      <c r="AA43" t="s" s="557">
        <v>168</v>
      </c>
      <c r="AB43" t="s" s="557">
        <v>176</v>
      </c>
      <c r="AC43" t="s" s="557">
        <v>291</v>
      </c>
      <c r="AJ43" t="s" s="557">
        <v>76</v>
      </c>
      <c r="AK43" t="s" s="557">
        <v>100</v>
      </c>
      <c r="AL43" t="s" s="557">
        <v>102</v>
      </c>
      <c r="AM43" t="s" s="557">
        <v>112</v>
      </c>
      <c r="AN43" s="557" t="str">
        <f>附表!$L$65&amp;"，并可获得专门的寒冷天气、高山和沙漠生存装备和设备。"</f>
        <v>参见《特工手册》的“本职装备：特种作战员”，并可获得专门的寒冷天气、高山和沙漠生存装备和设备。</v>
      </c>
      <c r="AO43" s="560">
        <f t="shared" si="1"/>
        <v>43</v>
      </c>
    </row>
    <row r="44" spans="1:41">
      <c r="A44" t="s" s="557">
        <v>337</v>
      </c>
      <c r="C44" s="557">
        <v>3</v>
      </c>
      <c r="D44" t="s" s="557">
        <v>185</v>
      </c>
      <c r="E44" t="s" s="557">
        <v>225</v>
      </c>
      <c r="F44" t="s" s="557">
        <v>267</v>
      </c>
      <c r="G44" t="s" s="557">
        <v>187</v>
      </c>
      <c r="H44" t="s" s="557">
        <v>228</v>
      </c>
      <c r="I44" t="s" s="557">
        <v>274</v>
      </c>
      <c r="J44" t="s" s="557">
        <v>338</v>
      </c>
      <c r="K44" t="s" s="557">
        <v>290</v>
      </c>
      <c r="L44" t="s" s="557">
        <v>339</v>
      </c>
      <c r="M44" t="s" s="557">
        <v>166</v>
      </c>
      <c r="N44" t="s" s="557">
        <v>340</v>
      </c>
      <c r="O44" t="s" s="557">
        <v>169</v>
      </c>
      <c r="P44" t="s" s="557">
        <v>231</v>
      </c>
      <c r="T44" s="557">
        <v>1</v>
      </c>
      <c r="U44" t="s" s="557">
        <v>289</v>
      </c>
      <c r="V44" t="s" s="557">
        <v>209</v>
      </c>
      <c r="W44" t="s" s="557">
        <v>179</v>
      </c>
      <c r="X44" t="s" s="557">
        <v>217</v>
      </c>
      <c r="Y44" t="s" s="557">
        <v>159</v>
      </c>
      <c r="Z44" t="s" s="557">
        <v>176</v>
      </c>
      <c r="AJ44" t="s" s="557">
        <v>100</v>
      </c>
      <c r="AK44" t="s" s="557">
        <v>111</v>
      </c>
      <c r="AL44" t="s" s="557">
        <v>99</v>
      </c>
      <c r="AM44" t="s" s="557">
        <v>105</v>
      </c>
      <c r="AN44" s="557" t="str">
        <f>附表!$L$65&amp;"，以及先进的监视、监听设备，包括远距离、加固的激光指示器。"</f>
        <v>参见《特工手册》的“本职装备：特种作战员”，以及先进的监视、监听设备，包括远距离、加固的激光指示器。</v>
      </c>
      <c r="AO44" s="560">
        <f t="shared" si="1"/>
        <v>44</v>
      </c>
    </row>
    <row r="45" spans="1:41">
      <c r="A45" t="s" s="557">
        <v>341</v>
      </c>
      <c r="AF45" t="s" s="557">
        <v>199</v>
      </c>
      <c r="AJ45" t="s" s="557">
        <v>76</v>
      </c>
      <c r="AK45" t="s" s="557">
        <v>102</v>
      </c>
      <c r="AL45" t="s" s="557">
        <v>65</v>
      </c>
      <c r="AM45" t="s" s="557">
        <v>103</v>
      </c>
      <c r="AN45" t="s" s="557">
        <v>342</v>
      </c>
      <c r="AO45" s="560">
        <f t="shared" si="1"/>
        <v>45</v>
      </c>
    </row>
    <row r="46" spans="1:41">
      <c r="A46" t="s" s="557">
        <v>343</v>
      </c>
      <c r="C46" s="557">
        <v>1</v>
      </c>
      <c r="D46" t="s" s="557">
        <v>185</v>
      </c>
      <c r="E46" t="s" s="557">
        <v>216</v>
      </c>
      <c r="F46" t="s" s="557">
        <v>217</v>
      </c>
      <c r="G46" t="s" s="557">
        <v>218</v>
      </c>
      <c r="H46" t="s" s="557">
        <v>344</v>
      </c>
      <c r="I46" t="s" s="557">
        <v>197</v>
      </c>
      <c r="J46" t="s" s="557">
        <v>253</v>
      </c>
      <c r="K46" t="s" s="557">
        <v>219</v>
      </c>
      <c r="L46" t="s" s="557">
        <v>220</v>
      </c>
      <c r="M46" t="s" s="557">
        <v>166</v>
      </c>
      <c r="N46" t="s" s="557">
        <v>162</v>
      </c>
      <c r="O46" t="s" s="557">
        <v>221</v>
      </c>
      <c r="P46" t="s" s="557">
        <v>169</v>
      </c>
      <c r="Q46" t="s" s="557">
        <v>222</v>
      </c>
      <c r="R46" t="s" s="557">
        <v>194</v>
      </c>
      <c r="AJ46" t="s" s="557">
        <v>100</v>
      </c>
      <c r="AK46" t="s" s="557">
        <v>94</v>
      </c>
      <c r="AL46" t="s" s="557">
        <v>77</v>
      </c>
      <c r="AM46" t="s" s="557">
        <v>99</v>
      </c>
      <c r="AN46" s="557" t="str">
        <f>附表!$L$65&amp;"。"</f>
        <v>参见《特工手册》的“本职装备：特种作战员”。</v>
      </c>
      <c r="AO46" s="560">
        <f t="shared" si="1"/>
        <v>46</v>
      </c>
    </row>
    <row r="47" spans="1:41">
      <c r="A47" t="s" s="557">
        <v>345</v>
      </c>
      <c r="AF47" t="s" s="557">
        <v>213</v>
      </c>
      <c r="AN47" s="557" t="str">
        <f>附表!$L$65&amp;"。"</f>
        <v>参见《特工手册》的“本职装备：特种作战员”。</v>
      </c>
      <c r="AO47" s="560">
        <f t="shared" si="1"/>
        <v>47</v>
      </c>
    </row>
    <row r="48" spans="1:41">
      <c r="A48" t="s" s="557">
        <v>346</v>
      </c>
      <c r="C48" s="557">
        <v>3</v>
      </c>
      <c r="D48" t="s" s="557">
        <v>185</v>
      </c>
      <c r="E48" t="s" s="557">
        <v>225</v>
      </c>
      <c r="F48" t="s" s="557">
        <v>267</v>
      </c>
      <c r="G48" t="s" s="557">
        <v>250</v>
      </c>
      <c r="H48" t="s" s="557">
        <v>228</v>
      </c>
      <c r="I48" t="s" s="557">
        <v>274</v>
      </c>
      <c r="J48" t="s" s="557">
        <v>159</v>
      </c>
      <c r="K48" t="s" s="557">
        <v>165</v>
      </c>
      <c r="L48" t="s" s="557">
        <v>287</v>
      </c>
      <c r="M48" t="s" s="557">
        <v>275</v>
      </c>
      <c r="N48" t="s" s="557">
        <v>192</v>
      </c>
      <c r="O48" t="s" s="557">
        <v>176</v>
      </c>
      <c r="P48" t="s" s="557">
        <v>231</v>
      </c>
      <c r="T48" s="557">
        <v>1</v>
      </c>
      <c r="U48" t="s" s="557">
        <v>347</v>
      </c>
      <c r="V48" t="s" s="557">
        <v>348</v>
      </c>
      <c r="W48" t="s" s="557">
        <v>349</v>
      </c>
      <c r="X48" t="s" s="557">
        <v>350</v>
      </c>
      <c r="AJ48" t="s" s="557">
        <v>76</v>
      </c>
      <c r="AK48" t="s" s="557">
        <v>296</v>
      </c>
      <c r="AL48" t="s" s="557">
        <v>90</v>
      </c>
      <c r="AM48" t="s" s="557">
        <v>99</v>
      </c>
      <c r="AN48" s="557" t="str">
        <f>附表!$L$65&amp;"。"</f>
        <v>参见《特工手册》的“本职装备：特种作战员”。</v>
      </c>
      <c r="AO48" s="560">
        <f t="shared" si="1"/>
        <v>48</v>
      </c>
    </row>
    <row r="49" spans="1:41">
      <c r="A49" t="s" s="557">
        <v>351</v>
      </c>
      <c r="C49" s="557">
        <v>1</v>
      </c>
      <c r="D49" t="s" s="557">
        <v>215</v>
      </c>
      <c r="E49" t="s" s="557">
        <v>225</v>
      </c>
      <c r="F49" t="s" s="557">
        <v>267</v>
      </c>
      <c r="G49" t="s" s="557">
        <v>237</v>
      </c>
      <c r="H49" t="s" s="557">
        <v>238</v>
      </c>
      <c r="I49" t="s" s="557">
        <v>228</v>
      </c>
      <c r="J49" t="s" s="557">
        <v>197</v>
      </c>
      <c r="K49" t="s" s="557">
        <v>352</v>
      </c>
      <c r="L49" t="s" s="557">
        <v>353</v>
      </c>
      <c r="M49" t="s" s="557">
        <v>354</v>
      </c>
      <c r="N49" t="s" s="557">
        <v>355</v>
      </c>
      <c r="O49" t="s" s="557">
        <v>356</v>
      </c>
      <c r="P49" t="s" s="557">
        <v>222</v>
      </c>
      <c r="AJ49" t="s" s="557">
        <v>64</v>
      </c>
      <c r="AK49" t="s" s="557">
        <v>357</v>
      </c>
      <c r="AL49" t="s" s="557">
        <v>105</v>
      </c>
      <c r="AM49" t="s" s="557">
        <v>101</v>
      </c>
      <c r="AN49" s="557" t="str">
        <f>附表!$L$65&amp;"，以及维修直升机设备的操作手册和现场手册。"</f>
        <v>参见《特工手册》的“本职装备：特种作战员”，以及维修直升机设备的操作手册和现场手册。</v>
      </c>
      <c r="AO49" s="560">
        <f t="shared" si="1"/>
        <v>49</v>
      </c>
    </row>
    <row r="50" spans="1:41">
      <c r="A50" t="s" s="557">
        <v>358</v>
      </c>
      <c r="C50" s="557">
        <v>1</v>
      </c>
      <c r="D50" t="s" s="557">
        <v>215</v>
      </c>
      <c r="E50" t="s" s="557">
        <v>216</v>
      </c>
      <c r="F50" t="s" s="557">
        <v>218</v>
      </c>
      <c r="G50" t="s" s="557">
        <v>197</v>
      </c>
      <c r="H50" t="s" s="557">
        <v>165</v>
      </c>
      <c r="I50" t="s" s="557">
        <v>219</v>
      </c>
      <c r="J50" t="s" s="557">
        <v>220</v>
      </c>
      <c r="K50" t="s" s="557">
        <v>166</v>
      </c>
      <c r="L50" t="s" s="557">
        <v>359</v>
      </c>
      <c r="M50" t="s" s="557">
        <v>221</v>
      </c>
      <c r="N50" t="s" s="557">
        <v>169</v>
      </c>
      <c r="O50" t="s" s="557">
        <v>222</v>
      </c>
      <c r="P50" t="s" s="557">
        <v>194</v>
      </c>
      <c r="AJ50" t="s" s="557">
        <v>100</v>
      </c>
      <c r="AK50" t="s" s="557">
        <v>73</v>
      </c>
      <c r="AL50" t="s" s="557">
        <v>97</v>
      </c>
      <c r="AM50" t="s" s="557">
        <v>101</v>
      </c>
      <c r="AN50" s="557" t="str">
        <f>附表!$L$65&amp;"，并且能查阅机密报告。"</f>
        <v>参见《特工手册》的“本职装备：特种作战员”，并且能查阅机密报告。</v>
      </c>
      <c r="AO50" s="560">
        <f t="shared" si="1"/>
        <v>50</v>
      </c>
    </row>
    <row r="51" spans="1:41">
      <c r="A51" t="s" s="557">
        <v>360</v>
      </c>
      <c r="AF51" t="s" s="557">
        <v>361</v>
      </c>
      <c r="AJ51" t="s" s="557">
        <v>64</v>
      </c>
      <c r="AK51" t="s" s="557">
        <v>102</v>
      </c>
      <c r="AL51" t="s" s="557">
        <v>73</v>
      </c>
      <c r="AM51" t="s" s="557">
        <v>362</v>
      </c>
      <c r="AN51" t="s" s="557">
        <v>363</v>
      </c>
      <c r="AO51" s="560">
        <f t="shared" si="1"/>
        <v>51</v>
      </c>
    </row>
    <row r="52" spans="1:41">
      <c r="A52" t="s" s="557">
        <v>364</v>
      </c>
      <c r="AF52" t="s" s="557">
        <v>122</v>
      </c>
      <c r="AJ52" t="s" s="557">
        <v>86</v>
      </c>
      <c r="AK52" t="s" s="557">
        <v>365</v>
      </c>
      <c r="AL52" t="s" s="557">
        <v>77</v>
      </c>
      <c r="AM52" t="s" s="557">
        <v>99</v>
      </c>
      <c r="AN52" t="s" s="557">
        <v>366</v>
      </c>
      <c r="AO52" s="560">
        <f t="shared" si="1"/>
        <v>52</v>
      </c>
    </row>
    <row r="53" spans="1:41">
      <c r="A53" t="s" s="557">
        <v>367</v>
      </c>
      <c r="AF53" t="s" s="557">
        <v>361</v>
      </c>
      <c r="AJ53" t="s" s="557">
        <v>64</v>
      </c>
      <c r="AK53" t="s" s="557">
        <v>99</v>
      </c>
      <c r="AL53" t="s" s="557">
        <v>368</v>
      </c>
      <c r="AM53" t="s" s="557">
        <v>369</v>
      </c>
      <c r="AN53" t="s" s="557">
        <v>370</v>
      </c>
      <c r="AO53" s="560">
        <f t="shared" si="1"/>
        <v>53</v>
      </c>
    </row>
    <row r="54" spans="1:41">
      <c r="A54" t="s" s="557">
        <v>371</v>
      </c>
      <c r="AF54" t="s" s="557">
        <v>298</v>
      </c>
      <c r="AG54" t="s" s="557">
        <v>122</v>
      </c>
      <c r="AJ54" t="s" s="557">
        <v>82</v>
      </c>
      <c r="AK54" t="s" s="557">
        <v>86</v>
      </c>
      <c r="AL54" t="s" s="557">
        <v>372</v>
      </c>
      <c r="AM54" t="s" s="557">
        <v>99</v>
      </c>
      <c r="AN54" s="557" t="str">
        <f>附表!$L$62&amp;"。"</f>
        <v>参见《特工手册》的“本职装备：联邦探员”。</v>
      </c>
      <c r="AO54" s="560">
        <f t="shared" si="1"/>
        <v>54</v>
      </c>
    </row>
    <row r="55" spans="1:41">
      <c r="A55" t="s" s="557">
        <v>373</v>
      </c>
      <c r="AF55" t="s" s="557">
        <v>361</v>
      </c>
      <c r="AJ55" t="s" s="557">
        <v>64</v>
      </c>
      <c r="AK55" t="s" s="557">
        <v>99</v>
      </c>
      <c r="AL55" t="s" s="557">
        <v>374</v>
      </c>
      <c r="AN55" t="s" s="557">
        <v>375</v>
      </c>
      <c r="AO55" s="560">
        <f t="shared" si="1"/>
        <v>55</v>
      </c>
    </row>
    <row r="56" spans="1:41">
      <c r="A56" t="s" s="557">
        <v>376</v>
      </c>
      <c r="AF56" t="s" s="557">
        <v>170</v>
      </c>
      <c r="AJ56" t="s" s="557">
        <v>82</v>
      </c>
      <c r="AK56" t="s" s="557">
        <v>99</v>
      </c>
      <c r="AL56" t="s" s="557">
        <v>369</v>
      </c>
      <c r="AM56" t="s" s="557">
        <v>365</v>
      </c>
      <c r="AN56" t="s" s="557">
        <v>375</v>
      </c>
      <c r="AO56" s="560">
        <f t="shared" si="1"/>
        <v>56</v>
      </c>
    </row>
    <row r="57" spans="1:41">
      <c r="A57" t="s" s="557">
        <v>377</v>
      </c>
      <c r="C57" s="557">
        <v>1</v>
      </c>
      <c r="D57" t="s" s="557">
        <v>215</v>
      </c>
      <c r="E57" t="s" s="557">
        <v>216</v>
      </c>
      <c r="F57" t="s" s="557">
        <v>217</v>
      </c>
      <c r="G57" t="s" s="557">
        <v>218</v>
      </c>
      <c r="H57" t="s" s="557">
        <v>197</v>
      </c>
      <c r="I57" t="s" s="557">
        <v>219</v>
      </c>
      <c r="J57" t="s" s="557">
        <v>220</v>
      </c>
      <c r="K57" t="s" s="557">
        <v>166</v>
      </c>
      <c r="L57" t="s" s="557">
        <v>221</v>
      </c>
      <c r="M57" t="s" s="557">
        <v>169</v>
      </c>
      <c r="N57" t="s" s="557">
        <v>222</v>
      </c>
      <c r="O57" t="s" s="557">
        <v>194</v>
      </c>
      <c r="T57" s="557">
        <v>1</v>
      </c>
      <c r="U57" t="s" s="557">
        <v>201</v>
      </c>
      <c r="V57" t="s" s="557">
        <v>359</v>
      </c>
      <c r="AJ57" t="s" s="557">
        <v>76</v>
      </c>
      <c r="AK57" t="s" s="557">
        <v>73</v>
      </c>
      <c r="AL57" t="s" s="557">
        <v>105</v>
      </c>
      <c r="AM57" t="s" s="557">
        <v>101</v>
      </c>
      <c r="AN57" s="557" t="str">
        <f>附表!$L$65&amp;"，以及野战医疗包（辅助救援）、先进的监视和电子套件（战斗控制员和战斗气象技术人员）。"</f>
        <v>参见《特工手册》的“本职装备：特种作战员”，以及野战医疗包（辅助救援）、先进的监视和电子套件（战斗控制员和战斗气象技术人员）。</v>
      </c>
      <c r="AO57" s="560">
        <f t="shared" si="1"/>
        <v>57</v>
      </c>
    </row>
    <row r="58" spans="1:41">
      <c r="A58" t="s" s="557">
        <v>378</v>
      </c>
      <c r="AF58" t="s" s="557">
        <v>183</v>
      </c>
      <c r="AJ58" t="s" s="557">
        <v>92</v>
      </c>
      <c r="AK58" t="s" s="557">
        <v>77</v>
      </c>
      <c r="AL58" t="s" s="557">
        <v>114</v>
      </c>
      <c r="AM58" t="s" s="557">
        <v>60</v>
      </c>
      <c r="AN58" s="557" t="str">
        <f>附表!$L$62&amp;"。"</f>
        <v>参见《特工手册》的“本职装备：联邦探员”。</v>
      </c>
      <c r="AO58" s="560">
        <f t="shared" si="1"/>
        <v>58</v>
      </c>
    </row>
    <row r="59" spans="1:41">
      <c r="A59" t="s" s="557">
        <v>379</v>
      </c>
      <c r="C59" s="557">
        <v>2</v>
      </c>
      <c r="D59" t="s" s="557">
        <v>215</v>
      </c>
      <c r="E59" t="s" s="557">
        <v>328</v>
      </c>
      <c r="F59" t="s" s="557">
        <v>267</v>
      </c>
      <c r="G59" t="s" s="557">
        <v>237</v>
      </c>
      <c r="H59" t="s" s="557">
        <v>238</v>
      </c>
      <c r="I59" t="s" s="557">
        <v>380</v>
      </c>
      <c r="J59" t="s" s="557">
        <v>381</v>
      </c>
      <c r="K59" t="s" s="557">
        <v>166</v>
      </c>
      <c r="L59" t="s" s="557">
        <v>382</v>
      </c>
      <c r="M59" t="s" s="557">
        <v>269</v>
      </c>
      <c r="N59" t="s" s="557">
        <v>193</v>
      </c>
      <c r="O59" t="s" s="557">
        <v>291</v>
      </c>
      <c r="AJ59" t="s" s="557">
        <v>64</v>
      </c>
      <c r="AK59" t="s" s="557">
        <v>76</v>
      </c>
      <c r="AL59" t="s" s="557">
        <v>369</v>
      </c>
      <c r="AM59" t="s" s="557">
        <v>102</v>
      </c>
      <c r="AN59" t="s" s="557">
        <v>383</v>
      </c>
      <c r="AO59" s="560">
        <f t="shared" si="1"/>
        <v>59</v>
      </c>
    </row>
    <row r="60" spans="1:41">
      <c r="A60" t="s" s="557">
        <v>384</v>
      </c>
      <c r="C60" s="557">
        <v>2</v>
      </c>
      <c r="D60" t="s" s="557">
        <v>185</v>
      </c>
      <c r="E60" t="s" s="557">
        <v>225</v>
      </c>
      <c r="F60" t="s" s="557">
        <v>157</v>
      </c>
      <c r="G60" t="s" s="557">
        <v>228</v>
      </c>
      <c r="H60" t="s" s="557">
        <v>201</v>
      </c>
      <c r="I60" t="s" s="557">
        <v>253</v>
      </c>
      <c r="J60" t="s" s="557">
        <v>261</v>
      </c>
      <c r="K60" t="s" s="557">
        <v>192</v>
      </c>
      <c r="L60" t="s" s="557">
        <v>212</v>
      </c>
      <c r="M60" t="s" s="557">
        <v>262</v>
      </c>
      <c r="N60" t="s" s="557">
        <v>169</v>
      </c>
      <c r="T60" s="557">
        <v>2</v>
      </c>
      <c r="U60" t="s" s="557">
        <v>263</v>
      </c>
      <c r="V60" t="s" s="557">
        <v>211</v>
      </c>
      <c r="W60" t="s" s="557">
        <v>166</v>
      </c>
      <c r="X60" t="s" s="557">
        <v>264</v>
      </c>
      <c r="Y60" t="s" s="557">
        <v>168</v>
      </c>
      <c r="AJ60" t="s" s="557">
        <v>102</v>
      </c>
      <c r="AK60" t="s" s="557">
        <v>65</v>
      </c>
      <c r="AL60" t="s" s="557">
        <v>90</v>
      </c>
      <c r="AM60" t="s" s="557">
        <v>103</v>
      </c>
      <c r="AN60" t="s" s="557">
        <v>385</v>
      </c>
      <c r="AO60" s="560">
        <f t="shared" si="1"/>
        <v>60</v>
      </c>
    </row>
    <row r="61" spans="1:41">
      <c r="A61" t="s" s="557">
        <v>386</v>
      </c>
      <c r="C61" s="557">
        <v>1</v>
      </c>
      <c r="D61" t="s" s="557">
        <v>185</v>
      </c>
      <c r="E61" t="s" s="557">
        <v>216</v>
      </c>
      <c r="F61" t="s" s="557">
        <v>217</v>
      </c>
      <c r="G61" t="s" s="557">
        <v>218</v>
      </c>
      <c r="H61" t="s" s="557">
        <v>197</v>
      </c>
      <c r="I61" t="s" s="557">
        <v>219</v>
      </c>
      <c r="J61" t="s" s="557">
        <v>220</v>
      </c>
      <c r="K61" t="s" s="557">
        <v>166</v>
      </c>
      <c r="L61" t="s" s="557">
        <v>387</v>
      </c>
      <c r="M61" t="s" s="557">
        <v>221</v>
      </c>
      <c r="N61" t="s" s="557">
        <v>388</v>
      </c>
      <c r="O61" t="s" s="557">
        <v>291</v>
      </c>
      <c r="P61" t="s" s="557">
        <v>194</v>
      </c>
      <c r="AJ61" t="s" s="557">
        <v>100</v>
      </c>
      <c r="AK61" t="s" s="557">
        <v>67</v>
      </c>
      <c r="AL61" t="s" s="557">
        <v>101</v>
      </c>
      <c r="AM61" t="s" s="557">
        <v>107</v>
      </c>
      <c r="AN61" s="557" t="str">
        <f>附表!$L$65&amp;"，以及SCUBA 和游泳装备。所有设备都是防水的。"</f>
        <v>参见《特工手册》的“本职装备：特种作战员”，以及SCUBA 和游泳装备。所有设备都是防水的。</v>
      </c>
      <c r="AO61" s="560">
        <f t="shared" si="1"/>
        <v>61</v>
      </c>
    </row>
    <row r="62" spans="1:41">
      <c r="A62" t="s" s="557">
        <v>389</v>
      </c>
      <c r="C62" s="557">
        <v>1</v>
      </c>
      <c r="D62" t="s" s="557">
        <v>215</v>
      </c>
      <c r="E62" t="s" s="557">
        <v>216</v>
      </c>
      <c r="F62" t="s" s="557">
        <v>217</v>
      </c>
      <c r="G62" t="s" s="557">
        <v>304</v>
      </c>
      <c r="H62" t="s" s="557">
        <v>218</v>
      </c>
      <c r="I62" t="s" s="557">
        <v>197</v>
      </c>
      <c r="J62" t="s" s="557">
        <v>219</v>
      </c>
      <c r="K62" t="s" s="557">
        <v>220</v>
      </c>
      <c r="L62" t="s" s="557">
        <v>354</v>
      </c>
      <c r="M62" t="s" s="557">
        <v>390</v>
      </c>
      <c r="N62" t="s" s="557">
        <v>388</v>
      </c>
      <c r="O62" t="s" s="557">
        <v>222</v>
      </c>
      <c r="P62" t="s" s="557">
        <v>194</v>
      </c>
      <c r="AJ62" t="s" s="557">
        <v>98</v>
      </c>
      <c r="AK62" t="s" s="557">
        <v>100</v>
      </c>
      <c r="AL62" t="s" s="557">
        <v>99</v>
      </c>
      <c r="AM62" t="s" s="557">
        <v>105</v>
      </c>
      <c r="AN62" s="557" t="str">
        <f>附表!$L$65&amp;"，以及先进的监视设备、安装在武器上的激光指示灯、莫斯伯格500 泵动式霰弹枪、远距离热成像仪。"</f>
        <v>参见《特工手册》的“本职装备：特种作战员”，以及先进的监视设备、安装在武器上的激光指示灯、莫斯伯格500 泵动式霰弹枪、远距离热成像仪。</v>
      </c>
      <c r="AO62" s="560">
        <f t="shared" si="1"/>
        <v>62</v>
      </c>
    </row>
    <row r="63" spans="1:41">
      <c r="A63" t="s" s="557">
        <v>391</v>
      </c>
      <c r="C63" s="557">
        <v>3</v>
      </c>
      <c r="D63" t="s" s="557">
        <v>392</v>
      </c>
      <c r="E63" t="s" s="557">
        <v>216</v>
      </c>
      <c r="F63" t="s" s="557">
        <v>178</v>
      </c>
      <c r="G63" t="s" s="557">
        <v>393</v>
      </c>
      <c r="H63" t="s" s="557">
        <v>394</v>
      </c>
      <c r="I63" t="s" s="557">
        <v>228</v>
      </c>
      <c r="J63" t="s" s="557">
        <v>245</v>
      </c>
      <c r="K63" t="s" s="557">
        <v>165</v>
      </c>
      <c r="L63" t="s" s="557">
        <v>230</v>
      </c>
      <c r="M63" t="s" s="557">
        <v>192</v>
      </c>
      <c r="N63" t="s" s="557">
        <v>395</v>
      </c>
      <c r="O63" t="s" s="557">
        <v>231</v>
      </c>
      <c r="T63" s="557">
        <v>1</v>
      </c>
      <c r="U63" t="s" s="557">
        <v>396</v>
      </c>
      <c r="V63" t="s" s="557">
        <v>158</v>
      </c>
      <c r="W63" t="s" s="557">
        <v>272</v>
      </c>
      <c r="AJ63" t="s" s="557">
        <v>397</v>
      </c>
      <c r="AK63" t="s" s="557">
        <v>76</v>
      </c>
      <c r="AL63" t="s" s="557">
        <v>114</v>
      </c>
      <c r="AM63" t="s" s="557">
        <v>105</v>
      </c>
      <c r="AN63" s="557" t="str">
        <f>附表!$L$65&amp;"。"</f>
        <v>参见《特工手册》的“本职装备：特种作战员”。</v>
      </c>
      <c r="AO63" s="560">
        <f t="shared" si="1"/>
        <v>63</v>
      </c>
    </row>
    <row r="64" spans="1:41">
      <c r="A64" t="s" s="557">
        <v>398</v>
      </c>
      <c r="C64" s="557">
        <v>2</v>
      </c>
      <c r="D64" t="s" s="557">
        <v>215</v>
      </c>
      <c r="E64" t="s" s="557">
        <v>216</v>
      </c>
      <c r="F64" t="s" s="557">
        <v>267</v>
      </c>
      <c r="G64" t="s" s="557">
        <v>217</v>
      </c>
      <c r="H64" t="s" s="557">
        <v>304</v>
      </c>
      <c r="I64" t="s" s="557">
        <v>250</v>
      </c>
      <c r="J64" t="s" s="557">
        <v>218</v>
      </c>
      <c r="K64" t="s" s="557">
        <v>274</v>
      </c>
      <c r="L64" t="s" s="557">
        <v>159</v>
      </c>
      <c r="M64" t="s" s="557">
        <v>180</v>
      </c>
      <c r="N64" t="s" s="557">
        <v>197</v>
      </c>
      <c r="O64" t="s" s="557">
        <v>287</v>
      </c>
      <c r="P64" t="s" s="557">
        <v>275</v>
      </c>
      <c r="Q64" t="s" s="557">
        <v>288</v>
      </c>
      <c r="R64" t="s" s="557">
        <v>291</v>
      </c>
      <c r="S64" t="s" s="557">
        <v>231</v>
      </c>
      <c r="AJ64" t="s" s="557">
        <v>112</v>
      </c>
      <c r="AK64" t="s" s="557">
        <v>73</v>
      </c>
      <c r="AL64" t="s" s="557">
        <v>101</v>
      </c>
      <c r="AN64" t="s" s="557">
        <v>399</v>
      </c>
      <c r="AO64" s="560">
        <f t="shared" si="1"/>
        <v>64</v>
      </c>
    </row>
    <row r="65" spans="1:41">
      <c r="A65" t="s" s="557">
        <v>400</v>
      </c>
      <c r="C65" s="557">
        <v>3</v>
      </c>
      <c r="D65" t="s" s="557">
        <v>215</v>
      </c>
      <c r="E65" t="s" s="557">
        <v>216</v>
      </c>
      <c r="F65" t="s" s="557">
        <v>267</v>
      </c>
      <c r="G65" t="s" s="557">
        <v>250</v>
      </c>
      <c r="H65" t="s" s="557">
        <v>218</v>
      </c>
      <c r="I65" t="s" s="557">
        <v>274</v>
      </c>
      <c r="J65" t="s" s="557">
        <v>290</v>
      </c>
      <c r="K65" t="s" s="557">
        <v>287</v>
      </c>
      <c r="L65" t="s" s="557">
        <v>275</v>
      </c>
      <c r="M65" t="s" s="557">
        <v>288</v>
      </c>
      <c r="N65" t="s" s="557">
        <v>319</v>
      </c>
      <c r="O65" t="s" s="557">
        <v>231</v>
      </c>
      <c r="T65" s="557">
        <v>2</v>
      </c>
      <c r="U65" t="s" s="557">
        <v>217</v>
      </c>
      <c r="V65" t="s" s="557">
        <v>159</v>
      </c>
      <c r="W65" t="s" s="557">
        <v>197</v>
      </c>
      <c r="X65" t="s" s="557">
        <v>168</v>
      </c>
      <c r="Y65" t="s" s="557">
        <v>176</v>
      </c>
      <c r="Z65" t="s" s="557">
        <v>291</v>
      </c>
      <c r="AJ65" t="s" s="557">
        <v>64</v>
      </c>
      <c r="AK65" t="s" s="557">
        <v>100</v>
      </c>
      <c r="AL65" t="s" s="557">
        <v>67</v>
      </c>
      <c r="AM65" t="s" s="557">
        <v>107</v>
      </c>
      <c r="AN65" s="557" t="str">
        <f>附表!$L$65&amp;"。"</f>
        <v>参见《特工手册》的“本职装备：特种作战员”。</v>
      </c>
      <c r="AO65" s="560">
        <f t="shared" si="1"/>
        <v>65</v>
      </c>
    </row>
    <row r="66" spans="1:41">
      <c r="A66" t="s" s="557">
        <v>401</v>
      </c>
      <c r="C66" s="557">
        <v>1</v>
      </c>
      <c r="D66" t="s" s="557">
        <v>185</v>
      </c>
      <c r="E66" t="s" s="557">
        <v>216</v>
      </c>
      <c r="F66" t="s" s="557">
        <v>217</v>
      </c>
      <c r="G66" t="s" s="557">
        <v>218</v>
      </c>
      <c r="H66" t="s" s="557">
        <v>197</v>
      </c>
      <c r="I66" t="s" s="557">
        <v>219</v>
      </c>
      <c r="J66" t="s" s="557">
        <v>220</v>
      </c>
      <c r="K66" t="s" s="557">
        <v>166</v>
      </c>
      <c r="L66" t="s" s="557">
        <v>162</v>
      </c>
      <c r="M66" t="s" s="557">
        <v>387</v>
      </c>
      <c r="N66" t="s" s="557">
        <v>221</v>
      </c>
      <c r="O66" t="s" s="557">
        <v>169</v>
      </c>
      <c r="P66" t="s" s="557">
        <v>222</v>
      </c>
      <c r="Q66" t="s" s="557">
        <v>194</v>
      </c>
      <c r="AJ66" t="s" s="557">
        <v>76</v>
      </c>
      <c r="AK66" t="s" s="557">
        <v>112</v>
      </c>
      <c r="AL66" t="s" s="557">
        <v>114</v>
      </c>
      <c r="AM66" t="s" s="557">
        <v>67</v>
      </c>
      <c r="AN66" s="557" t="str">
        <f>附表!$L$65&amp;"。"</f>
        <v>参见《特工手册》的“本职装备：特种作战员”。</v>
      </c>
      <c r="AO66" s="560">
        <f t="shared" si="1"/>
        <v>66</v>
      </c>
    </row>
    <row r="67" spans="1:41">
      <c r="A67" t="s" s="557">
        <v>402</v>
      </c>
      <c r="AF67" t="s" s="557">
        <v>295</v>
      </c>
      <c r="AJ67" t="s" s="557">
        <v>82</v>
      </c>
      <c r="AK67" t="s" s="557">
        <v>114</v>
      </c>
      <c r="AL67" t="s" s="557">
        <v>77</v>
      </c>
      <c r="AM67" t="s" s="557">
        <v>99</v>
      </c>
      <c r="AN67" t="s" s="557">
        <v>403</v>
      </c>
      <c r="AO67" s="560">
        <f t="shared" si="1"/>
        <v>67</v>
      </c>
    </row>
    <row r="68" spans="1:41">
      <c r="A68" t="s" s="557">
        <v>404</v>
      </c>
      <c r="C68" s="557">
        <v>1</v>
      </c>
      <c r="D68" t="s" s="557">
        <v>215</v>
      </c>
      <c r="E68" t="s" s="557">
        <v>225</v>
      </c>
      <c r="F68" t="s" s="557">
        <v>217</v>
      </c>
      <c r="G68" t="s" s="557">
        <v>218</v>
      </c>
      <c r="H68" t="s" s="557">
        <v>159</v>
      </c>
      <c r="I68" t="s" s="557">
        <v>197</v>
      </c>
      <c r="J68" t="s" s="557">
        <v>316</v>
      </c>
      <c r="K68" t="s" s="557">
        <v>219</v>
      </c>
      <c r="L68" t="s" s="557">
        <v>405</v>
      </c>
      <c r="M68" t="s" s="557">
        <v>166</v>
      </c>
      <c r="N68" t="s" s="557">
        <v>162</v>
      </c>
      <c r="O68" t="s" s="557">
        <v>221</v>
      </c>
      <c r="P68" t="s" s="557">
        <v>169</v>
      </c>
      <c r="Q68" t="s" s="557">
        <v>270</v>
      </c>
      <c r="R68" t="s" s="557">
        <v>194</v>
      </c>
      <c r="AJ68" t="s" s="557">
        <v>64</v>
      </c>
      <c r="AK68" t="s" s="557">
        <v>100</v>
      </c>
      <c r="AL68" t="s" s="557">
        <v>101</v>
      </c>
      <c r="AM68" t="s" s="557">
        <v>105</v>
      </c>
      <c r="AN68" s="557" t="str">
        <f>附表!$L$65&amp;"，并且能调阅机密报告。"</f>
        <v>参见《特工手册》的“本职装备：特种作战员”，并且能调阅机密报告。</v>
      </c>
      <c r="AO68" s="560">
        <f t="shared" si="1"/>
        <v>68</v>
      </c>
    </row>
    <row r="69" spans="1:41">
      <c r="A69" t="s" s="557">
        <v>406</v>
      </c>
      <c r="C69" s="557">
        <v>1</v>
      </c>
      <c r="D69" t="s" s="557">
        <v>243</v>
      </c>
      <c r="E69" t="s" s="557">
        <v>163</v>
      </c>
      <c r="F69" t="s" s="557">
        <v>328</v>
      </c>
      <c r="G69" t="s" s="557">
        <v>244</v>
      </c>
      <c r="H69" t="s" s="557">
        <v>407</v>
      </c>
      <c r="I69" t="s" s="557">
        <v>228</v>
      </c>
      <c r="J69" t="s" s="557">
        <v>158</v>
      </c>
      <c r="K69" t="s" s="557">
        <v>158</v>
      </c>
      <c r="L69" t="s" s="557">
        <v>159</v>
      </c>
      <c r="M69" t="s" s="557">
        <v>245</v>
      </c>
      <c r="N69" t="s" s="557">
        <v>165</v>
      </c>
      <c r="O69" t="s" s="557">
        <v>181</v>
      </c>
      <c r="P69" t="s" s="557">
        <v>192</v>
      </c>
      <c r="Q69" t="s" s="557">
        <v>221</v>
      </c>
      <c r="R69" t="s" s="557">
        <v>194</v>
      </c>
      <c r="AJ69" t="s" s="557">
        <v>82</v>
      </c>
      <c r="AK69" t="s" s="557">
        <v>92</v>
      </c>
      <c r="AL69" t="s" s="557">
        <v>77</v>
      </c>
      <c r="AM69" t="s" s="557">
        <v>99</v>
      </c>
      <c r="AN69" s="557" t="str">
        <f>附表!$L$65&amp;"，并且能调阅机密报告。"</f>
        <v>参见《特工手册》的“本职装备：特种作战员”，并且能调阅机密报告。</v>
      </c>
      <c r="AO69" s="560">
        <f t="shared" si="1"/>
        <v>69</v>
      </c>
    </row>
    <row r="70" spans="1:41">
      <c r="A70" t="s" s="557">
        <v>408</v>
      </c>
      <c r="AF70" t="s" s="557">
        <v>295</v>
      </c>
      <c r="AJ70" t="s" s="557">
        <v>66</v>
      </c>
      <c r="AK70" t="s" s="557">
        <v>114</v>
      </c>
      <c r="AL70" t="s" s="557">
        <v>99</v>
      </c>
      <c r="AM70" t="s" s="557">
        <v>113</v>
      </c>
      <c r="AN70" t="s" s="557">
        <v>403</v>
      </c>
      <c r="AO70" s="560">
        <f t="shared" si="1"/>
        <v>70</v>
      </c>
    </row>
    <row r="71" spans="1:41">
      <c r="A71" t="s" s="557">
        <v>409</v>
      </c>
      <c r="AF71" t="s" s="557">
        <v>410</v>
      </c>
      <c r="AJ71" t="s" s="557">
        <v>66</v>
      </c>
      <c r="AK71" t="s" s="557">
        <v>82</v>
      </c>
      <c r="AL71" t="s" s="557">
        <v>335</v>
      </c>
      <c r="AM71" t="s" s="557">
        <v>113</v>
      </c>
      <c r="AN71" t="s" s="557">
        <v>411</v>
      </c>
      <c r="AO71" s="560">
        <f t="shared" si="1"/>
        <v>71</v>
      </c>
    </row>
    <row r="72" spans="1:41">
      <c r="A72" t="s" s="557">
        <v>412</v>
      </c>
      <c r="AF72" t="s" s="557">
        <v>183</v>
      </c>
      <c r="AJ72" t="s" s="557">
        <v>82</v>
      </c>
      <c r="AK72" t="s" s="557">
        <v>335</v>
      </c>
      <c r="AL72" t="s" s="557">
        <v>114</v>
      </c>
      <c r="AM72" t="s" s="557">
        <v>77</v>
      </c>
      <c r="AN72" s="557" t="str">
        <f>附表!$L$62&amp;"。"</f>
        <v>参见《特工手册》的“本职装备：联邦探员”。</v>
      </c>
      <c r="AO72" s="560">
        <f t="shared" ref="AO72:AO106" si="2">ROW()</f>
        <v>72</v>
      </c>
    </row>
    <row r="73" spans="1:41">
      <c r="A73" t="s" s="557">
        <v>413</v>
      </c>
      <c r="AF73" t="s" s="557">
        <v>410</v>
      </c>
      <c r="AJ73" t="s" s="557">
        <v>82</v>
      </c>
      <c r="AK73" t="s" s="557">
        <v>335</v>
      </c>
      <c r="AL73" t="s" s="557">
        <v>60</v>
      </c>
      <c r="AM73" t="s" s="557">
        <v>77</v>
      </c>
      <c r="AN73" t="s" s="557">
        <v>414</v>
      </c>
      <c r="AO73" s="560">
        <f t="shared" si="2"/>
        <v>73</v>
      </c>
    </row>
    <row r="74" spans="1:41">
      <c r="A74" t="s" s="557">
        <v>415</v>
      </c>
      <c r="AF74" t="s" s="557">
        <v>309</v>
      </c>
      <c r="AJ74" t="s" s="557">
        <v>59</v>
      </c>
      <c r="AK74" t="s" s="557">
        <v>82</v>
      </c>
      <c r="AL74" t="s" s="557">
        <v>92</v>
      </c>
      <c r="AM74" t="s" s="557">
        <v>60</v>
      </c>
      <c r="AN74" s="557" t="str">
        <f>"控制某INL项目的预算"&amp;附表!$L$66&amp;"。"</f>
        <v>控制某INL项目的预算（参见《特工手册》的“项目群经理”）。</v>
      </c>
      <c r="AO74" s="560">
        <f t="shared" si="2"/>
        <v>74</v>
      </c>
    </row>
    <row r="75" spans="1:41">
      <c r="A75" t="s" s="557">
        <v>416</v>
      </c>
      <c r="AF75" t="s" s="557">
        <v>410</v>
      </c>
      <c r="AG75" t="s" s="557">
        <v>322</v>
      </c>
      <c r="AH75" t="s" s="557">
        <v>122</v>
      </c>
      <c r="AJ75" t="s" s="557">
        <v>113</v>
      </c>
      <c r="AK75" t="s" s="557">
        <v>114</v>
      </c>
      <c r="AL75" t="s" s="557">
        <v>77</v>
      </c>
      <c r="AM75" t="s" s="557">
        <v>99</v>
      </c>
      <c r="AN75" t="s" s="557">
        <v>417</v>
      </c>
      <c r="AO75" s="560">
        <f t="shared" si="2"/>
        <v>75</v>
      </c>
    </row>
    <row r="76" spans="1:41">
      <c r="A76" t="s" s="557">
        <v>418</v>
      </c>
      <c r="AF76" t="s" s="557">
        <v>199</v>
      </c>
      <c r="AG76" t="s" s="557">
        <v>309</v>
      </c>
      <c r="AH76" t="s" s="557">
        <v>116</v>
      </c>
      <c r="AJ76" t="s" s="557">
        <v>59</v>
      </c>
      <c r="AK76" t="s" s="557">
        <v>82</v>
      </c>
      <c r="AL76" t="s" s="557">
        <v>77</v>
      </c>
      <c r="AM76" t="s" s="557">
        <v>419</v>
      </c>
      <c r="AN76" s="557" t="str">
        <f>"控制某项目的预算"&amp;附表!$L$66&amp;"。"</f>
        <v>控制某项目的预算（参见《特工手册》的“项目群经理”）。</v>
      </c>
      <c r="AO76" s="560">
        <f t="shared" si="2"/>
        <v>76</v>
      </c>
    </row>
    <row r="77" spans="1:41">
      <c r="A77" t="s" s="557">
        <v>420</v>
      </c>
      <c r="AF77" t="s" s="557">
        <v>199</v>
      </c>
      <c r="AG77" t="s" s="557">
        <v>309</v>
      </c>
      <c r="AH77" t="s" s="557">
        <v>116</v>
      </c>
      <c r="AJ77" t="s" s="557">
        <v>59</v>
      </c>
      <c r="AK77" t="s" s="557">
        <v>82</v>
      </c>
      <c r="AL77" t="s" s="557">
        <v>77</v>
      </c>
      <c r="AM77" t="s" s="557">
        <v>419</v>
      </c>
      <c r="AN77" t="s" s="557">
        <v>421</v>
      </c>
      <c r="AO77" s="560">
        <f t="shared" si="2"/>
        <v>77</v>
      </c>
    </row>
    <row r="78" ht="28" spans="1:41">
      <c r="A78" t="s" s="557">
        <v>422</v>
      </c>
      <c r="AF78" t="s" s="557">
        <v>322</v>
      </c>
      <c r="AG78" t="s" s="557">
        <v>199</v>
      </c>
      <c r="AH78" t="s" s="557">
        <v>116</v>
      </c>
      <c r="AJ78" t="s" s="557">
        <v>335</v>
      </c>
      <c r="AK78" t="s" s="557">
        <v>108</v>
      </c>
      <c r="AL78" t="s" s="557">
        <v>419</v>
      </c>
      <c r="AM78" t="s" s="557">
        <v>105</v>
      </c>
      <c r="AN78" s="561" t="s">
        <v>423</v>
      </c>
      <c r="AO78" s="560">
        <f t="shared" si="2"/>
        <v>78</v>
      </c>
    </row>
    <row r="79" spans="1:41">
      <c r="A79" t="s" s="557">
        <v>424</v>
      </c>
      <c r="AF79" t="s" s="557">
        <v>425</v>
      </c>
      <c r="AG79" t="s" s="557">
        <v>199</v>
      </c>
      <c r="AH79" t="s" s="557">
        <v>116</v>
      </c>
      <c r="AJ79" t="s" s="557">
        <v>102</v>
      </c>
      <c r="AK79" t="s" s="557">
        <v>83</v>
      </c>
      <c r="AL79" t="s" s="557">
        <v>90</v>
      </c>
      <c r="AM79" t="s" s="557">
        <v>103</v>
      </c>
      <c r="AN79" t="s" s="557">
        <v>421</v>
      </c>
      <c r="AO79" s="560">
        <f t="shared" si="2"/>
        <v>79</v>
      </c>
    </row>
    <row r="80" spans="1:41">
      <c r="A80" t="s" s="557">
        <v>426</v>
      </c>
      <c r="C80" s="557">
        <v>4</v>
      </c>
      <c r="D80" t="s" s="557">
        <v>185</v>
      </c>
      <c r="E80" t="s" s="557">
        <v>157</v>
      </c>
      <c r="F80" t="s" s="557">
        <v>186</v>
      </c>
      <c r="G80" t="s" s="557">
        <v>250</v>
      </c>
      <c r="H80" t="s" s="557">
        <v>228</v>
      </c>
      <c r="I80" t="s" s="557">
        <v>211</v>
      </c>
      <c r="J80" t="s" s="557">
        <v>165</v>
      </c>
      <c r="K80" t="s" s="557">
        <v>191</v>
      </c>
      <c r="L80" t="s" s="557">
        <v>192</v>
      </c>
      <c r="M80" t="s" s="557">
        <v>427</v>
      </c>
      <c r="N80" t="s" s="557">
        <v>193</v>
      </c>
      <c r="AJ80" t="s" s="557">
        <v>82</v>
      </c>
      <c r="AK80" t="s" s="557">
        <v>92</v>
      </c>
      <c r="AL80" t="s" s="557">
        <v>108</v>
      </c>
      <c r="AM80" t="s" s="557">
        <v>428</v>
      </c>
      <c r="AN80" s="557" t="str">
        <f>"对CID，请"&amp;附表!$L$62&amp;"，加上撬棍、锤子和扳手、呼吸器和危险品防护服。对于RTC，设备可能包括环境监测设备，如化学嗅探器和取样设备、下水道照相机和光离子a化检测器。"</f>
        <v>对CID，请参见《特工手册》的“本职装备：联邦探员”，加上撬棍、锤子和扳手、呼吸器和危险品防护服。对于RTC，设备可能包括环境监测设备，如化学嗅探器和取样设备、下水道照相机和光离子a化检测器。</v>
      </c>
      <c r="AO80" s="560">
        <f t="shared" si="2"/>
        <v>80</v>
      </c>
    </row>
    <row r="81" spans="1:41">
      <c r="A81" t="s" s="557">
        <v>429</v>
      </c>
      <c r="C81" s="557">
        <v>4</v>
      </c>
      <c r="D81" t="s" s="557">
        <v>215</v>
      </c>
      <c r="E81" t="s" s="557">
        <v>157</v>
      </c>
      <c r="F81" t="s" s="557">
        <v>211</v>
      </c>
      <c r="G81" t="s" s="557">
        <v>181</v>
      </c>
      <c r="H81" t="s" s="557">
        <v>430</v>
      </c>
      <c r="I81" t="s" s="557">
        <v>431</v>
      </c>
      <c r="J81" t="s" s="557">
        <v>207</v>
      </c>
      <c r="K81" t="s" s="557">
        <v>168</v>
      </c>
      <c r="AJ81" t="s" s="557">
        <v>92</v>
      </c>
      <c r="AK81" t="s" s="557">
        <v>108</v>
      </c>
      <c r="AL81" t="s" s="557">
        <v>114</v>
      </c>
      <c r="AM81" t="s" s="557">
        <v>77</v>
      </c>
      <c r="AN81" t="s" s="557">
        <v>432</v>
      </c>
      <c r="AO81" s="560">
        <f t="shared" si="2"/>
        <v>81</v>
      </c>
    </row>
    <row r="82" spans="1:41">
      <c r="A82" t="s" s="557">
        <v>433</v>
      </c>
      <c r="AF82" t="s" s="557">
        <v>183</v>
      </c>
      <c r="AJ82" t="s" s="557">
        <v>64</v>
      </c>
      <c r="AK82" t="s" s="557">
        <v>82</v>
      </c>
      <c r="AL82" t="s" s="557">
        <v>114</v>
      </c>
      <c r="AM82" t="s" s="557">
        <v>77</v>
      </c>
      <c r="AN82" s="557" t="str">
        <f>附表!$L$62&amp;"。"</f>
        <v>参见《特工手册》的“本职装备：联邦探员”。</v>
      </c>
      <c r="AO82" s="560">
        <f t="shared" si="2"/>
        <v>82</v>
      </c>
    </row>
    <row r="83" spans="1:41">
      <c r="A83" t="s" s="557">
        <v>434</v>
      </c>
      <c r="C83" s="557">
        <v>2</v>
      </c>
      <c r="D83" t="s" s="557">
        <v>185</v>
      </c>
      <c r="E83" t="s" s="557">
        <v>267</v>
      </c>
      <c r="F83" t="s" s="557">
        <v>186</v>
      </c>
      <c r="G83" t="s" s="557">
        <v>187</v>
      </c>
      <c r="H83" t="s" s="557">
        <v>188</v>
      </c>
      <c r="I83" t="s" s="557">
        <v>189</v>
      </c>
      <c r="J83" t="s" s="557">
        <v>435</v>
      </c>
      <c r="K83" t="s" s="557">
        <v>315</v>
      </c>
      <c r="L83" t="s" s="557">
        <v>190</v>
      </c>
      <c r="M83" t="s" s="557">
        <v>191</v>
      </c>
      <c r="N83" t="s" s="557">
        <v>162</v>
      </c>
      <c r="O83" s="562" t="s">
        <v>436</v>
      </c>
      <c r="P83" t="s" s="557">
        <v>193</v>
      </c>
      <c r="Q83" t="s" s="557">
        <v>222</v>
      </c>
      <c r="R83" t="s" s="557">
        <v>194</v>
      </c>
      <c r="AJ83" t="s" s="557">
        <v>64</v>
      </c>
      <c r="AK83" t="s" s="557">
        <v>76</v>
      </c>
      <c r="AL83" t="s" s="557">
        <v>97</v>
      </c>
      <c r="AM83" t="s" s="557">
        <v>99</v>
      </c>
      <c r="AN83" s="557" t="str">
        <f>附表!$L$62&amp;"，以及水上生存装备。"</f>
        <v>参见《特工手册》的“本职装备：联邦探员”，以及水上生存装备。</v>
      </c>
      <c r="AO83" s="560">
        <f t="shared" si="2"/>
        <v>83</v>
      </c>
    </row>
    <row r="84" spans="1:41">
      <c r="A84" t="s" s="557">
        <v>437</v>
      </c>
      <c r="AF84" t="s" s="557">
        <v>183</v>
      </c>
      <c r="AJ84" t="s" s="557">
        <v>64</v>
      </c>
      <c r="AK84" t="s" s="557">
        <v>438</v>
      </c>
      <c r="AL84" t="s" s="557">
        <v>439</v>
      </c>
      <c r="AM84" t="s" s="557">
        <v>97</v>
      </c>
      <c r="AN84" s="557" t="str">
        <f>附表!$L$62&amp;"，外加一只工作用犬（工作犬种或竞技犬种）、犬类处理设备和兽医医疗用品。"</f>
        <v>参见《特工手册》的“本职装备：联邦探员”，外加一只工作用犬（工作犬种或竞技犬种）、犬类处理设备和兽医医疗用品。</v>
      </c>
      <c r="AO84" s="560">
        <f t="shared" si="2"/>
        <v>84</v>
      </c>
    </row>
    <row r="85" spans="1:41">
      <c r="A85" t="s" s="557">
        <v>440</v>
      </c>
      <c r="AF85" t="s" s="557">
        <v>183</v>
      </c>
      <c r="AJ85" t="s" s="557">
        <v>76</v>
      </c>
      <c r="AK85" t="s" s="557">
        <v>98</v>
      </c>
      <c r="AL85" t="s" s="557">
        <v>73</v>
      </c>
      <c r="AM85" t="s" s="557">
        <v>105</v>
      </c>
      <c r="AN85" s="557" t="str">
        <f>附表!$L$62&amp;"，以及各式各样的交通工具。"</f>
        <v>参见《特工手册》的“本职装备：联邦探员”，以及各式各样的交通工具。</v>
      </c>
      <c r="AO85" s="560">
        <f t="shared" si="2"/>
        <v>85</v>
      </c>
    </row>
    <row r="86" spans="1:41">
      <c r="A86" t="s" s="557">
        <v>441</v>
      </c>
      <c r="C86" s="557">
        <v>2</v>
      </c>
      <c r="D86" t="s" s="557">
        <v>185</v>
      </c>
      <c r="E86" t="s" s="557">
        <v>442</v>
      </c>
      <c r="F86" t="s" s="557">
        <v>186</v>
      </c>
      <c r="G86" t="s" s="557">
        <v>187</v>
      </c>
      <c r="H86" t="s" s="557">
        <v>188</v>
      </c>
      <c r="I86" t="s" s="557">
        <v>189</v>
      </c>
      <c r="J86" t="s" s="557">
        <v>443</v>
      </c>
      <c r="K86" t="s" s="557">
        <v>253</v>
      </c>
      <c r="L86" t="s" s="557">
        <v>191</v>
      </c>
      <c r="M86" t="s" s="557">
        <v>354</v>
      </c>
      <c r="N86" t="s" s="557">
        <v>192</v>
      </c>
      <c r="O86" t="s" s="557">
        <v>198</v>
      </c>
      <c r="P86" t="s" s="557">
        <v>193</v>
      </c>
      <c r="Q86" t="s" s="557">
        <v>388</v>
      </c>
      <c r="R86" t="s" s="557">
        <v>194</v>
      </c>
      <c r="AJ86" t="s" s="557">
        <v>64</v>
      </c>
      <c r="AK86" t="s" s="557">
        <v>100</v>
      </c>
      <c r="AL86" t="s" s="557">
        <v>67</v>
      </c>
      <c r="AM86" t="s" s="557">
        <v>444</v>
      </c>
      <c r="AN86" s="557" t="str">
        <f>附表!$L$62&amp;"。"</f>
        <v>参见《特工手册》的“本职装备：联邦探员”。</v>
      </c>
      <c r="AO86" s="560">
        <f t="shared" si="2"/>
        <v>86</v>
      </c>
    </row>
    <row r="87" spans="1:41">
      <c r="A87" s="561" t="s">
        <v>445</v>
      </c>
      <c r="C87" s="557">
        <v>2</v>
      </c>
      <c r="D87" t="s" s="557">
        <v>178</v>
      </c>
      <c r="E87" t="s" s="557">
        <v>201</v>
      </c>
      <c r="F87" t="s" s="557">
        <v>205</v>
      </c>
      <c r="G87" t="s" s="557">
        <v>202</v>
      </c>
      <c r="H87" t="s" s="557">
        <v>275</v>
      </c>
      <c r="I87" t="s" s="557">
        <v>162</v>
      </c>
      <c r="J87" t="s" s="557">
        <v>198</v>
      </c>
      <c r="K87" t="s" s="557">
        <v>446</v>
      </c>
      <c r="L87" t="s" s="557">
        <v>193</v>
      </c>
      <c r="M87" t="s" s="557">
        <v>208</v>
      </c>
      <c r="N87" t="s" s="557">
        <v>319</v>
      </c>
      <c r="AJ87" t="s" s="557">
        <v>100</v>
      </c>
      <c r="AK87" t="s" s="557">
        <v>102</v>
      </c>
      <c r="AL87" t="s" s="557">
        <v>65</v>
      </c>
      <c r="AM87" t="s" s="557">
        <v>105</v>
      </c>
      <c r="AN87" s="557" t="str">
        <f>附表!$L$62&amp;"，及丰富的医疗用品和创伤设备。"</f>
        <v>参见《特工手册》的“本职装备：联邦探员”，及丰富的医疗用品和创伤设备。</v>
      </c>
      <c r="AO87" s="560">
        <f t="shared" si="2"/>
        <v>87</v>
      </c>
    </row>
    <row r="88" spans="1:41">
      <c r="A88" s="561" t="s">
        <v>447</v>
      </c>
      <c r="AF88" t="s" s="557">
        <v>361</v>
      </c>
      <c r="AJ88" t="s" s="557">
        <v>64</v>
      </c>
      <c r="AK88" t="s" s="557">
        <v>99</v>
      </c>
      <c r="AL88" t="s" s="557">
        <v>448</v>
      </c>
      <c r="AM88" t="s" s="557">
        <v>369</v>
      </c>
      <c r="AN88" t="s" s="557">
        <v>449</v>
      </c>
      <c r="AO88" s="560">
        <f t="shared" si="2"/>
        <v>88</v>
      </c>
    </row>
    <row r="89" spans="1:41">
      <c r="A89" t="s" s="557">
        <v>450</v>
      </c>
      <c r="AF89" t="s" s="557">
        <v>183</v>
      </c>
      <c r="AJ89" t="s" s="557">
        <v>438</v>
      </c>
      <c r="AK89" t="s" s="557">
        <v>67</v>
      </c>
      <c r="AL89" t="s" s="557">
        <v>97</v>
      </c>
      <c r="AM89" t="s" s="557">
        <v>105</v>
      </c>
      <c r="AN89" s="557" t="str">
        <f>附表!$L$62&amp;"，外加一只工作用犬（工作犬种）、犬类处理设备和少量兽医医疗用品。"</f>
        <v>参见《特工手册》的“本职装备：联邦探员”，外加一只工作用犬（工作犬种）、犬类处理设备和少量兽医医疗用品。</v>
      </c>
      <c r="AO89" s="560">
        <f t="shared" si="2"/>
        <v>89</v>
      </c>
    </row>
    <row r="90" spans="1:41">
      <c r="A90" t="s" s="557">
        <v>451</v>
      </c>
      <c r="C90" s="557">
        <v>1</v>
      </c>
      <c r="D90" t="s" s="557">
        <v>185</v>
      </c>
      <c r="E90" t="s" s="557">
        <v>157</v>
      </c>
      <c r="F90" t="s" s="557">
        <v>186</v>
      </c>
      <c r="G90" t="s" s="557">
        <v>187</v>
      </c>
      <c r="H90" t="s" s="557">
        <v>188</v>
      </c>
      <c r="I90" t="s" s="557">
        <v>240</v>
      </c>
      <c r="J90" t="s" s="557">
        <v>189</v>
      </c>
      <c r="K90" t="s" s="557">
        <v>190</v>
      </c>
      <c r="L90" t="s" s="557">
        <v>191</v>
      </c>
      <c r="M90" t="s" s="557">
        <v>452</v>
      </c>
      <c r="N90" t="s" s="557">
        <v>317</v>
      </c>
      <c r="O90" t="s" s="557">
        <v>192</v>
      </c>
      <c r="P90" t="s" s="557">
        <v>198</v>
      </c>
      <c r="Q90" t="s" s="557">
        <v>193</v>
      </c>
      <c r="R90" t="s" s="557">
        <v>194</v>
      </c>
      <c r="AJ90" t="s" s="557">
        <v>100</v>
      </c>
      <c r="AK90" t="s" s="557">
        <v>102</v>
      </c>
      <c r="AL90" t="s" s="557">
        <v>453</v>
      </c>
      <c r="AM90" t="s" s="557">
        <v>103</v>
      </c>
      <c r="AN90" s="557" t="str">
        <f>附表!$L$62&amp;"，外加丰富的便携式急救和创伤设备。"</f>
        <v>参见《特工手册》的“本职装备：联邦探员”，外加丰富的便携式急救和创伤设备。</v>
      </c>
      <c r="AO90" s="560">
        <f t="shared" si="2"/>
        <v>90</v>
      </c>
    </row>
    <row r="91" spans="1:41">
      <c r="A91" t="s" s="557">
        <v>454</v>
      </c>
      <c r="C91" s="557">
        <v>1</v>
      </c>
      <c r="D91" t="s" s="557">
        <v>215</v>
      </c>
      <c r="E91" t="s" s="557">
        <v>216</v>
      </c>
      <c r="F91" t="s" s="557">
        <v>239</v>
      </c>
      <c r="G91" t="s" s="557">
        <v>455</v>
      </c>
      <c r="H91" t="s" s="557">
        <v>218</v>
      </c>
      <c r="I91" t="s" s="557">
        <v>286</v>
      </c>
      <c r="J91" t="s" s="557">
        <v>197</v>
      </c>
      <c r="K91" t="s" s="557">
        <v>219</v>
      </c>
      <c r="L91" t="s" s="557">
        <v>317</v>
      </c>
      <c r="M91" t="s" s="557">
        <v>166</v>
      </c>
      <c r="N91" t="s" s="557">
        <v>390</v>
      </c>
      <c r="O91" t="s" s="557">
        <v>169</v>
      </c>
      <c r="P91" t="s" s="557">
        <v>222</v>
      </c>
      <c r="Q91" t="s" s="557">
        <v>194</v>
      </c>
      <c r="AJ91" t="s" s="557">
        <v>76</v>
      </c>
      <c r="AK91" t="s" s="557">
        <v>94</v>
      </c>
      <c r="AL91" t="s" s="557">
        <v>100</v>
      </c>
      <c r="AM91" t="s" s="557">
        <v>114</v>
      </c>
      <c r="AN91" s="557" t="str">
        <f>附表!$L$62&amp;"。"</f>
        <v>参见《特工手册》的“本职装备：联邦探员”。</v>
      </c>
      <c r="AO91" s="560">
        <f t="shared" si="2"/>
        <v>91</v>
      </c>
    </row>
    <row r="92" spans="1:41">
      <c r="A92" s="561" t="s">
        <v>456</v>
      </c>
      <c r="AF92" t="s" s="557">
        <v>183</v>
      </c>
      <c r="AJ92" t="s" s="557">
        <v>92</v>
      </c>
      <c r="AK92" t="s" s="557">
        <v>108</v>
      </c>
      <c r="AL92" t="s" s="557">
        <v>100</v>
      </c>
      <c r="AM92" t="s" s="557">
        <v>60</v>
      </c>
      <c r="AN92" s="557" t="str">
        <f>附表!$L$62&amp;"。"</f>
        <v>参见《特工手册》的“本职装备：联邦探员”。</v>
      </c>
      <c r="AO92" s="560">
        <f t="shared" si="2"/>
        <v>92</v>
      </c>
    </row>
    <row r="93" spans="1:41">
      <c r="A93" t="s" s="557">
        <v>457</v>
      </c>
      <c r="C93" s="557">
        <v>3</v>
      </c>
      <c r="D93" t="s" s="557">
        <v>157</v>
      </c>
      <c r="E93" t="s" s="557">
        <v>209</v>
      </c>
      <c r="F93" t="s" s="557">
        <v>186</v>
      </c>
      <c r="G93" t="s" s="557">
        <v>443</v>
      </c>
      <c r="H93" t="s" s="557">
        <v>190</v>
      </c>
      <c r="I93" t="s" s="557">
        <v>211</v>
      </c>
      <c r="J93" t="s" s="557">
        <v>181</v>
      </c>
      <c r="K93" t="s" s="557">
        <v>458</v>
      </c>
      <c r="L93" t="s" s="557">
        <v>459</v>
      </c>
      <c r="M93" t="s" s="557">
        <v>446</v>
      </c>
      <c r="AJ93" t="s" s="557">
        <v>92</v>
      </c>
      <c r="AK93" t="s" s="557">
        <v>108</v>
      </c>
      <c r="AL93" t="s" s="557">
        <v>60</v>
      </c>
      <c r="AM93" t="s" s="557">
        <v>90</v>
      </c>
      <c r="AN93" t="s" s="557">
        <v>460</v>
      </c>
      <c r="AO93" s="560">
        <f t="shared" si="2"/>
        <v>93</v>
      </c>
    </row>
    <row r="94" spans="1:41">
      <c r="A94" t="s" s="557">
        <v>461</v>
      </c>
      <c r="C94" s="557">
        <v>1</v>
      </c>
      <c r="D94" t="s" s="557">
        <v>215</v>
      </c>
      <c r="E94" t="s" s="557">
        <v>216</v>
      </c>
      <c r="F94" t="s" s="557">
        <v>289</v>
      </c>
      <c r="G94" t="s" s="557">
        <v>380</v>
      </c>
      <c r="H94" t="s" s="557">
        <v>455</v>
      </c>
      <c r="I94" t="s" s="557">
        <v>188</v>
      </c>
      <c r="J94" t="s" s="557">
        <v>286</v>
      </c>
      <c r="K94" t="s" s="557">
        <v>276</v>
      </c>
      <c r="L94" t="s" s="557">
        <v>197</v>
      </c>
      <c r="M94" t="s" s="557">
        <v>353</v>
      </c>
      <c r="N94" t="s" s="557">
        <v>221</v>
      </c>
      <c r="O94" t="s" s="557">
        <v>169</v>
      </c>
      <c r="P94" t="s" s="557">
        <v>222</v>
      </c>
      <c r="Q94" t="s" s="557">
        <v>231</v>
      </c>
      <c r="AJ94" t="s" s="557">
        <v>92</v>
      </c>
      <c r="AK94" t="s" s="557">
        <v>94</v>
      </c>
      <c r="AL94" t="s" s="557">
        <v>108</v>
      </c>
      <c r="AM94" t="s" s="557">
        <v>462</v>
      </c>
      <c r="AN94" s="557" t="str">
        <f>附表!$L$62&amp;"，外加爆炸物保护装备，大量工具、电子和化学诊断设备，并可利用遥控车辆接近、调查和消除可疑爆炸物。"</f>
        <v>参见《特工手册》的“本职装备：联邦探员”，外加爆炸物保护装备，大量工具、电子和化学诊断设备，并可利用遥控车辆接近、调查和消除可疑爆炸物。</v>
      </c>
      <c r="AO94" s="560">
        <f t="shared" si="2"/>
        <v>94</v>
      </c>
    </row>
    <row r="95" spans="1:41">
      <c r="A95" s="561" t="s">
        <v>463</v>
      </c>
      <c r="AF95" t="s" s="557">
        <v>122</v>
      </c>
      <c r="AJ95" t="s" s="557">
        <v>86</v>
      </c>
      <c r="AK95" t="s" s="557">
        <v>92</v>
      </c>
      <c r="AL95" t="s" s="557">
        <v>114</v>
      </c>
      <c r="AM95" t="s" s="557">
        <v>99</v>
      </c>
      <c r="AN95" t="s" s="557">
        <v>464</v>
      </c>
      <c r="AO95" s="560">
        <f t="shared" si="2"/>
        <v>95</v>
      </c>
    </row>
    <row r="96" spans="1:41">
      <c r="A96" s="561" t="s">
        <v>465</v>
      </c>
      <c r="C96" s="557">
        <v>1</v>
      </c>
      <c r="D96" t="s" s="557">
        <v>215</v>
      </c>
      <c r="E96" t="s" s="557">
        <v>225</v>
      </c>
      <c r="F96" t="s" s="557">
        <v>279</v>
      </c>
      <c r="G96" t="s" s="557">
        <v>217</v>
      </c>
      <c r="H96" t="s" s="557">
        <v>187</v>
      </c>
      <c r="I96" t="s" s="557">
        <v>218</v>
      </c>
      <c r="J96" t="s" s="557">
        <v>197</v>
      </c>
      <c r="K96" t="s" s="557">
        <v>190</v>
      </c>
      <c r="L96" t="s" s="557">
        <v>229</v>
      </c>
      <c r="M96" t="s" s="557">
        <v>219</v>
      </c>
      <c r="N96" t="s" s="557">
        <v>166</v>
      </c>
      <c r="O96" t="s" s="557">
        <v>221</v>
      </c>
      <c r="P96" t="s" s="557">
        <v>169</v>
      </c>
      <c r="Q96" t="s" s="557">
        <v>222</v>
      </c>
      <c r="R96" t="s" s="557">
        <v>194</v>
      </c>
      <c r="AJ96" t="s" s="557">
        <v>76</v>
      </c>
      <c r="AK96" t="s" s="557">
        <v>102</v>
      </c>
      <c r="AL96" t="s" s="557">
        <v>444</v>
      </c>
      <c r="AM96" t="s" s="557">
        <v>97</v>
      </c>
      <c r="AN96" s="557" t="str">
        <f>附表!$L$62&amp;"。"</f>
        <v>参见《特工手册》的“本职装备：联邦探员”。</v>
      </c>
      <c r="AO96" s="560">
        <f t="shared" si="2"/>
        <v>96</v>
      </c>
    </row>
    <row r="97" spans="1:41">
      <c r="A97" s="561" t="s">
        <v>466</v>
      </c>
      <c r="C97" s="557">
        <v>1</v>
      </c>
      <c r="D97" t="s" s="557">
        <v>215</v>
      </c>
      <c r="E97" t="s" s="557">
        <v>216</v>
      </c>
      <c r="F97" t="s" s="557">
        <v>217</v>
      </c>
      <c r="G97" t="s" s="557">
        <v>187</v>
      </c>
      <c r="H97" t="s" s="557">
        <v>218</v>
      </c>
      <c r="I97" t="s" s="557">
        <v>286</v>
      </c>
      <c r="J97" t="s" s="557">
        <v>197</v>
      </c>
      <c r="K97" t="s" s="557">
        <v>219</v>
      </c>
      <c r="L97" t="s" s="557">
        <v>220</v>
      </c>
      <c r="M97" t="s" s="557">
        <v>166</v>
      </c>
      <c r="N97" t="s" s="557">
        <v>221</v>
      </c>
      <c r="O97" t="s" s="557">
        <v>169</v>
      </c>
      <c r="P97" t="s" s="557">
        <v>222</v>
      </c>
      <c r="Q97" t="s" s="557">
        <v>194</v>
      </c>
      <c r="AJ97" t="s" s="557">
        <v>64</v>
      </c>
      <c r="AK97" t="s" s="557">
        <v>92</v>
      </c>
      <c r="AL97" t="s" s="557">
        <v>100</v>
      </c>
      <c r="AM97" t="s" s="557">
        <v>60</v>
      </c>
      <c r="AN97" s="557" t="str">
        <f>附表!$L$62&amp;"。"</f>
        <v>参见《特工手册》的“本职装备：联邦探员”。</v>
      </c>
      <c r="AO97" s="560">
        <f t="shared" si="2"/>
        <v>97</v>
      </c>
    </row>
    <row r="98" spans="1:41">
      <c r="A98" s="561" t="s">
        <v>467</v>
      </c>
      <c r="AF98" t="s" s="557">
        <v>468</v>
      </c>
      <c r="AJ98" t="s" s="557">
        <v>59</v>
      </c>
      <c r="AK98" t="s" s="557">
        <v>86</v>
      </c>
      <c r="AL98" t="s" s="557">
        <v>92</v>
      </c>
      <c r="AM98" t="s" s="557">
        <v>99</v>
      </c>
      <c r="AN98" t="s" s="557">
        <v>469</v>
      </c>
      <c r="AO98" s="560">
        <f t="shared" si="2"/>
        <v>98</v>
      </c>
    </row>
    <row r="99" spans="1:41">
      <c r="A99" s="561" t="s">
        <v>470</v>
      </c>
      <c r="C99" s="557">
        <v>2</v>
      </c>
      <c r="D99" t="s" s="557">
        <v>215</v>
      </c>
      <c r="E99" t="s" s="557">
        <v>216</v>
      </c>
      <c r="F99" t="s" s="557">
        <v>237</v>
      </c>
      <c r="G99" t="s" s="557">
        <v>238</v>
      </c>
      <c r="H99" t="s" s="557">
        <v>240</v>
      </c>
      <c r="I99" t="s" s="557">
        <v>471</v>
      </c>
      <c r="J99" t="s" s="557">
        <v>253</v>
      </c>
      <c r="K99" t="s" s="557">
        <v>166</v>
      </c>
      <c r="L99" t="s" s="557">
        <v>472</v>
      </c>
      <c r="M99" t="s" s="557">
        <v>473</v>
      </c>
      <c r="N99" t="s" s="557">
        <v>356</v>
      </c>
      <c r="O99" t="s" s="557">
        <v>291</v>
      </c>
      <c r="AJ99" t="s" s="557">
        <v>64</v>
      </c>
      <c r="AK99" t="s" s="557">
        <v>102</v>
      </c>
      <c r="AL99" t="s" s="557">
        <v>73</v>
      </c>
      <c r="AM99" t="s" s="557">
        <v>106</v>
      </c>
      <c r="AN99" t="s" s="557">
        <v>474</v>
      </c>
      <c r="AO99" s="560">
        <f t="shared" si="2"/>
        <v>99</v>
      </c>
    </row>
    <row r="100" spans="1:41">
      <c r="A100" s="561" t="s">
        <v>475</v>
      </c>
      <c r="AF100" t="s" s="557">
        <v>309</v>
      </c>
      <c r="AJ100" t="s" s="557">
        <v>59</v>
      </c>
      <c r="AK100" t="s" s="557">
        <v>82</v>
      </c>
      <c r="AL100" t="s" s="557">
        <v>77</v>
      </c>
      <c r="AM100" t="s" s="557">
        <v>476</v>
      </c>
      <c r="AN100" t="s" s="557">
        <v>477</v>
      </c>
      <c r="AO100" s="560">
        <f t="shared" si="2"/>
        <v>100</v>
      </c>
    </row>
    <row r="101" spans="1:41">
      <c r="A101" s="561" t="s">
        <v>478</v>
      </c>
      <c r="AF101" t="s" s="557">
        <v>155</v>
      </c>
      <c r="AJ101" t="s" s="557">
        <v>479</v>
      </c>
      <c r="AK101" t="s" s="557">
        <v>108</v>
      </c>
      <c r="AL101" t="s" s="557">
        <v>114</v>
      </c>
      <c r="AM101" t="s" s="557">
        <v>97</v>
      </c>
      <c r="AN101" t="s" s="557">
        <v>480</v>
      </c>
      <c r="AO101" s="560">
        <f t="shared" si="2"/>
        <v>101</v>
      </c>
    </row>
    <row r="102" spans="1:41">
      <c r="A102" s="561" t="s">
        <v>481</v>
      </c>
      <c r="C102" s="557">
        <v>2</v>
      </c>
      <c r="D102" t="s" s="557">
        <v>215</v>
      </c>
      <c r="E102" t="s" s="557">
        <v>328</v>
      </c>
      <c r="F102" t="s" s="557">
        <v>267</v>
      </c>
      <c r="G102" t="s" s="557">
        <v>482</v>
      </c>
      <c r="H102" t="s" s="557">
        <v>483</v>
      </c>
      <c r="I102" t="s" s="557">
        <v>218</v>
      </c>
      <c r="J102" t="s" s="557">
        <v>338</v>
      </c>
      <c r="K102" t="s" s="557">
        <v>381</v>
      </c>
      <c r="L102" t="s" s="557">
        <v>166</v>
      </c>
      <c r="M102" t="s" s="557">
        <v>484</v>
      </c>
      <c r="N102" t="s" s="557">
        <v>269</v>
      </c>
      <c r="O102" t="s" s="557">
        <v>222</v>
      </c>
      <c r="AJ102" t="s" s="557">
        <v>64</v>
      </c>
      <c r="AK102" t="s" s="557">
        <v>485</v>
      </c>
      <c r="AL102" t="s" s="557">
        <v>100</v>
      </c>
      <c r="AM102" t="s" s="557">
        <v>362</v>
      </c>
      <c r="AN102" s="557" t="str">
        <f>附表!$L$65&amp;"，外加定制的巴雷特M82.50口径狙击步枪，配备了望远镜、红外、低光、全息或激光瞄准器。"</f>
        <v>参见《特工手册》的“本职装备：特种作战员”，外加定制的巴雷特M82.50口径狙击步枪，配备了望远镜、红外、低光、全息或激光瞄准器。</v>
      </c>
      <c r="AO102" s="560">
        <f t="shared" si="2"/>
        <v>102</v>
      </c>
    </row>
    <row r="103" spans="1:41">
      <c r="A103" s="561" t="s">
        <v>486</v>
      </c>
      <c r="C103" s="557">
        <v>2</v>
      </c>
      <c r="D103" t="s" s="557">
        <v>185</v>
      </c>
      <c r="E103" t="s" s="557">
        <v>328</v>
      </c>
      <c r="F103" t="s" s="557">
        <v>157</v>
      </c>
      <c r="G103" t="s" s="557">
        <v>186</v>
      </c>
      <c r="H103" t="s" s="557">
        <v>187</v>
      </c>
      <c r="I103" t="s" s="557">
        <v>188</v>
      </c>
      <c r="J103" t="s" s="557">
        <v>435</v>
      </c>
      <c r="K103" t="s" s="557">
        <v>189</v>
      </c>
      <c r="L103" t="s" s="557">
        <v>197</v>
      </c>
      <c r="M103" t="s" s="557">
        <v>190</v>
      </c>
      <c r="N103" t="s" s="557">
        <v>191</v>
      </c>
      <c r="O103" t="s" s="557">
        <v>192</v>
      </c>
      <c r="P103" t="s" s="557">
        <v>193</v>
      </c>
      <c r="Q103" t="s" s="557">
        <v>291</v>
      </c>
      <c r="R103" t="s" s="557">
        <v>194</v>
      </c>
      <c r="AJ103" t="s" s="557">
        <v>64</v>
      </c>
      <c r="AK103" t="s" s="557">
        <v>100</v>
      </c>
      <c r="AL103" t="s" s="557">
        <v>476</v>
      </c>
      <c r="AM103" t="s" s="557">
        <v>487</v>
      </c>
      <c r="AN103" s="557" t="str">
        <f>附表!$L$62&amp;"，以及基础水上生存装备。"</f>
        <v>参见《特工手册》的“本职装备：联邦探员”，以及基础水上生存装备。</v>
      </c>
      <c r="AO103" s="560">
        <f t="shared" si="2"/>
        <v>103</v>
      </c>
    </row>
    <row r="104" spans="1:41">
      <c r="A104" s="561" t="s">
        <v>488</v>
      </c>
      <c r="C104" s="557">
        <v>1</v>
      </c>
      <c r="D104" t="s" s="557">
        <v>215</v>
      </c>
      <c r="E104" t="s" s="557">
        <v>225</v>
      </c>
      <c r="F104" t="s" s="557">
        <v>267</v>
      </c>
      <c r="G104" t="s" s="557">
        <v>238</v>
      </c>
      <c r="H104" t="s" s="557">
        <v>247</v>
      </c>
      <c r="I104" t="s" s="557">
        <v>228</v>
      </c>
      <c r="J104" t="s" s="557">
        <v>197</v>
      </c>
      <c r="K104" t="s" s="557">
        <v>181</v>
      </c>
      <c r="L104" t="s" s="557">
        <v>381</v>
      </c>
      <c r="M104" t="s" s="557">
        <v>166</v>
      </c>
      <c r="N104" t="s" s="557">
        <v>489</v>
      </c>
      <c r="O104" t="s" s="557">
        <v>269</v>
      </c>
      <c r="P104" t="s" s="557">
        <v>490</v>
      </c>
      <c r="Q104" t="s" s="557">
        <v>291</v>
      </c>
      <c r="AJ104" t="s" s="557">
        <v>64</v>
      </c>
      <c r="AK104" t="s" s="557">
        <v>108</v>
      </c>
      <c r="AL104" t="s" s="557">
        <v>114</v>
      </c>
      <c r="AM104" t="s" s="557">
        <v>101</v>
      </c>
      <c r="AN104" s="557" t="str">
        <f>附表!$L$62&amp;"，以及基础水上生存装备。"</f>
        <v>参见《特工手册》的“本职装备：联邦探员”，以及基础水上生存装备。</v>
      </c>
      <c r="AO104" s="560">
        <f t="shared" si="2"/>
        <v>104</v>
      </c>
    </row>
    <row r="105" spans="1:41">
      <c r="A105" s="561" t="s">
        <v>491</v>
      </c>
      <c r="C105" s="557">
        <v>1</v>
      </c>
      <c r="D105" t="s" s="557">
        <v>215</v>
      </c>
      <c r="E105" t="s" s="557">
        <v>216</v>
      </c>
      <c r="F105" t="s" s="557">
        <v>217</v>
      </c>
      <c r="G105" t="s" s="557">
        <v>455</v>
      </c>
      <c r="H105" t="s" s="557">
        <v>218</v>
      </c>
      <c r="I105" t="s" s="557">
        <v>197</v>
      </c>
      <c r="J105" t="s" s="557">
        <v>219</v>
      </c>
      <c r="K105" t="s" s="557">
        <v>492</v>
      </c>
      <c r="L105" t="s" s="557">
        <v>166</v>
      </c>
      <c r="M105" t="s" s="557">
        <v>204</v>
      </c>
      <c r="N105" t="s" s="557">
        <v>221</v>
      </c>
      <c r="O105" t="s" s="557">
        <v>169</v>
      </c>
      <c r="P105" t="s" s="557">
        <v>222</v>
      </c>
      <c r="Q105" t="s" s="557">
        <v>194</v>
      </c>
      <c r="AJ105" t="s" s="557">
        <v>64</v>
      </c>
      <c r="AK105" t="s" s="557">
        <v>76</v>
      </c>
      <c r="AL105" t="s" s="557">
        <v>100</v>
      </c>
      <c r="AM105" t="s" s="557">
        <v>60</v>
      </c>
      <c r="AN105" s="557" t="str">
        <f>附表!$L$65&amp;"，以及用于逮捕和拘留嫌疑人的限制性工具。"</f>
        <v>参见《特工手册》的“本职装备：特种作战员”，以及用于逮捕和拘留嫌疑人的限制性工具。</v>
      </c>
      <c r="AO105" s="560">
        <f t="shared" si="2"/>
        <v>105</v>
      </c>
    </row>
    <row r="106" spans="1:41">
      <c r="A106" s="561" t="s">
        <v>493</v>
      </c>
      <c r="AF106" t="s" s="557">
        <v>116</v>
      </c>
      <c r="AJ106" t="s" s="557">
        <v>82</v>
      </c>
      <c r="AK106" t="s" s="557">
        <v>293</v>
      </c>
      <c r="AL106" t="s" s="557">
        <v>494</v>
      </c>
      <c r="AM106" t="s" s="557">
        <v>495</v>
      </c>
      <c r="AN106" t="s" s="557">
        <v>496</v>
      </c>
      <c r="AO106" s="560">
        <f t="shared" si="2"/>
        <v>106</v>
      </c>
    </row>
    <row r="107" spans="1:41">
      <c r="AO107" s="563"/>
    </row>
    <row r="108" spans="1:41">
      <c r="AO108" s="563"/>
    </row>
    <row r="109" spans="1:41">
      <c r="AO109" s="563"/>
    </row>
    <row r="110" spans="1:41">
      <c r="AO110" s="563"/>
    </row>
    <row r="111" spans="1:41">
      <c r="AO111" s="563"/>
    </row>
    <row r="112" spans="1:41">
      <c r="AO112" s="563"/>
    </row>
    <row r="113" spans="41:41">
      <c r="AO113" s="563"/>
    </row>
    <row r="114" spans="41:41">
      <c r="AO114" s="563"/>
    </row>
    <row r="115" spans="41:41">
      <c r="AO115" s="563"/>
    </row>
    <row r="116" spans="41:41">
      <c r="AO116" s="563"/>
    </row>
    <row r="117" spans="41:41">
      <c r="AO117" s="563"/>
    </row>
    <row r="118" spans="41:41">
      <c r="AO118" s="563"/>
    </row>
    <row r="119" spans="41:41">
      <c r="AO119" s="563"/>
    </row>
    <row r="120" spans="41:41">
      <c r="AO120" s="563"/>
    </row>
    <row r="121" spans="41:41">
      <c r="AO121" s="563"/>
    </row>
    <row r="122" spans="41:41">
      <c r="AO122" s="563"/>
    </row>
    <row r="123" spans="41:41">
      <c r="AO123" s="563"/>
    </row>
    <row r="124" spans="41:41">
      <c r="AO124" s="563"/>
    </row>
    <row r="125" spans="41:41">
      <c r="AO125" s="563"/>
    </row>
    <row r="126" spans="41:41">
      <c r="AO126" s="563"/>
    </row>
  </sheetData>
  <sheetProtection selectLockedCells="1"/>
  <mergeCells count="2">
    <mergeCell ref="D1:R1"/>
    <mergeCell ref="U1:A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B4C6E7"/>
  </sheetPr>
  <dimension ref="A1:Q30"/>
  <sheetViews>
    <sheetView topLeftCell="A7" workbookViewId="0">
      <selection activeCell="C13" sqref="C13"/>
    </sheetView>
  </sheetViews>
  <sheetFormatPr defaultColWidth="8.86666666666667" defaultRowHeight="14"/>
  <cols>
    <col min="1" max="1" width="33.6" customWidth="1"/>
    <col min="2" max="2" width="22.3333333333333" customWidth="1"/>
    <col min="3" max="3" width="23.2666666666667" customWidth="1"/>
    <col min="4" max="4" width="22.7333333333333" customWidth="1"/>
    <col min="5" max="5" width="21.4" customWidth="1"/>
    <col min="6" max="6" width="17.2" customWidth="1"/>
    <col min="7" max="7" width="21.4" customWidth="1"/>
    <col min="8" max="8" width="17.2" customWidth="1"/>
    <col min="9" max="9" width="15.0666666666667" customWidth="1"/>
    <col min="10" max="10" width="19.2" style="65" customWidth="1"/>
    <col min="11" max="11" width="13.2" customWidth="1"/>
    <col min="12" max="12" width="17.2" customWidth="1"/>
    <col min="13" max="14" width="9" customWidth="1"/>
    <col min="15" max="15" width="21.4" customWidth="1"/>
    <col min="16" max="17" width="9" customWidth="1"/>
  </cols>
  <sheetData>
    <row r="1" spans="1:17">
      <c r="A1" s="556" t="s">
        <v>497</v>
      </c>
      <c r="B1" s="556" t="s">
        <v>498</v>
      </c>
      <c r="C1" s="564"/>
      <c r="D1" s="564"/>
      <c r="E1" s="564"/>
      <c r="F1" s="564"/>
      <c r="G1" s="564"/>
      <c r="H1" s="564"/>
      <c r="I1" s="564"/>
      <c r="J1" s="556" t="s">
        <v>499</v>
      </c>
      <c r="K1" s="556" t="s">
        <v>500</v>
      </c>
      <c r="L1" s="564"/>
      <c r="M1" s="564"/>
      <c r="N1" s="564"/>
      <c r="O1" s="564"/>
      <c r="P1" s="564"/>
      <c r="Q1" s="564"/>
    </row>
    <row r="2" spans="1:17">
      <c r="A2" t="s" s="557">
        <v>501</v>
      </c>
      <c r="B2" s="557" t="str">
        <f t="array" ref="B2:H2">TRANSPOSE(附表!G37:G43)</f>
        <v>选择8个技能（除了非自</v>
      </c>
      <c r="C2" s="557" t="str">
        <v>然知识），为每一个加上</v>
      </c>
      <c r="D2" s="557" t="str">
        <v>20点。不能超过80%。可</v>
      </c>
      <c r="E2" s="557" t="str">
        <v>重复选择。</v>
      </c>
      <c r="F2" s="557">
        <v>0</v>
      </c>
      <c r="G2" s="557">
        <v>0</v>
      </c>
      <c r="H2" s="557">
        <v>0</v>
      </c>
    </row>
    <row r="3" spans="1:17">
      <c r="A3" t="s" s="557">
        <v>502</v>
      </c>
      <c r="B3" t="s" s="557">
        <v>64</v>
      </c>
      <c r="C3" t="s" s="557">
        <v>503</v>
      </c>
      <c r="D3" t="s" s="557">
        <v>95</v>
      </c>
      <c r="E3" t="s" s="557">
        <v>77</v>
      </c>
      <c r="F3" t="s" s="557">
        <v>504</v>
      </c>
      <c r="G3" t="s" s="557">
        <v>504</v>
      </c>
      <c r="H3" t="s" s="557">
        <v>504</v>
      </c>
      <c r="I3" t="s" s="557">
        <v>114</v>
      </c>
    </row>
    <row r="4" spans="1:17">
      <c r="A4" t="s" s="557">
        <v>118</v>
      </c>
      <c r="B4" t="s" s="557">
        <v>64</v>
      </c>
      <c r="C4" t="s" s="557">
        <v>76</v>
      </c>
      <c r="D4" t="s" s="557">
        <v>96</v>
      </c>
      <c r="E4" t="s" s="557">
        <v>102</v>
      </c>
      <c r="F4" t="s" s="557">
        <v>114</v>
      </c>
      <c r="G4" t="s" s="557">
        <v>77</v>
      </c>
      <c r="H4" t="s" s="557">
        <v>106</v>
      </c>
      <c r="I4" t="s" s="557">
        <v>107</v>
      </c>
    </row>
    <row r="5" spans="1:17">
      <c r="A5" t="s" s="557">
        <v>505</v>
      </c>
      <c r="B5" t="s" s="557">
        <v>504</v>
      </c>
      <c r="C5" t="s" s="557">
        <v>66</v>
      </c>
      <c r="D5" s="561" t="s">
        <v>82</v>
      </c>
      <c r="E5" t="s" s="557">
        <v>113</v>
      </c>
      <c r="F5" t="s" s="557">
        <v>60</v>
      </c>
      <c r="G5" t="s" s="557">
        <v>75</v>
      </c>
      <c r="H5" t="s" s="557">
        <v>77</v>
      </c>
      <c r="I5" t="s" s="557">
        <v>114</v>
      </c>
    </row>
    <row r="6" spans="1:17">
      <c r="A6" t="s" s="557">
        <v>506</v>
      </c>
      <c r="B6" t="s" s="557">
        <v>64</v>
      </c>
      <c r="C6" t="s" s="557">
        <v>76</v>
      </c>
      <c r="D6" t="s" s="557">
        <v>507</v>
      </c>
      <c r="E6" t="s" s="557">
        <v>508</v>
      </c>
      <c r="F6" t="s" s="557">
        <v>92</v>
      </c>
      <c r="G6" t="s" s="557">
        <v>95</v>
      </c>
      <c r="H6" t="s" s="557">
        <v>97</v>
      </c>
      <c r="I6" t="s" s="557">
        <v>101</v>
      </c>
    </row>
    <row r="7" spans="1:17">
      <c r="A7" t="s" s="557">
        <v>509</v>
      </c>
      <c r="B7" t="s" s="557">
        <v>64</v>
      </c>
      <c r="C7" t="s" s="557">
        <v>503</v>
      </c>
      <c r="D7" t="s" s="557">
        <v>503</v>
      </c>
      <c r="E7" t="s" s="557">
        <v>98</v>
      </c>
      <c r="F7" t="s" s="557">
        <v>102</v>
      </c>
      <c r="G7" t="s" s="557">
        <v>111</v>
      </c>
      <c r="H7" t="s" s="557">
        <v>73</v>
      </c>
      <c r="I7" t="s" s="557">
        <v>97</v>
      </c>
    </row>
    <row r="8" spans="1:17">
      <c r="A8" t="s" s="557">
        <v>510</v>
      </c>
      <c r="B8" t="s" s="557">
        <v>59</v>
      </c>
      <c r="C8" t="s" s="557">
        <v>82</v>
      </c>
      <c r="D8" t="s" s="557">
        <v>86</v>
      </c>
      <c r="E8" t="s" s="557">
        <v>92</v>
      </c>
      <c r="F8" t="s" s="557">
        <v>114</v>
      </c>
      <c r="G8" t="s" s="557">
        <v>60</v>
      </c>
      <c r="H8" t="s" s="557">
        <v>77</v>
      </c>
      <c r="I8" t="s" s="557">
        <v>511</v>
      </c>
    </row>
    <row r="9" spans="1:17">
      <c r="A9" t="s" s="557">
        <v>512</v>
      </c>
      <c r="B9" t="s" s="557">
        <v>513</v>
      </c>
      <c r="C9" t="s" s="557">
        <v>113</v>
      </c>
      <c r="D9" t="s" s="557">
        <v>114</v>
      </c>
      <c r="E9" t="s" s="557">
        <v>75</v>
      </c>
      <c r="F9" t="s" s="557">
        <v>77</v>
      </c>
      <c r="G9" t="s" s="557">
        <v>90</v>
      </c>
    </row>
    <row r="10" spans="1:17">
      <c r="A10" t="s" s="557">
        <v>514</v>
      </c>
      <c r="B10" t="s" s="557">
        <v>64</v>
      </c>
      <c r="C10" t="s" s="557">
        <v>96</v>
      </c>
      <c r="D10" t="s" s="557">
        <v>100</v>
      </c>
      <c r="E10" t="s" s="557">
        <v>102</v>
      </c>
      <c r="F10" t="s" s="557">
        <v>112</v>
      </c>
      <c r="G10" t="s" s="557">
        <v>67</v>
      </c>
      <c r="H10" t="s" s="557">
        <v>101</v>
      </c>
      <c r="I10" t="s" s="557">
        <v>107</v>
      </c>
    </row>
    <row r="11" spans="1:17">
      <c r="A11" t="s" s="557">
        <v>515</v>
      </c>
      <c r="B11" t="s" s="557">
        <v>86</v>
      </c>
      <c r="C11" t="s" s="557">
        <v>365</v>
      </c>
      <c r="D11" t="s" s="557">
        <v>372</v>
      </c>
      <c r="E11" t="s" s="557">
        <v>99</v>
      </c>
      <c r="F11" t="s" s="557">
        <v>516</v>
      </c>
    </row>
    <row r="12" spans="1:17">
      <c r="A12" t="s" s="557">
        <v>517</v>
      </c>
      <c r="B12" t="s" s="557">
        <v>82</v>
      </c>
      <c r="C12" t="s" s="557">
        <v>102</v>
      </c>
      <c r="D12" t="s" s="557">
        <v>335</v>
      </c>
      <c r="E12" t="s" s="557">
        <v>114</v>
      </c>
      <c r="F12" t="s" s="557">
        <v>60</v>
      </c>
      <c r="G12" t="s" s="557">
        <v>77</v>
      </c>
      <c r="H12" t="s" s="557">
        <v>90</v>
      </c>
      <c r="I12" t="s" s="557">
        <v>97</v>
      </c>
    </row>
    <row r="13" spans="1:17">
      <c r="A13" t="s" s="557">
        <v>518</v>
      </c>
      <c r="B13" t="s" s="557">
        <v>59</v>
      </c>
      <c r="C13" t="s" s="557">
        <v>82</v>
      </c>
      <c r="D13" t="s" s="557">
        <v>86</v>
      </c>
      <c r="E13" t="s" s="557">
        <v>92</v>
      </c>
      <c r="F13" t="s" s="557">
        <v>108</v>
      </c>
      <c r="G13" t="s" s="557">
        <v>60</v>
      </c>
      <c r="H13" t="s" s="557">
        <v>83</v>
      </c>
      <c r="I13" t="s" s="557">
        <v>97</v>
      </c>
    </row>
    <row r="14" spans="1:17">
      <c r="A14" t="s" s="557">
        <v>519</v>
      </c>
      <c r="B14" t="s" s="557">
        <v>64</v>
      </c>
      <c r="C14" t="s" s="557">
        <v>94</v>
      </c>
      <c r="D14" t="s" s="557">
        <v>98</v>
      </c>
      <c r="E14" t="s" s="557">
        <v>102</v>
      </c>
      <c r="F14" t="s" s="557">
        <v>108</v>
      </c>
      <c r="G14" t="s" s="557">
        <v>111</v>
      </c>
      <c r="H14" t="s" s="557">
        <v>73</v>
      </c>
      <c r="I14" t="s" s="557">
        <v>97</v>
      </c>
    </row>
    <row r="15" spans="1:17">
      <c r="A15" t="s" s="557">
        <v>520</v>
      </c>
      <c r="B15" t="s" s="557">
        <v>64</v>
      </c>
      <c r="C15" t="s" s="557">
        <v>92</v>
      </c>
      <c r="D15" t="s" s="557">
        <v>96</v>
      </c>
      <c r="E15" t="s" s="557">
        <v>98</v>
      </c>
      <c r="F15" t="s" s="557">
        <v>77</v>
      </c>
      <c r="G15" t="s" s="557">
        <v>101</v>
      </c>
      <c r="J15" s="565">
        <v>2</v>
      </c>
      <c r="K15" t="s" s="557">
        <v>76</v>
      </c>
      <c r="L15" t="s" s="557">
        <v>335</v>
      </c>
      <c r="M15" t="s" s="557">
        <v>100</v>
      </c>
      <c r="N15" t="s" s="557">
        <v>114</v>
      </c>
      <c r="O15" t="s" s="557">
        <v>67</v>
      </c>
      <c r="P15" t="s" s="557">
        <v>83</v>
      </c>
      <c r="Q15" t="s" s="557">
        <v>107</v>
      </c>
    </row>
    <row r="16" spans="1:17">
      <c r="A16" t="s" s="557">
        <v>521</v>
      </c>
      <c r="B16" t="s" s="557">
        <v>92</v>
      </c>
      <c r="C16" t="s" s="557">
        <v>335</v>
      </c>
      <c r="D16" t="s" s="557">
        <v>335</v>
      </c>
      <c r="E16" t="s" s="557">
        <v>114</v>
      </c>
      <c r="F16" t="s" s="557">
        <v>60</v>
      </c>
      <c r="G16" t="s" s="557">
        <v>77</v>
      </c>
      <c r="H16" t="s" s="557">
        <v>83</v>
      </c>
      <c r="I16" t="s" s="557">
        <v>97</v>
      </c>
    </row>
    <row r="17" spans="1:16">
      <c r="A17" t="s" s="557">
        <v>522</v>
      </c>
      <c r="B17" t="s" s="557">
        <v>523</v>
      </c>
      <c r="C17" t="s" s="557">
        <v>504</v>
      </c>
      <c r="D17" t="s" s="557">
        <v>335</v>
      </c>
      <c r="E17" t="s" s="557">
        <v>113</v>
      </c>
      <c r="F17" t="s" s="557">
        <v>77</v>
      </c>
      <c r="G17" t="s" s="557">
        <v>524</v>
      </c>
    </row>
    <row r="18" spans="1:16">
      <c r="A18" t="s" s="557">
        <v>525</v>
      </c>
      <c r="B18" t="s" s="557">
        <v>82</v>
      </c>
      <c r="C18" t="s" s="557">
        <v>100</v>
      </c>
      <c r="D18" t="s" s="557">
        <v>113</v>
      </c>
      <c r="E18" t="s" s="557">
        <v>526</v>
      </c>
      <c r="F18" t="s" s="557">
        <v>73</v>
      </c>
      <c r="G18" t="s" s="557">
        <v>77</v>
      </c>
      <c r="H18" t="s" s="557">
        <v>107</v>
      </c>
      <c r="J18" s="565">
        <v>1</v>
      </c>
      <c r="K18" t="s" s="557">
        <v>74</v>
      </c>
      <c r="L18" t="s" s="557">
        <v>111</v>
      </c>
      <c r="M18" t="s" s="557">
        <v>112</v>
      </c>
      <c r="N18" t="s" s="557">
        <v>114</v>
      </c>
      <c r="O18" t="s" s="557">
        <v>527</v>
      </c>
      <c r="P18" t="s" s="557">
        <v>99</v>
      </c>
    </row>
    <row r="19" spans="1:16">
      <c r="A19" t="s" s="557">
        <v>528</v>
      </c>
      <c r="B19" t="s" s="557">
        <v>59</v>
      </c>
      <c r="C19" t="s" s="557">
        <v>82</v>
      </c>
      <c r="D19" t="s" s="557">
        <v>114</v>
      </c>
      <c r="E19" t="s" s="557">
        <v>60</v>
      </c>
      <c r="F19" t="s" s="557">
        <v>77</v>
      </c>
      <c r="G19" t="s" s="557">
        <v>524</v>
      </c>
    </row>
    <row r="20" spans="1:16">
      <c r="A20" t="s" s="557">
        <v>529</v>
      </c>
      <c r="B20" t="s" s="557">
        <v>64</v>
      </c>
      <c r="C20" t="s" s="557">
        <v>102</v>
      </c>
      <c r="D20" t="s" s="557">
        <v>65</v>
      </c>
      <c r="E20" t="s" s="557">
        <v>77</v>
      </c>
      <c r="F20" t="s" s="557">
        <v>83</v>
      </c>
      <c r="G20" t="s" s="557">
        <v>90</v>
      </c>
      <c r="H20" t="s" s="557">
        <v>331</v>
      </c>
      <c r="I20" t="s" s="557">
        <v>97</v>
      </c>
    </row>
    <row r="21" spans="1:16">
      <c r="A21" t="s" s="557">
        <v>530</v>
      </c>
      <c r="B21" t="s" s="557">
        <v>66</v>
      </c>
      <c r="C21" t="s" s="557">
        <v>69</v>
      </c>
      <c r="D21" t="s" s="557">
        <v>86</v>
      </c>
      <c r="E21" t="s" s="557">
        <v>92</v>
      </c>
      <c r="F21" t="s" s="557">
        <v>113</v>
      </c>
      <c r="G21" t="s" s="557">
        <v>75</v>
      </c>
      <c r="H21" t="s" s="557">
        <v>77</v>
      </c>
      <c r="I21" t="s" s="557">
        <v>97</v>
      </c>
    </row>
    <row r="22" spans="1:16">
      <c r="A22" t="s" s="557">
        <v>531</v>
      </c>
      <c r="B22" t="s" s="557">
        <v>64</v>
      </c>
      <c r="C22" t="s" s="557">
        <v>76</v>
      </c>
      <c r="D22" t="s" s="557">
        <v>100</v>
      </c>
      <c r="E22" t="s" s="557">
        <v>73</v>
      </c>
      <c r="F22" t="s" s="557">
        <v>91</v>
      </c>
      <c r="G22" t="s" s="557">
        <v>97</v>
      </c>
      <c r="H22" t="s" s="557">
        <v>101</v>
      </c>
      <c r="I22" t="s" s="557">
        <v>105</v>
      </c>
    </row>
    <row r="23" spans="1:16">
      <c r="A23" t="s" s="557">
        <v>532</v>
      </c>
      <c r="B23" t="s" s="557">
        <v>64</v>
      </c>
      <c r="C23" t="s" s="557">
        <v>533</v>
      </c>
      <c r="D23" t="s" s="557">
        <v>86</v>
      </c>
      <c r="E23" t="s" s="557">
        <v>77</v>
      </c>
      <c r="F23" t="s" s="557">
        <v>97</v>
      </c>
      <c r="G23" t="s" s="557">
        <v>101</v>
      </c>
      <c r="H23" t="s" s="557">
        <v>534</v>
      </c>
    </row>
    <row r="24" spans="1:16">
      <c r="A24" t="s" s="557">
        <v>535</v>
      </c>
      <c r="B24" t="s" s="557">
        <v>64</v>
      </c>
      <c r="C24" t="s" s="557">
        <v>485</v>
      </c>
      <c r="D24" t="s" s="557">
        <v>102</v>
      </c>
      <c r="E24" t="s" s="557">
        <v>335</v>
      </c>
      <c r="F24" t="s" s="557">
        <v>73</v>
      </c>
      <c r="G24" t="s" s="557">
        <v>527</v>
      </c>
      <c r="H24" t="s" s="557">
        <v>105</v>
      </c>
      <c r="I24" t="s" s="557">
        <v>106</v>
      </c>
    </row>
    <row r="25" spans="1:16">
      <c r="A25" t="s" s="557">
        <v>536</v>
      </c>
      <c r="B25" t="s" s="557">
        <v>64</v>
      </c>
      <c r="C25" t="s" s="557">
        <v>92</v>
      </c>
      <c r="D25" t="s" s="557">
        <v>98</v>
      </c>
      <c r="E25" t="s" s="557">
        <v>100</v>
      </c>
      <c r="F25" t="s" s="557">
        <v>114</v>
      </c>
      <c r="G25" t="s" s="557">
        <v>60</v>
      </c>
      <c r="H25" t="s" s="557">
        <v>67</v>
      </c>
      <c r="I25" t="s" s="557">
        <v>107</v>
      </c>
    </row>
    <row r="26" spans="1:16">
      <c r="A26" t="s" s="557">
        <v>537</v>
      </c>
      <c r="B26" t="s" s="557">
        <v>82</v>
      </c>
      <c r="C26" t="s" s="557">
        <v>86</v>
      </c>
      <c r="D26" t="s" s="557">
        <v>503</v>
      </c>
      <c r="E26" t="s" s="557">
        <v>335</v>
      </c>
      <c r="F26" t="s" s="557">
        <v>299</v>
      </c>
      <c r="G26" t="s" s="557">
        <v>299</v>
      </c>
      <c r="H26" t="s" s="557">
        <v>299</v>
      </c>
      <c r="J26" s="565">
        <v>1</v>
      </c>
      <c r="K26" t="s" s="557">
        <v>59</v>
      </c>
      <c r="L26" t="s" s="557">
        <v>108</v>
      </c>
      <c r="M26" t="s" s="557">
        <v>60</v>
      </c>
      <c r="N26" t="s" s="557">
        <v>83</v>
      </c>
    </row>
    <row r="27" spans="1:16">
      <c r="A27" t="s" s="557">
        <v>538</v>
      </c>
      <c r="B27" t="s" s="557">
        <v>82</v>
      </c>
      <c r="C27" t="s" s="557">
        <v>92</v>
      </c>
      <c r="D27" t="s" s="557">
        <v>108</v>
      </c>
      <c r="E27" t="s" s="557">
        <v>335</v>
      </c>
      <c r="F27" t="s" s="557">
        <v>114</v>
      </c>
      <c r="G27" t="s" s="557">
        <v>60</v>
      </c>
      <c r="H27" t="s" s="557">
        <v>77</v>
      </c>
      <c r="I27" t="s" s="557">
        <v>97</v>
      </c>
    </row>
    <row r="28" spans="1:16">
      <c r="A28" t="s" s="557">
        <v>539</v>
      </c>
      <c r="B28" t="s" s="557">
        <v>64</v>
      </c>
      <c r="C28" t="s" s="557">
        <v>74</v>
      </c>
      <c r="D28" t="s" s="557">
        <v>76</v>
      </c>
      <c r="E28" t="s" s="557">
        <v>98</v>
      </c>
      <c r="F28" t="s" s="557">
        <v>100</v>
      </c>
      <c r="G28" t="s" s="557">
        <v>112</v>
      </c>
      <c r="H28" t="s" s="557">
        <v>444</v>
      </c>
      <c r="I28" t="s" s="557">
        <v>107</v>
      </c>
    </row>
    <row r="29" spans="1:16">
      <c r="A29" t="s" s="557">
        <v>540</v>
      </c>
      <c r="B29" t="s" s="557">
        <v>66</v>
      </c>
      <c r="C29" t="s" s="557">
        <v>335</v>
      </c>
      <c r="D29" t="s" s="557">
        <v>335</v>
      </c>
      <c r="E29" t="s" s="557">
        <v>335</v>
      </c>
      <c r="F29" t="s" s="557">
        <v>113</v>
      </c>
      <c r="G29" t="s" s="557">
        <v>114</v>
      </c>
      <c r="H29" t="s" s="557">
        <v>77</v>
      </c>
      <c r="I29" t="s" s="557">
        <v>511</v>
      </c>
    </row>
    <row r="30" spans="1:16">
      <c r="A30" t="s" s="557">
        <v>541</v>
      </c>
      <c r="B30" t="s" s="557">
        <v>64</v>
      </c>
      <c r="C30" t="s" s="557">
        <v>76</v>
      </c>
      <c r="D30" t="s" s="557">
        <v>503</v>
      </c>
      <c r="E30" t="s" s="557">
        <v>60</v>
      </c>
      <c r="F30" t="s" s="557">
        <v>73</v>
      </c>
      <c r="G30" t="s" s="557">
        <v>77</v>
      </c>
      <c r="H30" t="s" s="557">
        <v>97</v>
      </c>
      <c r="I30" t="s" s="557">
        <v>101</v>
      </c>
    </row>
  </sheetData>
  <sheetProtection selectLockedCells="1"/>
  <mergeCells count="2">
    <mergeCell ref="B1:I1"/>
    <mergeCell ref="K1:Q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B4C6E7"/>
  </sheetPr>
  <dimension ref="A1:I27"/>
  <sheetViews>
    <sheetView topLeftCell="A10" workbookViewId="0">
      <selection activeCell="F31" sqref="F31"/>
    </sheetView>
  </sheetViews>
  <sheetFormatPr defaultColWidth="9" defaultRowHeight="14"/>
  <cols>
    <col min="5" max="5" width="10.8666666666667" customWidth="1"/>
    <col min="7" max="7" width="10.8666666666667" customWidth="1"/>
    <col min="9" max="9" width="11" customWidth="1"/>
  </cols>
  <sheetData>
    <row r="1" spans="1:9">
      <c r="A1" t="s" s="566">
        <v>542</v>
      </c>
      <c r="C1" t="s" s="566">
        <v>543</v>
      </c>
      <c r="E1" t="s" s="566">
        <v>330</v>
      </c>
      <c r="G1" t="s" s="566">
        <v>357</v>
      </c>
      <c r="I1" t="s" s="566">
        <v>544</v>
      </c>
    </row>
    <row r="2" spans="1:9">
      <c r="A2" t="s" s="557">
        <v>545</v>
      </c>
      <c r="C2" t="s" s="557">
        <v>546</v>
      </c>
      <c r="E2" t="s" s="557">
        <v>547</v>
      </c>
      <c r="G2" t="s" s="557">
        <v>548</v>
      </c>
      <c r="I2" t="s" s="557">
        <v>549</v>
      </c>
    </row>
    <row r="3" spans="1:9">
      <c r="A3" t="s" s="557">
        <v>550</v>
      </c>
      <c r="C3" t="s" s="557">
        <v>551</v>
      </c>
      <c r="E3" t="s" s="557">
        <v>552</v>
      </c>
      <c r="G3" t="s" s="557">
        <v>553</v>
      </c>
      <c r="I3" t="s" s="557">
        <v>554</v>
      </c>
    </row>
    <row r="4" spans="1:9">
      <c r="A4" t="s" s="557">
        <v>555</v>
      </c>
      <c r="C4" t="s" s="557">
        <v>556</v>
      </c>
      <c r="E4" t="s" s="557">
        <v>557</v>
      </c>
      <c r="G4" t="s" s="557">
        <v>558</v>
      </c>
      <c r="I4" t="s" s="557">
        <v>559</v>
      </c>
    </row>
    <row r="5" spans="1:9">
      <c r="A5" t="s" s="557">
        <v>560</v>
      </c>
      <c r="C5" t="s" s="557">
        <v>561</v>
      </c>
      <c r="G5" t="s" s="557">
        <v>562</v>
      </c>
      <c r="I5" t="s" s="557">
        <v>563</v>
      </c>
    </row>
    <row r="6" spans="1:9">
      <c r="A6" t="s" s="557">
        <v>564</v>
      </c>
      <c r="C6" t="s" s="557">
        <v>565</v>
      </c>
      <c r="G6" t="s" s="557">
        <v>566</v>
      </c>
      <c r="I6" t="s" s="557">
        <v>567</v>
      </c>
    </row>
    <row r="7" spans="1:9">
      <c r="A7" t="s" s="557">
        <v>568</v>
      </c>
      <c r="C7" t="s" s="557">
        <v>569</v>
      </c>
      <c r="G7" t="s" s="557">
        <v>570</v>
      </c>
      <c r="I7" t="s" s="557">
        <v>571</v>
      </c>
    </row>
    <row r="8" spans="1:9">
      <c r="A8" t="s" s="557">
        <v>572</v>
      </c>
      <c r="C8" t="s" s="557">
        <v>573</v>
      </c>
      <c r="G8" t="s" s="557">
        <v>574</v>
      </c>
      <c r="I8" t="s" s="557">
        <v>575</v>
      </c>
    </row>
    <row r="9" spans="1:9">
      <c r="A9" t="s" s="557">
        <v>576</v>
      </c>
      <c r="C9" t="s" s="557">
        <v>577</v>
      </c>
      <c r="G9" t="s" s="557">
        <v>578</v>
      </c>
      <c r="I9" t="s" s="557">
        <v>579</v>
      </c>
    </row>
    <row r="10" spans="1:9">
      <c r="A10" t="s" s="557">
        <v>580</v>
      </c>
      <c r="C10" t="s" s="557">
        <v>581</v>
      </c>
      <c r="I10" t="s" s="557">
        <v>582</v>
      </c>
    </row>
    <row r="11" spans="1:9">
      <c r="A11" t="s" s="557">
        <v>583</v>
      </c>
      <c r="C11" t="s" s="557">
        <v>584</v>
      </c>
      <c r="I11" t="s" s="557">
        <v>585</v>
      </c>
    </row>
    <row r="12" spans="1:9">
      <c r="C12" t="s" s="557">
        <v>586</v>
      </c>
      <c r="I12" t="s" s="557">
        <v>587</v>
      </c>
    </row>
    <row r="13" spans="1:9">
      <c r="C13" t="s" s="557">
        <v>588</v>
      </c>
      <c r="I13" t="s" s="557">
        <v>589</v>
      </c>
    </row>
    <row r="14" spans="1:9">
      <c r="C14" s="557" t="inlineStr">
        <is>
          <t>电子学</t>
        </is>
      </c>
      <c r="I14" t="s" s="557">
        <v>590</v>
      </c>
    </row>
    <row r="15" spans="1:9">
      <c r="I15" t="s" s="557">
        <v>591</v>
      </c>
    </row>
    <row r="16" spans="1:9">
      <c r="I16" t="s" s="557">
        <v>592</v>
      </c>
    </row>
    <row r="17" spans="9:9">
      <c r="I17" t="s" s="557">
        <v>593</v>
      </c>
    </row>
    <row r="18" spans="9:9">
      <c r="I18" t="s" s="557">
        <v>594</v>
      </c>
    </row>
    <row r="19" spans="9:9">
      <c r="I19" t="s" s="557">
        <v>595</v>
      </c>
    </row>
    <row r="20" spans="9:9">
      <c r="I20" t="s" s="557">
        <v>596</v>
      </c>
    </row>
    <row r="21" spans="9:9">
      <c r="I21" t="s" s="557">
        <v>597</v>
      </c>
    </row>
    <row r="22" spans="9:9">
      <c r="I22" t="s" s="557">
        <v>598</v>
      </c>
    </row>
    <row r="23" spans="9:9">
      <c r="I23" t="s" s="557">
        <v>599</v>
      </c>
    </row>
    <row r="24" spans="9:9">
      <c r="I24" t="s" s="557">
        <v>600</v>
      </c>
    </row>
    <row r="25" spans="9:9">
      <c r="I25" t="s" s="557">
        <v>601</v>
      </c>
    </row>
    <row r="26" spans="9:9">
      <c r="I26" t="s" s="557">
        <v>602</v>
      </c>
    </row>
    <row r="27" spans="9:9">
      <c r="I27" t="s" s="557">
        <v>603</v>
      </c>
    </row>
  </sheetData>
  <sheetProtection selectLockedCells="1"/>
  <pageMargins left="0.7" right="0.7" top="0.75" bottom="0.75" header="0.3" footer="0.3"/>
  <headerFooter/>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B4C6E7"/>
  </sheetPr>
  <dimension ref="A1:AX284"/>
  <sheetViews>
    <sheetView zoomScale="70" zoomScaleNormal="70" topLeftCell="A84" workbookViewId="0">
      <selection activeCell="L100" sqref="L100"/>
    </sheetView>
  </sheetViews>
  <sheetFormatPr defaultColWidth="9" defaultRowHeight="14"/>
  <cols>
    <col min="1" max="1" width="27.4666666666667" customWidth="1"/>
    <col min="3" max="3" width="12" customWidth="1"/>
    <col min="4" max="4" width="15.8666666666667" customWidth="1"/>
    <col min="7" max="7" width="17.6" customWidth="1"/>
    <col min="8" max="8" width="9.13333333333333"/>
  </cols>
  <sheetData>
    <row r="1" ht="16.5" spans="1:50">
      <c r="A1" s="567" t="s">
        <v>604</v>
      </c>
      <c r="D1" s="567" t="s">
        <v>605</v>
      </c>
    </row>
    <row r="2" spans="1:50">
      <c r="A2" t="s" s="557">
        <v>12</v>
      </c>
      <c r="B2" s="557">
        <f>IF(ISBLANK(人物卡!AN3),人物卡!AH3,人物卡!AN3)</f>
        <v>0</v>
      </c>
      <c r="D2" s="557" t="str">
        <f>人物卡!ED24</f>
        <v/>
      </c>
    </row>
    <row r="3" spans="1:50">
      <c r="A3" t="s" s="557">
        <v>15</v>
      </c>
      <c r="B3" s="557">
        <f>IF(ISBLANK(人物卡!AN4),人物卡!AH4,人物卡!AN4)</f>
        <v>0</v>
      </c>
      <c r="D3" s="557" t="str">
        <f>人物卡!ED27</f>
        <v/>
      </c>
    </row>
    <row r="4" spans="1:50">
      <c r="A4" t="s" s="557">
        <v>19</v>
      </c>
      <c r="B4" s="557">
        <f>IF(ISBLANK(人物卡!AN5),人物卡!AH5,人物卡!AN5)</f>
        <v>0</v>
      </c>
      <c r="D4" s="557" t="str">
        <f>人物卡!ED30</f>
        <v/>
      </c>
    </row>
    <row r="5" spans="1:50">
      <c r="A5" t="s" s="557">
        <v>23</v>
      </c>
      <c r="B5" s="557">
        <f>IF(ISBLANK(人物卡!AN6),人物卡!AH6,人物卡!AN6)</f>
        <v>0</v>
      </c>
      <c r="D5" s="557" t="str">
        <f>人物卡!ED33</f>
        <v/>
      </c>
    </row>
    <row r="6" spans="1:50">
      <c r="A6" t="s" s="557">
        <v>26</v>
      </c>
      <c r="B6" s="557">
        <f>IF(ISBLANK(人物卡!AN7),人物卡!AH7,人物卡!AN7)</f>
        <v>0</v>
      </c>
      <c r="D6" s="557" t="str">
        <f>人物卡!ED36</f>
        <v/>
      </c>
    </row>
    <row r="7" spans="1:50">
      <c r="A7" t="s" s="557">
        <v>29</v>
      </c>
      <c r="B7" s="557">
        <f>IF(ISBLANK(人物卡!AN8),人物卡!AH8,人物卡!AN8)</f>
        <v>0</v>
      </c>
      <c r="D7" s="557" t="str">
        <f>人物卡!ED39</f>
        <v/>
      </c>
    </row>
    <row r="11" spans="1:50">
      <c r="A11" s="568" t="s">
        <v>606</v>
      </c>
      <c r="C11" t="s" s="557">
        <v>607</v>
      </c>
      <c r="D11" s="557" t="str">
        <f>IF(G11,INDEX(H63:H82,MATCH(IF(A63=1,B62,人物卡!H47),G63:G82,0)),A15)</f>
        <v>（创建新职业）</v>
      </c>
      <c r="F11" t="s" s="557">
        <v>608</v>
      </c>
      <c r="G11" s="557" t="b">
        <f>B62&lt;&gt;0</f>
        <v>0</v>
      </c>
      <c r="H11" t="s" s="557">
        <v>609</v>
      </c>
      <c r="I11" s="557" t="b">
        <f>AND(G11,A63&gt;1)</f>
        <v>0</v>
      </c>
    </row>
    <row r="12" spans="1:50">
      <c r="A12" t="s" s="557">
        <v>610</v>
      </c>
      <c r="B12" s="557">
        <f>MATCH(人物卡!$H$46,职业列表!A2:A505,0)</f>
        <v>1</v>
      </c>
      <c r="C12" t="s" s="557">
        <v>611</v>
      </c>
      <c r="D12" s="557">
        <f>MATCH(D11,职业列表!A2:A505,0)</f>
        <v>1</v>
      </c>
      <c r="H12" t="s" s="557">
        <v>612</v>
      </c>
      <c r="I12" s="557" t="b">
        <f>IFERROR(AND(NOT(ISNA(D11)),OR(NOT(I11),COUNTIF(B62:B65,人物卡!H47)&gt;0)),FALSE)</f>
        <v>1</v>
      </c>
    </row>
    <row r="15" s="59" customFormat="1" spans="1:50">
      <c r="A15" s="557" t="str">
        <f t="array" ref="A15">INDEX(职业列表!A2:A505,$B$12)</f>
        <v>（创建新职业）</v>
      </c>
      <c r="B15" s="557">
        <f t="array" ref="B15">INDEX(职业列表!B2:B505,$B$12)</f>
        <v>0</v>
      </c>
      <c r="C15" s="557" t="str">
        <f t="array" ref="C15">INDEX(职业列表!C2:C505,$B$12)</f>
        <v>≤4</v>
      </c>
      <c r="D15" s="557" t="str">
        <f t="array" ref="D15">INDEX(职业列表!D2:D505,$B$12)</f>
        <v>任选10个本职技能，分配350</v>
      </c>
      <c r="E15" s="557" t="str">
        <f t="array" ref="E15">INDEX(职业列表!E2:E505,$B$12)</f>
        <v>技能点，额外加在基础值上，</v>
      </c>
      <c r="F15" s="557" t="str">
        <f t="array" ref="F15">INDEX(职业列表!F2:F505,$B$12)</f>
        <v>最高至60%。重要关系自4个开</v>
      </c>
      <c r="G15" s="557" t="str">
        <f t="array" ref="G15">INDEX(职业列表!G2:G505,$B$12)</f>
        <v>始每少一个（最少1个），增</v>
      </c>
      <c r="H15" s="557" t="str">
        <f t="array" ref="H15">INDEX(职业列表!H2:H505,$B$12)</f>
        <v>加50本职技能点。</v>
      </c>
      <c r="I15" s="557">
        <f t="array" ref="I15">INDEX(职业列表!I2:I505,$B$12)</f>
        <v>0</v>
      </c>
      <c r="J15" s="557">
        <f t="array" ref="J15">INDEX(职业列表!J2:J505,$B$12)</f>
        <v>0</v>
      </c>
      <c r="K15" s="557">
        <f t="array" ref="K15">INDEX(职业列表!K2:K505,$B$12)</f>
        <v>0</v>
      </c>
      <c r="L15" s="557">
        <f t="array" ref="L15">INDEX(职业列表!L2:L505,$B$12)</f>
        <v>0</v>
      </c>
      <c r="M15" s="557">
        <f t="array" ref="M15">INDEX(职业列表!M2:M505,$B$12)</f>
        <v>0</v>
      </c>
      <c r="N15" s="557">
        <f t="array" ref="N15">INDEX(职业列表!N2:N505,$B$12)</f>
        <v>0</v>
      </c>
      <c r="O15" s="557">
        <f t="array" ref="O15">INDEX(职业列表!O2:O505,$B$12)</f>
        <v>0</v>
      </c>
      <c r="P15" s="557">
        <f t="array" ref="P15">INDEX(职业列表!P2:P505,$B$12)</f>
        <v>0</v>
      </c>
      <c r="Q15" s="557">
        <f t="array" ref="Q15">INDEX(职业列表!Q2:Q505,$B$12)</f>
        <v>0</v>
      </c>
      <c r="R15" s="557">
        <f t="array" ref="R15">INDEX(职业列表!R2:R505,$B$12)</f>
        <v>0</v>
      </c>
      <c r="S15" s="557">
        <f t="array" ref="S15">INDEX(职业列表!S2:S505,$B$12)</f>
        <v>0</v>
      </c>
      <c r="T15" s="557">
        <f t="array" ref="T15">INDEX(职业列表!T2:T505,$B$12)</f>
        <v>0</v>
      </c>
      <c r="U15" s="557">
        <f t="array" ref="U15">INDEX(职业列表!U2:U505,$B$12)</f>
        <v>0</v>
      </c>
      <c r="V15" s="557">
        <f t="array" ref="V15">INDEX(职业列表!V2:V505,$B$12)</f>
        <v>0</v>
      </c>
      <c r="W15" s="557">
        <f t="array" ref="W15">INDEX(职业列表!W2:W505,$B$12)</f>
        <v>0</v>
      </c>
      <c r="X15" s="557">
        <f t="array" ref="X15">INDEX(职业列表!X2:X505,$B$12)</f>
        <v>0</v>
      </c>
      <c r="Y15" s="557">
        <f t="array" ref="Y15">INDEX(职业列表!Y2:Y505,$B$12)</f>
        <v>0</v>
      </c>
      <c r="Z15" s="557">
        <f t="array" ref="Z15">INDEX(职业列表!Z2:Z505,$B$12)</f>
        <v>0</v>
      </c>
      <c r="AA15" s="557">
        <f t="array" ref="AA15">INDEX(职业列表!AA2:AA505,$B$12)</f>
        <v>0</v>
      </c>
      <c r="AB15" s="557">
        <f t="array" ref="AB15">INDEX(职业列表!AB2:AB505,$B$12)</f>
        <v>0</v>
      </c>
      <c r="AC15" s="557">
        <f t="array" ref="AC15">INDEX(职业列表!AC2:AC505,$B$12)</f>
        <v>0</v>
      </c>
      <c r="AD15" s="557">
        <f t="array" ref="AD15">INDEX(职业列表!AD2:AD505,$B$12)</f>
        <v>0</v>
      </c>
      <c r="AE15" s="557">
        <f t="array" ref="AE15">INDEX(职业列表!AE2:AE505,$B$12)</f>
        <v>0</v>
      </c>
      <c r="AF15" s="557">
        <f t="array" ref="AF15">INDEX(职业列表!AF2:AF505,$B$12)</f>
        <v>0</v>
      </c>
      <c r="AG15" s="557">
        <f t="array" ref="AG15">INDEX(职业列表!AG2:AG505,$B$12)</f>
        <v>0</v>
      </c>
      <c r="AH15" s="557">
        <f t="array" ref="AH15">INDEX(职业列表!AH2:AH505,$B$12)</f>
        <v>0</v>
      </c>
      <c r="AI15" s="557">
        <f t="array" ref="AI15">INDEX(职业列表!AI2:AI505,$B$12)</f>
        <v>0</v>
      </c>
      <c r="AJ15" s="557">
        <f t="array" ref="AJ15">INDEX(职业列表!AJ2:AJ505,$B$12)</f>
        <v>0</v>
      </c>
      <c r="AK15" s="557">
        <f t="array" ref="AK15">INDEX(职业列表!AK2:AK505,$B$12)</f>
        <v>0</v>
      </c>
      <c r="AL15" s="557">
        <f t="array" ref="AL15">INDEX(职业列表!AL2:AL505,$B$12)</f>
        <v>0</v>
      </c>
      <c r="AM15" s="557">
        <f t="array" ref="AM15">INDEX(职业列表!AM2:AM505,$B$12)</f>
        <v>0</v>
      </c>
      <c r="AN15" s="557">
        <f t="array" ref="AN15">INDEX(职业列表!AN2:AN505,$B$12)</f>
        <v>0</v>
      </c>
      <c r="AO15" s="557">
        <f t="array" ref="AO15">INDEX(职业列表!AO2:AO505,$B$12)</f>
        <v>2</v>
      </c>
      <c r="AP15" s="557">
        <f t="array" ref="AP15">INDEX(职业列表!AP2:AP505,$B$12)</f>
        <v>0</v>
      </c>
      <c r="AQ15" s="557">
        <f t="array" ref="AQ15">INDEX(职业列表!AQ2:AQ505,$B$12)</f>
        <v>0</v>
      </c>
      <c r="AR15" s="557">
        <f t="array" ref="AR15">INDEX(职业列表!AR2:AR505,$B$12)</f>
        <v>0</v>
      </c>
      <c r="AS15" s="557">
        <f t="array" ref="AS15">INDEX(职业列表!AS2:AS505,$B$12)</f>
        <v>0</v>
      </c>
      <c r="AT15" s="557">
        <f t="array" ref="AT15">INDEX(职业列表!AT2:AT505,$B$12)</f>
        <v>0</v>
      </c>
      <c r="AU15" s="557">
        <f t="array" ref="AU15">INDEX(职业列表!AU2:AU505,$B$12)</f>
        <v>0</v>
      </c>
      <c r="AV15" s="557">
        <f t="array" ref="AV15">INDEX(职业列表!AV2:AV505,$B$12)</f>
        <v>0</v>
      </c>
      <c r="AW15" s="557">
        <f t="array" ref="AW15">INDEX(职业列表!AW2:AW505,$B$12)</f>
        <v>0</v>
      </c>
      <c r="AX15" s="557">
        <f t="array" ref="AX15">INDEX(职业列表!AX2:AX505,$B$12)</f>
        <v>0</v>
      </c>
    </row>
    <row r="16" s="59" customFormat="1" spans="1:50">
      <c r="A16" s="557" t="str">
        <f t="array" ref="A16">INDEX(职业列表!A2:A505,$D$12)</f>
        <v>（创建新职业）</v>
      </c>
      <c r="B16" s="557">
        <f t="array" ref="B16">INDEX(职业列表!B2:B505,$D$12)</f>
        <v>0</v>
      </c>
      <c r="C16" s="557" t="str">
        <f t="array" ref="C16">INDEX(职业列表!C2:C505,$D$12)</f>
        <v>≤4</v>
      </c>
      <c r="D16" s="557" t="str">
        <f t="array" ref="D16">INDEX(职业列表!D2:D505,$D$12)</f>
        <v>任选10个本职技能，分配350</v>
      </c>
      <c r="E16" s="557" t="str">
        <f t="array" ref="E16">INDEX(职业列表!E2:E505,$D$12)</f>
        <v>技能点，额外加在基础值上，</v>
      </c>
      <c r="F16" s="557" t="str">
        <f t="array" ref="F16">INDEX(职业列表!F2:F505,$D$12)</f>
        <v>最高至60%。重要关系自4个开</v>
      </c>
      <c r="G16" s="557" t="str">
        <f t="array" ref="G16">INDEX(职业列表!G2:G505,$D$12)</f>
        <v>始每少一个（最少1个），增</v>
      </c>
      <c r="H16" s="557" t="str">
        <f t="array" ref="H16">INDEX(职业列表!H2:H505,$D$12)</f>
        <v>加50本职技能点。</v>
      </c>
      <c r="I16" s="557">
        <f t="array" ref="I16">INDEX(职业列表!I2:I505,$D$12)</f>
        <v>0</v>
      </c>
      <c r="J16" s="557">
        <f t="array" ref="J16">INDEX(职业列表!J2:J505,$D$12)</f>
        <v>0</v>
      </c>
      <c r="K16" s="557">
        <f t="array" ref="K16">INDEX(职业列表!K2:K505,$D$12)</f>
        <v>0</v>
      </c>
      <c r="L16" s="557">
        <f t="array" ref="L16">INDEX(职业列表!L2:L505,$D$12)</f>
        <v>0</v>
      </c>
      <c r="M16" s="557">
        <f t="array" ref="M16">INDEX(职业列表!M2:M505,$D$12)</f>
        <v>0</v>
      </c>
      <c r="N16" s="557">
        <f t="array" ref="N16">INDEX(职业列表!N2:N505,$D$12)</f>
        <v>0</v>
      </c>
      <c r="O16" s="557">
        <f t="array" ref="O16">INDEX(职业列表!O2:O505,$D$12)</f>
        <v>0</v>
      </c>
      <c r="P16" s="557">
        <f t="array" ref="P16">INDEX(职业列表!P2:P505,$D$12)</f>
        <v>0</v>
      </c>
      <c r="Q16" s="557">
        <f t="array" ref="Q16">INDEX(职业列表!Q2:Q505,$D$12)</f>
        <v>0</v>
      </c>
      <c r="R16" s="557">
        <f t="array" ref="R16">INDEX(职业列表!R2:R505,$D$12)</f>
        <v>0</v>
      </c>
      <c r="S16" s="557">
        <f t="array" ref="S16">INDEX(职业列表!S2:S505,$D$12)</f>
        <v>0</v>
      </c>
      <c r="T16" s="557">
        <f t="array" ref="T16">INDEX(职业列表!T2:T505,$D$12)</f>
        <v>0</v>
      </c>
      <c r="U16" s="557">
        <f t="array" ref="U16">INDEX(职业列表!U2:U505,$D$12)</f>
        <v>0</v>
      </c>
      <c r="V16" s="557">
        <f t="array" ref="V16">INDEX(职业列表!V2:V505,$D$12)</f>
        <v>0</v>
      </c>
      <c r="W16" s="557">
        <f t="array" ref="W16">INDEX(职业列表!W2:W505,$D$12)</f>
        <v>0</v>
      </c>
      <c r="X16" s="557">
        <f t="array" ref="X16">INDEX(职业列表!X2:X505,$D$12)</f>
        <v>0</v>
      </c>
      <c r="Y16" s="557">
        <f t="array" ref="Y16">INDEX(职业列表!Y2:Y505,$D$12)</f>
        <v>0</v>
      </c>
      <c r="Z16" s="557">
        <f t="array" ref="Z16">INDEX(职业列表!Z2:Z505,$D$12)</f>
        <v>0</v>
      </c>
      <c r="AA16" s="557">
        <f t="array" ref="AA16">INDEX(职业列表!AA2:AA505,$D$12)</f>
        <v>0</v>
      </c>
      <c r="AB16" s="557">
        <f t="array" ref="AB16">INDEX(职业列表!AB2:AB505,$D$12)</f>
        <v>0</v>
      </c>
      <c r="AC16" s="557">
        <f t="array" ref="AC16">INDEX(职业列表!AC2:AC505,$D$12)</f>
        <v>0</v>
      </c>
      <c r="AD16" s="557">
        <f t="array" ref="AD16">INDEX(职业列表!AD2:AD505,$D$12)</f>
        <v>0</v>
      </c>
      <c r="AE16" s="557">
        <f t="array" ref="AE16">INDEX(职业列表!AE2:AE505,$D$12)</f>
        <v>0</v>
      </c>
      <c r="AF16" s="557">
        <f t="array" ref="AF16">INDEX(职业列表!AF2:AF505,$D$12)</f>
        <v>0</v>
      </c>
      <c r="AG16" s="557">
        <f t="array" ref="AG16">INDEX(职业列表!AG2:AG505,$D$12)</f>
        <v>0</v>
      </c>
      <c r="AH16" s="557">
        <f t="array" ref="AH16">INDEX(职业列表!AH2:AH505,$D$12)</f>
        <v>0</v>
      </c>
      <c r="AI16" s="557">
        <f t="array" ref="AI16">INDEX(职业列表!AI2:AI505,$D$12)</f>
        <v>0</v>
      </c>
      <c r="AJ16" s="557">
        <f t="array" ref="AJ16">INDEX(职业列表!AJ2:AJ505,$D$12)</f>
        <v>0</v>
      </c>
      <c r="AK16" s="557">
        <f t="array" ref="AK16">INDEX(职业列表!AK2:AK505,$D$12)</f>
        <v>0</v>
      </c>
      <c r="AL16" s="557">
        <f t="array" ref="AL16">INDEX(职业列表!AL2:AL505,$D$12)</f>
        <v>0</v>
      </c>
      <c r="AM16" s="557">
        <f t="array" ref="AM16">INDEX(职业列表!AM2:AM505,$D$12)</f>
        <v>0</v>
      </c>
      <c r="AN16" s="557">
        <f t="array" ref="AN16">INDEX(职业列表!AN2:AN505,$D$12)</f>
        <v>0</v>
      </c>
      <c r="AO16" s="557">
        <f t="array" ref="AO16">INDEX(职业列表!AO2:AO505,$D$12)</f>
        <v>2</v>
      </c>
      <c r="AP16" s="557">
        <f t="array" ref="AP16">INDEX(职业列表!AP2:AP505,$D$12)</f>
        <v>0</v>
      </c>
      <c r="AQ16" s="557">
        <f t="array" ref="AQ16">INDEX(职业列表!AQ2:AQ505,$D$12)</f>
        <v>0</v>
      </c>
      <c r="AR16" s="557">
        <f t="array" ref="AR16">INDEX(职业列表!AR2:AR505,$D$12)</f>
        <v>0</v>
      </c>
      <c r="AS16" s="557">
        <f t="array" ref="AS16">INDEX(职业列表!AS2:AS505,$D$12)</f>
        <v>0</v>
      </c>
      <c r="AT16" s="557">
        <f t="array" ref="AT16">INDEX(职业列表!AT2:AT505,$D$12)</f>
        <v>0</v>
      </c>
      <c r="AU16" s="557">
        <f t="array" ref="AU16">INDEX(职业列表!AU2:AU505,$D$12)</f>
        <v>0</v>
      </c>
      <c r="AV16" s="557">
        <f t="array" ref="AV16">INDEX(职业列表!AV2:AV505,$D$12)</f>
        <v>0</v>
      </c>
      <c r="AW16" s="557">
        <f t="array" ref="AW16">INDEX(职业列表!AW2:AW505,$D$12)</f>
        <v>0</v>
      </c>
      <c r="AX16" s="557">
        <f t="array" ref="AX16">INDEX(职业列表!AX2:AX505,$D$12)</f>
        <v>0</v>
      </c>
    </row>
    <row r="17" s="59" customFormat="1" spans="1:49">
      <c r="A17" s="569"/>
      <c r="B17" s="569"/>
      <c r="C17" s="569"/>
      <c r="D17" s="569"/>
      <c r="E17" s="569"/>
      <c r="F17" s="569"/>
      <c r="G17" s="569"/>
      <c r="H17" s="569"/>
      <c r="I17" s="569"/>
      <c r="J17" s="569"/>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row>
    <row r="19" spans="1:49">
      <c r="A19" s="568" t="s">
        <v>613</v>
      </c>
      <c r="C19" t="s" s="557">
        <v>614</v>
      </c>
      <c r="D19" s="557">
        <f>T16</f>
        <v>0</v>
      </c>
      <c r="F19" t="s" s="557">
        <v>615</v>
      </c>
      <c r="I19" s="570" t="s">
        <v>616</v>
      </c>
      <c r="K19" s="557" t="str">
        <f>INDEX(K20:K26,MATCH(1,I20:I26,0))</f>
        <v>（自定义职业请在掌局者同意后商议定制）</v>
      </c>
    </row>
    <row r="20" spans="1:49">
      <c r="A20" s="557" t="str">
        <f t="array" ref="A20:A35">TRANSPOSE(D16:S16)</f>
        <v>任选10个本职技能，分配350</v>
      </c>
      <c r="D20" s="557">
        <f t="array" ref="D20:D30">TRANSPOSE(U16:AE16)</f>
        <v>0</v>
      </c>
      <c r="F20" s="557">
        <f t="array" ref="F20:F23">TRANSPOSE(AJ15:AM15)</f>
        <v>0</v>
      </c>
      <c r="I20" s="557">
        <f>COUNTIF($A$16,J20&amp;"*")</f>
        <v>0</v>
      </c>
      <c r="J20" t="s" s="557">
        <v>617</v>
      </c>
      <c r="K20" t="s" s="557">
        <v>618</v>
      </c>
    </row>
    <row r="21" spans="1:49">
      <c r="A21" s="557" t="str">
        <v>技能点，额外加在基础值上，</v>
      </c>
      <c r="D21" s="557">
        <v>0</v>
      </c>
      <c r="F21" s="557">
        <v>0</v>
      </c>
      <c r="I21" s="557">
        <f t="shared" ref="I21" si="0">COUNTIF($A$16,J21&amp;"*")</f>
        <v>1</v>
      </c>
      <c r="J21" t="s" s="557">
        <v>148</v>
      </c>
      <c r="K21" t="s" s="557">
        <v>619</v>
      </c>
    </row>
    <row r="22" spans="1:49">
      <c r="A22" s="557" t="str">
        <v>最高至60%。重要关系自4个开</v>
      </c>
      <c r="D22" s="557">
        <v>0</v>
      </c>
      <c r="F22" s="557">
        <v>0</v>
      </c>
    </row>
    <row r="23" spans="1:49">
      <c r="A23" s="557" t="str">
        <v>始每少一个（最少1个），增</v>
      </c>
      <c r="D23" s="557">
        <v>0</v>
      </c>
      <c r="F23" s="557">
        <v>0</v>
      </c>
    </row>
    <row r="24" spans="1:49">
      <c r="A24" s="557" t="str">
        <v>加50本职技能点。</v>
      </c>
      <c r="D24" s="557">
        <v>0</v>
      </c>
    </row>
    <row r="25" spans="1:49">
      <c r="A25" s="557">
        <v>0</v>
      </c>
      <c r="D25" s="557">
        <v>0</v>
      </c>
    </row>
    <row r="26" spans="1:49">
      <c r="A26" s="557">
        <v>0</v>
      </c>
      <c r="D26" s="557">
        <v>0</v>
      </c>
      <c r="I26" s="557">
        <f t="shared" ref="I26" si="1">COUNTIF(A23,J26&amp;"*")</f>
        <v>1</v>
      </c>
      <c r="K26" s="557" t="str">
        <f>""</f>
        <v/>
      </c>
    </row>
    <row r="27" spans="1:49">
      <c r="A27" s="557">
        <v>0</v>
      </c>
      <c r="D27" s="557">
        <v>0</v>
      </c>
      <c r="K27" s="557" t="str">
        <f>""</f>
        <v/>
      </c>
    </row>
    <row r="28" spans="1:49">
      <c r="A28" s="557">
        <v>0</v>
      </c>
      <c r="D28" s="557">
        <v>0</v>
      </c>
    </row>
    <row r="29" spans="1:49">
      <c r="A29" s="557">
        <v>0</v>
      </c>
      <c r="D29" s="557">
        <v>0</v>
      </c>
    </row>
    <row r="30" spans="1:49">
      <c r="A30" s="557">
        <v>0</v>
      </c>
      <c r="D30" s="557">
        <v>0</v>
      </c>
    </row>
    <row r="31" spans="1:49">
      <c r="A31" s="557">
        <v>0</v>
      </c>
    </row>
    <row r="32" spans="1:49">
      <c r="A32" s="557">
        <v>0</v>
      </c>
    </row>
    <row r="33" spans="1:25">
      <c r="A33" s="557">
        <v>0</v>
      </c>
    </row>
    <row r="34" spans="1:25">
      <c r="A34" s="557">
        <v>0</v>
      </c>
    </row>
    <row r="35" spans="1:25">
      <c r="A35" s="557">
        <v>0</v>
      </c>
    </row>
    <row r="36" spans="1:25">
      <c r="A36" s="568" t="s">
        <v>620</v>
      </c>
      <c r="G36" s="571" t="s">
        <v>621</v>
      </c>
    </row>
    <row r="37" spans="1:25">
      <c r="A37" t="s" s="557">
        <v>622</v>
      </c>
      <c r="G37" t="s" s="557">
        <v>623</v>
      </c>
    </row>
    <row r="38" spans="1:25">
      <c r="A38" t="s" s="557">
        <v>624</v>
      </c>
      <c r="G38" t="s" s="557">
        <v>625</v>
      </c>
    </row>
    <row r="39" spans="1:25">
      <c r="A39" t="s" s="557">
        <v>626</v>
      </c>
      <c r="G39" t="s" s="557">
        <v>627</v>
      </c>
    </row>
    <row r="40" spans="1:25">
      <c r="A40" t="s" s="557">
        <v>628</v>
      </c>
      <c r="G40" t="s" s="557">
        <v>629</v>
      </c>
    </row>
    <row r="41" spans="1:25">
      <c r="A41" t="s" s="557">
        <v>630</v>
      </c>
    </row>
    <row r="45" spans="1:25">
      <c r="A45" s="571" t="s">
        <v>631</v>
      </c>
      <c r="C45" s="557">
        <f>MATCH(人物卡!$BW$46,额外技能包!A2:A30,0)</f>
        <v>1</v>
      </c>
    </row>
    <row r="46" spans="1:25">
      <c r="A46" s="557" t="str">
        <f t="array" ref="A46">INDEX(额外技能包!A$2:A$30,$C$45)</f>
        <v>（自选）</v>
      </c>
      <c r="B46" s="557" t="str">
        <f t="array" ref="B46">INDEX(额外技能包!B$2:B$30,$C$45)</f>
        <v>选择8个技能（除了非自</v>
      </c>
      <c r="C46" s="557" t="str">
        <f t="array" ref="C46">INDEX(额外技能包!C$2:C$30,$C$45)</f>
        <v>然知识），为每一个加上</v>
      </c>
      <c r="D46" s="557" t="str">
        <f t="array" ref="D46">INDEX(额外技能包!D$2:D$30,$C$45)</f>
        <v>20点。不能超过80%。可</v>
      </c>
      <c r="E46" s="557" t="str">
        <f t="array" ref="E46">INDEX(额外技能包!E$2:E$30,$C$45)</f>
        <v>重复选择。</v>
      </c>
      <c r="F46" s="557">
        <f t="array" ref="F46">INDEX(额外技能包!F$2:F$30,$C$45)</f>
        <v>0</v>
      </c>
      <c r="G46" s="557">
        <f t="array" ref="G46">INDEX(额外技能包!G$2:G$30,$C$45)</f>
        <v>0</v>
      </c>
      <c r="H46" s="557">
        <f t="array" ref="H46">INDEX(额外技能包!H$2:H$30,$C$45)</f>
        <v>0</v>
      </c>
      <c r="I46" s="557">
        <f t="array" ref="I46">INDEX(额外技能包!I$2:I$30,$C$45)</f>
        <v>0</v>
      </c>
      <c r="J46" s="557">
        <f t="array" ref="J46">INDEX(额外技能包!J$2:J$30,$C$45)</f>
        <v>0</v>
      </c>
      <c r="K46" s="557">
        <f t="array" ref="K46">INDEX(额外技能包!K$2:K$30,$C$45)</f>
        <v>0</v>
      </c>
      <c r="L46" s="557">
        <f t="array" ref="L46">INDEX(额外技能包!L$2:L$30,$C$45)</f>
        <v>0</v>
      </c>
      <c r="M46" s="557">
        <f t="array" ref="M46">INDEX(额外技能包!M$2:M$30,$C$45)</f>
        <v>0</v>
      </c>
      <c r="N46" s="557">
        <f t="array" ref="N46">INDEX(额外技能包!N$2:N$30,$C$45)</f>
        <v>0</v>
      </c>
      <c r="O46" s="557">
        <f t="array" ref="O46">INDEX(额外技能包!O$2:O$30,$C$45)</f>
        <v>0</v>
      </c>
      <c r="P46" s="557">
        <f t="array" ref="P46">INDEX(额外技能包!P$2:P$30,$C$45)</f>
        <v>0</v>
      </c>
      <c r="Q46" s="557">
        <f t="array" ref="Q46">INDEX(额外技能包!Q$2:Q$30,$C$45)</f>
        <v>0</v>
      </c>
      <c r="R46" s="557">
        <f t="array" ref="R46">INDEX(额外技能包!R$2:R$30,$C$45)</f>
        <v>0</v>
      </c>
      <c r="S46" s="557">
        <f t="array" ref="S46">INDEX(额外技能包!S$2:S$30,$C$45)</f>
        <v>0</v>
      </c>
      <c r="T46" s="557">
        <f t="array" ref="T46">INDEX(额外技能包!T$2:T$30,$C$45)</f>
        <v>0</v>
      </c>
      <c r="U46" s="557">
        <f t="array" ref="U46">INDEX(额外技能包!U$2:U$30,$C$45)</f>
        <v>0</v>
      </c>
      <c r="V46" s="557">
        <f t="array" ref="V46">INDEX(额外技能包!V$2:V$30,$C$45)</f>
        <v>0</v>
      </c>
      <c r="W46" s="557">
        <f t="array" ref="W46">INDEX(额外技能包!W$2:W$30,$C$45)</f>
        <v>0</v>
      </c>
      <c r="X46" s="557">
        <f t="array" ref="X46">INDEX(额外技能包!X$2:X$30,$C$45)</f>
        <v>0</v>
      </c>
      <c r="Y46" s="557">
        <f t="array" ref="Y46">INDEX(额外技能包!Y$2:Y$30,$C$45)</f>
        <v>0</v>
      </c>
    </row>
    <row r="48" spans="1:25">
      <c r="A48" s="571" t="s">
        <v>632</v>
      </c>
      <c r="D48" s="557">
        <f>J46</f>
        <v>0</v>
      </c>
    </row>
    <row r="49" spans="1:12">
      <c r="A49" s="557" t="str">
        <f t="array" ref="A49:A56">TRANSPOSE(B46:I46)</f>
        <v>选择8个技能（除了非自</v>
      </c>
      <c r="D49" s="557">
        <f t="array" ref="D49:D59">TRANSPOSE(K46:U46)</f>
        <v>0</v>
      </c>
    </row>
    <row r="50" spans="1:12">
      <c r="A50" s="557" t="str">
        <v>然知识），为每一个加上</v>
      </c>
      <c r="D50" s="557">
        <v>0</v>
      </c>
    </row>
    <row r="51" spans="1:12">
      <c r="A51" s="557" t="str">
        <v>20点。不能超过80%。可</v>
      </c>
      <c r="D51" s="557">
        <v>0</v>
      </c>
    </row>
    <row r="52" spans="1:12">
      <c r="A52" s="557" t="str">
        <v>重复选择。</v>
      </c>
      <c r="D52" s="557">
        <v>0</v>
      </c>
    </row>
    <row r="53" spans="1:12">
      <c r="A53" s="557">
        <v>0</v>
      </c>
      <c r="D53" s="557">
        <v>0</v>
      </c>
    </row>
    <row r="54" spans="1:12">
      <c r="A54" s="557">
        <v>0</v>
      </c>
      <c r="D54" s="557">
        <v>0</v>
      </c>
    </row>
    <row r="55" spans="1:12">
      <c r="A55" s="557">
        <v>0</v>
      </c>
      <c r="D55" s="557">
        <v>0</v>
      </c>
    </row>
    <row r="56" spans="1:12">
      <c r="A56" s="557">
        <v>0</v>
      </c>
      <c r="D56" s="557">
        <v>0</v>
      </c>
    </row>
    <row r="57" spans="1:12">
      <c r="D57" s="557">
        <v>0</v>
      </c>
    </row>
    <row r="58" spans="1:12">
      <c r="D58" s="557">
        <v>0</v>
      </c>
    </row>
    <row r="59" spans="1:12">
      <c r="D59" s="557">
        <v>0</v>
      </c>
    </row>
    <row r="62" spans="1:12">
      <c r="A62" t="s" s="557">
        <v>121</v>
      </c>
      <c r="B62" s="557">
        <f t="array" ref="B62:B65">TRANSPOSE(AF15:AI15)</f>
        <v>0</v>
      </c>
      <c r="G62" t="s" s="557">
        <v>633</v>
      </c>
      <c r="L62" t="s" s="557">
        <v>634</v>
      </c>
    </row>
    <row r="63" spans="1:12">
      <c r="A63" s="557">
        <f>COUNTIF(B62:B65,"&lt;&gt;0")</f>
        <v>0</v>
      </c>
      <c r="B63" s="557">
        <v>0</v>
      </c>
      <c r="G63" t="s" s="557">
        <v>183</v>
      </c>
      <c r="H63" s="557" t="str">
        <f>职业列表!A10</f>
        <v>联邦探员</v>
      </c>
      <c r="L63" t="s" s="557">
        <v>635</v>
      </c>
    </row>
    <row r="64" spans="1:12">
      <c r="B64" s="557">
        <v>0</v>
      </c>
      <c r="G64" t="s" s="557">
        <v>122</v>
      </c>
      <c r="H64" s="557" t="str">
        <f>职业列表!A17</f>
        <v>【额外】情报分析员</v>
      </c>
      <c r="L64" t="s" s="557">
        <v>636</v>
      </c>
    </row>
    <row r="65" spans="2:12">
      <c r="B65" s="557">
        <v>0</v>
      </c>
      <c r="G65" t="s" s="557">
        <v>295</v>
      </c>
      <c r="H65" s="557" t="str">
        <f>职业列表!A18</f>
        <v>【额外】情报官员</v>
      </c>
      <c r="L65" t="s" s="557">
        <v>637</v>
      </c>
    </row>
    <row r="66" spans="2:12">
      <c r="G66" t="s" s="557">
        <v>199</v>
      </c>
      <c r="H66" s="557" t="str">
        <f>职业列表!A11</f>
        <v>医生</v>
      </c>
      <c r="L66" t="s" s="557">
        <v>638</v>
      </c>
    </row>
    <row r="67" spans="2:12">
      <c r="G67" t="s" s="557">
        <v>116</v>
      </c>
      <c r="H67" s="557" t="str">
        <f>职业列表!A12</f>
        <v>科学家</v>
      </c>
    </row>
    <row r="68" spans="2:12">
      <c r="G68" t="s" s="557">
        <v>298</v>
      </c>
      <c r="H68" s="557" t="str">
        <f>职业列表!A9</f>
        <v>计算机科学家或工程师</v>
      </c>
    </row>
    <row r="69" spans="2:12">
      <c r="G69" t="s" s="557">
        <v>306</v>
      </c>
      <c r="H69" s="557" t="str">
        <f>职业列表!A23</f>
        <v>【额外】警察</v>
      </c>
    </row>
    <row r="70" spans="2:12">
      <c r="G70" t="s" s="557">
        <v>155</v>
      </c>
      <c r="H70" s="557" t="str">
        <f>职业列表!A8</f>
        <v>人类学家或历史学家</v>
      </c>
    </row>
    <row r="71" spans="2:12">
      <c r="G71" t="s" s="557">
        <v>308</v>
      </c>
      <c r="H71" s="557" t="str">
        <f>职业列表!A19</f>
        <v>【额外】律师或商务主管</v>
      </c>
    </row>
    <row r="72" spans="2:12">
      <c r="G72" t="s" s="557">
        <v>309</v>
      </c>
      <c r="H72" s="557" t="str">
        <f>职业列表!A24</f>
        <v>【额外】项目群经理</v>
      </c>
    </row>
    <row r="73" spans="2:12">
      <c r="G73" t="s" s="557">
        <v>322</v>
      </c>
      <c r="H73" s="557" t="str">
        <f>职业列表!A20</f>
        <v>【额外】媒体专家</v>
      </c>
    </row>
    <row r="74" spans="2:12">
      <c r="G74" t="s" s="557">
        <v>334</v>
      </c>
      <c r="H74" s="557" t="str">
        <f>职业列表!A25</f>
        <v>【额外】士兵或海军陆战队员</v>
      </c>
    </row>
    <row r="75" spans="2:12">
      <c r="G75" t="s" s="557">
        <v>213</v>
      </c>
      <c r="H75" s="557" t="str">
        <f>职业列表!A25</f>
        <v>【额外】士兵或海军陆战队员</v>
      </c>
    </row>
    <row r="76" spans="2:12">
      <c r="G76" t="s" s="557">
        <v>361</v>
      </c>
      <c r="H76" s="557" t="str">
        <f>职业列表!A22</f>
        <v>【额外】飞行员或水手</v>
      </c>
    </row>
    <row r="77" spans="2:12">
      <c r="G77" t="s" s="557">
        <v>170</v>
      </c>
      <c r="H77" s="557" t="str">
        <f>职业列表!A9</f>
        <v>计算机科学家或工程师</v>
      </c>
    </row>
    <row r="78" spans="2:12">
      <c r="G78" t="s" s="557">
        <v>410</v>
      </c>
      <c r="H78" s="557" t="str">
        <f>职业列表!A16</f>
        <v>【额外】外事官员</v>
      </c>
    </row>
    <row r="79" spans="2:12">
      <c r="G79" t="s" s="557">
        <v>425</v>
      </c>
      <c r="H79" t="s" s="557">
        <v>259</v>
      </c>
    </row>
    <row r="80" spans="2:12">
      <c r="G80" t="s" s="557">
        <v>468</v>
      </c>
      <c r="H80" t="s" s="557">
        <v>252</v>
      </c>
    </row>
    <row r="83" spans="1:8">
      <c r="A83" s="568" t="s">
        <v>639</v>
      </c>
      <c r="B83" s="557">
        <f>MATCH(人物卡!DF46,A84:A88,0)</f>
        <v>1</v>
      </c>
    </row>
    <row r="84" spans="1:8">
      <c r="A84" t="s" s="557">
        <v>640</v>
      </c>
      <c r="B84" s="557" t="str">
        <f t="shared" ref="B84:H84" si="2">" "</f>
        <v> </v>
      </c>
      <c r="C84" s="557" t="str">
        <f t="shared" si="2"/>
        <v> </v>
      </c>
      <c r="D84" s="557" t="str">
        <f t="shared" si="2"/>
        <v> </v>
      </c>
      <c r="E84" s="557" t="str">
        <f t="shared" si="2"/>
        <v> </v>
      </c>
      <c r="F84" s="557" t="str">
        <f t="shared" si="2"/>
        <v> </v>
      </c>
      <c r="G84" s="557" t="str">
        <f t="shared" si="2"/>
        <v> </v>
      </c>
      <c r="H84" s="557" t="str">
        <f t="shared" si="2"/>
        <v> </v>
      </c>
    </row>
    <row r="85" spans="1:8">
      <c r="A85" t="s" s="557">
        <v>641</v>
      </c>
      <c r="B85" t="s" s="557">
        <v>642</v>
      </c>
      <c r="C85" t="s" s="557">
        <v>643</v>
      </c>
      <c r="D85" t="s" s="557">
        <v>644</v>
      </c>
      <c r="E85" t="s" s="557">
        <v>645</v>
      </c>
      <c r="F85" t="s" s="557">
        <v>646</v>
      </c>
      <c r="G85" t="s" s="557">
        <v>647</v>
      </c>
    </row>
    <row r="86" spans="1:8">
      <c r="A86" t="s" s="557">
        <v>648</v>
      </c>
      <c r="B86" t="s" s="557">
        <v>642</v>
      </c>
      <c r="C86" t="s" s="557">
        <v>643</v>
      </c>
      <c r="D86" t="s" s="557">
        <v>649</v>
      </c>
      <c r="E86" t="s" s="557">
        <v>650</v>
      </c>
      <c r="F86" s="557" t="str">
        <f>G85</f>
        <v>与掌局者商讨背景细节</v>
      </c>
      <c r="G86" s="557" t="str">
        <f>" "</f>
        <v> </v>
      </c>
    </row>
    <row r="87" spans="1:8">
      <c r="A87" t="s" s="557">
        <v>651</v>
      </c>
      <c r="B87" t="s" s="557">
        <v>642</v>
      </c>
      <c r="C87" t="s" s="557">
        <v>643</v>
      </c>
      <c r="D87" s="557" t="s">
        <v>652</v>
      </c>
      <c r="E87" s="557" t="s">
        <v>653</v>
      </c>
      <c r="F87" t="s" s="557">
        <v>654</v>
      </c>
      <c r="G87" s="557" t="str">
        <f>G85</f>
        <v>与掌局者商讨背景细节</v>
      </c>
    </row>
    <row r="88" spans="1:8">
      <c r="A88" t="s" s="557">
        <v>120</v>
      </c>
      <c r="B88" t="s" s="557">
        <v>655</v>
      </c>
      <c r="C88" t="s" s="557">
        <v>656</v>
      </c>
      <c r="D88" t="s" s="557">
        <v>657</v>
      </c>
      <c r="E88" t="s" s="557">
        <v>658</v>
      </c>
      <c r="F88" t="s" s="557">
        <v>659</v>
      </c>
      <c r="G88" s="557" t="str">
        <f>G85</f>
        <v>与掌局者商讨背景细节</v>
      </c>
    </row>
    <row r="89" spans="1:8">
      <c r="B89" s="557" t="str">
        <f>VLOOKUP(人物卡!$DF$46,$A$84:$G$88,2,FALSE)</f>
        <v> </v>
      </c>
      <c r="C89" s="557" t="str">
        <f>VLOOKUP(人物卡!$DF$46,$A$84:$G$88,3,FALSE)</f>
        <v> </v>
      </c>
      <c r="D89" s="557" t="str">
        <f>VLOOKUP(人物卡!$DF$46,$A$84:$G$88,4,FALSE)</f>
        <v> </v>
      </c>
      <c r="E89" s="557" t="str">
        <f>VLOOKUP(人物卡!$DF$46,$A$84:$G$88,5,FALSE)</f>
        <v> </v>
      </c>
      <c r="F89" s="557" t="str">
        <f>VLOOKUP(人物卡!$DF$46,$A$84:$G$88,6,FALSE)</f>
        <v> </v>
      </c>
      <c r="G89" s="557" t="str">
        <f>VLOOKUP(人物卡!$DF$46,$A$84:$G$88,7,FALSE)</f>
        <v> </v>
      </c>
    </row>
    <row r="92" spans="1:8">
      <c r="A92" s="568" t="s">
        <v>660</v>
      </c>
    </row>
    <row r="93" spans="1:8">
      <c r="A93" s="557" t="str">
        <f>人物卡!AB3</f>
        <v>力量</v>
      </c>
      <c r="C93" s="557">
        <f>人物卡!AK3</f>
        <v>0</v>
      </c>
      <c r="D93" s="557" t="str">
        <f>IF(LEN(B93)=0,A93,MID(B93,2,LEN(B93)-2))</f>
        <v>力量</v>
      </c>
      <c r="E93" s="557" t="str">
        <f>IF(C93&gt;0,D93&amp;C93,"")</f>
        <v/>
      </c>
    </row>
    <row r="94" spans="1:8">
      <c r="A94" s="557" t="str">
        <f>人物卡!AB4</f>
        <v>体质</v>
      </c>
      <c r="C94" s="557">
        <f>人物卡!AK4</f>
        <v>0</v>
      </c>
      <c r="D94" s="557" t="str">
        <f t="shared" ref="D94:D125" si="3">IF(LEN(B94)=0,A94,MID(B94,2,LEN(B94)-2))</f>
        <v>体质</v>
      </c>
      <c r="E94" s="557" t="str">
        <f t="shared" ref="E94:E125" si="4">IF(C94&gt;0,D94&amp;C94,"")</f>
        <v/>
      </c>
    </row>
    <row r="95" spans="1:8">
      <c r="A95" s="557" t="str">
        <f>人物卡!AB5</f>
        <v>敏捷</v>
      </c>
      <c r="C95" s="557">
        <f>人物卡!AK5</f>
        <v>0</v>
      </c>
      <c r="D95" s="557" t="str">
        <f t="shared" si="3"/>
        <v>敏捷</v>
      </c>
      <c r="E95" s="557" t="str">
        <f t="shared" si="4"/>
        <v/>
      </c>
    </row>
    <row r="96" spans="1:8">
      <c r="A96" s="557" t="str">
        <f>人物卡!AB6</f>
        <v>智力</v>
      </c>
      <c r="C96" s="557">
        <f>人物卡!AK6</f>
        <v>0</v>
      </c>
      <c r="D96" s="557" t="str">
        <f t="shared" si="3"/>
        <v>智力</v>
      </c>
      <c r="E96" s="557" t="str">
        <f t="shared" si="4"/>
        <v/>
      </c>
    </row>
    <row r="97" spans="1:5">
      <c r="A97" s="557" t="str">
        <f>人物卡!AB7</f>
        <v>意志</v>
      </c>
      <c r="C97" s="557">
        <f>人物卡!AK7</f>
        <v>0</v>
      </c>
      <c r="D97" s="557" t="str">
        <f t="shared" si="3"/>
        <v>意志</v>
      </c>
      <c r="E97" s="557" t="str">
        <f t="shared" si="4"/>
        <v/>
      </c>
    </row>
    <row r="98" spans="1:5">
      <c r="A98" s="557" t="str">
        <f>人物卡!AB8</f>
        <v>魅力</v>
      </c>
      <c r="C98" s="557">
        <f>人物卡!AK8</f>
        <v>0</v>
      </c>
      <c r="D98" s="557" t="str">
        <f t="shared" si="3"/>
        <v>魅力</v>
      </c>
      <c r="E98" s="557" t="str">
        <f t="shared" si="4"/>
        <v/>
      </c>
    </row>
    <row r="99" spans="1:5">
      <c r="A99" t="s" s="557">
        <v>35</v>
      </c>
      <c r="C99" s="557">
        <f>人物卡!H10</f>
        <v>0</v>
      </c>
      <c r="D99" s="557" t="str">
        <f t="shared" si="3"/>
        <v>体力</v>
      </c>
      <c r="E99" s="557" t="str">
        <f t="shared" si="4"/>
        <v/>
      </c>
    </row>
    <row r="100" spans="1:5">
      <c r="A100" t="s" s="557">
        <v>36</v>
      </c>
      <c r="C100" s="557">
        <f>人物卡!V10</f>
        <v>0</v>
      </c>
      <c r="D100" s="557" t="str">
        <f t="shared" si="3"/>
        <v>毅力</v>
      </c>
      <c r="E100" s="557" t="str">
        <f t="shared" si="4"/>
        <v/>
      </c>
    </row>
    <row r="101" spans="1:5">
      <c r="A101" t="s" s="557">
        <v>37</v>
      </c>
      <c r="C101" s="557">
        <f>人物卡!AH10</f>
        <v>0</v>
      </c>
      <c r="D101" s="557" t="str">
        <f t="shared" si="3"/>
        <v>理智</v>
      </c>
      <c r="E101" s="557" t="str">
        <f t="shared" si="4"/>
        <v/>
      </c>
    </row>
    <row r="102" spans="1:5">
      <c r="A102" t="s" s="557">
        <v>38</v>
      </c>
      <c r="C102" s="557">
        <f>人物卡!AU10</f>
        <v>0</v>
      </c>
      <c r="D102" s="557" t="str">
        <f t="shared" si="3"/>
        <v>崩溃点</v>
      </c>
      <c r="E102" s="557" t="str">
        <f t="shared" si="4"/>
        <v/>
      </c>
    </row>
    <row r="103" spans="1:5">
      <c r="A103" s="557" t="str">
        <f t="array" ref="A103:A132">SUBSTITUTE(人物卡!D14:D43,"：","")</f>
        <v>会计学</v>
      </c>
      <c r="B103" s="557" t="str">
        <f>IF(ISBLANK(人物卡!J14),"","（"&amp;人物卡!J14&amp;"）")</f>
        <v/>
      </c>
      <c r="C103" s="557">
        <f ca="1">人物卡!P14</f>
        <v>10</v>
      </c>
      <c r="D103" s="557" t="str">
        <f t="shared" si="3"/>
        <v>会计学</v>
      </c>
      <c r="E103" s="557" t="str">
        <f ca="1" t="shared" si="4"/>
        <v>会计学10</v>
      </c>
    </row>
    <row r="104" spans="1:5">
      <c r="A104" s="557" t="str">
        <v>警觉</v>
      </c>
      <c r="B104" s="557" t="str">
        <f>IF(ISBLANK(人物卡!J15),"","（"&amp;人物卡!J15&amp;"）")</f>
        <v/>
      </c>
      <c r="C104" s="557">
        <f ca="1">人物卡!P15</f>
        <v>20</v>
      </c>
      <c r="D104" s="557" t="str">
        <f t="shared" si="3"/>
        <v>警觉</v>
      </c>
      <c r="E104" s="557" t="str">
        <f ca="1" t="shared" si="4"/>
        <v>警觉20</v>
      </c>
    </row>
    <row r="105" spans="1:5">
      <c r="A105" s="557" t="str">
        <v>人类学</v>
      </c>
      <c r="B105" s="557" t="str">
        <f>IF(ISBLANK(人物卡!J16),"","（"&amp;人物卡!J16&amp;"）")</f>
        <v/>
      </c>
      <c r="C105" s="557">
        <f ca="1">人物卡!P16</f>
        <v>0</v>
      </c>
      <c r="D105" s="557" t="str">
        <f t="shared" si="3"/>
        <v>人类学</v>
      </c>
      <c r="E105" s="557" t="str">
        <f ca="1" t="shared" si="4"/>
        <v/>
      </c>
    </row>
    <row r="106" spans="1:5">
      <c r="A106" s="557" t="str">
        <v>考古学</v>
      </c>
      <c r="B106" s="557" t="str">
        <f>IF(ISBLANK(人物卡!J17),"","（"&amp;人物卡!J17&amp;"）")</f>
        <v/>
      </c>
      <c r="C106" s="557">
        <f ca="1">人物卡!P17</f>
        <v>0</v>
      </c>
      <c r="D106" s="557" t="str">
        <f t="shared" si="3"/>
        <v>考古学</v>
      </c>
      <c r="E106" s="557" t="str">
        <f ca="1" t="shared" si="4"/>
        <v/>
      </c>
    </row>
    <row r="107" spans="1:5">
      <c r="A107" s="557" t="str">
        <v>艺术</v>
      </c>
      <c r="B107" s="557" t="str">
        <f ca="1">IF(ISBLANK(人物卡!J18),"","（"&amp;人物卡!J18&amp;"）")</f>
        <v>（）</v>
      </c>
      <c r="C107" s="557">
        <f ca="1">人物卡!P18</f>
        <v>0</v>
      </c>
      <c r="D107" s="557" t="str">
        <f ca="1" t="shared" si="3"/>
        <v/>
      </c>
      <c r="E107" s="557" t="str">
        <f ca="1" t="shared" si="4"/>
        <v/>
      </c>
    </row>
    <row r="108" spans="1:5">
      <c r="A108" s="557" t="str">
        <v>艺术</v>
      </c>
      <c r="B108" s="557" t="str">
        <f ca="1">IF(ISBLANK(人物卡!J19),"","（"&amp;人物卡!J19&amp;"）")</f>
        <v>（）</v>
      </c>
      <c r="C108" s="557">
        <f ca="1">人物卡!P19</f>
        <v>0</v>
      </c>
      <c r="D108" s="557" t="str">
        <f ca="1" t="shared" si="3"/>
        <v/>
      </c>
      <c r="E108" s="557" t="str">
        <f ca="1" t="shared" si="4"/>
        <v/>
      </c>
    </row>
    <row r="109" spans="1:5">
      <c r="A109" s="557" t="str">
        <v>艺术</v>
      </c>
      <c r="B109" s="557" t="str">
        <f ca="1">IF(ISBLANK(人物卡!J20),"","（"&amp;人物卡!J20&amp;"）")</f>
        <v>（）</v>
      </c>
      <c r="C109" s="557">
        <f ca="1">人物卡!P20</f>
        <v>0</v>
      </c>
      <c r="D109" s="557" t="str">
        <f ca="1" t="shared" si="3"/>
        <v/>
      </c>
      <c r="E109" s="557" t="str">
        <f ca="1" t="shared" si="4"/>
        <v/>
      </c>
    </row>
    <row r="110" spans="1:5">
      <c r="A110" s="557" t="str">
        <v>炮术</v>
      </c>
      <c r="B110" s="557" t="str">
        <f>IF(ISBLANK(人物卡!J21),"","（"&amp;人物卡!J21&amp;"）")</f>
        <v/>
      </c>
      <c r="C110" s="557">
        <f ca="1">人物卡!P21</f>
        <v>0</v>
      </c>
      <c r="D110" s="557" t="str">
        <f t="shared" si="3"/>
        <v>炮术</v>
      </c>
      <c r="E110" s="557" t="str">
        <f ca="1" t="shared" si="4"/>
        <v/>
      </c>
    </row>
    <row r="111" spans="1:5">
      <c r="A111" s="557" t="str">
        <v>运动</v>
      </c>
      <c r="B111" s="557" t="str">
        <f>IF(ISBLANK(人物卡!J22),"","（"&amp;人物卡!J22&amp;"）")</f>
        <v/>
      </c>
      <c r="C111" s="557">
        <f ca="1">人物卡!P22</f>
        <v>30</v>
      </c>
      <c r="D111" s="557" t="str">
        <f t="shared" si="3"/>
        <v>运动</v>
      </c>
      <c r="E111" s="557" t="str">
        <f ca="1" t="shared" si="4"/>
        <v>运动30</v>
      </c>
    </row>
    <row r="112" spans="1:5">
      <c r="A112" s="557" t="str">
        <v>行政</v>
      </c>
      <c r="B112" s="557" t="str">
        <f>IF(ISBLANK(人物卡!J23),"","（"&amp;人物卡!J23&amp;"）")</f>
        <v/>
      </c>
      <c r="C112" s="557">
        <f ca="1">人物卡!P23</f>
        <v>10</v>
      </c>
      <c r="D112" s="557" t="str">
        <f t="shared" si="3"/>
        <v>行政</v>
      </c>
      <c r="E112" s="557" t="str">
        <f ca="1" t="shared" si="4"/>
        <v>行政10</v>
      </c>
    </row>
    <row r="113" spans="1:5">
      <c r="A113" s="557" t="str">
        <v>计算机科学</v>
      </c>
      <c r="B113" s="557" t="str">
        <f>IF(ISBLANK(人物卡!J24),"","（"&amp;人物卡!J24&amp;"）")</f>
        <v/>
      </c>
      <c r="C113" s="557">
        <f ca="1">人物卡!P24</f>
        <v>0</v>
      </c>
      <c r="D113" s="557" t="str">
        <f t="shared" si="3"/>
        <v>计算机科学</v>
      </c>
      <c r="E113" s="557" t="str">
        <f ca="1" t="shared" si="4"/>
        <v/>
      </c>
    </row>
    <row r="114" spans="1:5">
      <c r="A114" s="557" t="str">
        <v>工艺</v>
      </c>
      <c r="B114" s="557" t="str">
        <f ca="1">IF(ISBLANK(人物卡!J25),"","（"&amp;人物卡!J25&amp;"）")</f>
        <v>（）</v>
      </c>
      <c r="C114" s="557">
        <f ca="1">人物卡!P25</f>
        <v>0</v>
      </c>
      <c r="D114" s="557" t="str">
        <f ca="1" t="shared" si="3"/>
        <v/>
      </c>
      <c r="E114" s="557" t="str">
        <f ca="1" t="shared" si="4"/>
        <v/>
      </c>
    </row>
    <row r="115" spans="1:5">
      <c r="A115" s="557" t="str">
        <v>工艺</v>
      </c>
      <c r="B115" s="557" t="str">
        <f ca="1">IF(ISBLANK(人物卡!J26),"","（"&amp;人物卡!J26&amp;"）")</f>
        <v>（）</v>
      </c>
      <c r="C115" s="557">
        <f ca="1">人物卡!P26</f>
        <v>0</v>
      </c>
      <c r="D115" s="557" t="str">
        <f ca="1" t="shared" si="3"/>
        <v/>
      </c>
      <c r="E115" s="557" t="str">
        <f ca="1" t="shared" si="4"/>
        <v/>
      </c>
    </row>
    <row r="116" spans="1:5">
      <c r="A116" s="557" t="str">
        <v>工艺</v>
      </c>
      <c r="B116" s="557" t="str">
        <f ca="1">IF(ISBLANK(人物卡!J27),"","（"&amp;人物卡!J27&amp;"）")</f>
        <v>（）</v>
      </c>
      <c r="C116" s="557">
        <f ca="1">人物卡!P27</f>
        <v>0</v>
      </c>
      <c r="D116" s="557" t="str">
        <f ca="1" t="shared" si="3"/>
        <v/>
      </c>
      <c r="E116" s="557" t="str">
        <f ca="1" t="shared" si="4"/>
        <v/>
      </c>
    </row>
    <row r="117" spans="1:5">
      <c r="A117" s="557" t="str">
        <v>工艺</v>
      </c>
      <c r="B117" s="557" t="str">
        <f ca="1">IF(ISBLANK(人物卡!J28),"","（"&amp;人物卡!J28&amp;"）")</f>
        <v>（）</v>
      </c>
      <c r="C117" s="557">
        <f ca="1">人物卡!P28</f>
        <v>0</v>
      </c>
      <c r="D117" s="557" t="str">
        <f ca="1" t="shared" si="3"/>
        <v/>
      </c>
      <c r="E117" s="557" t="str">
        <f ca="1" t="shared" si="4"/>
        <v/>
      </c>
    </row>
    <row r="118" spans="1:5">
      <c r="A118" s="557" t="str">
        <v>犯罪学</v>
      </c>
      <c r="B118" s="557" t="str">
        <f>IF(ISBLANK(人物卡!J29),"","（"&amp;人物卡!J29&amp;"）")</f>
        <v/>
      </c>
      <c r="C118" s="557">
        <f ca="1">人物卡!P29</f>
        <v>10</v>
      </c>
      <c r="D118" s="557" t="str">
        <f t="shared" si="3"/>
        <v>犯罪学</v>
      </c>
      <c r="E118" s="557" t="str">
        <f ca="1" t="shared" si="4"/>
        <v>犯罪学10</v>
      </c>
    </row>
    <row r="119" spans="1:5">
      <c r="A119" s="557" t="str">
        <v>爆破</v>
      </c>
      <c r="B119" s="557" t="str">
        <f>IF(ISBLANK(人物卡!J30),"","（"&amp;人物卡!J30&amp;"）")</f>
        <v/>
      </c>
      <c r="C119" s="557">
        <f ca="1">人物卡!P30</f>
        <v>0</v>
      </c>
      <c r="D119" s="557" t="str">
        <f t="shared" si="3"/>
        <v>爆破</v>
      </c>
      <c r="E119" s="557" t="str">
        <f ca="1" t="shared" si="4"/>
        <v/>
      </c>
    </row>
    <row r="120" spans="1:5">
      <c r="A120" s="557" t="str">
        <v>乔装</v>
      </c>
      <c r="B120" s="557" t="str">
        <f>IF(ISBLANK(人物卡!J31),"","（"&amp;人物卡!J31&amp;"）")</f>
        <v/>
      </c>
      <c r="C120" s="557">
        <f ca="1">人物卡!P31</f>
        <v>10</v>
      </c>
      <c r="D120" s="557" t="str">
        <f t="shared" si="3"/>
        <v>乔装</v>
      </c>
      <c r="E120" s="557" t="str">
        <f ca="1" t="shared" si="4"/>
        <v>乔装10</v>
      </c>
    </row>
    <row r="121" spans="1:5">
      <c r="A121" s="557" t="str">
        <v>闪避</v>
      </c>
      <c r="B121" s="557" t="str">
        <f>IF(ISBLANK(人物卡!J32),"","（"&amp;人物卡!J32&amp;"）")</f>
        <v/>
      </c>
      <c r="C121" s="557">
        <f ca="1">人物卡!P32</f>
        <v>30</v>
      </c>
      <c r="D121" s="557" t="str">
        <f t="shared" si="3"/>
        <v>闪避</v>
      </c>
      <c r="E121" s="557" t="str">
        <f ca="1" t="shared" si="4"/>
        <v>闪避30</v>
      </c>
    </row>
    <row r="122" spans="1:5">
      <c r="A122" s="557" t="str">
        <v>机动车驾驶</v>
      </c>
      <c r="B122" s="557" t="str">
        <f>IF(ISBLANK(人物卡!J33),"","（"&amp;人物卡!J33&amp;"）")</f>
        <v/>
      </c>
      <c r="C122" s="557">
        <f ca="1">人物卡!P33</f>
        <v>20</v>
      </c>
      <c r="D122" s="557" t="str">
        <f t="shared" si="3"/>
        <v>机动车驾驶</v>
      </c>
      <c r="E122" s="557" t="str">
        <f ca="1" t="shared" si="4"/>
        <v>机动车驾驶20</v>
      </c>
    </row>
    <row r="123" spans="1:5">
      <c r="A123" s="557" t="str">
        <v>射击</v>
      </c>
      <c r="B123" s="557" t="str">
        <f>IF(ISBLANK(人物卡!J34),"","（"&amp;人物卡!J34&amp;"）")</f>
        <v/>
      </c>
      <c r="C123" s="557">
        <f ca="1">人物卡!P34</f>
        <v>20</v>
      </c>
      <c r="D123" s="557" t="str">
        <f t="shared" si="3"/>
        <v>射击</v>
      </c>
      <c r="E123" s="557" t="str">
        <f ca="1" t="shared" si="4"/>
        <v>射击20</v>
      </c>
    </row>
    <row r="124" spans="1:5">
      <c r="A124" s="557" t="str">
        <v>急救</v>
      </c>
      <c r="B124" s="557" t="str">
        <f>IF(ISBLANK(人物卡!J35),"","（"&amp;人物卡!J35&amp;"）")</f>
        <v/>
      </c>
      <c r="C124" s="557">
        <f ca="1">人物卡!P35</f>
        <v>10</v>
      </c>
      <c r="D124" s="557" t="str">
        <f t="shared" si="3"/>
        <v>急救</v>
      </c>
      <c r="E124" s="557" t="str">
        <f ca="1" t="shared" si="4"/>
        <v>急救10</v>
      </c>
    </row>
    <row r="125" spans="1:5">
      <c r="A125" s="557" t="str">
        <v>外语</v>
      </c>
      <c r="B125" s="557" t="str">
        <f>IF(ISBLANK(人物卡!J36),"","（"&amp;人物卡!J36&amp;"）")</f>
        <v>（）</v>
      </c>
      <c r="C125" s="557">
        <f ca="1">人物卡!P36</f>
        <v>0</v>
      </c>
      <c r="D125" s="557" t="str">
        <f t="shared" si="3"/>
        <v/>
      </c>
      <c r="E125" s="557" t="str">
        <f ca="1" t="shared" si="4"/>
        <v/>
      </c>
    </row>
    <row r="126" spans="1:5">
      <c r="A126" s="557" t="str">
        <v>外语</v>
      </c>
      <c r="B126" s="557" t="str">
        <f>IF(ISBLANK(人物卡!J37),"","（"&amp;人物卡!J37&amp;"）")</f>
        <v>（）</v>
      </c>
      <c r="C126" s="557">
        <f ca="1">人物卡!P37</f>
        <v>0</v>
      </c>
      <c r="D126" s="557" t="str">
        <f t="shared" ref="D126:D162" si="5">IF(LEN(B126)=0,A126,MID(B126,2,LEN(B126)-2))</f>
        <v/>
      </c>
      <c r="E126" s="557" t="str">
        <f ca="1" t="shared" ref="E126:E162" si="6">IF(C126&gt;0,D126&amp;C126,"")</f>
        <v/>
      </c>
    </row>
    <row r="127" spans="1:5">
      <c r="A127" s="557" t="str">
        <v>外语</v>
      </c>
      <c r="B127" s="557" t="str">
        <f ca="1">IF(ISBLANK(人物卡!J38),"","（"&amp;人物卡!J38&amp;"）")</f>
        <v>（）</v>
      </c>
      <c r="C127" s="557">
        <f ca="1">人物卡!P38</f>
        <v>0</v>
      </c>
      <c r="D127" s="557" t="str">
        <f ca="1" t="shared" si="5"/>
        <v/>
      </c>
      <c r="E127" s="557" t="str">
        <f ca="1" t="shared" si="6"/>
        <v/>
      </c>
    </row>
    <row r="128" spans="1:5">
      <c r="A128" s="557" t="str">
        <v>法证学</v>
      </c>
      <c r="B128" s="557" t="str">
        <f>IF(ISBLANK(人物卡!J39),"","（"&amp;人物卡!J39&amp;"）")</f>
        <v/>
      </c>
      <c r="C128" s="557">
        <f ca="1">人物卡!P39</f>
        <v>0</v>
      </c>
      <c r="D128" s="557" t="str">
        <f t="shared" si="5"/>
        <v>法证学</v>
      </c>
      <c r="E128" s="557" t="str">
        <f ca="1" t="shared" si="6"/>
        <v/>
      </c>
    </row>
    <row r="129" spans="1:5">
      <c r="A129" s="557" t="str">
        <v>重型机械</v>
      </c>
      <c r="B129" s="557" t="str">
        <f>IF(ISBLANK(人物卡!J40),"","（"&amp;人物卡!J40&amp;"）")</f>
        <v/>
      </c>
      <c r="C129" s="557">
        <f ca="1">人物卡!P40</f>
        <v>10</v>
      </c>
      <c r="D129" s="557" t="str">
        <f t="shared" si="5"/>
        <v>重型机械</v>
      </c>
      <c r="E129" s="557" t="str">
        <f ca="1" t="shared" si="6"/>
        <v>重型机械10</v>
      </c>
    </row>
    <row r="130" spans="1:5">
      <c r="A130" s="557" t="str">
        <v>重型武器</v>
      </c>
      <c r="B130" s="557" t="str">
        <f>IF(ISBLANK(人物卡!J41),"","（"&amp;人物卡!J41&amp;"）")</f>
        <v/>
      </c>
      <c r="C130" s="557">
        <f ca="1">人物卡!P41</f>
        <v>0</v>
      </c>
      <c r="D130" s="557" t="str">
        <f t="shared" si="5"/>
        <v>重型武器</v>
      </c>
      <c r="E130" s="557" t="str">
        <f ca="1" t="shared" si="6"/>
        <v/>
      </c>
    </row>
    <row r="131" spans="1:5">
      <c r="A131" s="557" t="str">
        <v>历史</v>
      </c>
      <c r="B131" s="557" t="str">
        <f>IF(ISBLANK(人物卡!J42),"","（"&amp;人物卡!J42&amp;"）")</f>
        <v/>
      </c>
      <c r="C131" s="557">
        <f ca="1">人物卡!P42</f>
        <v>10</v>
      </c>
      <c r="D131" s="557" t="str">
        <f t="shared" si="5"/>
        <v>历史</v>
      </c>
      <c r="E131" s="557" t="str">
        <f ca="1" t="shared" si="6"/>
        <v>历史10</v>
      </c>
    </row>
    <row r="132" spans="1:5">
      <c r="A132" s="557" t="str">
        <v>人源情报</v>
      </c>
      <c r="B132" s="557" t="str">
        <f>IF(ISBLANK(人物卡!J43),"","（"&amp;人物卡!J43&amp;"）")</f>
        <v/>
      </c>
      <c r="C132" s="557">
        <f ca="1">人物卡!P43</f>
        <v>10</v>
      </c>
      <c r="D132" s="557" t="str">
        <f t="shared" si="5"/>
        <v>人源情报</v>
      </c>
      <c r="E132" s="557" t="str">
        <f ca="1" t="shared" si="6"/>
        <v>人源情报10</v>
      </c>
    </row>
    <row r="133" spans="1:5">
      <c r="A133" s="557" t="str">
        <f ca="1" t="array" ref="A133:A162">SUBSTITUTE(人物卡!AG14:AG43,"：","")</f>
        <v>法律</v>
      </c>
      <c r="B133" s="557" t="str">
        <f>IF(ISBLANK(人物卡!AM14),"","（"&amp;人物卡!AM14&amp;"）")</f>
        <v/>
      </c>
      <c r="C133" s="557">
        <f ca="1">人物卡!AS14</f>
        <v>0</v>
      </c>
      <c r="D133" s="557" t="str">
        <f ca="1" t="shared" si="5"/>
        <v>法律</v>
      </c>
      <c r="E133" s="557" t="str">
        <f ca="1" t="shared" si="6"/>
        <v/>
      </c>
    </row>
    <row r="134" spans="1:5">
      <c r="A134" s="557" t="str">
        <v>医学</v>
      </c>
      <c r="B134" s="557" t="str">
        <f>IF(ISBLANK(人物卡!AM15),"","（"&amp;人物卡!AM15&amp;"）")</f>
        <v/>
      </c>
      <c r="C134" s="557">
        <f ca="1">人物卡!AS15</f>
        <v>0</v>
      </c>
      <c r="D134" s="557" t="str">
        <f ca="1" t="shared" si="5"/>
        <v>医学</v>
      </c>
      <c r="E134" s="557" t="str">
        <f ca="1" t="shared" si="6"/>
        <v/>
      </c>
    </row>
    <row r="135" spans="1:5">
      <c r="A135" s="557" t="str">
        <v>近战武器</v>
      </c>
      <c r="B135" s="557" t="str">
        <f>IF(ISBLANK(人物卡!AM16),"","（"&amp;人物卡!AM16&amp;"）")</f>
        <v/>
      </c>
      <c r="C135" s="557">
        <f ca="1">人物卡!AS16</f>
        <v>30</v>
      </c>
      <c r="D135" s="557" t="str">
        <f ca="1" t="shared" si="5"/>
        <v>近战武器</v>
      </c>
      <c r="E135" s="557" t="str">
        <f ca="1" t="shared" si="6"/>
        <v>近战武器30</v>
      </c>
    </row>
    <row r="136" spans="1:5">
      <c r="A136" s="557" t="str">
        <v>军事科学</v>
      </c>
      <c r="B136" s="557" t="str">
        <f ca="1">IF(ISBLANK(人物卡!AM17),"","（"&amp;人物卡!AM17&amp;"）")</f>
        <v>（）</v>
      </c>
      <c r="C136" s="557">
        <f ca="1">人物卡!AS17</f>
        <v>0</v>
      </c>
      <c r="D136" s="557" t="str">
        <f ca="1" t="shared" si="5"/>
        <v/>
      </c>
      <c r="E136" s="557" t="str">
        <f ca="1" t="shared" si="6"/>
        <v/>
      </c>
    </row>
    <row r="137" spans="1:5">
      <c r="A137" s="557" t="str">
        <v>军事科学</v>
      </c>
      <c r="B137" s="557" t="str">
        <f ca="1">IF(ISBLANK(人物卡!AM18),"","（"&amp;人物卡!AM18&amp;"）")</f>
        <v>（）</v>
      </c>
      <c r="C137" s="557">
        <f ca="1">人物卡!AS18</f>
        <v>0</v>
      </c>
      <c r="D137" s="557" t="str">
        <f ca="1" t="shared" si="5"/>
        <v/>
      </c>
      <c r="E137" s="557" t="str">
        <f ca="1" t="shared" si="6"/>
        <v/>
      </c>
    </row>
    <row r="138" spans="1:5">
      <c r="A138" s="557" t="str">
        <v>军事科学</v>
      </c>
      <c r="B138" s="557" t="str">
        <f ca="1">IF(ISBLANK(人物卡!AM19),"","（"&amp;人物卡!AM19&amp;"）")</f>
        <v>（）</v>
      </c>
      <c r="C138" s="557">
        <f ca="1">人物卡!AS19</f>
        <v>0</v>
      </c>
      <c r="D138" s="557" t="str">
        <f ca="1" t="shared" si="5"/>
        <v/>
      </c>
      <c r="E138" s="557" t="str">
        <f ca="1" t="shared" si="6"/>
        <v/>
      </c>
    </row>
    <row r="139" spans="1:5">
      <c r="A139" s="557" t="str">
        <v>导航</v>
      </c>
      <c r="B139" s="557" t="str">
        <f>IF(ISBLANK(人物卡!AM20),"","（"&amp;人物卡!AM20&amp;"）")</f>
        <v/>
      </c>
      <c r="C139" s="557">
        <f ca="1">人物卡!AS20</f>
        <v>10</v>
      </c>
      <c r="D139" s="557" t="str">
        <f ca="1" t="shared" si="5"/>
        <v>导航</v>
      </c>
      <c r="E139" s="557" t="str">
        <f ca="1" t="shared" si="6"/>
        <v>导航10</v>
      </c>
    </row>
    <row r="140" spans="1:5">
      <c r="A140" s="557" t="str">
        <v>神秘学</v>
      </c>
      <c r="B140" s="557" t="str">
        <f>IF(ISBLANK(人物卡!AM21),"","（"&amp;人物卡!AM21&amp;"）")</f>
        <v/>
      </c>
      <c r="C140" s="557">
        <f ca="1">人物卡!AS21</f>
        <v>10</v>
      </c>
      <c r="D140" s="557" t="str">
        <f ca="1" t="shared" si="5"/>
        <v>神秘学</v>
      </c>
      <c r="E140" s="557" t="str">
        <f ca="1" t="shared" si="6"/>
        <v>神秘学10</v>
      </c>
    </row>
    <row r="141" spans="1:5">
      <c r="A141" s="557" t="str">
        <v>说服</v>
      </c>
      <c r="B141" s="557" t="str">
        <f>IF(ISBLANK(人物卡!AM22),"","（"&amp;人物卡!AM22&amp;"）")</f>
        <v/>
      </c>
      <c r="C141" s="557">
        <f ca="1">人物卡!AS22</f>
        <v>20</v>
      </c>
      <c r="D141" s="557" t="str">
        <f ca="1" t="shared" si="5"/>
        <v>说服</v>
      </c>
      <c r="E141" s="557" t="str">
        <f ca="1" t="shared" si="6"/>
        <v>说服20</v>
      </c>
    </row>
    <row r="142" spans="1:5">
      <c r="A142" s="557" t="str">
        <v>药学</v>
      </c>
      <c r="B142" s="557" t="str">
        <f>IF(ISBLANK(人物卡!AM23),"","（"&amp;人物卡!AM23&amp;"）")</f>
        <v/>
      </c>
      <c r="C142" s="557">
        <f ca="1">人物卡!AS23</f>
        <v>0</v>
      </c>
      <c r="D142" s="557" t="str">
        <f ca="1" t="shared" si="5"/>
        <v>药学</v>
      </c>
      <c r="E142" s="557" t="str">
        <f ca="1" t="shared" si="6"/>
        <v/>
      </c>
    </row>
    <row r="143" spans="1:5">
      <c r="A143" s="557" t="str">
        <v>特种载具</v>
      </c>
      <c r="B143" s="557" t="str">
        <f ca="1">IF(ISBLANK(人物卡!AM24),"","（"&amp;人物卡!AM24&amp;"）")</f>
        <v>（）</v>
      </c>
      <c r="C143" s="557">
        <f ca="1">人物卡!AS24</f>
        <v>0</v>
      </c>
      <c r="D143" s="557" t="str">
        <f ca="1" t="shared" si="5"/>
        <v/>
      </c>
      <c r="E143" s="557" t="str">
        <f ca="1" t="shared" si="6"/>
        <v/>
      </c>
    </row>
    <row r="144" spans="1:5">
      <c r="A144" s="557" t="str">
        <v>特种载具</v>
      </c>
      <c r="B144" s="557" t="str">
        <f ca="1">IF(ISBLANK(人物卡!AM25),"","（"&amp;人物卡!AM25&amp;"）")</f>
        <v>（）</v>
      </c>
      <c r="C144" s="557">
        <f ca="1">人物卡!AS25</f>
        <v>0</v>
      </c>
      <c r="D144" s="557" t="str">
        <f ca="1" t="shared" si="5"/>
        <v/>
      </c>
      <c r="E144" s="557" t="str">
        <f ca="1" t="shared" si="6"/>
        <v/>
      </c>
    </row>
    <row r="145" spans="1:5">
      <c r="A145" s="557" t="str">
        <v>特种载具</v>
      </c>
      <c r="B145" s="557" t="str">
        <f ca="1">IF(ISBLANK(人物卡!AM26),"","（"&amp;人物卡!AM26&amp;"）")</f>
        <v>（）</v>
      </c>
      <c r="C145" s="557">
        <f ca="1">人物卡!AS26</f>
        <v>0</v>
      </c>
      <c r="D145" s="557" t="str">
        <f ca="1" t="shared" si="5"/>
        <v/>
      </c>
      <c r="E145" s="557" t="str">
        <f ca="1" t="shared" si="6"/>
        <v/>
      </c>
    </row>
    <row r="146" spans="1:5">
      <c r="A146" s="557" t="str">
        <v>精神治疗</v>
      </c>
      <c r="B146" s="557" t="str">
        <f>IF(ISBLANK(人物卡!AM27),"","（"&amp;人物卡!AM27&amp;"）")</f>
        <v/>
      </c>
      <c r="C146" s="557">
        <f ca="1">人物卡!AS27</f>
        <v>10</v>
      </c>
      <c r="D146" s="557" t="str">
        <f ca="1" t="shared" si="5"/>
        <v>精神治疗</v>
      </c>
      <c r="E146" s="557" t="str">
        <f ca="1" t="shared" si="6"/>
        <v>精神治疗10</v>
      </c>
    </row>
    <row r="147" spans="1:5">
      <c r="A147" s="557" t="str">
        <v>骑术</v>
      </c>
      <c r="B147" s="557" t="str">
        <f>IF(ISBLANK(人物卡!AM28),"","（"&amp;人物卡!AM28&amp;"）")</f>
        <v/>
      </c>
      <c r="C147" s="557">
        <f ca="1">人物卡!AS28</f>
        <v>10</v>
      </c>
      <c r="D147" s="557" t="str">
        <f ca="1" t="shared" si="5"/>
        <v>骑术</v>
      </c>
      <c r="E147" s="557" t="str">
        <f ca="1" t="shared" si="6"/>
        <v>骑术10</v>
      </c>
    </row>
    <row r="148" spans="1:5">
      <c r="A148" s="557" t="str">
        <v>科学</v>
      </c>
      <c r="B148" s="557" t="str">
        <f ca="1">IF(ISBLANK(人物卡!AM29),"","（"&amp;人物卡!AM29&amp;"）")</f>
        <v>（）</v>
      </c>
      <c r="C148" s="557">
        <f ca="1">人物卡!AS29</f>
        <v>0</v>
      </c>
      <c r="D148" s="557" t="str">
        <f ca="1" t="shared" si="5"/>
        <v/>
      </c>
      <c r="E148" s="557" t="str">
        <f ca="1" t="shared" si="6"/>
        <v/>
      </c>
    </row>
    <row r="149" spans="1:5">
      <c r="A149" s="557" t="str">
        <v>科学</v>
      </c>
      <c r="B149" s="557" t="str">
        <f ca="1">IF(ISBLANK(人物卡!AM30),"","（"&amp;人物卡!AM30&amp;"）")</f>
        <v>（）</v>
      </c>
      <c r="C149" s="557">
        <f ca="1">人物卡!AS30</f>
        <v>0</v>
      </c>
      <c r="D149" s="557" t="str">
        <f ca="1" t="shared" si="5"/>
        <v/>
      </c>
      <c r="E149" s="557" t="str">
        <f ca="1" t="shared" si="6"/>
        <v/>
      </c>
    </row>
    <row r="150" spans="1:5">
      <c r="A150" s="557" t="str">
        <v>科学</v>
      </c>
      <c r="B150" s="557" t="str">
        <f ca="1">IF(ISBLANK(人物卡!AM31),"","（"&amp;人物卡!AM31&amp;"）")</f>
        <v>（）</v>
      </c>
      <c r="C150" s="557">
        <f ca="1">人物卡!AS31</f>
        <v>0</v>
      </c>
      <c r="D150" s="557" t="str">
        <f ca="1" t="shared" si="5"/>
        <v/>
      </c>
      <c r="E150" s="557" t="str">
        <f ca="1" t="shared" si="6"/>
        <v/>
      </c>
    </row>
    <row r="151" spans="1:5">
      <c r="A151" s="557" t="str">
        <v>搜寻</v>
      </c>
      <c r="B151" s="557" t="str">
        <f>IF(ISBLANK(人物卡!AM32),"","（"&amp;人物卡!AM32&amp;"）")</f>
        <v/>
      </c>
      <c r="C151" s="557">
        <f ca="1">人物卡!AS32</f>
        <v>20</v>
      </c>
      <c r="D151" s="557" t="str">
        <f ca="1" t="shared" si="5"/>
        <v>搜寻</v>
      </c>
      <c r="E151" s="557" t="str">
        <f ca="1" t="shared" si="6"/>
        <v>搜寻20</v>
      </c>
    </row>
    <row r="152" spans="1:5">
      <c r="A152" s="557" t="str">
        <v>信号情报</v>
      </c>
      <c r="B152" s="557" t="str">
        <f>IF(ISBLANK(人物卡!AM33),"","（"&amp;人物卡!AM33&amp;"）")</f>
        <v/>
      </c>
      <c r="C152" s="557">
        <f ca="1">人物卡!AS33</f>
        <v>0</v>
      </c>
      <c r="D152" s="557" t="str">
        <f ca="1" t="shared" si="5"/>
        <v>信号情报</v>
      </c>
      <c r="E152" s="557" t="str">
        <f ca="1" t="shared" si="6"/>
        <v/>
      </c>
    </row>
    <row r="153" spans="1:5">
      <c r="A153" s="557" t="str">
        <v>潜藏</v>
      </c>
      <c r="B153" s="557" t="str">
        <f>IF(ISBLANK(人物卡!AM34),"","（"&amp;人物卡!AM34&amp;"）")</f>
        <v/>
      </c>
      <c r="C153" s="557">
        <f ca="1">人物卡!AS34</f>
        <v>10</v>
      </c>
      <c r="D153" s="557" t="str">
        <f ca="1" t="shared" si="5"/>
        <v>潜藏</v>
      </c>
      <c r="E153" s="557" t="str">
        <f ca="1" t="shared" si="6"/>
        <v>潜藏10</v>
      </c>
    </row>
    <row r="154" spans="1:5">
      <c r="A154" s="557" t="str">
        <v>手术</v>
      </c>
      <c r="B154" s="557" t="str">
        <f>IF(ISBLANK(人物卡!AM35),"","（"&amp;人物卡!AM35&amp;"）")</f>
        <v/>
      </c>
      <c r="C154" s="557">
        <f ca="1">人物卡!AS35</f>
        <v>0</v>
      </c>
      <c r="D154" s="557" t="str">
        <f ca="1" t="shared" si="5"/>
        <v>手术</v>
      </c>
      <c r="E154" s="557" t="str">
        <f ca="1" t="shared" si="6"/>
        <v/>
      </c>
    </row>
    <row r="155" spans="1:5">
      <c r="A155" s="557" t="str">
        <v>生存</v>
      </c>
      <c r="B155" s="557" t="str">
        <f>IF(ISBLANK(人物卡!AM36),"","（"&amp;人物卡!AM36&amp;"）")</f>
        <v/>
      </c>
      <c r="C155" s="557">
        <f ca="1">人物卡!AS36</f>
        <v>10</v>
      </c>
      <c r="D155" s="557" t="str">
        <f ca="1" t="shared" si="5"/>
        <v>生存</v>
      </c>
      <c r="E155" s="557" t="str">
        <f ca="1" t="shared" si="6"/>
        <v>生存10</v>
      </c>
    </row>
    <row r="156" spans="1:5">
      <c r="A156" s="557" t="str">
        <v>游泳</v>
      </c>
      <c r="B156" s="557" t="str">
        <f>IF(ISBLANK(人物卡!AM37),"","（"&amp;人物卡!AM37&amp;"）")</f>
        <v/>
      </c>
      <c r="C156" s="557">
        <f ca="1">人物卡!AS37</f>
        <v>20</v>
      </c>
      <c r="D156" s="557" t="str">
        <f ca="1" t="shared" si="5"/>
        <v>游泳</v>
      </c>
      <c r="E156" s="557" t="str">
        <f ca="1" t="shared" si="6"/>
        <v>游泳20</v>
      </c>
    </row>
    <row r="157" spans="1:5">
      <c r="A157" s="557" t="str">
        <v>徒手搏斗</v>
      </c>
      <c r="B157" s="557" t="str">
        <f>IF(ISBLANK(人物卡!AM38),"","（"&amp;人物卡!AM38&amp;"）")</f>
        <v/>
      </c>
      <c r="C157" s="557">
        <f ca="1">人物卡!AS38</f>
        <v>40</v>
      </c>
      <c r="D157" s="557" t="str">
        <f ca="1" t="shared" si="5"/>
        <v>徒手搏斗</v>
      </c>
      <c r="E157" s="557" t="str">
        <f ca="1" t="shared" si="6"/>
        <v>徒手搏斗40</v>
      </c>
    </row>
    <row r="158" spans="1:5">
      <c r="A158" s="557" t="str">
        <v>非自然知识</v>
      </c>
      <c r="B158" s="557" t="str">
        <f>IF(ISBLANK(人物卡!AM39),"","（"&amp;人物卡!AM39&amp;"）")</f>
        <v/>
      </c>
      <c r="C158" s="557">
        <f>人物卡!AS39</f>
        <v>0</v>
      </c>
      <c r="D158" s="557" t="str">
        <f ca="1" t="shared" si="5"/>
        <v>非自然知识</v>
      </c>
      <c r="E158" s="557" t="str">
        <f ca="1" t="shared" si="6"/>
        <v/>
      </c>
    </row>
    <row r="159" spans="1:5">
      <c r="A159" s="557" t="str">
        <v/>
      </c>
      <c r="B159" s="557" t="str">
        <f>IF(ISBLANK(人物卡!AM40),"","（"&amp;人物卡!AM40&amp;"）")</f>
        <v/>
      </c>
      <c r="C159" s="557">
        <f ca="1">人物卡!AS40</f>
        <v>0</v>
      </c>
      <c r="D159" s="557" t="str">
        <f ca="1" t="shared" si="5"/>
        <v/>
      </c>
      <c r="E159" s="557" t="str">
        <f ca="1" t="shared" si="6"/>
        <v/>
      </c>
    </row>
    <row r="160" spans="1:5">
      <c r="A160" s="557" t="str">
        <v/>
      </c>
      <c r="B160" s="557" t="str">
        <f>IF(ISBLANK(人物卡!AM41),"","（"&amp;人物卡!AM41&amp;"）")</f>
        <v/>
      </c>
      <c r="C160" s="557">
        <f ca="1">人物卡!AS41</f>
        <v>0</v>
      </c>
      <c r="D160" s="557" t="str">
        <f ca="1" t="shared" si="5"/>
        <v/>
      </c>
      <c r="E160" s="557" t="str">
        <f ca="1" t="shared" si="6"/>
        <v/>
      </c>
    </row>
    <row r="161" spans="1:5">
      <c r="A161" s="557" t="str">
        <v/>
      </c>
      <c r="B161" s="557" t="str">
        <f>IF(ISBLANK(人物卡!AM42),"","（"&amp;人物卡!AM42&amp;"）")</f>
        <v/>
      </c>
      <c r="C161" s="557">
        <f ca="1">人物卡!AS42</f>
        <v>0</v>
      </c>
      <c r="D161" s="557" t="str">
        <f ca="1" t="shared" si="5"/>
        <v/>
      </c>
      <c r="E161" s="557" t="str">
        <f ca="1" t="shared" si="6"/>
        <v/>
      </c>
    </row>
    <row r="162" spans="1:5">
      <c r="A162" s="557" t="str">
        <v/>
      </c>
      <c r="B162" s="557" t="str">
        <f>IF(ISBLANK(人物卡!AM43),"","（"&amp;人物卡!AM43&amp;"）")</f>
        <v/>
      </c>
      <c r="C162" s="557">
        <f ca="1">人物卡!AS43</f>
        <v>0</v>
      </c>
      <c r="D162" s="557" t="str">
        <f ca="1" t="shared" si="5"/>
        <v/>
      </c>
      <c r="E162" s="557" t="str">
        <f ca="1" t="shared" si="6"/>
        <v/>
      </c>
    </row>
    <row r="168" spans="1:5">
      <c r="A168" t="s" s="557">
        <v>661</v>
      </c>
    </row>
    <row r="169" spans="1:5">
      <c r="A169" s="557" t="str">
        <f>IFERROR(INDEX(职业列表!A:A,SMALL(职业列表!AO$2:AO$106,ROW()-168))&amp;"","")</f>
        <v>（创建新职业）</v>
      </c>
    </row>
    <row r="170" spans="1:5">
      <c r="A170" s="557" t="str">
        <f>IFERROR(INDEX(职业列表!A:A,SMALL(职业列表!AO$2:AO$106,ROW()-168))&amp;"","")</f>
        <v>人类学家或历史学家</v>
      </c>
    </row>
    <row r="171" spans="1:5">
      <c r="A171" s="557" t="str">
        <f>IFERROR(INDEX(职业列表!A:A,SMALL(职业列表!AO$2:AO$106,ROW()-168))&amp;"","")</f>
        <v>计算机科学家或工程师</v>
      </c>
    </row>
    <row r="172" spans="1:5">
      <c r="A172" s="557" t="str">
        <f>IFERROR(INDEX(职业列表!A:A,SMALL(职业列表!AO$2:AO$106,ROW()-168))&amp;"","")</f>
        <v>联邦探员</v>
      </c>
    </row>
    <row r="173" spans="1:5">
      <c r="A173" s="557" t="str">
        <f>IFERROR(INDEX(职业列表!A:A,SMALL(职业列表!AO$2:AO$106,ROW()-168))&amp;"","")</f>
        <v>医生</v>
      </c>
    </row>
    <row r="174" spans="1:5">
      <c r="A174" s="557" t="str">
        <f>IFERROR(INDEX(职业列表!A:A,SMALL(职业列表!AO$2:AO$106,ROW()-168))&amp;"","")</f>
        <v>科学家</v>
      </c>
    </row>
    <row r="175" spans="1:5">
      <c r="A175" s="557" t="str">
        <f>IFERROR(INDEX(职业列表!A:A,SMALL(职业列表!AO$2:AO$106,ROW()-168))&amp;"","")</f>
        <v>特种作战员</v>
      </c>
    </row>
    <row r="176" spans="1:5">
      <c r="A176" s="557" t="str">
        <f>IFERROR(INDEX(职业列表!A:A,SMALL(职业列表!AO$2:AO$106,ROW()-168))&amp;"","")</f>
        <v>【额外】罪犯</v>
      </c>
    </row>
    <row r="177" spans="1:1">
      <c r="A177" s="557" t="str">
        <f>IFERROR(INDEX(职业列表!A:A,SMALL(职业列表!AO$2:AO$106,ROW()-168))&amp;"","")</f>
        <v>【额外】消防队员</v>
      </c>
    </row>
    <row r="178" spans="1:1">
      <c r="A178" s="557" t="str">
        <f>IFERROR(INDEX(职业列表!A:A,SMALL(职业列表!AO$2:AO$106,ROW()-168))&amp;"","")</f>
        <v>【额外】外事官员</v>
      </c>
    </row>
    <row r="179" spans="1:1">
      <c r="A179" s="557" t="str">
        <f>IFERROR(INDEX(职业列表!A:A,SMALL(职业列表!AO$2:AO$106,ROW()-168))&amp;"","")</f>
        <v>【额外】情报分析员</v>
      </c>
    </row>
    <row r="180" spans="1:1">
      <c r="A180" s="557" t="str">
        <f>IFERROR(INDEX(职业列表!A:A,SMALL(职业列表!AO$2:AO$106,ROW()-168))&amp;"","")</f>
        <v>【额外】情报官员</v>
      </c>
    </row>
    <row r="181" spans="1:1">
      <c r="A181" s="557" t="str">
        <f>IFERROR(INDEX(职业列表!A:A,SMALL(职业列表!AO$2:AO$106,ROW()-168))&amp;"","")</f>
        <v>【额外】律师或商务主管</v>
      </c>
    </row>
    <row r="182" spans="1:1">
      <c r="A182" s="557" t="str">
        <f>IFERROR(INDEX(职业列表!A:A,SMALL(职业列表!AO$2:AO$106,ROW()-168))&amp;"","")</f>
        <v>【额外】媒体专家</v>
      </c>
    </row>
    <row r="183" spans="1:1">
      <c r="A183" s="557" t="str">
        <f>IFERROR(INDEX(职业列表!A:A,SMALL(职业列表!AO$2:AO$106,ROW()-168))&amp;"","")</f>
        <v>【额外】护士或护理人员</v>
      </c>
    </row>
    <row r="184" spans="1:1">
      <c r="A184" s="557" t="str">
        <f>IFERROR(INDEX(职业列表!A:A,SMALL(职业列表!AO$2:AO$106,ROW()-168))&amp;"","")</f>
        <v>【额外】飞行员或水手</v>
      </c>
    </row>
    <row r="185" spans="1:1">
      <c r="A185" s="557" t="str">
        <f>IFERROR(INDEX(职业列表!A:A,SMALL(职业列表!AO$2:AO$106,ROW()-168))&amp;"","")</f>
        <v>【额外】警察</v>
      </c>
    </row>
    <row r="186" spans="1:1">
      <c r="A186" s="557" t="str">
        <f>IFERROR(INDEX(职业列表!A:A,SMALL(职业列表!AO$2:AO$106,ROW()-168))&amp;"","")</f>
        <v>【额外】项目群经理</v>
      </c>
    </row>
    <row r="187" spans="1:1">
      <c r="A187" s="557" t="str">
        <f>IFERROR(INDEX(职业列表!A:A,SMALL(职业列表!AO$2:AO$106,ROW()-168))&amp;"","")</f>
        <v>【额外】士兵或海军陆战队员</v>
      </c>
    </row>
    <row r="188" spans="1:1">
      <c r="A188" s="557" t="str">
        <f>IFERROR(INDEX(职业列表!A:A,SMALL(职业列表!AO$2:AO$106,ROW()-168))&amp;"","")</f>
        <v>FBI / 犯罪调查处（CID）</v>
      </c>
    </row>
    <row r="189" spans="1:1">
      <c r="A189" s="557" t="str">
        <f>IFERROR(INDEX(职业列表!A:A,SMALL(职业列表!AO$2:AO$106,ROW()-168))&amp;"","")</f>
        <v>FBI / 国家安保部（NSB）</v>
      </c>
    </row>
    <row r="190" spans="1:1">
      <c r="A190" s="557" t="str">
        <f>IFERROR(INDEX(职业列表!A:A,SMALL(职业列表!AO$2:AO$106,ROW()-168))&amp;"","")</f>
        <v>FBI / 调查与行动支援科（IOSS）</v>
      </c>
    </row>
    <row r="191" spans="1:1">
      <c r="A191" s="557" t="str">
        <f>IFERROR(INDEX(职业列表!A:A,SMALL(职业列表!AO$2:AO$106,ROW()-168))&amp;"","")</f>
        <v>FBI / 情报部</v>
      </c>
    </row>
    <row r="192" spans="1:1">
      <c r="A192" s="557" t="str">
        <f>IFERROR(INDEX(职业列表!A:A,SMALL(职业列表!AO$2:AO$106,ROW()-168))&amp;"","")</f>
        <v>FBI / 人质救援队（HRT）或特警队（SWAT）</v>
      </c>
    </row>
    <row r="193" spans="1:1">
      <c r="A193" s="557" t="str">
        <f>IFERROR(INDEX(职业列表!A:A,SMALL(职业列表!AO$2:AO$106,ROW()-168))&amp;"","")</f>
        <v>DEA / 行动分处</v>
      </c>
    </row>
    <row r="194" spans="1:1">
      <c r="A194" s="557" t="str">
        <f>IFERROR(INDEX(职业列表!A:A,SMALL(职业列表!AO$2:AO$106,ROW()-168))&amp;"","")</f>
        <v>DEA / 行动支援分处</v>
      </c>
    </row>
    <row r="195" spans="1:1">
      <c r="A195" s="557" t="str">
        <f>IFERROR(INDEX(职业列表!A:A,SMALL(职业列表!AO$2:AO$106,ROW()-168))&amp;"","")</f>
        <v>DEA / 特种作战科（SOD）</v>
      </c>
    </row>
    <row r="196" spans="1:1">
      <c r="A196" s="557" t="str">
        <f>IFERROR(INDEX(职业列表!A:A,SMALL(职业列表!AO$2:AO$106,ROW()-168))&amp;"","")</f>
        <v>DEA / 海外部署咨询与支援小组（FAST）</v>
      </c>
    </row>
    <row r="197" spans="1:1">
      <c r="A197" s="557" t="str">
        <f>IFERROR(INDEX(职业列表!A:A,SMALL(职业列表!AO$2:AO$106,ROW()-168))&amp;"","")</f>
        <v>ICE / 国土调查处（HSI）</v>
      </c>
    </row>
    <row r="198" spans="1:1">
      <c r="A198" s="557" t="str">
        <f>IFERROR(INDEX(职业列表!A:A,SMALL(职业列表!AO$2:AO$106,ROW()-168))&amp;"","")</f>
        <v>ICE / HIS，情报办公室</v>
      </c>
    </row>
    <row r="199" spans="1:1">
      <c r="A199" s="557" t="str">
        <f>IFERROR(INDEX(职业列表!A:A,SMALL(职业列表!AO$2:AO$106,ROW()-168))&amp;"","")</f>
        <v>ICE / 特别应对小组（SRT）</v>
      </c>
    </row>
    <row r="200" spans="1:1">
      <c r="A200" s="557" t="str">
        <f>IFERROR(INDEX(职业列表!A:A,SMALL(职业列表!AO$2:AO$106,ROW()-168))&amp;"","")</f>
        <v>ICE / 遣返行动执法处（ERO）</v>
      </c>
    </row>
    <row r="201" spans="1:1">
      <c r="A201" s="557" t="str">
        <f>IFERROR(INDEX(职业列表!A:A,SMALL(职业列表!AO$2:AO$106,ROW()-168))&amp;"","")</f>
        <v>USMS / 调查行动处</v>
      </c>
    </row>
    <row r="202" spans="1:1">
      <c r="A202" s="557" t="str">
        <f>IFERROR(INDEX(职业列表!A:A,SMALL(职业列表!AO$2:AO$106,ROW()-168))&amp;"","")</f>
        <v>USMS / 特种行动队（SOG）</v>
      </c>
    </row>
    <row r="203" spans="1:1">
      <c r="A203" s="557" t="str">
        <f>IFERROR(INDEX(职业列表!A:A,SMALL(职业列表!AO$2:AO$106,ROW()-168))&amp;"","")</f>
        <v>陆军 / 传染病医学研究院（USAMRIID）</v>
      </c>
    </row>
    <row r="204" spans="1:1">
      <c r="A204" s="557" t="str">
        <f>IFERROR(INDEX(职业列表!A:A,SMALL(职业列表!AO$2:AO$106,ROW()-168))&amp;"","")</f>
        <v>陆军 / 第902军事情报大队</v>
      </c>
    </row>
    <row r="205" spans="1:1">
      <c r="A205" s="557" t="str">
        <f>IFERROR(INDEX(职业列表!A:A,SMALL(职业列表!AO$2:AO$106,ROW()-168))&amp;"","")</f>
        <v>陆军 / 第10山地师</v>
      </c>
    </row>
    <row r="206" spans="1:1">
      <c r="A206" s="557" t="str">
        <f>IFERROR(INDEX(职业列表!A:A,SMALL(职业列表!AO$2:AO$106,ROW()-168))&amp;"","")</f>
        <v>陆军 / 第1旅，第1骑兵师（“铁马旅”）</v>
      </c>
    </row>
    <row r="207" spans="1:1">
      <c r="A207" s="557" t="str">
        <f>IFERROR(INDEX(职业列表!A:A,SMALL(职业列表!AO$2:AO$106,ROW()-168))&amp;"","")</f>
        <v>陆军 / 医疗兵团</v>
      </c>
    </row>
    <row r="208" spans="1:1">
      <c r="A208" s="557" t="str">
        <f>IFERROR(INDEX(职业列表!A:A,SMALL(职业列表!AO$2:AO$106,ROW()-168))&amp;"","")</f>
        <v>陆军SOCOM / 第1特种作战群</v>
      </c>
    </row>
    <row r="209" spans="1:1">
      <c r="A209" s="557" t="str">
        <f>IFERROR(INDEX(职业列表!A:A,SMALL(职业列表!AO$2:AO$106,ROW()-168))&amp;"","")</f>
        <v>陆军SOCOM / 第75游骑兵团</v>
      </c>
    </row>
    <row r="210" spans="1:1">
      <c r="A210" s="557" t="str">
        <f>IFERROR(INDEX(职业列表!A:A,SMALL(职业列表!AO$2:AO$106,ROW()-168))&amp;"","")</f>
        <v>陆军SOCOM / 第4军事信息支援大队</v>
      </c>
    </row>
    <row r="211" spans="1:1">
      <c r="A211" s="557" t="str">
        <f>IFERROR(INDEX(职业列表!A:A,SMALL(职业列表!AO$2:AO$106,ROW()-168))&amp;"","")</f>
        <v>陆军SOCOM / 第160特种作战航空团（“暗夜潜行者”）</v>
      </c>
    </row>
    <row r="212" spans="1:1">
      <c r="A212" s="557" t="str">
        <f>IFERROR(INDEX(职业列表!A:A,SMALL(职业列表!AO$2:AO$106,ROW()-168))&amp;"","")</f>
        <v>陆军SOCOM / 情报支持行动处</v>
      </c>
    </row>
    <row r="213" spans="1:1">
      <c r="A213" s="557" t="str">
        <f>IFERROR(INDEX(职业列表!A:A,SMALL(职业列表!AO$2:AO$106,ROW()-168))&amp;"","")</f>
        <v>空军 / 第41救援中队</v>
      </c>
    </row>
    <row r="214" spans="1:1">
      <c r="A214" s="557" t="str">
        <f>IFERROR(INDEX(职业列表!A:A,SMALL(职业列表!AO$2:AO$106,ROW()-168))&amp;"","")</f>
        <v>空军 / 614航空航天运营中心</v>
      </c>
    </row>
    <row r="215" spans="1:1">
      <c r="A215" s="557" t="str">
        <f>IFERROR(INDEX(职业列表!A:A,SMALL(职业列表!AO$2:AO$106,ROW()-168))&amp;"","")</f>
        <v>空军 / 432d行动小组</v>
      </c>
    </row>
    <row r="216" spans="1:1">
      <c r="A216" s="557" t="str">
        <f>IFERROR(INDEX(职业列表!A:A,SMALL(职业列表!AO$2:AO$106,ROW()-168))&amp;"","")</f>
        <v>空军 / 第70情报、监视和侦察（ISR）联队</v>
      </c>
    </row>
    <row r="217" spans="1:1">
      <c r="A217" s="557" t="str">
        <f>IFERROR(INDEX(职业列表!A:A,SMALL(职业列表!AO$2:AO$106,ROW()-168))&amp;"","")</f>
        <v>空军 / 第354战斗机中队</v>
      </c>
    </row>
    <row r="218" spans="1:1">
      <c r="A218" s="557" t="str">
        <f>IFERROR(INDEX(职业列表!A:A,SMALL(职业列表!AO$2:AO$106,ROW()-168))&amp;"","")</f>
        <v>空军 / 第318网络空间运营小组</v>
      </c>
    </row>
    <row r="219" spans="1:1">
      <c r="A219" s="557" t="str">
        <f>IFERROR(INDEX(职业列表!A:A,SMALL(职业列表!AO$2:AO$106,ROW()-168))&amp;"","")</f>
        <v>空军SOCOM / 第24特战联队，第720特种战术大队</v>
      </c>
    </row>
    <row r="220" spans="1:1">
      <c r="A220" s="557" t="str">
        <f>IFERROR(INDEX(职业列表!A:A,SMALL(职业列表!AO$2:AO$106,ROW()-168))&amp;"","")</f>
        <v>海军 / 罪案调查处（NCIS）</v>
      </c>
    </row>
    <row r="221" spans="1:1">
      <c r="A221" s="557" t="str">
        <f>IFERROR(INDEX(职业列表!A:A,SMALL(职业列表!AO$2:AO$106,ROW()-168))&amp;"","")</f>
        <v>海军 / 爆炸品处理部队（EOD）</v>
      </c>
    </row>
    <row r="222" spans="1:1">
      <c r="A222" s="557" t="str">
        <f>IFERROR(INDEX(职业列表!A:A,SMALL(职业列表!AO$2:AO$106,ROW()-168))&amp;"","")</f>
        <v>海军 / 医务兵</v>
      </c>
    </row>
    <row r="223" spans="1:1">
      <c r="A223" s="557" t="str">
        <f>IFERROR(INDEX(职业列表!A:A,SMALL(职业列表!AO$2:AO$106,ROW()-168))&amp;"","")</f>
        <v>海军SOCOM / 特种作战开发群&amp;三栖特战队第一小队</v>
      </c>
    </row>
    <row r="224" spans="1:1">
      <c r="A224" s="557" t="str">
        <f>IFERROR(INDEX(职业列表!A:A,SMALL(职业列表!AO$2:AO$106,ROW()-168))&amp;"","")</f>
        <v>海军陆战队 / 武装侦察部队</v>
      </c>
    </row>
    <row r="225" spans="1:1">
      <c r="A225" s="557" t="str">
        <f>IFERROR(INDEX(职业列表!A:A,SMALL(职业列表!AO$2:AO$106,ROW()-168))&amp;"","")</f>
        <v>海军陆战队 / 公共事务处战地摄影师</v>
      </c>
    </row>
    <row r="226" spans="1:1">
      <c r="A226" s="557" t="str">
        <f>IFERROR(INDEX(职业列表!A:A,SMALL(职业列表!AO$2:AO$106,ROW()-168))&amp;"","")</f>
        <v>海军陆战队 / 海上特殊目的部队</v>
      </c>
    </row>
    <row r="227" spans="1:1">
      <c r="A227" s="557" t="str">
        <f>IFERROR(INDEX(职业列表!A:A,SMALL(职业列表!AO$2:AO$106,ROW()-168))&amp;"","")</f>
        <v>海军陆战队 / 海军陆战保安团</v>
      </c>
    </row>
    <row r="228" spans="1:1">
      <c r="A228" s="557" t="str">
        <f>IFERROR(INDEX(职业列表!A:A,SMALL(职业列表!AO$2:AO$106,ROW()-168))&amp;"","")</f>
        <v>海军陆战队SOCOM / 陆战队突击团</v>
      </c>
    </row>
    <row r="229" spans="1:1">
      <c r="A229" s="557" t="str">
        <f>IFERROR(INDEX(职业列表!A:A,SMALL(职业列表!AO$2:AO$106,ROW()-168))&amp;"","")</f>
        <v>CIA / 行动处（DO）</v>
      </c>
    </row>
    <row r="230" spans="1:1">
      <c r="A230" s="557" t="str">
        <f>IFERROR(INDEX(职业列表!A:A,SMALL(职业列表!AO$2:AO$106,ROW()-168))&amp;"","")</f>
        <v>CIA / 特别活动处特种作战组（SAD/SOG）</v>
      </c>
    </row>
    <row r="231" spans="1:1">
      <c r="A231" s="557" t="str">
        <f>IFERROR(INDEX(职业列表!A:A,SMALL(职业列表!AO$2:AO$106,ROW()-168))&amp;"","")</f>
        <v>CIA / 特别活动处政治行动组（SAD/PAG）</v>
      </c>
    </row>
    <row r="232" spans="1:1">
      <c r="A232" s="557" t="str">
        <f>IFERROR(INDEX(职业列表!A:A,SMALL(职业列表!AO$2:AO$106,ROW()-168))&amp;"","")</f>
        <v>CIA / 分析科（DA）</v>
      </c>
    </row>
    <row r="233" spans="1:1">
      <c r="A233" s="557" t="str">
        <f>IFERROR(INDEX(职业列表!A:A,SMALL(职业列表!AO$2:AO$106,ROW()-168))&amp;"","")</f>
        <v>DOS / 西半球事务局</v>
      </c>
    </row>
    <row r="234" spans="1:1">
      <c r="A234" s="557" t="str">
        <f>IFERROR(INDEX(职业列表!A:A,SMALL(职业列表!AO$2:AO$106,ROW()-168))&amp;"","")</f>
        <v>DOS / 外交安全局（FSO）</v>
      </c>
    </row>
    <row r="235" spans="1:1">
      <c r="A235" s="557" t="str">
        <f>IFERROR(INDEX(职业列表!A:A,SMALL(职业列表!AO$2:AO$106,ROW()-168))&amp;"","")</f>
        <v>DOS / 外交信使</v>
      </c>
    </row>
    <row r="236" spans="1:1">
      <c r="A236" s="557" t="str">
        <f>IFERROR(INDEX(职业列表!A:A,SMALL(职业列表!AO$2:AO$106,ROW()-168))&amp;"","")</f>
        <v>DOS / 国际毒品与执法事务局（INL）</v>
      </c>
    </row>
    <row r="237" spans="1:1">
      <c r="A237" s="557" t="str">
        <f>IFERROR(INDEX(职业列表!A:A,SMALL(职业列表!AO$2:AO$106,ROW()-168))&amp;"","")</f>
        <v>DOS / 情报研究局（INR）</v>
      </c>
    </row>
    <row r="238" spans="1:1">
      <c r="A238" s="557" t="str">
        <f>IFERROR(INDEX(职业列表!A:A,SMALL(职业列表!AO$2:AO$106,ROW()-168))&amp;"","")</f>
        <v>CDC / 预防和应对中心</v>
      </c>
    </row>
    <row r="239" spans="1:1">
      <c r="A239" s="557" t="str">
        <f>IFERROR(INDEX(职业列表!A:A,SMALL(职业列表!AO$2:AO$106,ROW()-168))&amp;"","")</f>
        <v>CDC / 紧急行动中心</v>
      </c>
    </row>
    <row r="240" spans="1:1">
      <c r="A240" s="557" t="str">
        <f>IFERROR(INDEX(职业列表!A:A,SMALL(职业列表!AO$2:AO$106,ROW()-168))&amp;"","")</f>
        <v>CDC / 全球快速反应小组（RRT）</v>
      </c>
    </row>
    <row r="241" spans="1:1">
      <c r="A241" s="557" t="str">
        <f>IFERROR(INDEX(职业列表!A:A,SMALL(职业列表!AO$2:AO$106,ROW()-168))&amp;"","")</f>
        <v>CDC / 公共卫生服务军官团（PHSCC）</v>
      </c>
    </row>
    <row r="242" spans="1:1">
      <c r="A242" s="557" t="str">
        <f>IFERROR(INDEX(职业列表!A:A,SMALL(职业列表!AO$2:AO$106,ROW()-168))&amp;"","")</f>
        <v>EPA / 刑事执法、司法鉴证与培训处（OCEFT）</v>
      </c>
    </row>
    <row r="243" spans="1:1">
      <c r="A243" s="557" t="str">
        <f>IFERROR(INDEX(职业列表!A:A,SMALL(职业列表!AO$2:AO$106,ROW()-168))&amp;"","")</f>
        <v>EPA / 区域办事处专家</v>
      </c>
    </row>
    <row r="244" spans="1:1">
      <c r="A244" s="557" t="str">
        <f>IFERROR(INDEX(职业列表!A:A,SMALL(职业列表!AO$2:AO$106,ROW()-168))&amp;"","")</f>
        <v>CBP / 边境保护（预先清关或入国审查）（OFO/P）</v>
      </c>
    </row>
    <row r="245" spans="1:1">
      <c r="A245" s="557" t="str">
        <f>IFERROR(INDEX(职业列表!A:A,SMALL(职业列表!AO$2:AO$106,ROW()-168))&amp;"","")</f>
        <v>CBP / 海上拦截（AMO/MI）</v>
      </c>
    </row>
    <row r="246" spans="1:1">
      <c r="A246" s="557" t="str">
        <f>IFERROR(INDEX(职业列表!A:A,SMALL(职业列表!AO$2:AO$106,ROW()-168))&amp;"","")</f>
        <v>CBP / 检测犬项目（OFO/K9）</v>
      </c>
    </row>
    <row r="247" spans="1:1">
      <c r="A247" s="557" t="str">
        <f>IFERROR(INDEX(职业列表!A:A,SMALL(职业列表!AO$2:AO$106,ROW()-168))&amp;"","")</f>
        <v>CBP / 边境巡逻队</v>
      </c>
    </row>
    <row r="248" spans="1:1">
      <c r="A248" s="557" t="str">
        <f>IFERROR(INDEX(职业列表!A:A,SMALL(职业列表!AO$2:AO$106,ROW()-168))&amp;"","")</f>
        <v>CBP / 边境巡逻队战术单位（SOG/BORTAC）</v>
      </c>
    </row>
    <row r="249" spans="1:1">
      <c r="A249" s="557" t="str">
        <f>IFERROR(INDEX(职业列表!A:A,SMALL(职业列表!AO$2:AO$106,ROW()-168))&amp;"","")</f>
        <v>CBP / 边境巡逻队搜索、创伤与救援单位（SOG/BORSTAR）</v>
      </c>
    </row>
    <row r="250" spans="1:1">
      <c r="A250" s="557" t="str">
        <f>IFERROR(INDEX(职业列表!A:A,SMALL(职业列表!AO$2:AO$106,ROW()-168))&amp;"","")</f>
        <v>CBP / 国家空中安全行动（AMO/NASO）</v>
      </c>
    </row>
    <row r="251" spans="1:1">
      <c r="A251" s="557" t="str">
        <f>IFERROR(INDEX(职业列表!A:A,SMALL(职业列表!AO$2:AO$106,ROW()-168))&amp;"","")</f>
        <v>ATF / 特种犬项目（SRT/K9）</v>
      </c>
    </row>
    <row r="252" spans="1:1">
      <c r="A252" s="557" t="str">
        <f>IFERROR(INDEX(职业列表!A:A,SMALL(职业列表!AO$2:AO$106,ROW()-168))&amp;"","")</f>
        <v>ATF / 特种医疗项目（SRT/TMP）</v>
      </c>
    </row>
    <row r="253" spans="1:1">
      <c r="A253" s="557" t="str">
        <f>IFERROR(INDEX(职业列表!A:A,SMALL(职业列表!AO$2:AO$106,ROW()-168))&amp;"","")</f>
        <v>ATF / 特种行动（SRT/TO）</v>
      </c>
    </row>
    <row r="254" spans="1:1">
      <c r="A254" s="557" t="str">
        <f>IFERROR(INDEX(职业列表!A:A,SMALL(职业列表!AO$2:AO$106,ROW()-168))&amp;"","")</f>
        <v>ATF / 外勤行动及调查办公室（OFO）</v>
      </c>
    </row>
    <row r="255" spans="1:1">
      <c r="A255" s="557" t="str">
        <f>IFERROR(INDEX(职业列表!A:A,SMALL(职业列表!AO$2:AO$106,ROW()-168))&amp;"","")</f>
        <v>ATF / 刑事侦查分析员</v>
      </c>
    </row>
    <row r="256" spans="1:1">
      <c r="A256" s="557" t="str">
        <f>IFERROR(INDEX(职业列表!A:A,SMALL(职业列表!AO$2:AO$106,ROW()-168))&amp;"","")</f>
        <v>ATF / 爆炸物专家</v>
      </c>
    </row>
    <row r="257" spans="1:1">
      <c r="A257" s="557" t="str">
        <f>IFERROR(INDEX(职业列表!A:A,SMALL(职业列表!AO$2:AO$106,ROW()-168))&amp;"","")</f>
        <v>USSS / 保护情报和评估处（PID）</v>
      </c>
    </row>
    <row r="258" spans="1:1">
      <c r="A258" s="557" t="str">
        <f>IFERROR(INDEX(职业列表!A:A,SMALL(职业列表!AO$2:AO$106,ROW()-168))&amp;"","")</f>
        <v>USSS / 贴身警卫处（PPD）</v>
      </c>
    </row>
    <row r="259" spans="1:1">
      <c r="A259" s="557" t="str">
        <f>IFERROR(INDEX(职业列表!A:A,SMALL(职业列表!AO$2:AO$106,ROW()-168))&amp;"","")</f>
        <v>USSS / 反突击组（CAT）</v>
      </c>
    </row>
    <row r="260" spans="1:1">
      <c r="A260" s="557" t="str">
        <f>IFERROR(INDEX(职业列表!A:A,SMALL(职业列表!AO$2:AO$106,ROW()-168))&amp;"","")</f>
        <v>USSS / 财务行政、专业和技术支助（F-ATP）</v>
      </c>
    </row>
    <row r="261" spans="1:1">
      <c r="A261" s="557" t="str">
        <f>IFERROR(INDEX(职业列表!A:A,SMALL(职业列表!AO$2:AO$106,ROW()-168))&amp;"","")</f>
        <v>USCG / 搜救组（SAR）</v>
      </c>
    </row>
    <row r="262" spans="1:1">
      <c r="A262" s="557" t="str">
        <f>IFERROR(INDEX(职业列表!A:A,SMALL(职业列表!AO$2:AO$106,ROW()-168))&amp;"","")</f>
        <v>USCG / 响应政策办公室（CG-5R）</v>
      </c>
    </row>
    <row r="263" spans="1:1">
      <c r="A263" s="557" t="str">
        <f>IFERROR(INDEX(职业列表!A:A,SMALL(职业列表!AO$2:AO$106,ROW()-168))&amp;"","")</f>
        <v>USCG / 调查和伤亡分析办公室（INV）</v>
      </c>
    </row>
    <row r="264" spans="1:1">
      <c r="A264" s="557" t="str">
        <f>IFERROR(INDEX(职业列表!A:A,SMALL(职业列表!AO$2:AO$106,ROW()-168))&amp;"","")</f>
        <v>USCG / 直升机拦截战术中队（HITRON）</v>
      </c>
    </row>
    <row r="265" spans="1:1">
      <c r="A265" s="557" t="str">
        <f>IFERROR(INDEX(职业列表!A:A,SMALL(职业列表!AO$2:AO$106,ROW()-168))&amp;"","")</f>
        <v>USCG / 战术执法分队（TACLET）</v>
      </c>
    </row>
    <row r="266" spans="1:1">
      <c r="A266" s="557" t="str">
        <f>IFERROR(INDEX(职业列表!A:A,SMALL(职业列表!AO$2:AO$106,ROW()-168))&amp;"","")</f>
        <v>USCG / 海上安全和保安队（MSST）</v>
      </c>
    </row>
    <row r="267" spans="1:1">
      <c r="A267" s="557" t="str">
        <f>IFERROR(INDEX(职业列表!A:A,SMALL(职业列表!AO$2:AO$106,ROW()-168))&amp;"","")</f>
        <v>USCG / 海上保安应变队（MSRT）</v>
      </c>
    </row>
    <row r="268" spans="1:1">
      <c r="A268" s="557" t="str">
        <f>IFERROR(INDEX(职业列表!A:A,SMALL(职业列表!AO$2:AO$106,ROW()-168))&amp;"","")</f>
        <v>USCG / 国家打击部队（NSF）</v>
      </c>
    </row>
    <row r="269" spans="1:1">
      <c r="A269" s="557" t="str">
        <f>IFERROR(INDEX(职业列表!A:A,SMALL(职业列表!AO$2:AO$106,ROW()-168))&amp;"","")</f>
        <v/>
      </c>
    </row>
    <row r="270" spans="1:1">
      <c r="A270" s="557" t="str">
        <f>IFERROR(INDEX(职业列表!A:A,SMALL(职业列表!AO$2:AO$106,ROW()-168))&amp;"","")</f>
        <v/>
      </c>
    </row>
    <row r="271" spans="1:1">
      <c r="A271" s="557" t="str">
        <f>IFERROR(INDEX(职业列表!A:A,SMALL(职业列表!AO$2:AO$106,ROW()-168))&amp;"","")</f>
        <v/>
      </c>
    </row>
    <row r="272" spans="1:1">
      <c r="A272" s="557" t="str">
        <f>IFERROR(INDEX(职业列表!A:A,SMALL(职业列表!AO$2:AO$106,ROW()-168))&amp;"","")</f>
        <v/>
      </c>
    </row>
    <row r="273" spans="1:1">
      <c r="A273" s="557" t="str">
        <f>IFERROR(INDEX(职业列表!A:A,SMALL(职业列表!AO$2:AO$106,ROW()-168))&amp;"","")</f>
        <v/>
      </c>
    </row>
    <row r="284" spans="1:1">
      <c r="A284" s="572"/>
    </row>
  </sheetData>
  <sheetProtection selectLockedCells="1"/>
  <pageMargins left="0.7" right="0.7" top="0.75" bottom="0.75" header="0.3" footer="0.3"/>
  <pageSetup paperSize="1" orientation="portrait"/>
  <headerFooter/>
</worksheet>
</file>

<file path=xl/worksheets/sheet8.xml><?xml version="1.0" encoding="utf-8"?>
<x:worksheet xmlns:x="http://schemas.openxmlformats.org/spreadsheetml/2006/main">
  <x:sheetPr>
    <x:tabColor rgb="FF303030"/>
    <x:pageSetUpPr fitToPage="1"/>
  </x:sheetPr>
  <x:sheetViews>
    <x:sheetView showGridLines="0" workbookViewId="0">
      <x:pane ySplit="10" topLeftCell="A11" activePane="bottomLeft" state="frozen"/>
    </x:sheetView>
  </x:sheetViews>
  <x:sheetFormatPr defaultRowHeight="15"/>
  <x:cols>
    <x:col min="1" max="1" width="14" hidden="0" customWidth="1"/>
    <x:col min="2" max="2" width="110" hidden="0" customWidth="1"/>
  </x:cols>
  <x:sheetData>
    <x:row r="1" ht="32" customHeight="1">
      <x:c r="A1" s="710" t="str">
        <x:v>绿色三角洲人物卡｜更新记录</x:v>
      </x:c>
      <x:c r="B1" s="710" t="str">
        <x:v>绿色三角洲人物卡｜更新记录</x:v>
      </x:c>
    </x:row>
    <x:row r="2" ht="7" customHeight="1">
      <x:c r="A2" s="707"/>
      <x:c r="B2" s="707"/>
    </x:row>
    <x:row r="3" ht="24" customHeight="1">
      <x:c r="A3" s="712" t="str">
        <x:v>原版作者</x:v>
      </x:c>
      <x:c r="B3" s="707" t="str">
        <x:v>DKWings</x:v>
      </x:c>
    </x:row>
    <x:row r="4" ht="24" customHeight="1">
      <x:c r="A4" s="712" t="str">
        <x:v>联系方式</x:v>
      </x:c>
      <x:c r="B4" s="713" t="str">
        <x:v>QQ：280848250　Email：dkwings@gmail.com</x:v>
      </x:c>
    </x:row>
    <x:row r="5" ht="24" customHeight="1">
      <x:c r="A5" s="712" t="str">
        <x:v>后续改版</x:v>
      </x:c>
      <x:c r="B5" s="707" t="str">
        <x:v>v0.4之后：Lindrich King　QQ：2113155803</x:v>
      </x:c>
    </x:row>
    <x:row r="6" ht="24" customHeight="1">
      <x:c r="A6" s="712" t="str">
        <x:v>项目仓库</x:v>
      </x:c>
      <x:c r="B6" s="713" t="str">
        <x:v>https://github.com/Shylosia/DeltaGreen</x:v>
      </x:c>
    </x:row>
    <x:row r="7" ht="24" customHeight="1">
      <x:c r="A7" s="712" t="str">
        <x:v>当前版本</x:v>
      </x:c>
      <x:c r="B7" s="707" t="str">
        <x:v>v1.9</x:v>
      </x:c>
    </x:row>
    <x:row r="8" ht="24" customHeight="1">
      <x:c r="A8" s="713" t="str">
        <x:v>返回人物卡</x:v>
      </x:c>
      <x:c r="B8" s="713" t="str">
        <x:v>绿箱生成器</x:v>
      </x:c>
    </x:row>
    <x:row r="9" ht="7" customHeight="1">
      <x:c r="A9" s="707"/>
      <x:c r="B9" s="707"/>
    </x:row>
    <x:row r="10" ht="25" customHeight="1">
      <x:c r="A10" s="716" t="str">
        <x:v>版本</x:v>
      </x:c>
      <x:c r="B10" s="716" t="str">
        <x:v>更新内容</x:v>
      </x:c>
    </x:row>
    <x:row r="11" ht="28" customHeight="1">
      <x:c r="A11" s="723" t="str">
        <x:v>v1.9</x:v>
      </x:c>
      <x:c r="B11" s="720" t="str">
        <x:v>幕间结算、成长记录与页面整理（2026-09-22）</x:v>
      </x:c>
    </x:row>
    <x:row r="12" ht="46" customHeight="1">
      <x:c r="A12" s="723"/>
      <x:c r="B12" s="718" t="str">
        <x:v>新增“幕间与结算”工作表，提供九类幕间事项下拉；记录游戏内日期、事件、变更前值、实际增减和关系代价，确认后按属性与技能上限累计到人物卡。</x:v>
      </x:c>
    </x:row>
    <x:row r="13" ht="28" customHeight="1">
      <x:c r="A13" s="723"/>
      <x:c r="B13" s="718" t="str">
        <x:v>初始属性移至“幕间与结算”填写，主卡显示计入背景与后续变化后的累计值。</x:v>
      </x:c>
    </x:row>
    <x:row r="14" ht="46" customHeight="1">
      <x:c r="A14" s="723"/>
      <x:c r="B14" s="718" t="inlineStr">
        <x:is>
          <x:t>技能失败结算手动录入结算前值和固定1D4结果，同一模组的同一技能只结算一次；保留成长前后值，失败标记和成长历史联动主卡。</x:t>
        </x:is>
      </x:c>
    </x:row>
    <x:row r="15" ht="28" customHeight="1">
      <x:c r="A15" s="723"/>
      <x:c r="B15" s="718" t="str">
        <x:v>重要关系名称使用下拉选择，移除“个人／群体”占位选项。</x:v>
      </x:c>
    </x:row>
    <x:row r="16" ht="28" customHeight="1">
      <x:c r="A16" s="723"/>
      <x:c r="B16" s="718" t="str">
        <x:v>隐藏职业列表、额外技能包、子技能、附表和职业选项，规则数据继续隐藏；删除空展示页。</x:v>
      </x:c>
    </x:row>
    <x:row r="17" ht="28" customHeight="1">
      <x:c r="A17" s="723"/>
      <x:c r="B17" s="718" t="str">
        <x:v>A4打印版只保留首页深绿色主标题，背面不再重复标题；保留两页A4、页脚、行高和列宽。</x:v>
      </x:c>
    </x:row>
    <x:row r="18" ht="6" customHeight="1">
      <x:c r="A18" s="707"/>
      <x:c r="B18" s="707"/>
    </x:row>
    <x:row r="19" ht="28" customHeight="1">
      <x:c r="A19" s="723" t="str">
        <x:v>v1.8</x:v>
      </x:c>
      <x:c r="B19" s="720" t="str">
        <x:v>固定工艺技能匹配修正（2026-09-22）</x:v>
      </x:c>
    </x:row>
    <x:row r="20" ht="46" customHeight="1">
      <x:c r="A20" s="723"/>
      <x:c r="B20" s="718" t="str">
        <x:v>固定工艺按主卡已有的专攻名称匹配，调整到其他工艺行后仍计入职业值；原位置优先，同名只计一次，无匹配时仍待填，不改写玩家输入。</x:v>
      </x:c>
    </x:row>
    <x:row r="21" ht="46" customHeight="1">
      <x:c r="A21" s="723"/>
      <x:c r="B21" s="718" t="str">
        <x:v>核对计算机科学家或工程师的电工30%、机械30%、微电子40%及相关模板；工艺下拉补入“电子学”，四个工艺名称格均可选择，保留“电子”和“微电子”为独立选项。</x:v>
      </x:c>
    </x:row>
    <x:row r="22" ht="46" customHeight="1">
      <x:c r="A22" s="723"/>
      <x:c r="B22" s="718" t="str">
        <x:v>保留人物卡版式、职业任选规则、技能包逐项替换与额外技能联动；同步角色版、公开空白母版和更新记录为v1.8。</x:v>
      </x:c>
    </x:row>
    <x:row r="23" ht="6" customHeight="1">
      <x:c r="A23" s="707"/>
      <x:c r="B23" s="707"/>
    </x:row>
    <x:row r="24" ht="28" customHeight="1">
      <x:c r="A24" s="723" t="str">
        <x:v>v1.7</x:v>
      </x:c>
      <x:c r="B24" s="720" t="str">
        <x:v>技能包单项替换与分配统计（2026-09-22）</x:v>
      </x:c>
    </x:row>
    <x:row r="25" ht="28" customHeight="1">
      <x:c r="A25" s="723"/>
      <x:c r="B25" s="718" t="str">
        <x:v>技能包的模板固定项也可在右栏替换；例如将运动员的一项换成其他技能，清空手选后恢复该模板默认项。</x:v>
      </x:c>
    </x:row>
    <x:row r="26" ht="46" customHeight="1">
      <x:c r="A26" s="723"/>
      <x:c r="B26" s="718" t="str">
        <x:v>保留八项各+20、同一技能可重复分配及创建上限80%；非自然知识不能通过技能包提升，原有任选与专攻范围保持不变。</x:v>
      </x:c>
    </x:row>
    <x:row r="27" ht="28" customHeight="1">
      <x:c r="A27" s="723"/>
      <x:c r="B27" s="718" t="str">
        <x:v>将分配统计移到第八项技能之后，八项连续排列，便于逐项核对。</x:v>
      </x:c>
    </x:row>
    <x:row r="28" ht="28" customHeight="1">
      <x:c r="A28" s="723"/>
      <x:c r="B28" s="718" t="str">
        <x:v>保留原人物卡行高、列宽及其余联动；同步角色版、公开空白母版和更新记录为v1.7。</x:v>
      </x:c>
    </x:row>
    <x:row r="29" ht="6" customHeight="1">
      <x:c r="A29" s="707"/>
      <x:c r="B29" s="707"/>
    </x:row>
    <x:row r="30" ht="28" customHeight="1">
      <x:c r="A30" s="723" t="str">
        <x:v>v1.6</x:v>
      </x:c>
      <x:c r="B30" s="720" t="str">
        <x:v>导航、模组备忘录与打印占位（2026-09-22）</x:v>
      </x:c>
    </x:row>
    <x:row r="31" ht="46" customHeight="1">
      <x:c r="A31" s="723"/>
      <x:c r="B31" s="718" t="str">
        <x:v>规则速查由68个分类链接精简为12个主题导航；冻结前8行替代原25行，保留538条正文，并提示筛选后先清除筛选再跳转。</x:v>
      </x:c>
    </x:row>
    <x:row r="32" ht="28" customHeight="1">
      <x:c r="A32" s="723"/>
      <x:c r="B32" s="718" t="str">
        <x:v>清理规则速查、精神疾病与参考选项中的出处栏目及备注末尾出处行，参考内容仍完整留在工作表中。</x:v>
      </x:c>
    </x:row>
    <x:row r="33" ht="28" customHeight="1">
      <x:c r="A33" s="723"/>
      <x:c r="B33" s="718" t="str">
        <x:v>新增20条空白场次的模组经历备忘录，可记录日期、行动、掌局者、同行特工、结果、角色变化与下次备忘。</x:v>
      </x:c>
    </x:row>
    <x:row r="34" ht="46" customHeight="1">
      <x:c r="A34" s="723"/>
      <x:c r="B34" s="718" t="str">
        <x:v>主卡底部和备忘录加入绿箱生成器、规则速查和版本记录入口；绿箱地址为 https://greenbox.thebackstop.app/。</x:v>
      </x:c>
    </x:row>
    <x:row r="35" ht="28" customHeight="1">
      <x:c r="A35" s="723"/>
      <x:c r="B35" s="718" t="str">
        <x:v>v0.4之后版本改编维护：Lindrich King，QQ：2113155803；保留原版作者DKWings及既有历史记录。</x:v>
      </x:c>
    </x:row>
    <x:row r="36" ht="28" customHeight="1">
      <x:c r="A36" s="723"/>
      <x:c r="B36" s="718" t="str">
        <x:v>项目入口：https://github.com/Shylosia/DeltaGreen。仓库发布空白母版；已填写角色版保留在本地。</x:v>
      </x:c>
    </x:row>
    <x:row r="37" ht="46" customHeight="1">
      <x:c r="A37" s="723"/>
      <x:c r="B37" s="718" t="str">
        <x:v>打印页135处数值或基础等级标签在空白时以0占位；姓名、专攻名称、背景叙述继续留白。未填力量时伤害加成显示0。</x:v>
      </x:c>
    </x:row>
    <x:row r="38" ht="28" customHeight="1">
      <x:c r="A38" s="723"/>
      <x:c r="B38" s="718" t="str">
        <x:v>同步版本v1.6。保留原人物卡与A4表的行高列宽、原有联动及已填写角色内容；新增底部导航不移动原外框。</x:v>
      </x:c>
    </x:row>
    <x:row r="39" ht="28" customHeight="1">
      <x:c r="A39" s="723"/>
      <x:c r="B39" s="718" t="str">
        <x:v>精简属性、规则和操作备注，删除坐标引导、页码引用及重复提示；关闭重复输入浮窗，保留输入错误提示。</x:v>
      </x:c>
    </x:row>
    <x:row r="40" ht="28" customHeight="1">
      <x:c r="A40" s="723"/>
      <x:c r="B40" s="718" t="str">
        <x:v>规则速查去掉条目后的“｜说明”等冗词；参考选项的共用规则集中保留，更新记录按版本倒序排列。</x:v>
      </x:c>
    </x:row>
    <x:row r="41" ht="46" customHeight="1">
      <x:c r="A41" s="723"/>
      <x:c r="B41" s="718" t="str">
        <x:v>统一新增工作表的黑灰、浅蓝配色、字体及细边框，与人物卡保持一致；原人物卡和A4打印表的行列尺寸保持不变。</x:v>
      </x:c>
    </x:row>
    <x:row r="42" ht="28" customHeight="1">
      <x:c r="A42" s="723"/>
      <x:c r="B42" s="718" t="str">
        <x:v>保留职业候选的下拉勾选与空候选隐藏；计数处显示“下拉选”及已选数量，检查选择状态和技能数值联动。</x:v>
      </x:c>
    </x:row>
    <x:row r="43" ht="6" customHeight="1">
      <x:c r="A43" s="707"/>
      <x:c r="B43" s="707"/>
    </x:row>
    <x:row r="44" ht="28" customHeight="1">
      <x:c r="A44" s="723" t="str">
        <x:v>v1.5</x:v>
      </x:c>
      <x:c r="B44" s="720" t="str">
        <x:v>属性备注与可见参考表（2026-09-22）</x:v>
      </x:c>
    </x:row>
    <x:row r="45" ht="28" customHeight="1">
      <x:c r="A45" s="723"/>
      <x:c r="B45" s="718" t="str">
        <x:v>新增45条基础属性和关键输入说明，正文8pt、标题9pt，保留原技能备注。</x:v>
      </x:c>
    </x:row>
    <x:row r="46" ht="28" customHeight="1">
      <x:c r="A46" s="723"/>
      <x:c r="B46" s="718" t="str">
        <x:v>职业任选改为原位☑／☐状态选择，只显示当前职业有效候选，修复固定多余勾选框；切换职业后核对已有选择。</x:v>
      </x:c>
    </x:row>
    <x:row r="47" ht="46" customHeight="1">
      <x:c r="A47" s="723"/>
      <x:c r="B47" s="718" t="str">
        <x:v>规则速查完整保留在工作簿；新增精神疾病与参考选项两张可编辑表，共87条手册参考，精神疾病含18项及细项、永久疯狂。</x:v>
      </x:c>
    </x:row>
    <x:row r="48" ht="28" customHeight="1">
      <x:c r="A48" s="723"/>
      <x:c r="B48" s="718" t="str">
        <x:v>非自然背景心理疾病下拉引用新表适用的8项；特训名称新增14项手册范例下拉，仍可自填。</x:v>
      </x:c>
    </x:row>
    <x:row r="49" ht="46" customHeight="1">
      <x:c r="A49" s="723"/>
      <x:c r="B49" s="718" t="str">
        <x:v>同步主卡、打印页和文档版本为v1.5；保留当前角色填写、原行高列宽与外框排版。状态区仅拆分原文字预留空间。</x:v>
      </x:c>
    </x:row>
    <x:row r="50" ht="28" customHeight="1">
      <x:c r="A50" s="723"/>
      <x:c r="B50" s="718" t="str">
        <x:v>本次交付为xlsx，所有规则和参考内容都在工作表中，无需另开PDF。</x:v>
      </x:c>
    </x:row>
    <x:row r="51" ht="6" customHeight="1">
      <x:c r="A51" s="707"/>
      <x:c r="B51" s="707"/>
    </x:row>
    <x:row r="52" ht="28" customHeight="1">
      <x:c r="A52" s="723" t="str">
        <x:v>v1.4</x:v>
      </x:c>
      <x:c r="B52" s="720" t="str">
        <x:v>装备、额外技能与创伤联动（2026-09-21）</x:v>
      </x:c>
    </x:row>
    <x:row r="53" ht="28" customHeight="1">
      <x:c r="A53" s="723"/>
      <x:c r="B53" s="718" t="str">
        <x:v>54项武器下拉按特工手册v2.0.1，自动带入技能、伤害、穿甲、射程与半径；增加护甲和特训对应项下拉。</x:v>
      </x:c>
    </x:row>
    <x:row r="54" ht="28" customHeight="1">
      <x:c r="A54" s="723"/>
      <x:c r="B54" s="718" t="str">
        <x:v>技能包自动分配八次+20；原框内选择可选项，科学等细项直接读取主卡，支持个人特长重复分配和80上限提示。</x:v>
      </x:c>
    </x:row>
    <x:row r="55" ht="28" customHeight="1">
      <x:c r="A55" s="723"/>
      <x:c r="B55" s="718" t="str">
        <x:v>创伤背景联动神秘学、非自然知识、理智、毅力、意志、魅力、适应与关系；艰苦经历五项在原框填写。</x:v>
      </x:c>
    </x:row>
    <x:row r="56" ht="28" customHeight="1">
      <x:c r="A56" s="723"/>
      <x:c r="B56" s="718" t="str">
        <x:v>创伤区填写原始意志与魅力，属性区显示修正后的数值；普通三种创伤不自动重置崩溃点。</x:v>
      </x:c>
    </x:row>
    <x:row r="57" ht="28" customHeight="1">
      <x:c r="A57" s="723"/>
      <x:c r="B57" s="718" t="str">
        <x:v>新增规则速查工作表：纯Excel文字表格，补齐检定、对抗、战斗、治疗及理智等；冲突以指定特工手册为准。</x:v>
      </x:c>
    </x:row>
    <x:row r="58" ht="28" customHeight="1">
      <x:c r="A58" s="723"/>
      <x:c r="B58" s="718" t="str">
        <x:v>保持原行高、列宽与既有合并；新增输入仅用原空白区域；人物卡A4可编辑打印表仍置于最后。</x:v>
      </x:c>
    </x:row>
    <x:row r="59" ht="6" customHeight="1">
      <x:c r="A59" s="707"/>
      <x:c r="B59" s="707"/>
    </x:row>
    <x:row r="60" ht="28" customHeight="1">
      <x:c r="A60" s="723" t="str">
        <x:v>v1.3</x:v>
      </x:c>
      <x:c r="B60" s="720" t="str">
        <x:v>原位职业选择与可编辑A4打印（2026-09-21）</x:v>
      </x:c>
    </x:row>
    <x:row r="61" ht="28" customHeight="1">
      <x:c r="A61" s="723"/>
      <x:c r="B61" s="718" t="str">
        <x:v>原职业候选框直接勾选，职业值由隐藏表自动计算；使用普通查表公式。</x:v>
      </x:c>
    </x:row>
    <x:row r="62" ht="28" customHeight="1">
      <x:c r="A62" s="723"/>
      <x:c r="B62" s="718" t="str">
        <x:v>科学、外语、工艺等细项直接填入人物卡对应格，不再跳到职业选项页。</x:v>
      </x:c>
    </x:row>
    <x:row r="63" ht="28" customHeight="1">
      <x:c r="A63" s="723"/>
      <x:c r="B63" s="718" t="str">
        <x:v>人类学／考古学的固定二选一在职业框内补充选择格；重复、超选和未填细项仍提示。</x:v>
      </x:c>
    </x:row>
    <x:row r="64" ht="28" customHeight="1">
      <x:c r="A64" s="723"/>
      <x:c r="B64" s="718" t="str">
        <x:v>保留当前角色输入；切换职业后核对旧选择和细项。</x:v>
      </x:c>
    </x:row>
    <x:row r="65" ht="28" customHeight="1">
      <x:c r="A65" s="723"/>
      <x:c r="B65" s="718" t="str">
        <x:v>备注正文8pt、标题9pt，删除尾部空白并按实际文字收紧备注框。</x:v>
      </x:c>
    </x:row>
    <x:row r="66" ht="28" customHeight="1">
      <x:c r="A66" s="723"/>
      <x:c r="B66" s="718" t="str">
        <x:v>末页重建为纯单元格文字与边框表格，无底图或文字框；完整引用人物数据，仍为两页A4。</x:v>
      </x:c>
    </x:row>
    <x:row r="67" ht="28" customHeight="1">
      <x:c r="A67" s="723"/>
      <x:c r="B67" s="718" t="str">
        <x:v>原人物卡行高、列宽和既有合并位置保留；二选一输入使用职业框原空白位置。</x:v>
      </x:c>
    </x:row>
    <x:row r="68" ht="6" customHeight="1">
      <x:c r="A68" s="707"/>
      <x:c r="B68" s="707"/>
    </x:row>
    <x:row r="69" ht="28" customHeight="1">
      <x:c r="A69" s="723" t="str">
        <x:v>v1.2</x:v>
      </x:c>
      <x:c r="B69" s="720" t="str">
        <x:v>技能悬停说明（2026-09-21）</x:v>
      </x:c>
    </x:row>
    <x:row r="70" ht="28" customHeight="1">
      <x:c r="A70" s="723"/>
      <x:c r="B70" s="718" t="str">
        <x:v>人物卡43种技能、56个技能名称格新增备注；鼠标悬停即可查看基础等级与完整说明。</x:v>
      </x:c>
    </x:row>
    <x:row r="71" ht="28" customHeight="1">
      <x:c r="A71" s="723"/>
      <x:c r="B71" s="718" t="str">
        <x:v>专攻技能各重复栏位均可查看；清理原文页眉、页码及断行，脚注按所属技能归位。</x:v>
      </x:c>
    </x:row>
    <x:row r="72" ht="28" customHeight="1">
      <x:c r="A72" s="723"/>
      <x:c r="B72" s="718" t="str">
        <x:v>保留原技能规则与措辞，现有职业勾选联动、原表排版和两页A4打印设置不变。</x:v>
      </x:c>
    </x:row>
    <x:row r="73" ht="6" customHeight="1">
      <x:c r="A73" s="707"/>
      <x:c r="B73" s="707"/>
    </x:row>
    <x:row r="74" ht="28" customHeight="1">
      <x:c r="A74" s="723" t="str">
        <x:v>v1.1</x:v>
      </x:c>
      <x:c r="B74" s="720" t="str">
        <x:v>职业任选勾选联动（2026-09-21）</x:v>
      </x:c>
    </x:row>
    <x:row r="75" ht="28" customHeight="1">
      <x:c r="A75" s="723"/>
      <x:c r="B75" s="718" t="str">
        <x:v>点击人物卡候选文字直达职业选项，勾选 N 项；各职业及子模板独立保存。</x:v>
      </x:c>
    </x:row>
    <x:row r="76" ht="28" customHeight="1">
      <x:c r="A76" s="723"/>
      <x:c r="B76" s="718" t="str">
        <x:v>新增职业选项页：固定任选、二选一及候选细项均可设置；点击人物卡提示区定位。</x:v>
      </x:c>
    </x:row>
    <x:row r="77" ht="28" customHeight="1">
      <x:c r="A77" s="723"/>
      <x:c r="B77" s="718" t="str">
        <x:v>职业值取模板最终水平；重复技能提示，超选时任选值暂不计入，取消勾选立即撤回。</x:v>
      </x:c>
    </x:row>
    <x:row r="78" ht="28" customHeight="1">
      <x:c r="A78" s="723"/>
      <x:c r="B78" s="718" t="str">
        <x:v>职业列表缺百分号的候选也可解析；明确的重型武器升级项以50替换40。</x:v>
      </x:c>
    </x:row>
    <x:row r="79" ht="28" customHeight="1">
      <x:c r="A79" s="723"/>
      <x:c r="B79" s="718" t="str">
        <x:v>原表行高、列宽、合并和A4两页打印设置保留；打印数据同步更新。</x:v>
      </x:c>
    </x:row>
    <x:row r="80" ht="28" customHeight="1">
      <x:c r="A80" s="723"/>
      <x:c r="B80" s="718" t="str">
        <x:v>各细项按来源固定占位；先确定职业与细项再填额外、成长，改选后核对。</x:v>
      </x:c>
    </x:row>
    <x:row r="81" ht="6" customHeight="1">
      <x:c r="A81" s="707"/>
      <x:c r="B81" s="707"/>
    </x:row>
    <x:row r="82" ht="28" customHeight="1">
      <x:c r="A82" s="723" t="str">
        <x:v>v1.0</x:v>
      </x:c>
      <x:c r="B82" s="720" t="str">
        <x:v>2026-09-21 · 职业联动与A4打印版</x:v>
      </x:c>
    </x:row>
    <x:row r="83" ht="28" customHeight="1">
      <x:c r="A83" s="723"/>
      <x:c r="B83" s="718" t="str">
        <x:v>新增：最后一张工作表“可打印版（A4）”，保留提供PDF的表框、标题与底纹。</x:v>
      </x:c>
    </x:row>
    <x:row r="84" ht="28" customHeight="1">
      <x:c r="A84" s="723"/>
      <x:c r="B84" s="718" t="str">
        <x:v>打印：原PDF为Letter；新表固定A4纵向、两页、指定打印区域及分页，支持双面长边翻页。</x:v>
      </x:c>
    </x:row>
    <x:row r="85" ht="28" customHeight="1">
      <x:c r="A85" s="723"/>
      <x:c r="B85" s="718" t="str">
        <x:v>联动：打印版自动引用人物卡的身份、属性、衍生属性、技能、关系、背景、装备、武器及特训。</x:v>
      </x:c>
    </x:row>
    <x:row r="86" ht="28" customHeight="1">
      <x:c r="A86" s="723"/>
      <x:c r="B86" s="718" t="str">
        <x:v>续栏：超出原PDF容量的重要关系、细分技能、其他技能和特训转入背面个人详情及备注。</x:v>
      </x:c>
    </x:row>
    <x:row r="87" ht="28" customHeight="1">
      <x:c r="A87" s="723"/>
      <x:c r="B87" s="718" t="str">
        <x:v>职业：选择职业及适用子模板后自动填写固定技能；任选项由玩家确认后填写。</x:v>
      </x:c>
    </x:row>
    <x:row r="88" ht="28" customHeight="1">
      <x:c r="A88" s="723"/>
      <x:c r="B88" s="718" t="str">
        <x:v>修复：职业公式空白时正确回落到基础值；保留额外与成长加点；补全职业下拉前两项。</x:v>
      </x:c>
    </x:row>
    <x:row r="89" ht="28" customHeight="1">
      <x:c r="A89" s="723"/>
      <x:c r="B89" s="718" t="str">
        <x:v>修复：武器致死率保留百分号并填入致死等级列；多项细分技能通过独立行与背面续栏完整呈现。</x:v>
      </x:c>
    </x:row>
    <x:row r="90" ht="28" customHeight="1">
      <x:c r="A90" s="723"/>
      <x:c r="B90" s="718" t="str">
        <x:v>保留：原有工作表的行高、列宽、合并、样式和历史更新记录不变。</x:v>
      </x:c>
    </x:row>
    <x:row r="91" ht="28" customHeight="1">
      <x:c r="A91" s="723"/>
      <x:c r="B91" s="718" t="str">
        <x:v>使用：先在“人物卡”编辑，后选择“可打印版（A4）”打印活动工作表；使用A4纸、100%缩放。</x:v>
      </x:c>
    </x:row>
    <x:row r="92" ht="28" customHeight="1">
      <x:c r="A92" s="723"/>
      <x:c r="B92" s="718" t="str">
        <x:v>注意：手动输入职业格会覆盖该格公式；建议保留母版，每名角色另存一份。</x:v>
      </x:c>
    </x:row>
    <x:row r="93" ht="28" customHeight="1">
      <x:c r="A93" s="723"/>
      <x:c r="B93" s="718" t="str">
        <x:v>说明：新打印页采用高分辨率原版式图与联动文字层；表框不是可单独编辑的Excel单元格。</x:v>
      </x:c>
    </x:row>
    <x:row r="94" ht="28" customHeight="1">
      <x:c r="A94" s="723"/>
      <x:c r="B94" s="718" t="str">
        <x:v>说明：原表没有的伤后急救确认、日常变故、弹药及签字保留空白，供纸上补填。</x:v>
      </x:c>
    </x:row>
    <x:row r="95" ht="28" customHeight="1">
      <x:c r="A95" s="723"/>
      <x:c r="B95" s="718" t="str">
        <x:v>已知：原模板“陆军（陆军）40%”名称异常及特种作战员子模板映射沿用原表。</x:v>
      </x:c>
    </x:row>
    <x:row r="96" ht="28" customHeight="1">
      <x:c r="A96" s="723"/>
      <x:c r="B96" s="718" t="str">
        <x:v>打印页保留原表框及文字结构；原作者信息保留。</x:v>
      </x:c>
    </x:row>
    <x:row r="97" ht="6" customHeight="1">
      <x:c r="A97" s="707"/>
      <x:c r="B97" s="707"/>
    </x:row>
    <x:row r="98" ht="28" customHeight="1">
      <x:c r="A98" s="723" t="str">
        <x:v>v0.4.7</x:v>
      </x:c>
      <x:c r="B98" s="720" t="str">
        <x:v>根据官方中文版规则书（2022-8-28）更新了部分译名。</x:v>
      </x:c>
    </x:row>
    <x:row r="99" ht="28" customHeight="1">
      <x:c r="A99" s="723"/>
      <x:c r="B99" s="718" t="str">
        <x:v>同上，根据新版官方人物卡，去除了“代号”一格。</x:v>
      </x:c>
    </x:row>
    <x:row r="100" ht="28" customHeight="1">
      <x:c r="A100" s="723"/>
      <x:c r="B100" s="718" t="str">
        <x:v>修正了创伤经历-艰苦经历的内容。</x:v>
      </x:c>
    </x:row>
    <x:row r="101" ht="28" customHeight="1">
      <x:c r="A101" s="723"/>
      <x:c r="B101" s="718" t="str">
        <x:v>细节格式修正。</x:v>
      </x:c>
    </x:row>
    <x:row r="102" ht="6" customHeight="1">
      <x:c r="A102" s="707"/>
      <x:c r="B102" s="707"/>
    </x:row>
    <x:row r="103" ht="28" customHeight="1">
      <x:c r="A103" s="723" t="str">
        <x:v>v0.4.6</x:v>
      </x:c>
      <x:c r="B103" s="720" t="str">
        <x:v>修正了Excel 2019或更低版本无法使用职业列表的问题。</x:v>
      </x:c>
    </x:row>
    <x:row r="104" ht="28" customHeight="1">
      <x:c r="A104" s="723"/>
      <x:c r="B104" s="718" t="str">
        <x:v>修正了深色行的成长勾的背景颜色错误的问题。</x:v>
      </x:c>
    </x:row>
    <x:row r="105" ht="6" customHeight="1">
      <x:c r="A105" s="707"/>
      <x:c r="B105" s="707"/>
    </x:row>
    <x:row r="106" ht="28" customHeight="1">
      <x:c r="A106" s="723" t="str">
        <x:v>v0.4.5</x:v>
      </x:c>
      <x:c r="B106" s="720" t="str">
        <x:v>修改：专攻技能的骰子指令现在只使用专攻名（括号内的技能）。</x:v>
      </x:c>
    </x:row>
    <x:row r="107" ht="6" customHeight="1">
      <x:c r="A107" s="707"/>
      <x:c r="B107" s="707"/>
    </x:row>
    <x:row r="108" ht="28" customHeight="1">
      <x:c r="A108" s="723" t="str">
        <x:v>v0.4.4</x:v>
      </x:c>
      <x:c r="B108" s="720" t="str">
        <x:v>修复创伤经历在WPS下显示错误的问题。</x:v>
      </x:c>
    </x:row>
    <x:row r="109" ht="28" customHeight="1">
      <x:c r="A109" s="723"/>
      <x:c r="B109" s="718" t="str">
        <x:v>修正了USSS贴身警卫处的职业技能。</x:v>
      </x:c>
    </x:row>
    <x:row r="110" ht="6" customHeight="1">
      <x:c r="A110" s="707"/>
      <x:c r="B110" s="707"/>
    </x:row>
    <x:row r="111" ht="28" customHeight="1">
      <x:c r="A111" s="723" t="str">
        <x:v>v0.4.3</x:v>
      </x:c>
      <x:c r="B111" s="720" t="str">
        <x:v>新功能：显示职业技能点对应的初始重要关系数。</x:v>
      </x:c>
    </x:row>
    <x:row r="112" ht="28" customHeight="1">
      <x:c r="A112" s="723"/>
      <x:c r="B112" s="718" t="str">
        <x:v>新功能：创伤背景查找表。</x:v>
      </x:c>
    </x:row>
    <x:row r="113" ht="28" customHeight="1">
      <x:c r="A113" s="723"/>
      <x:c r="B113" s="718" t="str">
        <x:v>修复职业技能点计算错误的问题。</x:v>
      </x:c>
    </x:row>
    <x:row r="114" ht="6" customHeight="1">
      <x:c r="A114" s="707"/>
      <x:c r="B114" s="707"/>
    </x:row>
    <x:row r="115" ht="28" customHeight="1">
      <x:c r="A115" s="723" t="str">
        <x:v>v0.4.2</x:v>
      </x:c>
      <x:c r="B115" s="720" t="str">
        <x:v>修复DB在WPS下显示错误的问题。</x:v>
      </x:c>
    </x:row>
    <x:row r="116" ht="6" customHeight="1">
      <x:c r="A116" s="707"/>
      <x:c r="B116" s="707"/>
    </x:row>
    <x:row r="117" ht="28" customHeight="1">
      <x:c r="A117" s="723" t="str">
        <x:v>v0.4.1</x:v>
      </x:c>
      <x:c r="B117" s="720" t="str">
        <x:v>职业模板：为职业模板页添加了5个可以自由编辑的栏。</x:v>
      </x:c>
    </x:row>
    <x:row r="118" ht="28" customHeight="1">
      <x:c r="A118" s="723"/>
      <x:c r="B118" s="718" t="str">
        <x:v>外观：带有职业技能值的技能，基础技能值现在会显示为灰色。</x:v>
      </x:c>
    </x:row>
    <x:row r="119" ht="28" customHeight="1">
      <x:c r="A119" s="723"/>
      <x:c r="B119" s="718" t="str">
        <x:v>修正了部分子模板错误。</x:v>
      </x:c>
    </x:row>
    <x:row r="120" ht="28" customHeight="1">
      <x:c r="A120" s="723"/>
      <x:c r="B120" s="718" t="str">
        <x:v>修正了工艺技能下拉菜单不全的问题。</x:v>
      </x:c>
    </x:row>
    <x:row r="121" ht="6" customHeight="1">
      <x:c r="A121" s="707"/>
      <x:c r="B121" s="707"/>
    </x:row>
    <x:row r="122" ht="28" customHeight="1">
      <x:c r="A122" s="723" t="str">
        <x:v>v0.4.0</x:v>
      </x:c>
      <x:c r="B122" s="720" t="str">
        <x:v>添加了来自CBP、ATF、USSS、USCG的职业模板。</x:v>
      </x:c>
    </x:row>
    <x:row r="123" ht="6" customHeight="1">
      <x:c r="A123" s="707"/>
      <x:c r="B123" s="707"/>
    </x:row>
    <x:row r="124" ht="28" customHeight="1">
      <x:c r="A124" s="723" t="str">
        <x:v>v0.3.1</x:v>
      </x:c>
      <x:c r="B124" s="720" t="str">
        <x:v>修正了创建新职业的本职技能点的叙述。</x:v>
      </x:c>
    </x:row>
    <x:row r="125" ht="6" customHeight="1">
      <x:c r="A125" s="707"/>
      <x:c r="B125" s="707"/>
    </x:row>
    <x:row r="126" ht="28" customHeight="1">
      <x:c r="A126" s="723" t="str">
        <x:v>v0.3.0</x:v>
      </x:c>
      <x:c r="B126" s="720" t="str">
        <x:v>新功能：职业技能模板查询。现在包含《特工手册》上的所有职业。</x:v>
      </x:c>
    </x:row>
    <x:row r="127" ht="28" customHeight="1">
      <x:c r="A127" s="723"/>
      <x:c r="B127" s="718" t="str">
        <x:v>新功能：可选额外技能包查询。</x:v>
      </x:c>
    </x:row>
    <x:row r="128" ht="28" customHeight="1">
      <x:c r="A128" s="723"/>
      <x:c r="B128" s="718" t="str">
        <x:v>新功能：骰子属性设置指令。</x:v>
      </x:c>
    </x:row>
    <x:row r="129" ht="28" customHeight="1">
      <x:c r="A129" s="723"/>
      <x:c r="B129" s="718" t="str">
        <x:v>改动了“总本职技能点”的计算方式：现在是技能值减去基础值。</x:v>
      </x:c>
    </x:row>
    <x:row r="130" ht="6" customHeight="1">
      <x:c r="A130" s="707"/>
      <x:c r="B130" s="707"/>
    </x:row>
    <x:row r="131" ht="28" customHeight="1">
      <x:c r="A131" s="723" t="str">
        <x:v>v0.2.1</x:v>
      </x:c>
      <x:c r="B131" s="720" t="str">
        <x:v>移除非自然知识技能前的方框</x:v>
      </x:c>
    </x:row>
    <x:row r="132" ht="28" customHeight="1">
      <x:c r="A132" s="723"/>
      <x:c r="B132" s="718" t="str">
        <x:v>修复了右栏技能方框无法编辑的问题</x:v>
      </x:c>
    </x:row>
    <x:row r="133" ht="28" customHeight="1">
      <x:c r="A133" s="723"/>
      <x:c r="B133" s="718" t="str">
        <x:v>修复了部分行突出属性颜色错误的问题。</x:v>
      </x:c>
    </x:row>
    <x:row r="134" ht="28" customHeight="1">
      <x:c r="A134" s="723"/>
      <x:c r="B134" s="718" t="str">
        <x:v>增加了几个科学技能。</x:v>
      </x:c>
    </x:row>
    <x:row r="135" ht="6" customHeight="1">
      <x:c r="A135" s="707"/>
      <x:c r="B135" s="707"/>
    </x:row>
    <x:row r="136" ht="28" customHeight="1">
      <x:c r="A136" s="723" t="str">
        <x:v>v0.2.0</x:v>
      </x:c>
      <x:c r="B136" s="720" t="str">
        <x:v>大幅度调整布局</x:v>
      </x:c>
    </x:row>
    <x:row r="137" ht="28" customHeight="1">
      <x:c r="A137" s="723"/>
      <x:c r="B137" s="718" t="str">
        <x:v>增加工艺（电子）</x:v>
      </x:c>
    </x:row>
    <x:row r="138" ht="6" customHeight="1">
      <x:c r="A138" s="707"/>
      <x:c r="B138" s="707"/>
    </x:row>
    <x:row r="139" ht="28" customHeight="1">
      <x:c r="A139" s="723" t="str">
        <x:v>v0.1.2</x:v>
      </x:c>
      <x:c r="B139" s="720" t="str">
        <x:v>自动填写初始衍生属性值</x:v>
      </x:c>
    </x:row>
    <x:row r="140" ht="28" customHeight="1">
      <x:c r="A140" s="723"/>
      <x:c r="B140" s="718" t="str">
        <x:v>修复了WPS体力上限显示错误的问题</x:v>
      </x:c>
    </x:row>
    <x:row r="141" ht="28" customHeight="1">
      <x:c r="A141" s="723"/>
      <x:c r="B141" s="718" t="str">
        <x:v>修复了理智上限应该是99-非自然知识的问题</x:v>
      </x:c>
    </x:row>
    <x:row r="142" ht="28" customHeight="1">
      <x:c r="A142" s="723"/>
      <x:c r="B142" s="718" t="str">
        <x:v>删除了重要关系上限（因为并没有上限）</x:v>
      </x:c>
    </x:row>
    <x:row r="143" ht="28" customHeight="1">
      <x:c r="A143" s="723"/>
      <x:c r="B143" s="718" t="str">
        <x:v>修复了重要关系计数错误的问题</x:v>
      </x:c>
    </x:row>
    <x:row r="144" ht="28" customHeight="1">
      <x:c r="A144" s="723"/>
      <x:c r="B144" s="718" t="str">
        <x:v>调整外观</x:v>
      </x:c>
    </x:row>
    <x:row r="145" ht="6" customHeight="1">
      <x:c r="A145" s="707"/>
      <x:c r="B145" s="707"/>
    </x:row>
    <x:row r="146" ht="28" customHeight="1">
      <x:c r="A146" s="723" t="str">
        <x:v>v0.1.1</x:v>
      </x:c>
      <x:c r="B146" s="720" t="str">
        <x:v>增加了武器栏、护甲栏、物品栏和背景栏</x:v>
      </x:c>
    </x:row>
    <x:row r="147" ht="28" customHeight="1">
      <x:c r="A147" s="723"/>
      <x:c r="B147" s="718" t="str">
        <x:v>重要关系栏：增添计数以及CHA显示</x:v>
      </x:c>
    </x:row>
    <x:row r="148" ht="28" customHeight="1">
      <x:c r="A148" s="723"/>
      <x:c r="B148" s="718" t="str">
        <x:v>职业技能点现在替换基础技能点，而不是增添</x:v>
      </x:c>
    </x:row>
    <x:row r="149" ht="6" customHeight="1">
      <x:c r="A149" s="707"/>
      <x:c r="B149" s="707"/>
    </x:row>
    <x:row r="150" ht="28" customHeight="1">
      <x:c r="A150" s="723" t="str">
        <x:v>v0.1.0</x:v>
      </x:c>
      <x:c r="B150" s="720" t="str">
        <x:v>第一版</x:v>
      </x:c>
    </x:row>
  </x:sheetData>
  <x:mergeCells>
    <x:mergeCell ref="A1:B1"/>
  </x:mergeCells>
  <x:hyperlinks>
    <x:hyperlink xmlns:r="http://schemas.openxmlformats.org/officeDocument/2006/relationships" ref="B4" r:id="rIdHistory1"/>
    <x:hyperlink xmlns:r="http://schemas.openxmlformats.org/officeDocument/2006/relationships" ref="B6" r:id="rIdHistory2"/>
    <x:hyperlink ref="A8" location="'人物卡'!B2"/>
    <x:hyperlink xmlns:r="http://schemas.openxmlformats.org/officeDocument/2006/relationships" ref="B8" r:id="rIdHistory4"/>
  </x:hyperlinks>
  <x:printOptions horizontalCentered="1"/>
  <x:pageMargins left="0.25" right="0.25" top="0.35" bottom="0.35" header="0.15" footer="0.15"/>
  <x:pageSetup paperSize="9" orientation="landscape" fitToWidth="1" fitToHeight="0"/>
</x: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11"/>
  <sheetViews>
    <sheetView showGridLines="0" workbookViewId="0">
      <pane ySplit="1" topLeftCell="A2" activePane="bottomLeft" state="frozen"/>
      <selection/>
      <selection pane="bottomLeft" activeCell="A1" sqref="A1"/>
    </sheetView>
  </sheetViews>
  <sheetFormatPr defaultColWidth="9" defaultRowHeight="14"/>
  <cols>
    <col min="1" max="1" width="30" customWidth="1"/>
  </cols>
  <sheetData>
    <row r="1" spans="1:26">
      <c r="S1" t="s">
        <v>662</v>
      </c>
      <c r="T1">
        <f>IFERROR(MATCH(附表!$D$11,职业列表!$A$1:$A$106,0),2)</f>
        <v>2</v>
      </c>
    </row>
    <row r="2" spans="1:26">
      <c r="A2" t="str">
        <f ca="1">IF(INDEX($C$1:$C$1611,$T$2+0)="","",INDEX($C$1:$C$1611,$T$2+0))</f>
        <v/>
      </c>
      <c r="B2" t="str">
        <f ca="1">IF(INDEX($D$1:$D$1611,$T$2+0)="","",INDEX($D$1:$D$1611,$T$2+0))</f>
        <v>fixed</v>
      </c>
      <c r="C2" t="str">
        <f ca="1">IF(INDEX($E$1:$E$1611,$T$2+0)="","",INDEX($E$1:$E$1611,$T$2+0))</f>
        <v/>
      </c>
      <c r="D2">
        <f ca="1">INDEX($F$1:$F$1611,$T$2+0)</f>
        <v>0</v>
      </c>
      <c r="E2" t="str">
        <f ca="1">IF(INDEX($G$1:$G$1611,$T$2+0)="","",INDEX($G$1:$G$1611,$T$2+0))</f>
        <v/>
      </c>
      <c r="F2" t="str">
        <f ca="1">IF(INDEX($H$1:$H$1611,$T$2+0)="","",INDEX($H$1:$H$1611,$T$2+0))</f>
        <v/>
      </c>
      <c r="G2" t="str">
        <f ca="1">IF(INDEX($I$1:$I$1611,$T$2+0)="","",INDEX($I$1:$I$1611,$T$2+0))</f>
        <v/>
      </c>
      <c r="H2" t="str">
        <f ca="1">IF(INDEX($J$1:$J$1611,$T$2+0)="","",INDEX($J$1:$J$1611,$T$2+0))</f>
        <v/>
      </c>
      <c r="I2" t="str">
        <f ca="1">IF(INDEX($K$1:$K$1611,$T$2+0)="","",INDEX($K$1:$K$1611,$T$2+0))</f>
        <v/>
      </c>
      <c r="J2" t="str">
        <f ca="1" t="shared" ref="J2:J28" si="0">IF(P2="","",IF(COUNTBLANK(INDIRECT("'人物卡'!"&amp;P2))&gt;0,"",TRIM(INDIRECT("'人物卡'!"&amp;P2))))</f>
        <v/>
      </c>
      <c r="K2" t="str">
        <f ca="1" t="shared" ref="K2:K28" si="1">IF(P2="",G2,IF(E2="skill",IF(AND(J2&lt;&gt;"",ISNUMBER(FIND("|"&amp;J2&amp;"|","|"&amp;H2&amp;"|"))),J2,""),IF(E2="any",IF(AND(J2&lt;&gt;"",J2&lt;&gt;"0",ISERROR(FIND("任选",J2)),ISERROR(FIND("（",J2)),ISERROR(FIND("）",J2))),C2&amp;"（"&amp;J2&amp;"）",""),IF(E2="limited",IF(AND(J2&lt;&gt;"",ISNUMBER(FIND("|"&amp;J2&amp;"|","|"&amp;H2&amp;"|"))),C2&amp;"（"&amp;J2&amp;"）",""),IF(J2=F2,G2,"")))))</f>
        <v/>
      </c>
      <c r="L2" t="b">
        <f ca="1" t="shared" ref="L2:L17" si="2">AND(A2&lt;&gt;"",TRUE)</f>
        <v>0</v>
      </c>
      <c r="M2" t="b">
        <f ca="1" t="shared" ref="M2:M17" si="3">AND(L2,K2&lt;&gt;"",COUNTIFS($K$2:$K$17,K2,$L$2:$L$17,TRUE)&gt;1)</f>
        <v>0</v>
      </c>
      <c r="N2" t="str">
        <f ca="1" t="shared" ref="N2:N28" si="4">IF(A2="","",IF(NOT(L2),"未勾选",IF(E2="unknown","原文名称异常",IF(K2="","请在主卡填写／修正细项",IF(M2,"重复技能",IF(O2&gt;0,"已计入","超选：暂不计入"))))))</f>
        <v/>
      </c>
      <c r="O2">
        <f ca="1">IF(AND(附表!$I$12,L2,K2&lt;&gt;"",NOT(M2),TRUE),D2,0)</f>
        <v>0</v>
      </c>
      <c r="P2" t="str">
        <f ca="1">IF(AND(C2="工艺",E2="",F2&lt;&gt;""),IF(AND(I2="工艺1",TRIM(人物卡!J25)=F2),"J25",IF(AND(I2="工艺2",TRIM(人物卡!J26)=F2),"J26",IF(AND(I2="工艺3",TRIM(人物卡!J27)=F2),"J27",IF(AND(I2="工艺4",TRIM(人物卡!J28)=F2),"J28",IF(TRIM(人物卡!J25)=F2,"J25",IF(TRIM(人物卡!J26)=F2,"J26",IF(TRIM(人物卡!J27)=F2,"J27",IF(TRIM(人物卡!J28)=F2,"J28",IF(INDEX($L$1:$L$1611,$T$2+0)="","",INDEX($L$1:$L$1611,$T$2+0)))))))))),IF(INDEX($L$1:$L$1611,$T$2+0)="","",INDEX($L$1:$L$1611,$T$2+0)))</f>
        <v/>
      </c>
      <c r="Q2" t="str">
        <f ca="1">IF(INDEX($M$1:$M$1611,$T$2+0)="","",INDEX($M$1:$M$1611,$T$2+0))</f>
        <v>D2</v>
      </c>
      <c r="R2" t="b">
        <f ca="1">INDEX($N$1:$N$1611,$T$2+0)</f>
        <v>0</v>
      </c>
      <c r="T2">
        <f>IFERROR(MATCH(T1,$A$100:$A$1611,0)+99,100)</f>
        <v>100</v>
      </c>
      <c r="Z2" s="0" t="b">
        <f>AND(附表!$I$12,A18&lt;&gt;"",人物卡!P49="☑")</f>
        <v>0</v>
      </c>
      <c r="AA2" s="0" t="inlineStr">
        <is>
          <t xml:space="preserve">☐</t>
        </is>
      </c>
    </row>
    <row r="3" spans="1:26">
      <c r="A3" t="str">
        <f ca="1">IF(INDEX($C$1:$C$1611,$T$2+1)="","",INDEX($C$1:$C$1611,$T$2+1))</f>
        <v/>
      </c>
      <c r="B3" t="str">
        <f ca="1">IF(INDEX($D$1:$D$1611,$T$2+1)="","",INDEX($D$1:$D$1611,$T$2+1))</f>
        <v>fixed</v>
      </c>
      <c r="C3" t="str">
        <f ca="1">IF(INDEX($E$1:$E$1611,$T$2+1)="","",INDEX($E$1:$E$1611,$T$2+1))</f>
        <v/>
      </c>
      <c r="D3">
        <f ca="1">INDEX($F$1:$F$1611,$T$2+1)</f>
        <v>0</v>
      </c>
      <c r="E3" t="str">
        <f ca="1">IF(INDEX($G$1:$G$1611,$T$2+1)="","",INDEX($G$1:$G$1611,$T$2+1))</f>
        <v/>
      </c>
      <c r="F3" t="str">
        <f ca="1">IF(INDEX($H$1:$H$1611,$T$2+1)="","",INDEX($H$1:$H$1611,$T$2+1))</f>
        <v/>
      </c>
      <c r="G3" t="str">
        <f ca="1">IF(INDEX($I$1:$I$1611,$T$2+1)="","",INDEX($I$1:$I$1611,$T$2+1))</f>
        <v/>
      </c>
      <c r="H3" t="str">
        <f ca="1">IF(INDEX($J$1:$J$1611,$T$2+1)="","",INDEX($J$1:$J$1611,$T$2+1))</f>
        <v/>
      </c>
      <c r="I3" t="str">
        <f ca="1">IF(INDEX($K$1:$K$1611,$T$2+1)="","",INDEX($K$1:$K$1611,$T$2+1))</f>
        <v/>
      </c>
      <c r="J3" t="str">
        <f ca="1" t="shared" si="0"/>
        <v/>
      </c>
      <c r="K3" t="str">
        <f ca="1" t="shared" si="1"/>
        <v/>
      </c>
      <c r="L3" t="b">
        <f ca="1" t="shared" si="2"/>
        <v>0</v>
      </c>
      <c r="M3" t="b">
        <f ca="1" t="shared" si="3"/>
        <v>0</v>
      </c>
      <c r="N3" t="str">
        <f ca="1" t="shared" si="4"/>
        <v/>
      </c>
      <c r="O3">
        <f ca="1">IF(AND(附表!$I$12,L3,K3&lt;&gt;"",NOT(M3),TRUE),D3,0)</f>
        <v>0</v>
      </c>
      <c r="P3" t="str">
        <f ca="1">IF(AND(C3="工艺",E3="",F3&lt;&gt;""),IF(AND(I3="工艺1",TRIM(人物卡!J25)=F3),"J25",IF(AND(I3="工艺2",TRIM(人物卡!J26)=F3),"J26",IF(AND(I3="工艺3",TRIM(人物卡!J27)=F3),"J27",IF(AND(I3="工艺4",TRIM(人物卡!J28)=F3),"J28",IF(TRIM(人物卡!J25)=F3,"J25",IF(TRIM(人物卡!J26)=F3,"J26",IF(TRIM(人物卡!J27)=F3,"J27",IF(TRIM(人物卡!J28)=F3,"J28",IF(INDEX($L$1:$L$1611,$T$2+1)="","",INDEX($L$1:$L$1611,$T$2+1)))))))))),IF(INDEX($L$1:$L$1611,$T$2+1)="","",INDEX($L$1:$L$1611,$T$2+1)))</f>
        <v/>
      </c>
      <c r="Q3" t="str">
        <f ca="1">IF(INDEX($M$1:$M$1611,$T$2+1)="","",INDEX($M$1:$M$1611,$T$2+1))</f>
        <v>E2</v>
      </c>
      <c r="R3" t="b">
        <f ca="1">INDEX($N$1:$N$1611,$T$2+1)</f>
        <v>0</v>
      </c>
      <c r="S3" t="s">
        <v>663</v>
      </c>
      <c r="T3">
        <f>IFERROR(INDEX(职业列表!$T$1:$T$106,T1),0)</f>
        <v>0</v>
      </c>
      <c r="Z3" s="0" t="b">
        <f>AND(附表!$I$12,A19&lt;&gt;"",人物卡!P50="☑")</f>
        <v>0</v>
      </c>
      <c r="AA3" s="0" t="inlineStr">
        <is>
          <t xml:space="preserve">☑</t>
        </is>
      </c>
    </row>
    <row r="4" spans="1:26">
      <c r="A4" t="str">
        <f ca="1">IF(INDEX($C$1:$C$1611,$T$2+2)="","",INDEX($C$1:$C$1611,$T$2+2))</f>
        <v/>
      </c>
      <c r="B4" t="str">
        <f ca="1">IF(INDEX($D$1:$D$1611,$T$2+2)="","",INDEX($D$1:$D$1611,$T$2+2))</f>
        <v>fixed</v>
      </c>
      <c r="C4" t="str">
        <f ca="1">IF(INDEX($E$1:$E$1611,$T$2+2)="","",INDEX($E$1:$E$1611,$T$2+2))</f>
        <v/>
      </c>
      <c r="D4">
        <f ca="1">INDEX($F$1:$F$1611,$T$2+2)</f>
        <v>0</v>
      </c>
      <c r="E4" t="str">
        <f ca="1">IF(INDEX($G$1:$G$1611,$T$2+2)="","",INDEX($G$1:$G$1611,$T$2+2))</f>
        <v/>
      </c>
      <c r="F4" t="str">
        <f ca="1">IF(INDEX($H$1:$H$1611,$T$2+2)="","",INDEX($H$1:$H$1611,$T$2+2))</f>
        <v/>
      </c>
      <c r="G4" t="str">
        <f ca="1">IF(INDEX($I$1:$I$1611,$T$2+2)="","",INDEX($I$1:$I$1611,$T$2+2))</f>
        <v/>
      </c>
      <c r="H4" t="str">
        <f ca="1">IF(INDEX($J$1:$J$1611,$T$2+2)="","",INDEX($J$1:$J$1611,$T$2+2))</f>
        <v/>
      </c>
      <c r="I4" t="str">
        <f ca="1">IF(INDEX($K$1:$K$1611,$T$2+2)="","",INDEX($K$1:$K$1611,$T$2+2))</f>
        <v/>
      </c>
      <c r="J4" t="str">
        <f ca="1" t="shared" si="0"/>
        <v/>
      </c>
      <c r="K4" t="str">
        <f ca="1" t="shared" si="1"/>
        <v/>
      </c>
      <c r="L4" t="b">
        <f ca="1" t="shared" si="2"/>
        <v>0</v>
      </c>
      <c r="M4" t="b">
        <f ca="1" t="shared" si="3"/>
        <v>0</v>
      </c>
      <c r="N4" t="str">
        <f ca="1" t="shared" si="4"/>
        <v/>
      </c>
      <c r="O4">
        <f ca="1">IF(AND(附表!$I$12,L4,K4&lt;&gt;"",NOT(M4),TRUE),D4,0)</f>
        <v>0</v>
      </c>
      <c r="P4" t="str">
        <f ca="1">IF(AND(C4="工艺",E4="",F4&lt;&gt;""),IF(AND(I4="工艺1",TRIM(人物卡!J25)=F4),"J25",IF(AND(I4="工艺2",TRIM(人物卡!J26)=F4),"J26",IF(AND(I4="工艺3",TRIM(人物卡!J27)=F4),"J27",IF(AND(I4="工艺4",TRIM(人物卡!J28)=F4),"J28",IF(TRIM(人物卡!J25)=F4,"J25",IF(TRIM(人物卡!J26)=F4,"J26",IF(TRIM(人物卡!J27)=F4,"J27",IF(TRIM(人物卡!J28)=F4,"J28",IF(INDEX($L$1:$L$1611,$T$2+2)="","",INDEX($L$1:$L$1611,$T$2+2)))))))))),IF(INDEX($L$1:$L$1611,$T$2+2)="","",INDEX($L$1:$L$1611,$T$2+2)))</f>
        <v/>
      </c>
      <c r="Q4" t="str">
        <f ca="1">IF(INDEX($M$1:$M$1611,$T$2+2)="","",INDEX($M$1:$M$1611,$T$2+2))</f>
        <v>F2</v>
      </c>
      <c r="R4" t="b">
        <f ca="1">INDEX($N$1:$N$1611,$T$2+2)</f>
        <v>0</v>
      </c>
      <c r="S4" t="s">
        <v>664</v>
      </c>
      <c r="T4">
        <f ca="1">COUNTIFS($L$18:$L$28,TRUE,$A$18:$A$28,"&lt;&gt;")</f>
        <v>0</v>
      </c>
      <c r="Z4" s="0" t="b">
        <f>AND(附表!$I$12,A20&lt;&gt;"",人物卡!P51="☑")</f>
        <v>0</v>
      </c>
      <c r="AA4" s="0" t="inlineStr">
        <is>
          <t xml:space="preserve"/>
        </is>
      </c>
    </row>
    <row r="5" spans="1:26">
      <c r="A5" t="str">
        <f ca="1">IF(INDEX($C$1:$C$1611,$T$2+3)="","",INDEX($C$1:$C$1611,$T$2+3))</f>
        <v/>
      </c>
      <c r="B5" t="str">
        <f ca="1">IF(INDEX($D$1:$D$1611,$T$2+3)="","",INDEX($D$1:$D$1611,$T$2+3))</f>
        <v>fixed</v>
      </c>
      <c r="C5" t="str">
        <f ca="1">IF(INDEX($E$1:$E$1611,$T$2+3)="","",INDEX($E$1:$E$1611,$T$2+3))</f>
        <v/>
      </c>
      <c r="D5">
        <f ca="1">INDEX($F$1:$F$1611,$T$2+3)</f>
        <v>0</v>
      </c>
      <c r="E5" t="str">
        <f ca="1">IF(INDEX($G$1:$G$1611,$T$2+3)="","",INDEX($G$1:$G$1611,$T$2+3))</f>
        <v/>
      </c>
      <c r="F5" t="str">
        <f ca="1">IF(INDEX($H$1:$H$1611,$T$2+3)="","",INDEX($H$1:$H$1611,$T$2+3))</f>
        <v/>
      </c>
      <c r="G5" t="str">
        <f ca="1">IF(INDEX($I$1:$I$1611,$T$2+3)="","",INDEX($I$1:$I$1611,$T$2+3))</f>
        <v/>
      </c>
      <c r="H5" t="str">
        <f ca="1">IF(INDEX($J$1:$J$1611,$T$2+3)="","",INDEX($J$1:$J$1611,$T$2+3))</f>
        <v/>
      </c>
      <c r="I5" t="str">
        <f ca="1">IF(INDEX($K$1:$K$1611,$T$2+3)="","",INDEX($K$1:$K$1611,$T$2+3))</f>
        <v/>
      </c>
      <c r="J5" t="str">
        <f ca="1" t="shared" si="0"/>
        <v/>
      </c>
      <c r="K5" t="str">
        <f ca="1" t="shared" si="1"/>
        <v/>
      </c>
      <c r="L5" t="b">
        <f ca="1" t="shared" si="2"/>
        <v>0</v>
      </c>
      <c r="M5" t="b">
        <f ca="1" t="shared" si="3"/>
        <v>0</v>
      </c>
      <c r="N5" t="str">
        <f ca="1" t="shared" si="4"/>
        <v/>
      </c>
      <c r="O5">
        <f ca="1">IF(AND(附表!$I$12,L5,K5&lt;&gt;"",NOT(M5),TRUE),D5,0)</f>
        <v>0</v>
      </c>
      <c r="P5" t="str">
        <f ca="1">IF(AND(C5="工艺",E5="",F5&lt;&gt;""),IF(AND(I5="工艺1",TRIM(人物卡!J25)=F5),"J25",IF(AND(I5="工艺2",TRIM(人物卡!J26)=F5),"J26",IF(AND(I5="工艺3",TRIM(人物卡!J27)=F5),"J27",IF(AND(I5="工艺4",TRIM(人物卡!J28)=F5),"J28",IF(TRIM(人物卡!J25)=F5,"J25",IF(TRIM(人物卡!J26)=F5,"J26",IF(TRIM(人物卡!J27)=F5,"J27",IF(TRIM(人物卡!J28)=F5,"J28",IF(INDEX($L$1:$L$1611,$T$2+3)="","",INDEX($L$1:$L$1611,$T$2+3)))))))))),IF(INDEX($L$1:$L$1611,$T$2+3)="","",INDEX($L$1:$L$1611,$T$2+3)))</f>
        <v/>
      </c>
      <c r="Q5" t="str">
        <f ca="1">IF(INDEX($M$1:$M$1611,$T$2+3)="","",INDEX($M$1:$M$1611,$T$2+3))</f>
        <v>G2</v>
      </c>
      <c r="R5" t="b">
        <f ca="1">INDEX($N$1:$N$1611,$T$2+3)</f>
        <v>0</v>
      </c>
      <c r="S5" t="s">
        <v>665</v>
      </c>
      <c r="T5">
        <f ca="1">COUNTIF($O$18:$O$28,"&gt;0")</f>
        <v>0</v>
      </c>
      <c r="Z5" s="0" t="b">
        <f>AND(附表!$I$12,A21&lt;&gt;"",人物卡!P52="☑")</f>
        <v>0</v>
      </c>
    </row>
    <row r="6" spans="1:26">
      <c r="A6" t="str">
        <f ca="1">IF(INDEX($C$1:$C$1611,$T$2+4)="","",INDEX($C$1:$C$1611,$T$2+4))</f>
        <v/>
      </c>
      <c r="B6" t="str">
        <f ca="1">IF(INDEX($D$1:$D$1611,$T$2+4)="","",INDEX($D$1:$D$1611,$T$2+4))</f>
        <v>fixed</v>
      </c>
      <c r="C6" t="str">
        <f ca="1">IF(INDEX($E$1:$E$1611,$T$2+4)="","",INDEX($E$1:$E$1611,$T$2+4))</f>
        <v/>
      </c>
      <c r="D6">
        <f ca="1">INDEX($F$1:$F$1611,$T$2+4)</f>
        <v>0</v>
      </c>
      <c r="E6" t="str">
        <f ca="1">IF(INDEX($G$1:$G$1611,$T$2+4)="","",INDEX($G$1:$G$1611,$T$2+4))</f>
        <v/>
      </c>
      <c r="F6" t="str">
        <f ca="1">IF(INDEX($H$1:$H$1611,$T$2+4)="","",INDEX($H$1:$H$1611,$T$2+4))</f>
        <v/>
      </c>
      <c r="G6" t="str">
        <f ca="1">IF(INDEX($I$1:$I$1611,$T$2+4)="","",INDEX($I$1:$I$1611,$T$2+4))</f>
        <v/>
      </c>
      <c r="H6" t="str">
        <f ca="1">IF(INDEX($J$1:$J$1611,$T$2+4)="","",INDEX($J$1:$J$1611,$T$2+4))</f>
        <v/>
      </c>
      <c r="I6" t="str">
        <f ca="1">IF(INDEX($K$1:$K$1611,$T$2+4)="","",INDEX($K$1:$K$1611,$T$2+4))</f>
        <v/>
      </c>
      <c r="J6" t="str">
        <f ca="1" t="shared" si="0"/>
        <v/>
      </c>
      <c r="K6" t="str">
        <f ca="1" t="shared" si="1"/>
        <v/>
      </c>
      <c r="L6" t="b">
        <f ca="1" t="shared" si="2"/>
        <v>0</v>
      </c>
      <c r="M6" t="b">
        <f ca="1" t="shared" si="3"/>
        <v>0</v>
      </c>
      <c r="N6" t="str">
        <f ca="1" t="shared" si="4"/>
        <v/>
      </c>
      <c r="O6">
        <f ca="1">IF(AND(附表!$I$12,L6,K6&lt;&gt;"",NOT(M6),TRUE),D6,0)</f>
        <v>0</v>
      </c>
      <c r="P6" t="str">
        <f ca="1">IF(AND(C6="工艺",E6="",F6&lt;&gt;""),IF(AND(I6="工艺1",TRIM(人物卡!J25)=F6),"J25",IF(AND(I6="工艺2",TRIM(人物卡!J26)=F6),"J26",IF(AND(I6="工艺3",TRIM(人物卡!J27)=F6),"J27",IF(AND(I6="工艺4",TRIM(人物卡!J28)=F6),"J28",IF(TRIM(人物卡!J25)=F6,"J25",IF(TRIM(人物卡!J26)=F6,"J26",IF(TRIM(人物卡!J27)=F6,"J27",IF(TRIM(人物卡!J28)=F6,"J28",IF(INDEX($L$1:$L$1611,$T$2+4)="","",INDEX($L$1:$L$1611,$T$2+4)))))))))),IF(INDEX($L$1:$L$1611,$T$2+4)="","",INDEX($L$1:$L$1611,$T$2+4)))</f>
        <v/>
      </c>
      <c r="Q6" t="str">
        <f ca="1">IF(INDEX($M$1:$M$1611,$T$2+4)="","",INDEX($M$1:$M$1611,$T$2+4))</f>
        <v>H2</v>
      </c>
      <c r="R6" t="b">
        <f ca="1">INDEX($N$1:$N$1611,$T$2+4)</f>
        <v>0</v>
      </c>
      <c r="S6" t="s">
        <v>666</v>
      </c>
      <c r="T6">
        <f ca="1">SUMPRODUCT(--($A$2:$A$17&lt;&gt;""),--($P$2:$P$17&lt;&gt;""),--($O$2:$O$17=0))</f>
        <v>0</v>
      </c>
      <c r="Z6" s="0" t="b">
        <f>AND(附表!$I$12,A22&lt;&gt;"",人物卡!P53="☑")</f>
        <v>0</v>
      </c>
    </row>
    <row r="7" spans="1:26">
      <c r="A7" t="str">
        <f ca="1">IF(INDEX($C$1:$C$1611,$T$2+5)="","",INDEX($C$1:$C$1611,$T$2+5))</f>
        <v/>
      </c>
      <c r="B7" t="str">
        <f ca="1">IF(INDEX($D$1:$D$1611,$T$2+5)="","",INDEX($D$1:$D$1611,$T$2+5))</f>
        <v>fixed</v>
      </c>
      <c r="C7" t="str">
        <f ca="1">IF(INDEX($E$1:$E$1611,$T$2+5)="","",INDEX($E$1:$E$1611,$T$2+5))</f>
        <v/>
      </c>
      <c r="D7">
        <f ca="1">INDEX($F$1:$F$1611,$T$2+5)</f>
        <v>0</v>
      </c>
      <c r="E7" t="str">
        <f ca="1">IF(INDEX($G$1:$G$1611,$T$2+5)="","",INDEX($G$1:$G$1611,$T$2+5))</f>
        <v/>
      </c>
      <c r="F7" t="str">
        <f ca="1">IF(INDEX($H$1:$H$1611,$T$2+5)="","",INDEX($H$1:$H$1611,$T$2+5))</f>
        <v/>
      </c>
      <c r="G7" t="str">
        <f ca="1">IF(INDEX($I$1:$I$1611,$T$2+5)="","",INDEX($I$1:$I$1611,$T$2+5))</f>
        <v/>
      </c>
      <c r="H7" t="str">
        <f ca="1">IF(INDEX($J$1:$J$1611,$T$2+5)="","",INDEX($J$1:$J$1611,$T$2+5))</f>
        <v/>
      </c>
      <c r="I7" t="str">
        <f ca="1">IF(INDEX($K$1:$K$1611,$T$2+5)="","",INDEX($K$1:$K$1611,$T$2+5))</f>
        <v/>
      </c>
      <c r="J7" t="str">
        <f ca="1" t="shared" si="0"/>
        <v/>
      </c>
      <c r="K7" t="str">
        <f ca="1" t="shared" si="1"/>
        <v/>
      </c>
      <c r="L7" t="b">
        <f ca="1" t="shared" si="2"/>
        <v>0</v>
      </c>
      <c r="M7" t="b">
        <f ca="1" t="shared" si="3"/>
        <v>0</v>
      </c>
      <c r="N7" t="str">
        <f ca="1" t="shared" si="4"/>
        <v/>
      </c>
      <c r="O7">
        <f ca="1">IF(AND(附表!$I$12,L7,K7&lt;&gt;"",NOT(M7),TRUE),D7,0)</f>
        <v>0</v>
      </c>
      <c r="P7" t="str">
        <f ca="1">IF(AND(C7="工艺",E7="",F7&lt;&gt;""),IF(AND(I7="工艺1",TRIM(人物卡!J25)=F7),"J25",IF(AND(I7="工艺2",TRIM(人物卡!J26)=F7),"J26",IF(AND(I7="工艺3",TRIM(人物卡!J27)=F7),"J27",IF(AND(I7="工艺4",TRIM(人物卡!J28)=F7),"J28",IF(TRIM(人物卡!J25)=F7,"J25",IF(TRIM(人物卡!J26)=F7,"J26",IF(TRIM(人物卡!J27)=F7,"J27",IF(TRIM(人物卡!J28)=F7,"J28",IF(INDEX($L$1:$L$1611,$T$2+5)="","",INDEX($L$1:$L$1611,$T$2+5)))))))))),IF(INDEX($L$1:$L$1611,$T$2+5)="","",INDEX($L$1:$L$1611,$T$2+5)))</f>
        <v/>
      </c>
      <c r="Q7" t="str">
        <f ca="1">IF(INDEX($M$1:$M$1611,$T$2+5)="","",INDEX($M$1:$M$1611,$T$2+5))</f>
        <v>I2</v>
      </c>
      <c r="R7" t="b">
        <f ca="1">INDEX($N$1:$N$1611,$T$2+5)</f>
        <v>0</v>
      </c>
      <c r="T7">
        <f ca="1">COUNTIF($E$2:$E$28,"unknown")</f>
        <v>0</v>
      </c>
      <c r="Z7" s="0" t="b">
        <f>AND(附表!$I$12,A23&lt;&gt;"",人物卡!P54="☑")</f>
        <v>0</v>
      </c>
    </row>
    <row r="8" spans="1:26">
      <c r="A8" t="str">
        <f ca="1">IF(INDEX($C$1:$C$1611,$T$2+6)="","",INDEX($C$1:$C$1611,$T$2+6))</f>
        <v/>
      </c>
      <c r="B8" t="str">
        <f ca="1">IF(INDEX($D$1:$D$1611,$T$2+6)="","",INDEX($D$1:$D$1611,$T$2+6))</f>
        <v>fixed</v>
      </c>
      <c r="C8" t="str">
        <f ca="1">IF(INDEX($E$1:$E$1611,$T$2+6)="","",INDEX($E$1:$E$1611,$T$2+6))</f>
        <v/>
      </c>
      <c r="D8">
        <f ca="1">INDEX($F$1:$F$1611,$T$2+6)</f>
        <v>0</v>
      </c>
      <c r="E8" t="str">
        <f ca="1">IF(INDEX($G$1:$G$1611,$T$2+6)="","",INDEX($G$1:$G$1611,$T$2+6))</f>
        <v/>
      </c>
      <c r="F8" t="str">
        <f ca="1">IF(INDEX($H$1:$H$1611,$T$2+6)="","",INDEX($H$1:$H$1611,$T$2+6))</f>
        <v/>
      </c>
      <c r="G8" t="str">
        <f ca="1">IF(INDEX($I$1:$I$1611,$T$2+6)="","",INDEX($I$1:$I$1611,$T$2+6))</f>
        <v/>
      </c>
      <c r="H8" t="str">
        <f ca="1">IF(INDEX($J$1:$J$1611,$T$2+6)="","",INDEX($J$1:$J$1611,$T$2+6))</f>
        <v/>
      </c>
      <c r="I8" t="str">
        <f ca="1">IF(INDEX($K$1:$K$1611,$T$2+6)="","",INDEX($K$1:$K$1611,$T$2+6))</f>
        <v/>
      </c>
      <c r="J8" t="str">
        <f ca="1" t="shared" si="0"/>
        <v/>
      </c>
      <c r="K8" t="str">
        <f ca="1" t="shared" si="1"/>
        <v/>
      </c>
      <c r="L8" t="b">
        <f ca="1" t="shared" si="2"/>
        <v>0</v>
      </c>
      <c r="M8" t="b">
        <f ca="1" t="shared" si="3"/>
        <v>0</v>
      </c>
      <c r="N8" t="str">
        <f ca="1" t="shared" si="4"/>
        <v/>
      </c>
      <c r="O8">
        <f ca="1">IF(AND(附表!$I$12,L8,K8&lt;&gt;"",NOT(M8),TRUE),D8,0)</f>
        <v>0</v>
      </c>
      <c r="P8" t="str">
        <f ca="1">IF(AND(C8="工艺",E8="",F8&lt;&gt;""),IF(AND(I8="工艺1",TRIM(人物卡!J25)=F8),"J25",IF(AND(I8="工艺2",TRIM(人物卡!J26)=F8),"J26",IF(AND(I8="工艺3",TRIM(人物卡!J27)=F8),"J27",IF(AND(I8="工艺4",TRIM(人物卡!J28)=F8),"J28",IF(TRIM(人物卡!J25)=F8,"J25",IF(TRIM(人物卡!J26)=F8,"J26",IF(TRIM(人物卡!J27)=F8,"J27",IF(TRIM(人物卡!J28)=F8,"J28",IF(INDEX($L$1:$L$1611,$T$2+6)="","",INDEX($L$1:$L$1611,$T$2+6)))))))))),IF(INDEX($L$1:$L$1611,$T$2+6)="","",INDEX($L$1:$L$1611,$T$2+6)))</f>
        <v/>
      </c>
      <c r="Q8" t="str">
        <f ca="1">IF(INDEX($M$1:$M$1611,$T$2+6)="","",INDEX($M$1:$M$1611,$T$2+6))</f>
        <v>J2</v>
      </c>
      <c r="R8" t="b">
        <f ca="1">INDEX($N$1:$N$1611,$T$2+6)</f>
        <v>0</v>
      </c>
      <c r="S8" t="s">
        <v>667</v>
      </c>
      <c r="T8" t="str">
        <f ca="1">IF(NOT(附表!$I$12),"请选择有效职业／子模板",IF(T4&gt;T3,"超选：任选暂不计入",IF(T5&lt;T3,"任选未选满","任选已完成"))&amp;IF(T6&gt;0,CHAR(10)&amp;"待填／核对细项 "&amp;T6,"")&amp;IF(T4&lt;=T3,IF(T4&gt;T5,CHAR(10)&amp;"检查重复／空细项",""),"")&amp;IF(T7&gt;0,CHAR(10)&amp;"原文技能名称异常","")&amp;CHAR(10)&amp;"细项直接填上方")</f>
        <v>任选已完成
细项直接填上方</v>
      </c>
      <c r="Z8" s="0" t="b">
        <f>AND(附表!$I$12,A24&lt;&gt;"",人物卡!P55="☑")</f>
        <v>0</v>
      </c>
    </row>
    <row r="9" spans="1:26">
      <c r="A9" t="str">
        <f ca="1">IF(INDEX($C$1:$C$1611,$T$2+7)="","",INDEX($C$1:$C$1611,$T$2+7))</f>
        <v/>
      </c>
      <c r="B9" t="str">
        <f ca="1">IF(INDEX($D$1:$D$1611,$T$2+7)="","",INDEX($D$1:$D$1611,$T$2+7))</f>
        <v>fixed</v>
      </c>
      <c r="C9" t="str">
        <f ca="1">IF(INDEX($E$1:$E$1611,$T$2+7)="","",INDEX($E$1:$E$1611,$T$2+7))</f>
        <v/>
      </c>
      <c r="D9">
        <f ca="1">INDEX($F$1:$F$1611,$T$2+7)</f>
        <v>0</v>
      </c>
      <c r="E9" t="str">
        <f ca="1">IF(INDEX($G$1:$G$1611,$T$2+7)="","",INDEX($G$1:$G$1611,$T$2+7))</f>
        <v/>
      </c>
      <c r="F9" t="str">
        <f ca="1">IF(INDEX($H$1:$H$1611,$T$2+7)="","",INDEX($H$1:$H$1611,$T$2+7))</f>
        <v/>
      </c>
      <c r="G9" t="str">
        <f ca="1">IF(INDEX($I$1:$I$1611,$T$2+7)="","",INDEX($I$1:$I$1611,$T$2+7))</f>
        <v/>
      </c>
      <c r="H9" t="str">
        <f ca="1">IF(INDEX($J$1:$J$1611,$T$2+7)="","",INDEX($J$1:$J$1611,$T$2+7))</f>
        <v/>
      </c>
      <c r="I9" t="str">
        <f ca="1">IF(INDEX($K$1:$K$1611,$T$2+7)="","",INDEX($K$1:$K$1611,$T$2+7))</f>
        <v/>
      </c>
      <c r="J9" t="str">
        <f ca="1" t="shared" si="0"/>
        <v/>
      </c>
      <c r="K9" t="str">
        <f ca="1" t="shared" si="1"/>
        <v/>
      </c>
      <c r="L9" t="b">
        <f ca="1" t="shared" si="2"/>
        <v>0</v>
      </c>
      <c r="M9" t="b">
        <f ca="1" t="shared" si="3"/>
        <v>0</v>
      </c>
      <c r="N9" t="str">
        <f ca="1" t="shared" si="4"/>
        <v/>
      </c>
      <c r="O9">
        <f ca="1">IF(AND(附表!$I$12,L9,K9&lt;&gt;"",NOT(M9),TRUE),D9,0)</f>
        <v>0</v>
      </c>
      <c r="P9" t="str">
        <f ca="1">IF(AND(C9="工艺",E9="",F9&lt;&gt;""),IF(AND(I9="工艺1",TRIM(人物卡!J25)=F9),"J25",IF(AND(I9="工艺2",TRIM(人物卡!J26)=F9),"J26",IF(AND(I9="工艺3",TRIM(人物卡!J27)=F9),"J27",IF(AND(I9="工艺4",TRIM(人物卡!J28)=F9),"J28",IF(TRIM(人物卡!J25)=F9,"J25",IF(TRIM(人物卡!J26)=F9,"J26",IF(TRIM(人物卡!J27)=F9,"J27",IF(TRIM(人物卡!J28)=F9,"J28",IF(INDEX($L$1:$L$1611,$T$2+7)="","",INDEX($L$1:$L$1611,$T$2+7)))))))))),IF(INDEX($L$1:$L$1611,$T$2+7)="","",INDEX($L$1:$L$1611,$T$2+7)))</f>
        <v/>
      </c>
      <c r="Q9" t="str">
        <f ca="1">IF(INDEX($M$1:$M$1611,$T$2+7)="","",INDEX($M$1:$M$1611,$T$2+7))</f>
        <v>K2</v>
      </c>
      <c r="R9" t="b">
        <f ca="1">INDEX($N$1:$N$1611,$T$2+7)</f>
        <v>0</v>
      </c>
      <c r="Z9" s="0" t="b">
        <f>AND(附表!$I$12,A25&lt;&gt;"",人物卡!P56="☑")</f>
        <v>0</v>
      </c>
    </row>
    <row r="10" spans="1:26">
      <c r="A10" t="str">
        <f ca="1">IF(INDEX($C$1:$C$1611,$T$2+8)="","",INDEX($C$1:$C$1611,$T$2+8))</f>
        <v/>
      </c>
      <c r="B10" t="str">
        <f ca="1">IF(INDEX($D$1:$D$1611,$T$2+8)="","",INDEX($D$1:$D$1611,$T$2+8))</f>
        <v>fixed</v>
      </c>
      <c r="C10" t="str">
        <f ca="1">IF(INDEX($E$1:$E$1611,$T$2+8)="","",INDEX($E$1:$E$1611,$T$2+8))</f>
        <v/>
      </c>
      <c r="D10">
        <f ca="1">INDEX($F$1:$F$1611,$T$2+8)</f>
        <v>0</v>
      </c>
      <c r="E10" t="str">
        <f ca="1">IF(INDEX($G$1:$G$1611,$T$2+8)="","",INDEX($G$1:$G$1611,$T$2+8))</f>
        <v/>
      </c>
      <c r="F10" t="str">
        <f ca="1">IF(INDEX($H$1:$H$1611,$T$2+8)="","",INDEX($H$1:$H$1611,$T$2+8))</f>
        <v/>
      </c>
      <c r="G10" t="str">
        <f ca="1">IF(INDEX($I$1:$I$1611,$T$2+8)="","",INDEX($I$1:$I$1611,$T$2+8))</f>
        <v/>
      </c>
      <c r="H10" t="str">
        <f ca="1">IF(INDEX($J$1:$J$1611,$T$2+8)="","",INDEX($J$1:$J$1611,$T$2+8))</f>
        <v/>
      </c>
      <c r="I10" t="str">
        <f ca="1">IF(INDEX($K$1:$K$1611,$T$2+8)="","",INDEX($K$1:$K$1611,$T$2+8))</f>
        <v/>
      </c>
      <c r="J10" t="str">
        <f ca="1" t="shared" si="0"/>
        <v/>
      </c>
      <c r="K10" t="str">
        <f ca="1" t="shared" si="1"/>
        <v/>
      </c>
      <c r="L10" t="b">
        <f ca="1" t="shared" si="2"/>
        <v>0</v>
      </c>
      <c r="M10" t="b">
        <f ca="1" t="shared" si="3"/>
        <v>0</v>
      </c>
      <c r="N10" t="str">
        <f ca="1" t="shared" si="4"/>
        <v/>
      </c>
      <c r="O10">
        <f ca="1">IF(AND(附表!$I$12,L10,K10&lt;&gt;"",NOT(M10),TRUE),D10,0)</f>
        <v>0</v>
      </c>
      <c r="P10" t="str">
        <f ca="1">IF(AND(C10="工艺",E10="",F10&lt;&gt;""),IF(AND(I10="工艺1",TRIM(人物卡!J25)=F10),"J25",IF(AND(I10="工艺2",TRIM(人物卡!J26)=F10),"J26",IF(AND(I10="工艺3",TRIM(人物卡!J27)=F10),"J27",IF(AND(I10="工艺4",TRIM(人物卡!J28)=F10),"J28",IF(TRIM(人物卡!J25)=F10,"J25",IF(TRIM(人物卡!J26)=F10,"J26",IF(TRIM(人物卡!J27)=F10,"J27",IF(TRIM(人物卡!J28)=F10,"J28",IF(INDEX($L$1:$L$1611,$T$2+8)="","",INDEX($L$1:$L$1611,$T$2+8)))))))))),IF(INDEX($L$1:$L$1611,$T$2+8)="","",INDEX($L$1:$L$1611,$T$2+8)))</f>
        <v/>
      </c>
      <c r="Q10" t="str">
        <f ca="1">IF(INDEX($M$1:$M$1611,$T$2+8)="","",INDEX($M$1:$M$1611,$T$2+8))</f>
        <v>L2</v>
      </c>
      <c r="R10" t="b">
        <f ca="1">INDEX($N$1:$N$1611,$T$2+8)</f>
        <v>0</v>
      </c>
      <c r="Z10" s="0" t="b">
        <f>AND(附表!$I$12,A26&lt;&gt;"",人物卡!P57="☑")</f>
        <v>0</v>
      </c>
    </row>
    <row r="11" spans="1:26">
      <c r="A11" t="str">
        <f ca="1">IF(INDEX($C$1:$C$1611,$T$2+9)="","",INDEX($C$1:$C$1611,$T$2+9))</f>
        <v/>
      </c>
      <c r="B11" t="str">
        <f ca="1">IF(INDEX($D$1:$D$1611,$T$2+9)="","",INDEX($D$1:$D$1611,$T$2+9))</f>
        <v>fixed</v>
      </c>
      <c r="C11" t="str">
        <f ca="1">IF(INDEX($E$1:$E$1611,$T$2+9)="","",INDEX($E$1:$E$1611,$T$2+9))</f>
        <v/>
      </c>
      <c r="D11">
        <f ca="1">INDEX($F$1:$F$1611,$T$2+9)</f>
        <v>0</v>
      </c>
      <c r="E11" t="str">
        <f ca="1">IF(INDEX($G$1:$G$1611,$T$2+9)="","",INDEX($G$1:$G$1611,$T$2+9))</f>
        <v/>
      </c>
      <c r="F11" t="str">
        <f ca="1">IF(INDEX($H$1:$H$1611,$T$2+9)="","",INDEX($H$1:$H$1611,$T$2+9))</f>
        <v/>
      </c>
      <c r="G11" t="str">
        <f ca="1">IF(INDEX($I$1:$I$1611,$T$2+9)="","",INDEX($I$1:$I$1611,$T$2+9))</f>
        <v/>
      </c>
      <c r="H11" t="str">
        <f ca="1">IF(INDEX($J$1:$J$1611,$T$2+9)="","",INDEX($J$1:$J$1611,$T$2+9))</f>
        <v/>
      </c>
      <c r="I11" t="str">
        <f ca="1">IF(INDEX($K$1:$K$1611,$T$2+9)="","",INDEX($K$1:$K$1611,$T$2+9))</f>
        <v/>
      </c>
      <c r="J11" t="str">
        <f ca="1" t="shared" si="0"/>
        <v/>
      </c>
      <c r="K11" t="str">
        <f ca="1" t="shared" si="1"/>
        <v/>
      </c>
      <c r="L11" t="b">
        <f ca="1" t="shared" si="2"/>
        <v>0</v>
      </c>
      <c r="M11" t="b">
        <f ca="1" t="shared" si="3"/>
        <v>0</v>
      </c>
      <c r="N11" t="str">
        <f ca="1" t="shared" si="4"/>
        <v/>
      </c>
      <c r="O11">
        <f ca="1">IF(AND(附表!$I$12,L11,K11&lt;&gt;"",NOT(M11),TRUE),D11,0)</f>
        <v>0</v>
      </c>
      <c r="P11" t="str">
        <f ca="1">IF(AND(C11="工艺",E11="",F11&lt;&gt;""),IF(AND(I11="工艺1",TRIM(人物卡!J25)=F11),"J25",IF(AND(I11="工艺2",TRIM(人物卡!J26)=F11),"J26",IF(AND(I11="工艺3",TRIM(人物卡!J27)=F11),"J27",IF(AND(I11="工艺4",TRIM(人物卡!J28)=F11),"J28",IF(TRIM(人物卡!J25)=F11,"J25",IF(TRIM(人物卡!J26)=F11,"J26",IF(TRIM(人物卡!J27)=F11,"J27",IF(TRIM(人物卡!J28)=F11,"J28",IF(INDEX($L$1:$L$1611,$T$2+9)="","",INDEX($L$1:$L$1611,$T$2+9)))))))))),IF(INDEX($L$1:$L$1611,$T$2+9)="","",INDEX($L$1:$L$1611,$T$2+9)))</f>
        <v/>
      </c>
      <c r="Q11" t="str">
        <f ca="1">IF(INDEX($M$1:$M$1611,$T$2+9)="","",INDEX($M$1:$M$1611,$T$2+9))</f>
        <v>M2</v>
      </c>
      <c r="R11" t="b">
        <f ca="1">INDEX($N$1:$N$1611,$T$2+9)</f>
        <v>0</v>
      </c>
      <c r="Z11" s="0" t="b">
        <f>AND(附表!$I$12,A27&lt;&gt;"",人物卡!P58="☑")</f>
        <v>0</v>
      </c>
    </row>
    <row r="12" spans="1:26">
      <c r="A12" t="str">
        <f ca="1">IF(INDEX($C$1:$C$1611,$T$2+10)="","",INDEX($C$1:$C$1611,$T$2+10))</f>
        <v/>
      </c>
      <c r="B12" t="str">
        <f ca="1">IF(INDEX($D$1:$D$1611,$T$2+10)="","",INDEX($D$1:$D$1611,$T$2+10))</f>
        <v>fixed</v>
      </c>
      <c r="C12" t="str">
        <f ca="1">IF(INDEX($E$1:$E$1611,$T$2+10)="","",INDEX($E$1:$E$1611,$T$2+10))</f>
        <v/>
      </c>
      <c r="D12">
        <f ca="1">INDEX($F$1:$F$1611,$T$2+10)</f>
        <v>0</v>
      </c>
      <c r="E12" t="str">
        <f ca="1">IF(INDEX($G$1:$G$1611,$T$2+10)="","",INDEX($G$1:$G$1611,$T$2+10))</f>
        <v/>
      </c>
      <c r="F12" t="str">
        <f ca="1">IF(INDEX($H$1:$H$1611,$T$2+10)="","",INDEX($H$1:$H$1611,$T$2+10))</f>
        <v/>
      </c>
      <c r="G12" t="str">
        <f ca="1">IF(INDEX($I$1:$I$1611,$T$2+10)="","",INDEX($I$1:$I$1611,$T$2+10))</f>
        <v/>
      </c>
      <c r="H12" t="str">
        <f ca="1">IF(INDEX($J$1:$J$1611,$T$2+10)="","",INDEX($J$1:$J$1611,$T$2+10))</f>
        <v/>
      </c>
      <c r="I12" t="str">
        <f ca="1">IF(INDEX($K$1:$K$1611,$T$2+10)="","",INDEX($K$1:$K$1611,$T$2+10))</f>
        <v/>
      </c>
      <c r="J12" t="str">
        <f ca="1" t="shared" si="0"/>
        <v/>
      </c>
      <c r="K12" t="str">
        <f ca="1" t="shared" si="1"/>
        <v/>
      </c>
      <c r="L12" t="b">
        <f ca="1" t="shared" si="2"/>
        <v>0</v>
      </c>
      <c r="M12" t="b">
        <f ca="1" t="shared" si="3"/>
        <v>0</v>
      </c>
      <c r="N12" t="str">
        <f ca="1" t="shared" si="4"/>
        <v/>
      </c>
      <c r="O12">
        <f ca="1">IF(AND(附表!$I$12,L12,K12&lt;&gt;"",NOT(M12),TRUE),D12,0)</f>
        <v>0</v>
      </c>
      <c r="P12" t="str">
        <f ca="1">IF(AND(C12="工艺",E12="",F12&lt;&gt;""),IF(AND(I12="工艺1",TRIM(人物卡!J25)=F12),"J25",IF(AND(I12="工艺2",TRIM(人物卡!J26)=F12),"J26",IF(AND(I12="工艺3",TRIM(人物卡!J27)=F12),"J27",IF(AND(I12="工艺4",TRIM(人物卡!J28)=F12),"J28",IF(TRIM(人物卡!J25)=F12,"J25",IF(TRIM(人物卡!J26)=F12,"J26",IF(TRIM(人物卡!J27)=F12,"J27",IF(TRIM(人物卡!J28)=F12,"J28",IF(INDEX($L$1:$L$1611,$T$2+10)="","",INDEX($L$1:$L$1611,$T$2+10)))))))))),IF(INDEX($L$1:$L$1611,$T$2+10)="","",INDEX($L$1:$L$1611,$T$2+10)))</f>
        <v/>
      </c>
      <c r="Q12" t="str">
        <f ca="1">IF(INDEX($M$1:$M$1611,$T$2+10)="","",INDEX($M$1:$M$1611,$T$2+10))</f>
        <v>N2</v>
      </c>
      <c r="R12" t="b">
        <f ca="1">INDEX($N$1:$N$1611,$T$2+10)</f>
        <v>0</v>
      </c>
      <c r="Z12" s="0" t="b">
        <f>AND(附表!$I$12,A28&lt;&gt;"",人物卡!P59="☑")</f>
        <v>0</v>
      </c>
    </row>
    <row r="13" spans="1:26">
      <c r="A13" t="str">
        <f ca="1">IF(INDEX($C$1:$C$1611,$T$2+11)="","",INDEX($C$1:$C$1611,$T$2+11))</f>
        <v/>
      </c>
      <c r="B13" t="str">
        <f ca="1">IF(INDEX($D$1:$D$1611,$T$2+11)="","",INDEX($D$1:$D$1611,$T$2+11))</f>
        <v>fixed</v>
      </c>
      <c r="C13" t="str">
        <f ca="1">IF(INDEX($E$1:$E$1611,$T$2+11)="","",INDEX($E$1:$E$1611,$T$2+11))</f>
        <v/>
      </c>
      <c r="D13">
        <f ca="1">INDEX($F$1:$F$1611,$T$2+11)</f>
        <v>0</v>
      </c>
      <c r="E13" t="str">
        <f ca="1">IF(INDEX($G$1:$G$1611,$T$2+11)="","",INDEX($G$1:$G$1611,$T$2+11))</f>
        <v/>
      </c>
      <c r="F13" t="str">
        <f ca="1">IF(INDEX($H$1:$H$1611,$T$2+11)="","",INDEX($H$1:$H$1611,$T$2+11))</f>
        <v/>
      </c>
      <c r="G13" t="str">
        <f ca="1">IF(INDEX($I$1:$I$1611,$T$2+11)="","",INDEX($I$1:$I$1611,$T$2+11))</f>
        <v/>
      </c>
      <c r="H13" t="str">
        <f ca="1">IF(INDEX($J$1:$J$1611,$T$2+11)="","",INDEX($J$1:$J$1611,$T$2+11))</f>
        <v/>
      </c>
      <c r="I13" t="str">
        <f ca="1">IF(INDEX($K$1:$K$1611,$T$2+11)="","",INDEX($K$1:$K$1611,$T$2+11))</f>
        <v/>
      </c>
      <c r="J13" t="str">
        <f ca="1" t="shared" si="0"/>
        <v/>
      </c>
      <c r="K13" t="str">
        <f ca="1" t="shared" si="1"/>
        <v/>
      </c>
      <c r="L13" t="b">
        <f ca="1" t="shared" si="2"/>
        <v>0</v>
      </c>
      <c r="M13" t="b">
        <f ca="1" t="shared" si="3"/>
        <v>0</v>
      </c>
      <c r="N13" t="str">
        <f ca="1" t="shared" si="4"/>
        <v/>
      </c>
      <c r="O13">
        <f ca="1">IF(AND(附表!$I$12,L13,K13&lt;&gt;"",NOT(M13),TRUE),D13,0)</f>
        <v>0</v>
      </c>
      <c r="P13" t="str">
        <f ca="1">IF(AND(C13="工艺",E13="",F13&lt;&gt;""),IF(AND(I13="工艺1",TRIM(人物卡!J25)=F13),"J25",IF(AND(I13="工艺2",TRIM(人物卡!J26)=F13),"J26",IF(AND(I13="工艺3",TRIM(人物卡!J27)=F13),"J27",IF(AND(I13="工艺4",TRIM(人物卡!J28)=F13),"J28",IF(TRIM(人物卡!J25)=F13,"J25",IF(TRIM(人物卡!J26)=F13,"J26",IF(TRIM(人物卡!J27)=F13,"J27",IF(TRIM(人物卡!J28)=F13,"J28",IF(INDEX($L$1:$L$1611,$T$2+11)="","",INDEX($L$1:$L$1611,$T$2+11)))))))))),IF(INDEX($L$1:$L$1611,$T$2+11)="","",INDEX($L$1:$L$1611,$T$2+11)))</f>
        <v/>
      </c>
      <c r="Q13" t="str">
        <f ca="1">IF(INDEX($M$1:$M$1611,$T$2+11)="","",INDEX($M$1:$M$1611,$T$2+11))</f>
        <v>O2</v>
      </c>
      <c r="R13" t="b">
        <f ca="1">INDEX($N$1:$N$1611,$T$2+11)</f>
        <v>0</v>
      </c>
    </row>
    <row r="14" spans="1:26">
      <c r="A14" t="str">
        <f ca="1">IF(INDEX($C$1:$C$1611,$T$2+12)="","",INDEX($C$1:$C$1611,$T$2+12))</f>
        <v/>
      </c>
      <c r="B14" t="str">
        <f ca="1">IF(INDEX($D$1:$D$1611,$T$2+12)="","",INDEX($D$1:$D$1611,$T$2+12))</f>
        <v>fixed</v>
      </c>
      <c r="C14" t="str">
        <f ca="1">IF(INDEX($E$1:$E$1611,$T$2+12)="","",INDEX($E$1:$E$1611,$T$2+12))</f>
        <v/>
      </c>
      <c r="D14">
        <f ca="1">INDEX($F$1:$F$1611,$T$2+12)</f>
        <v>0</v>
      </c>
      <c r="E14" t="str">
        <f ca="1">IF(INDEX($G$1:$G$1611,$T$2+12)="","",INDEX($G$1:$G$1611,$T$2+12))</f>
        <v/>
      </c>
      <c r="F14" t="str">
        <f ca="1">IF(INDEX($H$1:$H$1611,$T$2+12)="","",INDEX($H$1:$H$1611,$T$2+12))</f>
        <v/>
      </c>
      <c r="G14" t="str">
        <f ca="1">IF(INDEX($I$1:$I$1611,$T$2+12)="","",INDEX($I$1:$I$1611,$T$2+12))</f>
        <v/>
      </c>
      <c r="H14" t="str">
        <f ca="1">IF(INDEX($J$1:$J$1611,$T$2+12)="","",INDEX($J$1:$J$1611,$T$2+12))</f>
        <v/>
      </c>
      <c r="I14" t="str">
        <f ca="1">IF(INDEX($K$1:$K$1611,$T$2+12)="","",INDEX($K$1:$K$1611,$T$2+12))</f>
        <v/>
      </c>
      <c r="J14" t="str">
        <f ca="1" t="shared" si="0"/>
        <v/>
      </c>
      <c r="K14" t="str">
        <f ca="1" t="shared" si="1"/>
        <v/>
      </c>
      <c r="L14" t="b">
        <f ca="1" t="shared" si="2"/>
        <v>0</v>
      </c>
      <c r="M14" t="b">
        <f ca="1" t="shared" si="3"/>
        <v>0</v>
      </c>
      <c r="N14" t="str">
        <f ca="1" t="shared" si="4"/>
        <v/>
      </c>
      <c r="O14">
        <f ca="1">IF(AND(附表!$I$12,L14,K14&lt;&gt;"",NOT(M14),TRUE),D14,0)</f>
        <v>0</v>
      </c>
      <c r="P14" t="str">
        <f ca="1">IF(AND(C14="工艺",E14="",F14&lt;&gt;""),IF(AND(I14="工艺1",TRIM(人物卡!J25)=F14),"J25",IF(AND(I14="工艺2",TRIM(人物卡!J26)=F14),"J26",IF(AND(I14="工艺3",TRIM(人物卡!J27)=F14),"J27",IF(AND(I14="工艺4",TRIM(人物卡!J28)=F14),"J28",IF(TRIM(人物卡!J25)=F14,"J25",IF(TRIM(人物卡!J26)=F14,"J26",IF(TRIM(人物卡!J27)=F14,"J27",IF(TRIM(人物卡!J28)=F14,"J28",IF(INDEX($L$1:$L$1611,$T$2+12)="","",INDEX($L$1:$L$1611,$T$2+12)))))))))),IF(INDEX($L$1:$L$1611,$T$2+12)="","",INDEX($L$1:$L$1611,$T$2+12)))</f>
        <v/>
      </c>
      <c r="Q14" t="str">
        <f ca="1">IF(INDEX($M$1:$M$1611,$T$2+12)="","",INDEX($M$1:$M$1611,$T$2+12))</f>
        <v>P2</v>
      </c>
      <c r="R14" t="b">
        <f ca="1">INDEX($N$1:$N$1611,$T$2+12)</f>
        <v>0</v>
      </c>
    </row>
    <row r="15" spans="1:26">
      <c r="A15" t="str">
        <f ca="1">IF(INDEX($C$1:$C$1611,$T$2+13)="","",INDEX($C$1:$C$1611,$T$2+13))</f>
        <v/>
      </c>
      <c r="B15" t="str">
        <f ca="1">IF(INDEX($D$1:$D$1611,$T$2+13)="","",INDEX($D$1:$D$1611,$T$2+13))</f>
        <v>fixed</v>
      </c>
      <c r="C15" t="str">
        <f ca="1">IF(INDEX($E$1:$E$1611,$T$2+13)="","",INDEX($E$1:$E$1611,$T$2+13))</f>
        <v/>
      </c>
      <c r="D15">
        <f ca="1">INDEX($F$1:$F$1611,$T$2+13)</f>
        <v>0</v>
      </c>
      <c r="E15" t="str">
        <f ca="1">IF(INDEX($G$1:$G$1611,$T$2+13)="","",INDEX($G$1:$G$1611,$T$2+13))</f>
        <v/>
      </c>
      <c r="F15" t="str">
        <f ca="1">IF(INDEX($H$1:$H$1611,$T$2+13)="","",INDEX($H$1:$H$1611,$T$2+13))</f>
        <v/>
      </c>
      <c r="G15" t="str">
        <f ca="1">IF(INDEX($I$1:$I$1611,$T$2+13)="","",INDEX($I$1:$I$1611,$T$2+13))</f>
        <v/>
      </c>
      <c r="H15" t="str">
        <f ca="1">IF(INDEX($J$1:$J$1611,$T$2+13)="","",INDEX($J$1:$J$1611,$T$2+13))</f>
        <v/>
      </c>
      <c r="I15" t="str">
        <f ca="1">IF(INDEX($K$1:$K$1611,$T$2+13)="","",INDEX($K$1:$K$1611,$T$2+13))</f>
        <v/>
      </c>
      <c r="J15" t="str">
        <f ca="1" t="shared" si="0"/>
        <v/>
      </c>
      <c r="K15" t="str">
        <f ca="1" t="shared" si="1"/>
        <v/>
      </c>
      <c r="L15" t="b">
        <f ca="1" t="shared" si="2"/>
        <v>0</v>
      </c>
      <c r="M15" t="b">
        <f ca="1" t="shared" si="3"/>
        <v>0</v>
      </c>
      <c r="N15" t="str">
        <f ca="1" t="shared" si="4"/>
        <v/>
      </c>
      <c r="O15">
        <f ca="1">IF(AND(附表!$I$12,L15,K15&lt;&gt;"",NOT(M15),TRUE),D15,0)</f>
        <v>0</v>
      </c>
      <c r="P15" t="str">
        <f ca="1">IF(AND(C15="工艺",E15="",F15&lt;&gt;""),IF(AND(I15="工艺1",TRIM(人物卡!J25)=F15),"J25",IF(AND(I15="工艺2",TRIM(人物卡!J26)=F15),"J26",IF(AND(I15="工艺3",TRIM(人物卡!J27)=F15),"J27",IF(AND(I15="工艺4",TRIM(人物卡!J28)=F15),"J28",IF(TRIM(人物卡!J25)=F15,"J25",IF(TRIM(人物卡!J26)=F15,"J26",IF(TRIM(人物卡!J27)=F15,"J27",IF(TRIM(人物卡!J28)=F15,"J28",IF(INDEX($L$1:$L$1611,$T$2+13)="","",INDEX($L$1:$L$1611,$T$2+13)))))))))),IF(INDEX($L$1:$L$1611,$T$2+13)="","",INDEX($L$1:$L$1611,$T$2+13)))</f>
        <v/>
      </c>
      <c r="Q15" t="str">
        <f ca="1">IF(INDEX($M$1:$M$1611,$T$2+13)="","",INDEX($M$1:$M$1611,$T$2+13))</f>
        <v>Q2</v>
      </c>
      <c r="R15" t="b">
        <f ca="1">INDEX($N$1:$N$1611,$T$2+13)</f>
        <v>0</v>
      </c>
    </row>
    <row r="16" spans="1:26">
      <c r="A16" t="str">
        <f ca="1">IF(INDEX($C$1:$C$1611,$T$2+14)="","",INDEX($C$1:$C$1611,$T$2+14))</f>
        <v/>
      </c>
      <c r="B16" t="str">
        <f ca="1">IF(INDEX($D$1:$D$1611,$T$2+14)="","",INDEX($D$1:$D$1611,$T$2+14))</f>
        <v>fixed</v>
      </c>
      <c r="C16" t="str">
        <f ca="1">IF(INDEX($E$1:$E$1611,$T$2+14)="","",INDEX($E$1:$E$1611,$T$2+14))</f>
        <v/>
      </c>
      <c r="D16">
        <f ca="1">INDEX($F$1:$F$1611,$T$2+14)</f>
        <v>0</v>
      </c>
      <c r="E16" t="str">
        <f ca="1">IF(INDEX($G$1:$G$1611,$T$2+14)="","",INDEX($G$1:$G$1611,$T$2+14))</f>
        <v/>
      </c>
      <c r="F16" t="str">
        <f ca="1">IF(INDEX($H$1:$H$1611,$T$2+14)="","",INDEX($H$1:$H$1611,$T$2+14))</f>
        <v/>
      </c>
      <c r="G16" t="str">
        <f ca="1">IF(INDEX($I$1:$I$1611,$T$2+14)="","",INDEX($I$1:$I$1611,$T$2+14))</f>
        <v/>
      </c>
      <c r="H16" t="str">
        <f ca="1">IF(INDEX($J$1:$J$1611,$T$2+14)="","",INDEX($J$1:$J$1611,$T$2+14))</f>
        <v/>
      </c>
      <c r="I16" t="str">
        <f ca="1">IF(INDEX($K$1:$K$1611,$T$2+14)="","",INDEX($K$1:$K$1611,$T$2+14))</f>
        <v/>
      </c>
      <c r="J16" t="str">
        <f ca="1" t="shared" si="0"/>
        <v/>
      </c>
      <c r="K16" t="str">
        <f ca="1" t="shared" si="1"/>
        <v/>
      </c>
      <c r="L16" t="b">
        <f ca="1" t="shared" si="2"/>
        <v>0</v>
      </c>
      <c r="M16" t="b">
        <f ca="1" t="shared" si="3"/>
        <v>0</v>
      </c>
      <c r="N16" t="str">
        <f ca="1" t="shared" si="4"/>
        <v/>
      </c>
      <c r="O16">
        <f ca="1">IF(AND(附表!$I$12,L16,K16&lt;&gt;"",NOT(M16),TRUE),D16,0)</f>
        <v>0</v>
      </c>
      <c r="P16" t="str">
        <f ca="1">IF(AND(C16="工艺",E16="",F16&lt;&gt;""),IF(AND(I16="工艺1",TRIM(人物卡!J25)=F16),"J25",IF(AND(I16="工艺2",TRIM(人物卡!J26)=F16),"J26",IF(AND(I16="工艺3",TRIM(人物卡!J27)=F16),"J27",IF(AND(I16="工艺4",TRIM(人物卡!J28)=F16),"J28",IF(TRIM(人物卡!J25)=F16,"J25",IF(TRIM(人物卡!J26)=F16,"J26",IF(TRIM(人物卡!J27)=F16,"J27",IF(TRIM(人物卡!J28)=F16,"J28",IF(INDEX($L$1:$L$1611,$T$2+14)="","",INDEX($L$1:$L$1611,$T$2+14)))))))))),IF(INDEX($L$1:$L$1611,$T$2+14)="","",INDEX($L$1:$L$1611,$T$2+14)))</f>
        <v/>
      </c>
      <c r="Q16" t="str">
        <f ca="1">IF(INDEX($M$1:$M$1611,$T$2+14)="","",INDEX($M$1:$M$1611,$T$2+14))</f>
        <v>R2</v>
      </c>
      <c r="R16" t="b">
        <f ca="1">INDEX($N$1:$N$1611,$T$2+14)</f>
        <v>0</v>
      </c>
    </row>
    <row r="17" spans="1:18">
      <c r="A17" t="str">
        <f ca="1">IF(INDEX($C$1:$C$1611,$T$2+15)="","",INDEX($C$1:$C$1611,$T$2+15))</f>
        <v/>
      </c>
      <c r="B17" t="str">
        <f ca="1">IF(INDEX($D$1:$D$1611,$T$2+15)="","",INDEX($D$1:$D$1611,$T$2+15))</f>
        <v>fixed</v>
      </c>
      <c r="C17" t="str">
        <f ca="1">IF(INDEX($E$1:$E$1611,$T$2+15)="","",INDEX($E$1:$E$1611,$T$2+15))</f>
        <v/>
      </c>
      <c r="D17">
        <f ca="1">INDEX($F$1:$F$1611,$T$2+15)</f>
        <v>0</v>
      </c>
      <c r="E17" t="str">
        <f ca="1">IF(INDEX($G$1:$G$1611,$T$2+15)="","",INDEX($G$1:$G$1611,$T$2+15))</f>
        <v/>
      </c>
      <c r="F17" t="str">
        <f ca="1">IF(INDEX($H$1:$H$1611,$T$2+15)="","",INDEX($H$1:$H$1611,$T$2+15))</f>
        <v/>
      </c>
      <c r="G17" t="str">
        <f ca="1">IF(INDEX($I$1:$I$1611,$T$2+15)="","",INDEX($I$1:$I$1611,$T$2+15))</f>
        <v/>
      </c>
      <c r="H17" t="str">
        <f ca="1">IF(INDEX($J$1:$J$1611,$T$2+15)="","",INDEX($J$1:$J$1611,$T$2+15))</f>
        <v/>
      </c>
      <c r="I17" t="str">
        <f ca="1">IF(INDEX($K$1:$K$1611,$T$2+15)="","",INDEX($K$1:$K$1611,$T$2+15))</f>
        <v/>
      </c>
      <c r="J17" t="str">
        <f ca="1" t="shared" si="0"/>
        <v/>
      </c>
      <c r="K17" t="str">
        <f ca="1" t="shared" si="1"/>
        <v/>
      </c>
      <c r="L17" t="b">
        <f ca="1" t="shared" si="2"/>
        <v>0</v>
      </c>
      <c r="M17" t="b">
        <f ca="1" t="shared" si="3"/>
        <v>0</v>
      </c>
      <c r="N17" t="str">
        <f ca="1" t="shared" si="4"/>
        <v/>
      </c>
      <c r="O17">
        <f ca="1">IF(AND(附表!$I$12,L17,K17&lt;&gt;"",NOT(M17),TRUE),D17,0)</f>
        <v>0</v>
      </c>
      <c r="P17" t="str">
        <f ca="1">IF(AND(C17="工艺",E17="",F17&lt;&gt;""),IF(AND(I17="工艺1",TRIM(人物卡!J25)=F17),"J25",IF(AND(I17="工艺2",TRIM(人物卡!J26)=F17),"J26",IF(AND(I17="工艺3",TRIM(人物卡!J27)=F17),"J27",IF(AND(I17="工艺4",TRIM(人物卡!J28)=F17),"J28",IF(TRIM(人物卡!J25)=F17,"J25",IF(TRIM(人物卡!J26)=F17,"J26",IF(TRIM(人物卡!J27)=F17,"J27",IF(TRIM(人物卡!J28)=F17,"J28",IF(INDEX($L$1:$L$1611,$T$2+15)="","",INDEX($L$1:$L$1611,$T$2+15)))))))))),IF(INDEX($L$1:$L$1611,$T$2+15)="","",INDEX($L$1:$L$1611,$T$2+15)))</f>
        <v/>
      </c>
      <c r="Q17" t="str">
        <f ca="1">IF(INDEX($M$1:$M$1611,$T$2+15)="","",INDEX($M$1:$M$1611,$T$2+15))</f>
        <v>S2</v>
      </c>
      <c r="R17" t="b">
        <f ca="1">INDEX($N$1:$N$1611,$T$2+15)</f>
        <v>0</v>
      </c>
    </row>
    <row r="18" spans="1:18">
      <c r="A18" t="str">
        <f ca="1">IF(INDEX($C$1:$C$1611,$T$2+16)="","",INDEX($C$1:$C$1611,$T$2+16))</f>
        <v/>
      </c>
      <c r="B18" t="str">
        <f ca="1">IF(INDEX($D$1:$D$1611,$T$2+16)="","",INDEX($D$1:$D$1611,$T$2+16))</f>
        <v>free</v>
      </c>
      <c r="C18" t="str">
        <f ca="1">IF(INDEX($E$1:$E$1611,$T$2+16)="","",INDEX($E$1:$E$1611,$T$2+16))</f>
        <v/>
      </c>
      <c r="D18">
        <f ca="1">INDEX($F$1:$F$1611,$T$2+16)</f>
        <v>0</v>
      </c>
      <c r="E18" t="str">
        <f ca="1">IF(INDEX($G$1:$G$1611,$T$2+16)="","",INDEX($G$1:$G$1611,$T$2+16))</f>
        <v/>
      </c>
      <c r="F18" t="str">
        <f ca="1">IF(INDEX($H$1:$H$1611,$T$2+16)="","",INDEX($H$1:$H$1611,$T$2+16))</f>
        <v/>
      </c>
      <c r="G18" t="str">
        <f ca="1">IF(INDEX($I$1:$I$1611,$T$2+16)="","",INDEX($I$1:$I$1611,$T$2+16))</f>
        <v/>
      </c>
      <c r="H18" t="str">
        <f ca="1">IF(INDEX($J$1:$J$1611,$T$2+16)="","",INDEX($J$1:$J$1611,$T$2+16))</f>
        <v/>
      </c>
      <c r="I18" t="str">
        <f ca="1">IF(INDEX($K$1:$K$1611,$T$2+16)="","",INDEX($K$1:$K$1611,$T$2+16))</f>
        <v/>
      </c>
      <c r="J18" t="str">
        <f ca="1" t="shared" si="0"/>
        <v/>
      </c>
      <c r="K18" t="str">
        <f ca="1" t="shared" si="1"/>
        <v/>
      </c>
      <c r="L18" t="b">
        <f ca="1">AND(A18&lt;&gt;"",$Z$2=TRUE)</f>
        <v>0</v>
      </c>
      <c r="M18" t="b">
        <f ca="1" t="shared" ref="M18:M28" si="5">AND(L18,K18&lt;&gt;"",OR(COUNTIFS($K$18:$K$28,K18,$L$18:$L$28,TRUE)&gt;1,AND(COUNTIFS($K$2:$K$17,K18,$L$2:$L$17,TRUE)&gt;0,NOT(R18))))</f>
        <v>0</v>
      </c>
      <c r="N18" t="str">
        <f ca="1" t="shared" si="4"/>
        <v/>
      </c>
      <c r="O18">
        <f ca="1">IF(AND(附表!$I$12,L18,K18&lt;&gt;"",NOT(M18),$T$4&lt;=$T$3),D18,0)</f>
        <v>0</v>
      </c>
      <c r="P18" t="str">
        <f ca="1">IF(AND(C18="工艺",E18="",F18&lt;&gt;""),IF(AND(I18="工艺1",TRIM(人物卡!J25)=F18),"J25",IF(AND(I18="工艺2",TRIM(人物卡!J26)=F18),"J26",IF(AND(I18="工艺3",TRIM(人物卡!J27)=F18),"J27",IF(AND(I18="工艺4",TRIM(人物卡!J28)=F18),"J28",IF(TRIM(人物卡!J25)=F18,"J25",IF(TRIM(人物卡!J26)=F18,"J26",IF(TRIM(人物卡!J27)=F18,"J27",IF(TRIM(人物卡!J28)=F18,"J28",IF(INDEX($L$1:$L$1611,$T$2+16)="","",INDEX($L$1:$L$1611,$T$2+16)))))))))),IF(INDEX($L$1:$L$1611,$T$2+16)="","",INDEX($L$1:$L$1611,$T$2+16)))</f>
        <v/>
      </c>
      <c r="Q18" t="str">
        <f ca="1">IF(INDEX($M$1:$M$1611,$T$2+16)="","",INDEX($M$1:$M$1611,$T$2+16))</f>
        <v>U2</v>
      </c>
      <c r="R18" t="b">
        <f ca="1">INDEX($N$1:$N$1611,$T$2+16)</f>
        <v>0</v>
      </c>
    </row>
    <row r="19" spans="1:18">
      <c r="A19" t="str">
        <f ca="1">IF(INDEX($C$1:$C$1611,$T$2+17)="","",INDEX($C$1:$C$1611,$T$2+17))</f>
        <v/>
      </c>
      <c r="B19" t="str">
        <f ca="1">IF(INDEX($D$1:$D$1611,$T$2+17)="","",INDEX($D$1:$D$1611,$T$2+17))</f>
        <v>free</v>
      </c>
      <c r="C19" t="str">
        <f ca="1">IF(INDEX($E$1:$E$1611,$T$2+17)="","",INDEX($E$1:$E$1611,$T$2+17))</f>
        <v/>
      </c>
      <c r="D19">
        <f ca="1">INDEX($F$1:$F$1611,$T$2+17)</f>
        <v>0</v>
      </c>
      <c r="E19" t="str">
        <f ca="1">IF(INDEX($G$1:$G$1611,$T$2+17)="","",INDEX($G$1:$G$1611,$T$2+17))</f>
        <v/>
      </c>
      <c r="F19" t="str">
        <f ca="1">IF(INDEX($H$1:$H$1611,$T$2+17)="","",INDEX($H$1:$H$1611,$T$2+17))</f>
        <v/>
      </c>
      <c r="G19" t="str">
        <f ca="1">IF(INDEX($I$1:$I$1611,$T$2+17)="","",INDEX($I$1:$I$1611,$T$2+17))</f>
        <v/>
      </c>
      <c r="H19" t="str">
        <f ca="1">IF(INDEX($J$1:$J$1611,$T$2+17)="","",INDEX($J$1:$J$1611,$T$2+17))</f>
        <v/>
      </c>
      <c r="I19" t="str">
        <f ca="1">IF(INDEX($K$1:$K$1611,$T$2+17)="","",INDEX($K$1:$K$1611,$T$2+17))</f>
        <v/>
      </c>
      <c r="J19" t="str">
        <f ca="1" t="shared" si="0"/>
        <v/>
      </c>
      <c r="K19" t="str">
        <f ca="1" t="shared" si="1"/>
        <v/>
      </c>
      <c r="L19" t="b">
        <f ca="1">AND(A19&lt;&gt;"",$Z$3=TRUE)</f>
        <v>0</v>
      </c>
      <c r="M19" t="b">
        <f ca="1" t="shared" si="5"/>
        <v>0</v>
      </c>
      <c r="N19" t="str">
        <f ca="1" t="shared" si="4"/>
        <v/>
      </c>
      <c r="O19">
        <f ca="1">IF(AND(附表!$I$12,L19,K19&lt;&gt;"",NOT(M19),$T$4&lt;=$T$3),D19,0)</f>
        <v>0</v>
      </c>
      <c r="P19" t="str">
        <f ca="1">IF(AND(C19="工艺",E19="",F19&lt;&gt;""),IF(AND(I19="工艺1",TRIM(人物卡!J25)=F19),"J25",IF(AND(I19="工艺2",TRIM(人物卡!J26)=F19),"J26",IF(AND(I19="工艺3",TRIM(人物卡!J27)=F19),"J27",IF(AND(I19="工艺4",TRIM(人物卡!J28)=F19),"J28",IF(TRIM(人物卡!J25)=F19,"J25",IF(TRIM(人物卡!J26)=F19,"J26",IF(TRIM(人物卡!J27)=F19,"J27",IF(TRIM(人物卡!J28)=F19,"J28",IF(INDEX($L$1:$L$1611,$T$2+17)="","",INDEX($L$1:$L$1611,$T$2+17)))))))))),IF(INDEX($L$1:$L$1611,$T$2+17)="","",INDEX($L$1:$L$1611,$T$2+17)))</f>
        <v/>
      </c>
      <c r="Q19" t="str">
        <f ca="1">IF(INDEX($M$1:$M$1611,$T$2+17)="","",INDEX($M$1:$M$1611,$T$2+17))</f>
        <v>V2</v>
      </c>
      <c r="R19" t="b">
        <f ca="1">INDEX($N$1:$N$1611,$T$2+17)</f>
        <v>0</v>
      </c>
    </row>
    <row r="20" spans="1:18">
      <c r="A20" t="str">
        <f ca="1">IF(INDEX($C$1:$C$1611,$T$2+18)="","",INDEX($C$1:$C$1611,$T$2+18))</f>
        <v/>
      </c>
      <c r="B20" t="str">
        <f ca="1">IF(INDEX($D$1:$D$1611,$T$2+18)="","",INDEX($D$1:$D$1611,$T$2+18))</f>
        <v>free</v>
      </c>
      <c r="C20" t="str">
        <f ca="1">IF(INDEX($E$1:$E$1611,$T$2+18)="","",INDEX($E$1:$E$1611,$T$2+18))</f>
        <v/>
      </c>
      <c r="D20">
        <f ca="1">INDEX($F$1:$F$1611,$T$2+18)</f>
        <v>0</v>
      </c>
      <c r="E20" t="str">
        <f ca="1">IF(INDEX($G$1:$G$1611,$T$2+18)="","",INDEX($G$1:$G$1611,$T$2+18))</f>
        <v/>
      </c>
      <c r="F20" t="str">
        <f ca="1">IF(INDEX($H$1:$H$1611,$T$2+18)="","",INDEX($H$1:$H$1611,$T$2+18))</f>
        <v/>
      </c>
      <c r="G20" t="str">
        <f ca="1">IF(INDEX($I$1:$I$1611,$T$2+18)="","",INDEX($I$1:$I$1611,$T$2+18))</f>
        <v/>
      </c>
      <c r="H20" t="str">
        <f ca="1">IF(INDEX($J$1:$J$1611,$T$2+18)="","",INDEX($J$1:$J$1611,$T$2+18))</f>
        <v/>
      </c>
      <c r="I20" t="str">
        <f ca="1">IF(INDEX($K$1:$K$1611,$T$2+18)="","",INDEX($K$1:$K$1611,$T$2+18))</f>
        <v/>
      </c>
      <c r="J20" t="str">
        <f ca="1" t="shared" si="0"/>
        <v/>
      </c>
      <c r="K20" t="str">
        <f ca="1" t="shared" si="1"/>
        <v/>
      </c>
      <c r="L20" t="b">
        <f ca="1">AND(A20&lt;&gt;"",$Z$4=TRUE)</f>
        <v>0</v>
      </c>
      <c r="M20" t="b">
        <f ca="1" t="shared" si="5"/>
        <v>0</v>
      </c>
      <c r="N20" t="str">
        <f ca="1" t="shared" si="4"/>
        <v/>
      </c>
      <c r="O20">
        <f ca="1">IF(AND(附表!$I$12,L20,K20&lt;&gt;"",NOT(M20),$T$4&lt;=$T$3),D20,0)</f>
        <v>0</v>
      </c>
      <c r="P20" t="str">
        <f ca="1">IF(AND(C20="工艺",E20="",F20&lt;&gt;""),IF(AND(I20="工艺1",TRIM(人物卡!J25)=F20),"J25",IF(AND(I20="工艺2",TRIM(人物卡!J26)=F20),"J26",IF(AND(I20="工艺3",TRIM(人物卡!J27)=F20),"J27",IF(AND(I20="工艺4",TRIM(人物卡!J28)=F20),"J28",IF(TRIM(人物卡!J25)=F20,"J25",IF(TRIM(人物卡!J26)=F20,"J26",IF(TRIM(人物卡!J27)=F20,"J27",IF(TRIM(人物卡!J28)=F20,"J28",IF(INDEX($L$1:$L$1611,$T$2+18)="","",INDEX($L$1:$L$1611,$T$2+18)))))))))),IF(INDEX($L$1:$L$1611,$T$2+18)="","",INDEX($L$1:$L$1611,$T$2+18)))</f>
        <v/>
      </c>
      <c r="Q20" t="str">
        <f ca="1">IF(INDEX($M$1:$M$1611,$T$2+18)="","",INDEX($M$1:$M$1611,$T$2+18))</f>
        <v>W2</v>
      </c>
      <c r="R20" t="b">
        <f ca="1">INDEX($N$1:$N$1611,$T$2+18)</f>
        <v>0</v>
      </c>
    </row>
    <row r="21" spans="1:18">
      <c r="A21" t="str">
        <f ca="1">IF(INDEX($C$1:$C$1611,$T$2+19)="","",INDEX($C$1:$C$1611,$T$2+19))</f>
        <v/>
      </c>
      <c r="B21" t="str">
        <f ca="1">IF(INDEX($D$1:$D$1611,$T$2+19)="","",INDEX($D$1:$D$1611,$T$2+19))</f>
        <v>free</v>
      </c>
      <c r="C21" t="str">
        <f ca="1">IF(INDEX($E$1:$E$1611,$T$2+19)="","",INDEX($E$1:$E$1611,$T$2+19))</f>
        <v/>
      </c>
      <c r="D21">
        <f ca="1">INDEX($F$1:$F$1611,$T$2+19)</f>
        <v>0</v>
      </c>
      <c r="E21" t="str">
        <f ca="1">IF(INDEX($G$1:$G$1611,$T$2+19)="","",INDEX($G$1:$G$1611,$T$2+19))</f>
        <v/>
      </c>
      <c r="F21" t="str">
        <f ca="1">IF(INDEX($H$1:$H$1611,$T$2+19)="","",INDEX($H$1:$H$1611,$T$2+19))</f>
        <v/>
      </c>
      <c r="G21" t="str">
        <f ca="1">IF(INDEX($I$1:$I$1611,$T$2+19)="","",INDEX($I$1:$I$1611,$T$2+19))</f>
        <v/>
      </c>
      <c r="H21" t="str">
        <f ca="1">IF(INDEX($J$1:$J$1611,$T$2+19)="","",INDEX($J$1:$J$1611,$T$2+19))</f>
        <v/>
      </c>
      <c r="I21" t="str">
        <f ca="1">IF(INDEX($K$1:$K$1611,$T$2+19)="","",INDEX($K$1:$K$1611,$T$2+19))</f>
        <v/>
      </c>
      <c r="J21" t="str">
        <f ca="1" t="shared" si="0"/>
        <v/>
      </c>
      <c r="K21" t="str">
        <f ca="1" t="shared" si="1"/>
        <v/>
      </c>
      <c r="L21" t="b">
        <f ca="1">AND(A21&lt;&gt;"",$Z$5=TRUE)</f>
        <v>0</v>
      </c>
      <c r="M21" t="b">
        <f ca="1" t="shared" si="5"/>
        <v>0</v>
      </c>
      <c r="N21" t="str">
        <f ca="1" t="shared" si="4"/>
        <v/>
      </c>
      <c r="O21">
        <f ca="1">IF(AND(附表!$I$12,L21,K21&lt;&gt;"",NOT(M21),$T$4&lt;=$T$3),D21,0)</f>
        <v>0</v>
      </c>
      <c r="P21" t="str">
        <f ca="1">IF(AND(C21="工艺",E21="",F21&lt;&gt;""),IF(AND(I21="工艺1",TRIM(人物卡!J25)=F21),"J25",IF(AND(I21="工艺2",TRIM(人物卡!J26)=F21),"J26",IF(AND(I21="工艺3",TRIM(人物卡!J27)=F21),"J27",IF(AND(I21="工艺4",TRIM(人物卡!J28)=F21),"J28",IF(TRIM(人物卡!J25)=F21,"J25",IF(TRIM(人物卡!J26)=F21,"J26",IF(TRIM(人物卡!J27)=F21,"J27",IF(TRIM(人物卡!J28)=F21,"J28",IF(INDEX($L$1:$L$1611,$T$2+19)="","",INDEX($L$1:$L$1611,$T$2+19)))))))))),IF(INDEX($L$1:$L$1611,$T$2+19)="","",INDEX($L$1:$L$1611,$T$2+19)))</f>
        <v/>
      </c>
      <c r="Q21" t="str">
        <f ca="1">IF(INDEX($M$1:$M$1611,$T$2+19)="","",INDEX($M$1:$M$1611,$T$2+19))</f>
        <v>X2</v>
      </c>
      <c r="R21" t="b">
        <f ca="1">INDEX($N$1:$N$1611,$T$2+19)</f>
        <v>0</v>
      </c>
    </row>
    <row r="22" spans="1:18">
      <c r="A22" t="str">
        <f ca="1">IF(INDEX($C$1:$C$1611,$T$2+20)="","",INDEX($C$1:$C$1611,$T$2+20))</f>
        <v/>
      </c>
      <c r="B22" t="str">
        <f ca="1">IF(INDEX($D$1:$D$1611,$T$2+20)="","",INDEX($D$1:$D$1611,$T$2+20))</f>
        <v>free</v>
      </c>
      <c r="C22" t="str">
        <f ca="1">IF(INDEX($E$1:$E$1611,$T$2+20)="","",INDEX($E$1:$E$1611,$T$2+20))</f>
        <v/>
      </c>
      <c r="D22">
        <f ca="1">INDEX($F$1:$F$1611,$T$2+20)</f>
        <v>0</v>
      </c>
      <c r="E22" t="str">
        <f ca="1">IF(INDEX($G$1:$G$1611,$T$2+20)="","",INDEX($G$1:$G$1611,$T$2+20))</f>
        <v/>
      </c>
      <c r="F22" t="str">
        <f ca="1">IF(INDEX($H$1:$H$1611,$T$2+20)="","",INDEX($H$1:$H$1611,$T$2+20))</f>
        <v/>
      </c>
      <c r="G22" t="str">
        <f ca="1">IF(INDEX($I$1:$I$1611,$T$2+20)="","",INDEX($I$1:$I$1611,$T$2+20))</f>
        <v/>
      </c>
      <c r="H22" t="str">
        <f ca="1">IF(INDEX($J$1:$J$1611,$T$2+20)="","",INDEX($J$1:$J$1611,$T$2+20))</f>
        <v/>
      </c>
      <c r="I22" t="str">
        <f ca="1">IF(INDEX($K$1:$K$1611,$T$2+20)="","",INDEX($K$1:$K$1611,$T$2+20))</f>
        <v/>
      </c>
      <c r="J22" t="str">
        <f ca="1" t="shared" si="0"/>
        <v/>
      </c>
      <c r="K22" t="str">
        <f ca="1" t="shared" si="1"/>
        <v/>
      </c>
      <c r="L22" t="b">
        <f ca="1">AND(A22&lt;&gt;"",$Z$6=TRUE)</f>
        <v>0</v>
      </c>
      <c r="M22" t="b">
        <f ca="1" t="shared" si="5"/>
        <v>0</v>
      </c>
      <c r="N22" t="str">
        <f ca="1" t="shared" si="4"/>
        <v/>
      </c>
      <c r="O22">
        <f ca="1">IF(AND(附表!$I$12,L22,K22&lt;&gt;"",NOT(M22),$T$4&lt;=$T$3),D22,0)</f>
        <v>0</v>
      </c>
      <c r="P22" t="str">
        <f ca="1">IF(AND(C22="工艺",E22="",F22&lt;&gt;""),IF(AND(I22="工艺1",TRIM(人物卡!J25)=F22),"J25",IF(AND(I22="工艺2",TRIM(人物卡!J26)=F22),"J26",IF(AND(I22="工艺3",TRIM(人物卡!J27)=F22),"J27",IF(AND(I22="工艺4",TRIM(人物卡!J28)=F22),"J28",IF(TRIM(人物卡!J25)=F22,"J25",IF(TRIM(人物卡!J26)=F22,"J26",IF(TRIM(人物卡!J27)=F22,"J27",IF(TRIM(人物卡!J28)=F22,"J28",IF(INDEX($L$1:$L$1611,$T$2+20)="","",INDEX($L$1:$L$1611,$T$2+20)))))))))),IF(INDEX($L$1:$L$1611,$T$2+20)="","",INDEX($L$1:$L$1611,$T$2+20)))</f>
        <v/>
      </c>
      <c r="Q22" t="str">
        <f ca="1">IF(INDEX($M$1:$M$1611,$T$2+20)="","",INDEX($M$1:$M$1611,$T$2+20))</f>
        <v>Y2</v>
      </c>
      <c r="R22" t="b">
        <f ca="1">INDEX($N$1:$N$1611,$T$2+20)</f>
        <v>0</v>
      </c>
    </row>
    <row r="23" spans="1:18">
      <c r="A23" t="str">
        <f ca="1">IF(INDEX($C$1:$C$1611,$T$2+21)="","",INDEX($C$1:$C$1611,$T$2+21))</f>
        <v/>
      </c>
      <c r="B23" t="str">
        <f ca="1">IF(INDEX($D$1:$D$1611,$T$2+21)="","",INDEX($D$1:$D$1611,$T$2+21))</f>
        <v>free</v>
      </c>
      <c r="C23" t="str">
        <f ca="1">IF(INDEX($E$1:$E$1611,$T$2+21)="","",INDEX($E$1:$E$1611,$T$2+21))</f>
        <v/>
      </c>
      <c r="D23">
        <f ca="1">INDEX($F$1:$F$1611,$T$2+21)</f>
        <v>0</v>
      </c>
      <c r="E23" t="str">
        <f ca="1">IF(INDEX($G$1:$G$1611,$T$2+21)="","",INDEX($G$1:$G$1611,$T$2+21))</f>
        <v/>
      </c>
      <c r="F23" t="str">
        <f ca="1">IF(INDEX($H$1:$H$1611,$T$2+21)="","",INDEX($H$1:$H$1611,$T$2+21))</f>
        <v/>
      </c>
      <c r="G23" t="str">
        <f ca="1">IF(INDEX($I$1:$I$1611,$T$2+21)="","",INDEX($I$1:$I$1611,$T$2+21))</f>
        <v/>
      </c>
      <c r="H23" t="str">
        <f ca="1">IF(INDEX($J$1:$J$1611,$T$2+21)="","",INDEX($J$1:$J$1611,$T$2+21))</f>
        <v/>
      </c>
      <c r="I23" t="str">
        <f ca="1">IF(INDEX($K$1:$K$1611,$T$2+21)="","",INDEX($K$1:$K$1611,$T$2+21))</f>
        <v/>
      </c>
      <c r="J23" t="str">
        <f ca="1" t="shared" si="0"/>
        <v/>
      </c>
      <c r="K23" t="str">
        <f ca="1" t="shared" si="1"/>
        <v/>
      </c>
      <c r="L23" t="b">
        <f ca="1">AND(A23&lt;&gt;"",$Z$7=TRUE)</f>
        <v>0</v>
      </c>
      <c r="M23" t="b">
        <f ca="1" t="shared" si="5"/>
        <v>0</v>
      </c>
      <c r="N23" t="str">
        <f ca="1" t="shared" si="4"/>
        <v/>
      </c>
      <c r="O23">
        <f ca="1">IF(AND(附表!$I$12,L23,K23&lt;&gt;"",NOT(M23),$T$4&lt;=$T$3),D23,0)</f>
        <v>0</v>
      </c>
      <c r="P23" t="str">
        <f ca="1">IF(AND(C23="工艺",E23="",F23&lt;&gt;""),IF(AND(I23="工艺1",TRIM(人物卡!J25)=F23),"J25",IF(AND(I23="工艺2",TRIM(人物卡!J26)=F23),"J26",IF(AND(I23="工艺3",TRIM(人物卡!J27)=F23),"J27",IF(AND(I23="工艺4",TRIM(人物卡!J28)=F23),"J28",IF(TRIM(人物卡!J25)=F23,"J25",IF(TRIM(人物卡!J26)=F23,"J26",IF(TRIM(人物卡!J27)=F23,"J27",IF(TRIM(人物卡!J28)=F23,"J28",IF(INDEX($L$1:$L$1611,$T$2+21)="","",INDEX($L$1:$L$1611,$T$2+21)))))))))),IF(INDEX($L$1:$L$1611,$T$2+21)="","",INDEX($L$1:$L$1611,$T$2+21)))</f>
        <v/>
      </c>
      <c r="Q23" t="str">
        <f ca="1">IF(INDEX($M$1:$M$1611,$T$2+21)="","",INDEX($M$1:$M$1611,$T$2+21))</f>
        <v>Z2</v>
      </c>
      <c r="R23" t="b">
        <f ca="1">INDEX($N$1:$N$1611,$T$2+21)</f>
        <v>0</v>
      </c>
    </row>
    <row r="24" spans="1:18">
      <c r="A24" t="str">
        <f ca="1">IF(INDEX($C$1:$C$1611,$T$2+22)="","",INDEX($C$1:$C$1611,$T$2+22))</f>
        <v/>
      </c>
      <c r="B24" t="str">
        <f ca="1">IF(INDEX($D$1:$D$1611,$T$2+22)="","",INDEX($D$1:$D$1611,$T$2+22))</f>
        <v>free</v>
      </c>
      <c r="C24" t="str">
        <f ca="1">IF(INDEX($E$1:$E$1611,$T$2+22)="","",INDEX($E$1:$E$1611,$T$2+22))</f>
        <v/>
      </c>
      <c r="D24">
        <f ca="1">INDEX($F$1:$F$1611,$T$2+22)</f>
        <v>0</v>
      </c>
      <c r="E24" t="str">
        <f ca="1">IF(INDEX($G$1:$G$1611,$T$2+22)="","",INDEX($G$1:$G$1611,$T$2+22))</f>
        <v/>
      </c>
      <c r="F24" t="str">
        <f ca="1">IF(INDEX($H$1:$H$1611,$T$2+22)="","",INDEX($H$1:$H$1611,$T$2+22))</f>
        <v/>
      </c>
      <c r="G24" t="str">
        <f ca="1">IF(INDEX($I$1:$I$1611,$T$2+22)="","",INDEX($I$1:$I$1611,$T$2+22))</f>
        <v/>
      </c>
      <c r="H24" t="str">
        <f ca="1">IF(INDEX($J$1:$J$1611,$T$2+22)="","",INDEX($J$1:$J$1611,$T$2+22))</f>
        <v/>
      </c>
      <c r="I24" t="str">
        <f ca="1">IF(INDEX($K$1:$K$1611,$T$2+22)="","",INDEX($K$1:$K$1611,$T$2+22))</f>
        <v/>
      </c>
      <c r="J24" t="str">
        <f ca="1" t="shared" si="0"/>
        <v/>
      </c>
      <c r="K24" t="str">
        <f ca="1" t="shared" si="1"/>
        <v/>
      </c>
      <c r="L24" t="b">
        <f ca="1">AND(A24&lt;&gt;"",$Z$8=TRUE)</f>
        <v>0</v>
      </c>
      <c r="M24" t="b">
        <f ca="1" t="shared" si="5"/>
        <v>0</v>
      </c>
      <c r="N24" t="str">
        <f ca="1" t="shared" si="4"/>
        <v/>
      </c>
      <c r="O24">
        <f ca="1">IF(AND(附表!$I$12,L24,K24&lt;&gt;"",NOT(M24),$T$4&lt;=$T$3),D24,0)</f>
        <v>0</v>
      </c>
      <c r="P24" t="str">
        <f ca="1">IF(AND(C24="工艺",E24="",F24&lt;&gt;""),IF(AND(I24="工艺1",TRIM(人物卡!J25)=F24),"J25",IF(AND(I24="工艺2",TRIM(人物卡!J26)=F24),"J26",IF(AND(I24="工艺3",TRIM(人物卡!J27)=F24),"J27",IF(AND(I24="工艺4",TRIM(人物卡!J28)=F24),"J28",IF(TRIM(人物卡!J25)=F24,"J25",IF(TRIM(人物卡!J26)=F24,"J26",IF(TRIM(人物卡!J27)=F24,"J27",IF(TRIM(人物卡!J28)=F24,"J28",IF(INDEX($L$1:$L$1611,$T$2+22)="","",INDEX($L$1:$L$1611,$T$2+22)))))))))),IF(INDEX($L$1:$L$1611,$T$2+22)="","",INDEX($L$1:$L$1611,$T$2+22)))</f>
        <v/>
      </c>
      <c r="Q24" t="str">
        <f ca="1">IF(INDEX($M$1:$M$1611,$T$2+22)="","",INDEX($M$1:$M$1611,$T$2+22))</f>
        <v>AA2</v>
      </c>
      <c r="R24" t="b">
        <f ca="1">INDEX($N$1:$N$1611,$T$2+22)</f>
        <v>0</v>
      </c>
    </row>
    <row r="25" spans="1:18">
      <c r="A25" t="str">
        <f ca="1">IF(INDEX($C$1:$C$1611,$T$2+23)="","",INDEX($C$1:$C$1611,$T$2+23))</f>
        <v/>
      </c>
      <c r="B25" t="str">
        <f ca="1">IF(INDEX($D$1:$D$1611,$T$2+23)="","",INDEX($D$1:$D$1611,$T$2+23))</f>
        <v>free</v>
      </c>
      <c r="C25" t="str">
        <f ca="1">IF(INDEX($E$1:$E$1611,$T$2+23)="","",INDEX($E$1:$E$1611,$T$2+23))</f>
        <v/>
      </c>
      <c r="D25">
        <f ca="1">INDEX($F$1:$F$1611,$T$2+23)</f>
        <v>0</v>
      </c>
      <c r="E25" t="str">
        <f ca="1">IF(INDEX($G$1:$G$1611,$T$2+23)="","",INDEX($G$1:$G$1611,$T$2+23))</f>
        <v/>
      </c>
      <c r="F25" t="str">
        <f ca="1">IF(INDEX($H$1:$H$1611,$T$2+23)="","",INDEX($H$1:$H$1611,$T$2+23))</f>
        <v/>
      </c>
      <c r="G25" t="str">
        <f ca="1">IF(INDEX($I$1:$I$1611,$T$2+23)="","",INDEX($I$1:$I$1611,$T$2+23))</f>
        <v/>
      </c>
      <c r="H25" t="str">
        <f ca="1">IF(INDEX($J$1:$J$1611,$T$2+23)="","",INDEX($J$1:$J$1611,$T$2+23))</f>
        <v/>
      </c>
      <c r="I25" t="str">
        <f ca="1">IF(INDEX($K$1:$K$1611,$T$2+23)="","",INDEX($K$1:$K$1611,$T$2+23))</f>
        <v/>
      </c>
      <c r="J25" t="str">
        <f ca="1" t="shared" si="0"/>
        <v/>
      </c>
      <c r="K25" t="str">
        <f ca="1" t="shared" si="1"/>
        <v/>
      </c>
      <c r="L25" t="b">
        <f ca="1">AND(A25&lt;&gt;"",$Z$9=TRUE)</f>
        <v>0</v>
      </c>
      <c r="M25" t="b">
        <f ca="1" t="shared" si="5"/>
        <v>0</v>
      </c>
      <c r="N25" t="str">
        <f ca="1" t="shared" si="4"/>
        <v/>
      </c>
      <c r="O25">
        <f ca="1">IF(AND(附表!$I$12,L25,K25&lt;&gt;"",NOT(M25),$T$4&lt;=$T$3),D25,0)</f>
        <v>0</v>
      </c>
      <c r="P25" t="str">
        <f ca="1">IF(AND(C25="工艺",E25="",F25&lt;&gt;""),IF(AND(I25="工艺1",TRIM(人物卡!J25)=F25),"J25",IF(AND(I25="工艺2",TRIM(人物卡!J26)=F25),"J26",IF(AND(I25="工艺3",TRIM(人物卡!J27)=F25),"J27",IF(AND(I25="工艺4",TRIM(人物卡!J28)=F25),"J28",IF(TRIM(人物卡!J25)=F25,"J25",IF(TRIM(人物卡!J26)=F25,"J26",IF(TRIM(人物卡!J27)=F25,"J27",IF(TRIM(人物卡!J28)=F25,"J28",IF(INDEX($L$1:$L$1611,$T$2+23)="","",INDEX($L$1:$L$1611,$T$2+23)))))))))),IF(INDEX($L$1:$L$1611,$T$2+23)="","",INDEX($L$1:$L$1611,$T$2+23)))</f>
        <v/>
      </c>
      <c r="Q25" t="str">
        <f ca="1">IF(INDEX($M$1:$M$1611,$T$2+23)="","",INDEX($M$1:$M$1611,$T$2+23))</f>
        <v>AB2</v>
      </c>
      <c r="R25" t="b">
        <f ca="1">INDEX($N$1:$N$1611,$T$2+23)</f>
        <v>0</v>
      </c>
    </row>
    <row r="26" spans="1:18">
      <c r="A26" t="str">
        <f ca="1">IF(INDEX($C$1:$C$1611,$T$2+24)="","",INDEX($C$1:$C$1611,$T$2+24))</f>
        <v/>
      </c>
      <c r="B26" t="str">
        <f ca="1">IF(INDEX($D$1:$D$1611,$T$2+24)="","",INDEX($D$1:$D$1611,$T$2+24))</f>
        <v>free</v>
      </c>
      <c r="C26" t="str">
        <f ca="1">IF(INDEX($E$1:$E$1611,$T$2+24)="","",INDEX($E$1:$E$1611,$T$2+24))</f>
        <v/>
      </c>
      <c r="D26">
        <f ca="1">INDEX($F$1:$F$1611,$T$2+24)</f>
        <v>0</v>
      </c>
      <c r="E26" t="str">
        <f ca="1">IF(INDEX($G$1:$G$1611,$T$2+24)="","",INDEX($G$1:$G$1611,$T$2+24))</f>
        <v/>
      </c>
      <c r="F26" t="str">
        <f ca="1">IF(INDEX($H$1:$H$1611,$T$2+24)="","",INDEX($H$1:$H$1611,$T$2+24))</f>
        <v/>
      </c>
      <c r="G26" t="str">
        <f ca="1">IF(INDEX($I$1:$I$1611,$T$2+24)="","",INDEX($I$1:$I$1611,$T$2+24))</f>
        <v/>
      </c>
      <c r="H26" t="str">
        <f ca="1">IF(INDEX($J$1:$J$1611,$T$2+24)="","",INDEX($J$1:$J$1611,$T$2+24))</f>
        <v/>
      </c>
      <c r="I26" t="str">
        <f ca="1">IF(INDEX($K$1:$K$1611,$T$2+24)="","",INDEX($K$1:$K$1611,$T$2+24))</f>
        <v/>
      </c>
      <c r="J26" t="str">
        <f ca="1" t="shared" si="0"/>
        <v/>
      </c>
      <c r="K26" t="str">
        <f ca="1" t="shared" si="1"/>
        <v/>
      </c>
      <c r="L26" t="b">
        <f ca="1">AND(A26&lt;&gt;"",$Z$10=TRUE)</f>
        <v>0</v>
      </c>
      <c r="M26" t="b">
        <f ca="1" t="shared" si="5"/>
        <v>0</v>
      </c>
      <c r="N26" t="str">
        <f ca="1" t="shared" si="4"/>
        <v/>
      </c>
      <c r="O26">
        <f ca="1">IF(AND(附表!$I$12,L26,K26&lt;&gt;"",NOT(M26),$T$4&lt;=$T$3),D26,0)</f>
        <v>0</v>
      </c>
      <c r="P26" t="str">
        <f ca="1">IF(AND(C26="工艺",E26="",F26&lt;&gt;""),IF(AND(I26="工艺1",TRIM(人物卡!J25)=F26),"J25",IF(AND(I26="工艺2",TRIM(人物卡!J26)=F26),"J26",IF(AND(I26="工艺3",TRIM(人物卡!J27)=F26),"J27",IF(AND(I26="工艺4",TRIM(人物卡!J28)=F26),"J28",IF(TRIM(人物卡!J25)=F26,"J25",IF(TRIM(人物卡!J26)=F26,"J26",IF(TRIM(人物卡!J27)=F26,"J27",IF(TRIM(人物卡!J28)=F26,"J28",IF(INDEX($L$1:$L$1611,$T$2+24)="","",INDEX($L$1:$L$1611,$T$2+24)))))))))),IF(INDEX($L$1:$L$1611,$T$2+24)="","",INDEX($L$1:$L$1611,$T$2+24)))</f>
        <v/>
      </c>
      <c r="Q26" t="str">
        <f ca="1">IF(INDEX($M$1:$M$1611,$T$2+24)="","",INDEX($M$1:$M$1611,$T$2+24))</f>
        <v>AC2</v>
      </c>
      <c r="R26" t="b">
        <f ca="1">INDEX($N$1:$N$1611,$T$2+24)</f>
        <v>0</v>
      </c>
    </row>
    <row r="27" spans="1:18">
      <c r="A27" t="str">
        <f ca="1">IF(INDEX($C$1:$C$1611,$T$2+25)="","",INDEX($C$1:$C$1611,$T$2+25))</f>
        <v/>
      </c>
      <c r="B27" t="str">
        <f ca="1">IF(INDEX($D$1:$D$1611,$T$2+25)="","",INDEX($D$1:$D$1611,$T$2+25))</f>
        <v>free</v>
      </c>
      <c r="C27" t="str">
        <f ca="1">IF(INDEX($E$1:$E$1611,$T$2+25)="","",INDEX($E$1:$E$1611,$T$2+25))</f>
        <v/>
      </c>
      <c r="D27">
        <f ca="1">INDEX($F$1:$F$1611,$T$2+25)</f>
        <v>0</v>
      </c>
      <c r="E27" t="str">
        <f ca="1">IF(INDEX($G$1:$G$1611,$T$2+25)="","",INDEX($G$1:$G$1611,$T$2+25))</f>
        <v/>
      </c>
      <c r="F27" t="str">
        <f ca="1">IF(INDEX($H$1:$H$1611,$T$2+25)="","",INDEX($H$1:$H$1611,$T$2+25))</f>
        <v/>
      </c>
      <c r="G27" t="str">
        <f ca="1">IF(INDEX($I$1:$I$1611,$T$2+25)="","",INDEX($I$1:$I$1611,$T$2+25))</f>
        <v/>
      </c>
      <c r="H27" t="str">
        <f ca="1">IF(INDEX($J$1:$J$1611,$T$2+25)="","",INDEX($J$1:$J$1611,$T$2+25))</f>
        <v/>
      </c>
      <c r="I27" t="str">
        <f ca="1">IF(INDEX($K$1:$K$1611,$T$2+25)="","",INDEX($K$1:$K$1611,$T$2+25))</f>
        <v/>
      </c>
      <c r="J27" t="str">
        <f ca="1" t="shared" si="0"/>
        <v/>
      </c>
      <c r="K27" t="str">
        <f ca="1" t="shared" si="1"/>
        <v/>
      </c>
      <c r="L27" t="b">
        <f ca="1">AND(A27&lt;&gt;"",$Z$11=TRUE)</f>
        <v>0</v>
      </c>
      <c r="M27" t="b">
        <f ca="1" t="shared" si="5"/>
        <v>0</v>
      </c>
      <c r="N27" t="str">
        <f ca="1" t="shared" si="4"/>
        <v/>
      </c>
      <c r="O27">
        <f ca="1">IF(AND(附表!$I$12,L27,K27&lt;&gt;"",NOT(M27),$T$4&lt;=$T$3),D27,0)</f>
        <v>0</v>
      </c>
      <c r="P27" t="str">
        <f ca="1">IF(AND(C27="工艺",E27="",F27&lt;&gt;""),IF(AND(I27="工艺1",TRIM(人物卡!J25)=F27),"J25",IF(AND(I27="工艺2",TRIM(人物卡!J26)=F27),"J26",IF(AND(I27="工艺3",TRIM(人物卡!J27)=F27),"J27",IF(AND(I27="工艺4",TRIM(人物卡!J28)=F27),"J28",IF(TRIM(人物卡!J25)=F27,"J25",IF(TRIM(人物卡!J26)=F27,"J26",IF(TRIM(人物卡!J27)=F27,"J27",IF(TRIM(人物卡!J28)=F27,"J28",IF(INDEX($L$1:$L$1611,$T$2+25)="","",INDEX($L$1:$L$1611,$T$2+25)))))))))),IF(INDEX($L$1:$L$1611,$T$2+25)="","",INDEX($L$1:$L$1611,$T$2+25)))</f>
        <v/>
      </c>
      <c r="Q27" t="str">
        <f ca="1">IF(INDEX($M$1:$M$1611,$T$2+25)="","",INDEX($M$1:$M$1611,$T$2+25))</f>
        <v>AD2</v>
      </c>
      <c r="R27" t="b">
        <f ca="1">INDEX($N$1:$N$1611,$T$2+25)</f>
        <v>0</v>
      </c>
    </row>
    <row r="28" spans="1:18">
      <c r="A28" t="str">
        <f ca="1">IF(INDEX($C$1:$C$1611,$T$2+26)="","",INDEX($C$1:$C$1611,$T$2+26))</f>
        <v/>
      </c>
      <c r="B28" t="str">
        <f ca="1">IF(INDEX($D$1:$D$1611,$T$2+26)="","",INDEX($D$1:$D$1611,$T$2+26))</f>
        <v>free</v>
      </c>
      <c r="C28" t="str">
        <f ca="1">IF(INDEX($E$1:$E$1611,$T$2+26)="","",INDEX($E$1:$E$1611,$T$2+26))</f>
        <v/>
      </c>
      <c r="D28">
        <f ca="1">INDEX($F$1:$F$1611,$T$2+26)</f>
        <v>0</v>
      </c>
      <c r="E28" t="str">
        <f ca="1">IF(INDEX($G$1:$G$1611,$T$2+26)="","",INDEX($G$1:$G$1611,$T$2+26))</f>
        <v/>
      </c>
      <c r="F28" t="str">
        <f ca="1">IF(INDEX($H$1:$H$1611,$T$2+26)="","",INDEX($H$1:$H$1611,$T$2+26))</f>
        <v/>
      </c>
      <c r="G28" t="str">
        <f ca="1">IF(INDEX($I$1:$I$1611,$T$2+26)="","",INDEX($I$1:$I$1611,$T$2+26))</f>
        <v/>
      </c>
      <c r="H28" t="str">
        <f ca="1">IF(INDEX($J$1:$J$1611,$T$2+26)="","",INDEX($J$1:$J$1611,$T$2+26))</f>
        <v/>
      </c>
      <c r="I28" t="str">
        <f ca="1">IF(INDEX($K$1:$K$1611,$T$2+26)="","",INDEX($K$1:$K$1611,$T$2+26))</f>
        <v/>
      </c>
      <c r="J28" t="str">
        <f ca="1" t="shared" si="0"/>
        <v/>
      </c>
      <c r="K28" t="str">
        <f ca="1" t="shared" si="1"/>
        <v/>
      </c>
      <c r="L28" t="b">
        <f ca="1">AND(A28&lt;&gt;"",$Z$12=TRUE)</f>
        <v>0</v>
      </c>
      <c r="M28" t="b">
        <f ca="1" t="shared" si="5"/>
        <v>0</v>
      </c>
      <c r="N28" t="str">
        <f ca="1" t="shared" si="4"/>
        <v/>
      </c>
      <c r="O28">
        <f ca="1">IF(AND(附表!$I$12,L28,K28&lt;&gt;"",NOT(M28),$T$4&lt;=$T$3),D28,0)</f>
        <v>0</v>
      </c>
      <c r="P28" t="str">
        <f ca="1">IF(AND(C28="工艺",E28="",F28&lt;&gt;""),IF(AND(I28="工艺1",TRIM(人物卡!J25)=F28),"J25",IF(AND(I28="工艺2",TRIM(人物卡!J26)=F28),"J26",IF(AND(I28="工艺3",TRIM(人物卡!J27)=F28),"J27",IF(AND(I28="工艺4",TRIM(人物卡!J28)=F28),"J28",IF(TRIM(人物卡!J25)=F28,"J25",IF(TRIM(人物卡!J26)=F28,"J26",IF(TRIM(人物卡!J27)=F28,"J27",IF(TRIM(人物卡!J28)=F28,"J28",IF(INDEX($L$1:$L$1611,$T$2+26)="","",INDEX($L$1:$L$1611,$T$2+26)))))))))),IF(INDEX($L$1:$L$1611,$T$2+26)="","",INDEX($L$1:$L$1611,$T$2+26)))</f>
        <v/>
      </c>
      <c r="Q28" t="str">
        <f ca="1">IF(INDEX($M$1:$M$1611,$T$2+26)="","",INDEX($M$1:$M$1611,$T$2+26))</f>
        <v>AE2</v>
      </c>
      <c r="R28" t="b">
        <f ca="1">INDEX($N$1:$N$1611,$T$2+26)</f>
        <v>0</v>
      </c>
    </row>
    <row r="40" spans="21:23">
      <c r="U40" t="str">
        <f>人物卡!D14</f>
        <v>会计学</v>
      </c>
      <c r="V40">
        <f ca="1">IF(附表!$I$12,MAX(IF($K$2=U40,$O$2,0),IF($K$3=U40,$O$3,0),IF($K$4=U40,$O$4,0),IF($K$5=U40,$O$5,0),IF($K$6=U40,$O$6,0),IF($K$7=U40,$O$7,0),IF($K$8=U40,$O$8,0),IF($K$9=U40,$O$9,0),IF($K$10=U40,$O$10,0),IF($K$11=U40,$O$11,0),IF($K$12=U40,$O$12,0),IF($K$13=U40,$O$13,0),IF($K$14=U40,$O$14,0),IF($K$15=U40,$O$15,0),IF($K$16=U40,$O$16,0),IF($K$17=U40,$O$17,0),IF($K$18=U40,$O$18,0),IF($K$19=U40,$O$19,0),IF($K$20=U40,$O$20,0),IF($K$21=U40,$O$21,0),IF($K$22=U40,$O$22,0),IF($K$23=U40,$O$23,0),IF($K$24=U40,$O$24,0),IF($K$25=U40,$O$25,0),IF($K$26=U40,$O$26,0),IF($K$27=U40,$O$27,0),IF($K$28=U40,$O$28,0)),0)</f>
        <v>0</v>
      </c>
      <c r="W40" t="s">
        <v>668</v>
      </c>
    </row>
    <row r="41" spans="21:23">
      <c r="U41" t="str">
        <f>人物卡!AG14</f>
        <v>法律</v>
      </c>
      <c r="V41">
        <f ca="1">IF(附表!$I$12,MAX(IF($K$2=U41,$O$2,0),IF($K$3=U41,$O$3,0),IF($K$4=U41,$O$4,0),IF($K$5=U41,$O$5,0),IF($K$6=U41,$O$6,0),IF($K$7=U41,$O$7,0),IF($K$8=U41,$O$8,0),IF($K$9=U41,$O$9,0),IF($K$10=U41,$O$10,0),IF($K$11=U41,$O$11,0),IF($K$12=U41,$O$12,0),IF($K$13=U41,$O$13,0),IF($K$14=U41,$O$14,0),IF($K$15=U41,$O$15,0),IF($K$16=U41,$O$16,0),IF($K$17=U41,$O$17,0),IF($K$18=U41,$O$18,0),IF($K$19=U41,$O$19,0),IF($K$20=U41,$O$20,0),IF($K$21=U41,$O$21,0),IF($K$22=U41,$O$22,0),IF($K$23=U41,$O$23,0),IF($K$24=U41,$O$24,0),IF($K$25=U41,$O$25,0),IF($K$26=U41,$O$26,0),IF($K$27=U41,$O$27,0),IF($K$28=U41,$O$28,0)),0)</f>
        <v>0</v>
      </c>
      <c r="W41" t="s">
        <v>669</v>
      </c>
    </row>
    <row r="42" spans="21:23">
      <c r="U42" t="str">
        <f>人物卡!D15</f>
        <v>警觉</v>
      </c>
      <c r="V42">
        <f ca="1">IF(附表!$I$12,MAX(IF($K$2=U42,$O$2,0),IF($K$3=U42,$O$3,0),IF($K$4=U42,$O$4,0),IF($K$5=U42,$O$5,0),IF($K$6=U42,$O$6,0),IF($K$7=U42,$O$7,0),IF($K$8=U42,$O$8,0),IF($K$9=U42,$O$9,0),IF($K$10=U42,$O$10,0),IF($K$11=U42,$O$11,0),IF($K$12=U42,$O$12,0),IF($K$13=U42,$O$13,0),IF($K$14=U42,$O$14,0),IF($K$15=U42,$O$15,0),IF($K$16=U42,$O$16,0),IF($K$17=U42,$O$17,0),IF($K$18=U42,$O$18,0),IF($K$19=U42,$O$19,0),IF($K$20=U42,$O$20,0),IF($K$21=U42,$O$21,0),IF($K$22=U42,$O$22,0),IF($K$23=U42,$O$23,0),IF($K$24=U42,$O$24,0),IF($K$25=U42,$O$25,0),IF($K$26=U42,$O$26,0),IF($K$27=U42,$O$27,0),IF($K$28=U42,$O$28,0)),0)</f>
        <v>0</v>
      </c>
      <c r="W42" t="s">
        <v>670</v>
      </c>
    </row>
    <row r="43" spans="21:23">
      <c r="U43" t="str">
        <f>人物卡!AG15</f>
        <v>医学</v>
      </c>
      <c r="V43">
        <f ca="1">IF(附表!$I$12,MAX(IF($K$2=U43,$O$2,0),IF($K$3=U43,$O$3,0),IF($K$4=U43,$O$4,0),IF($K$5=U43,$O$5,0),IF($K$6=U43,$O$6,0),IF($K$7=U43,$O$7,0),IF($K$8=U43,$O$8,0),IF($K$9=U43,$O$9,0),IF($K$10=U43,$O$10,0),IF($K$11=U43,$O$11,0),IF($K$12=U43,$O$12,0),IF($K$13=U43,$O$13,0),IF($K$14=U43,$O$14,0),IF($K$15=U43,$O$15,0),IF($K$16=U43,$O$16,0),IF($K$17=U43,$O$17,0),IF($K$18=U43,$O$18,0),IF($K$19=U43,$O$19,0),IF($K$20=U43,$O$20,0),IF($K$21=U43,$O$21,0),IF($K$22=U43,$O$22,0),IF($K$23=U43,$O$23,0),IF($K$24=U43,$O$24,0),IF($K$25=U43,$O$25,0),IF($K$26=U43,$O$26,0),IF($K$27=U43,$O$27,0),IF($K$28=U43,$O$28,0)),0)</f>
        <v>0</v>
      </c>
      <c r="W43" t="s">
        <v>671</v>
      </c>
    </row>
    <row r="44" spans="21:23">
      <c r="U44" t="str">
        <f>人物卡!D16</f>
        <v>人类学</v>
      </c>
      <c r="V44">
        <f ca="1">IF(附表!$I$12,MAX(IF($K$2=U44,$O$2,0),IF($K$3=U44,$O$3,0),IF($K$4=U44,$O$4,0),IF($K$5=U44,$O$5,0),IF($K$6=U44,$O$6,0),IF($K$7=U44,$O$7,0),IF($K$8=U44,$O$8,0),IF($K$9=U44,$O$9,0),IF($K$10=U44,$O$10,0),IF($K$11=U44,$O$11,0),IF($K$12=U44,$O$12,0),IF($K$13=U44,$O$13,0),IF($K$14=U44,$O$14,0),IF($K$15=U44,$O$15,0),IF($K$16=U44,$O$16,0),IF($K$17=U44,$O$17,0),IF($K$18=U44,$O$18,0),IF($K$19=U44,$O$19,0),IF($K$20=U44,$O$20,0),IF($K$21=U44,$O$21,0),IF($K$22=U44,$O$22,0),IF($K$23=U44,$O$23,0),IF($K$24=U44,$O$24,0),IF($K$25=U44,$O$25,0),IF($K$26=U44,$O$26,0),IF($K$27=U44,$O$27,0),IF($K$28=U44,$O$28,0)),0)</f>
        <v>0</v>
      </c>
      <c r="W44" t="s">
        <v>672</v>
      </c>
    </row>
    <row r="45" spans="21:23">
      <c r="U45" t="str">
        <f>人物卡!AG16</f>
        <v>近战武器</v>
      </c>
      <c r="V45">
        <f ca="1">IF(附表!$I$12,MAX(IF($K$2=U45,$O$2,0),IF($K$3=U45,$O$3,0),IF($K$4=U45,$O$4,0),IF($K$5=U45,$O$5,0),IF($K$6=U45,$O$6,0),IF($K$7=U45,$O$7,0),IF($K$8=U45,$O$8,0),IF($K$9=U45,$O$9,0),IF($K$10=U45,$O$10,0),IF($K$11=U45,$O$11,0),IF($K$12=U45,$O$12,0),IF($K$13=U45,$O$13,0),IF($K$14=U45,$O$14,0),IF($K$15=U45,$O$15,0),IF($K$16=U45,$O$16,0),IF($K$17=U45,$O$17,0),IF($K$18=U45,$O$18,0),IF($K$19=U45,$O$19,0),IF($K$20=U45,$O$20,0),IF($K$21=U45,$O$21,0),IF($K$22=U45,$O$22,0),IF($K$23=U45,$O$23,0),IF($K$24=U45,$O$24,0),IF($K$25=U45,$O$25,0),IF($K$26=U45,$O$26,0),IF($K$27=U45,$O$27,0),IF($K$28=U45,$O$28,0)),0)</f>
        <v>0</v>
      </c>
      <c r="W45" t="s">
        <v>673</v>
      </c>
    </row>
    <row r="46" spans="21:23">
      <c r="U46" t="str">
        <f>人物卡!D17</f>
        <v>考古学</v>
      </c>
      <c r="V46">
        <f ca="1">IF(附表!$I$12,MAX(IF($K$2=U46,$O$2,0),IF($K$3=U46,$O$3,0),IF($K$4=U46,$O$4,0),IF($K$5=U46,$O$5,0),IF($K$6=U46,$O$6,0),IF($K$7=U46,$O$7,0),IF($K$8=U46,$O$8,0),IF($K$9=U46,$O$9,0),IF($K$10=U46,$O$10,0),IF($K$11=U46,$O$11,0),IF($K$12=U46,$O$12,0),IF($K$13=U46,$O$13,0),IF($K$14=U46,$O$14,0),IF($K$15=U46,$O$15,0),IF($K$16=U46,$O$16,0),IF($K$17=U46,$O$17,0),IF($K$18=U46,$O$18,0),IF($K$19=U46,$O$19,0),IF($K$20=U46,$O$20,0),IF($K$21=U46,$O$21,0),IF($K$22=U46,$O$22,0),IF($K$23=U46,$O$23,0),IF($K$24=U46,$O$24,0),IF($K$25=U46,$O$25,0),IF($K$26=U46,$O$26,0),IF($K$27=U46,$O$27,0),IF($K$28=U46,$O$28,0)),0)</f>
        <v>0</v>
      </c>
      <c r="W46" t="s">
        <v>674</v>
      </c>
    </row>
    <row r="47" spans="21:23">
      <c r="U47" t="str">
        <f ca="1">SUBSTITUTE(人物卡!AG17,"：","")&amp;"（"&amp;TRIM(人物卡!AM17)&amp;"）"</f>
        <v>军事科学（）</v>
      </c>
      <c r="V47">
        <f ca="1">IF(附表!$I$12,MAX(IF(AND($K$2=U47,$P$2="AM17"),$O$2,0),IF(AND($K$3=U47,$P$3="AM17"),$O$3,0),IF(AND($K$4=U47,$P$4="AM17"),$O$4,0),IF(AND($K$5=U47,$P$5="AM17"),$O$5,0),IF(AND($K$6=U47,$P$6="AM17"),$O$6,0),IF(AND($K$7=U47,$P$7="AM17"),$O$7,0),IF(AND($K$8=U47,$P$8="AM17"),$O$8,0),IF(AND($K$9=U47,$P$9="AM17"),$O$9,0),IF(AND($K$10=U47,$P$10="AM17"),$O$10,0),IF(AND($K$11=U47,$P$11="AM17"),$O$11,0),IF(AND($K$12=U47,$P$12="AM17"),$O$12,0),IF(AND($K$13=U47,$P$13="AM17"),$O$13,0),IF(AND($K$14=U47,$P$14="AM17"),$O$14,0),IF(AND($K$15=U47,$P$15="AM17"),$O$15,0),IF(AND($K$16=U47,$P$16="AM17"),$O$16,0),IF(AND($K$17=U47,$P$17="AM17"),$O$17,0),IF(AND($K$18=U47,$P$18="AM17"),$O$18,0),IF(AND($K$19=U47,$P$19="AM17"),$O$19,0),IF(AND($K$20=U47,$P$20="AM17"),$O$20,0),IF(AND($K$21=U47,$P$21="AM17"),$O$21,0),IF(AND($K$22=U47,$P$22="AM17"),$O$22,0),IF(AND($K$23=U47,$P$23="AM17"),$O$23,0),IF(AND($K$24=U47,$P$24="AM17"),$O$24,0),IF(AND($K$25=U47,$P$25="AM17"),$O$25,0),IF(AND($K$26=U47,$P$26="AM17"),$O$26,0),IF(AND($K$27=U47,$P$27="AM17"),$O$27,0),IF(AND($K$28=U47,$P$28="AM17"),$O$28,0)),0)</f>
        <v>0</v>
      </c>
      <c r="W47" t="s">
        <v>675</v>
      </c>
    </row>
    <row r="48" spans="21:23">
      <c r="U48" t="str">
        <f ca="1">SUBSTITUTE(人物卡!D18,"：","")&amp;"（"&amp;TRIM(人物卡!J18)&amp;"）"</f>
        <v>艺术（）</v>
      </c>
      <c r="V48">
        <f ca="1">IF(附表!$I$12,MAX(IF(AND($K$2=U48,$P$2="J18"),$O$2,0),IF(AND($K$3=U48,$P$3="J18"),$O$3,0),IF(AND($K$4=U48,$P$4="J18"),$O$4,0),IF(AND($K$5=U48,$P$5="J18"),$O$5,0),IF(AND($K$6=U48,$P$6="J18"),$O$6,0),IF(AND($K$7=U48,$P$7="J18"),$O$7,0),IF(AND($K$8=U48,$P$8="J18"),$O$8,0),IF(AND($K$9=U48,$P$9="J18"),$O$9,0),IF(AND($K$10=U48,$P$10="J18"),$O$10,0),IF(AND($K$11=U48,$P$11="J18"),$O$11,0),IF(AND($K$12=U48,$P$12="J18"),$O$12,0),IF(AND($K$13=U48,$P$13="J18"),$O$13,0),IF(AND($K$14=U48,$P$14="J18"),$O$14,0),IF(AND($K$15=U48,$P$15="J18"),$O$15,0),IF(AND($K$16=U48,$P$16="J18"),$O$16,0),IF(AND($K$17=U48,$P$17="J18"),$O$17,0),IF(AND($K$18=U48,$P$18="J18"),$O$18,0),IF(AND($K$19=U48,$P$19="J18"),$O$19,0),IF(AND($K$20=U48,$P$20="J18"),$O$20,0),IF(AND($K$21=U48,$P$21="J18"),$O$21,0),IF(AND($K$22=U48,$P$22="J18"),$O$22,0),IF(AND($K$23=U48,$P$23="J18"),$O$23,0),IF(AND($K$24=U48,$P$24="J18"),$O$24,0),IF(AND($K$25=U48,$P$25="J18"),$O$25,0),IF(AND($K$26=U48,$P$26="J18"),$O$26,0),IF(AND($K$27=U48,$P$27="J18"),$O$27,0),IF(AND($K$28=U48,$P$28="J18"),$O$28,0)),0)</f>
        <v>0</v>
      </c>
      <c r="W48" t="s">
        <v>676</v>
      </c>
    </row>
    <row r="49" spans="21:23">
      <c r="U49" t="str">
        <f ca="1">SUBSTITUTE(人物卡!AG18,"：","")&amp;"（"&amp;TRIM(人物卡!AM18)&amp;"）"</f>
        <v>军事科学（）</v>
      </c>
      <c r="V49">
        <f ca="1">IF(附表!$I$12,MAX(IF(AND($K$2=U49,$P$2="AM18"),$O$2,0),IF(AND($K$3=U49,$P$3="AM18"),$O$3,0),IF(AND($K$4=U49,$P$4="AM18"),$O$4,0),IF(AND($K$5=U49,$P$5="AM18"),$O$5,0),IF(AND($K$6=U49,$P$6="AM18"),$O$6,0),IF(AND($K$7=U49,$P$7="AM18"),$O$7,0),IF(AND($K$8=U49,$P$8="AM18"),$O$8,0),IF(AND($K$9=U49,$P$9="AM18"),$O$9,0),IF(AND($K$10=U49,$P$10="AM18"),$O$10,0),IF(AND($K$11=U49,$P$11="AM18"),$O$11,0),IF(AND($K$12=U49,$P$12="AM18"),$O$12,0),IF(AND($K$13=U49,$P$13="AM18"),$O$13,0),IF(AND($K$14=U49,$P$14="AM18"),$O$14,0),IF(AND($K$15=U49,$P$15="AM18"),$O$15,0),IF(AND($K$16=U49,$P$16="AM18"),$O$16,0),IF(AND($K$17=U49,$P$17="AM18"),$O$17,0),IF(AND($K$18=U49,$P$18="AM18"),$O$18,0),IF(AND($K$19=U49,$P$19="AM18"),$O$19,0),IF(AND($K$20=U49,$P$20="AM18"),$O$20,0),IF(AND($K$21=U49,$P$21="AM18"),$O$21,0),IF(AND($K$22=U49,$P$22="AM18"),$O$22,0),IF(AND($K$23=U49,$P$23="AM18"),$O$23,0),IF(AND($K$24=U49,$P$24="AM18"),$O$24,0),IF(AND($K$25=U49,$P$25="AM18"),$O$25,0),IF(AND($K$26=U49,$P$26="AM18"),$O$26,0),IF(AND($K$27=U49,$P$27="AM18"),$O$27,0),IF(AND($K$28=U49,$P$28="AM18"),$O$28,0)),0)</f>
        <v>0</v>
      </c>
      <c r="W49" t="s">
        <v>677</v>
      </c>
    </row>
    <row r="50" spans="21:23">
      <c r="U50" t="str">
        <f ca="1">SUBSTITUTE(人物卡!D19,"：","")&amp;"（"&amp;TRIM(人物卡!J19)&amp;"）"</f>
        <v>艺术（）</v>
      </c>
      <c r="V50">
        <f ca="1">IF(附表!$I$12,MAX(IF(AND($K$2=U50,$P$2="J19"),$O$2,0),IF(AND($K$3=U50,$P$3="J19"),$O$3,0),IF(AND($K$4=U50,$P$4="J19"),$O$4,0),IF(AND($K$5=U50,$P$5="J19"),$O$5,0),IF(AND($K$6=U50,$P$6="J19"),$O$6,0),IF(AND($K$7=U50,$P$7="J19"),$O$7,0),IF(AND($K$8=U50,$P$8="J19"),$O$8,0),IF(AND($K$9=U50,$P$9="J19"),$O$9,0),IF(AND($K$10=U50,$P$10="J19"),$O$10,0),IF(AND($K$11=U50,$P$11="J19"),$O$11,0),IF(AND($K$12=U50,$P$12="J19"),$O$12,0),IF(AND($K$13=U50,$P$13="J19"),$O$13,0),IF(AND($K$14=U50,$P$14="J19"),$O$14,0),IF(AND($K$15=U50,$P$15="J19"),$O$15,0),IF(AND($K$16=U50,$P$16="J19"),$O$16,0),IF(AND($K$17=U50,$P$17="J19"),$O$17,0),IF(AND($K$18=U50,$P$18="J19"),$O$18,0),IF(AND($K$19=U50,$P$19="J19"),$O$19,0),IF(AND($K$20=U50,$P$20="J19"),$O$20,0),IF(AND($K$21=U50,$P$21="J19"),$O$21,0),IF(AND($K$22=U50,$P$22="J19"),$O$22,0),IF(AND($K$23=U50,$P$23="J19"),$O$23,0),IF(AND($K$24=U50,$P$24="J19"),$O$24,0),IF(AND($K$25=U50,$P$25="J19"),$O$25,0),IF(AND($K$26=U50,$P$26="J19"),$O$26,0),IF(AND($K$27=U50,$P$27="J19"),$O$27,0),IF(AND($K$28=U50,$P$28="J19"),$O$28,0)),0)</f>
        <v>0</v>
      </c>
      <c r="W50" t="s">
        <v>678</v>
      </c>
    </row>
    <row r="51" spans="21:23">
      <c r="U51" t="str">
        <f ca="1">SUBSTITUTE(人物卡!AG19,"：","")&amp;"（"&amp;TRIM(人物卡!AM19)&amp;"）"</f>
        <v>军事科学（）</v>
      </c>
      <c r="V51">
        <f ca="1">IF(附表!$I$12,MAX(IF(AND($K$2=U51,$P$2="AM19"),$O$2,0),IF(AND($K$3=U51,$P$3="AM19"),$O$3,0),IF(AND($K$4=U51,$P$4="AM19"),$O$4,0),IF(AND($K$5=U51,$P$5="AM19"),$O$5,0),IF(AND($K$6=U51,$P$6="AM19"),$O$6,0),IF(AND($K$7=U51,$P$7="AM19"),$O$7,0),IF(AND($K$8=U51,$P$8="AM19"),$O$8,0),IF(AND($K$9=U51,$P$9="AM19"),$O$9,0),IF(AND($K$10=U51,$P$10="AM19"),$O$10,0),IF(AND($K$11=U51,$P$11="AM19"),$O$11,0),IF(AND($K$12=U51,$P$12="AM19"),$O$12,0),IF(AND($K$13=U51,$P$13="AM19"),$O$13,0),IF(AND($K$14=U51,$P$14="AM19"),$O$14,0),IF(AND($K$15=U51,$P$15="AM19"),$O$15,0),IF(AND($K$16=U51,$P$16="AM19"),$O$16,0),IF(AND($K$17=U51,$P$17="AM19"),$O$17,0),IF(AND($K$18=U51,$P$18="AM19"),$O$18,0),IF(AND($K$19=U51,$P$19="AM19"),$O$19,0),IF(AND($K$20=U51,$P$20="AM19"),$O$20,0),IF(AND($K$21=U51,$P$21="AM19"),$O$21,0),IF(AND($K$22=U51,$P$22="AM19"),$O$22,0),IF(AND($K$23=U51,$P$23="AM19"),$O$23,0),IF(AND($K$24=U51,$P$24="AM19"),$O$24,0),IF(AND($K$25=U51,$P$25="AM19"),$O$25,0),IF(AND($K$26=U51,$P$26="AM19"),$O$26,0),IF(AND($K$27=U51,$P$27="AM19"),$O$27,0),IF(AND($K$28=U51,$P$28="AM19"),$O$28,0)),0)</f>
        <v>0</v>
      </c>
      <c r="W51" t="s">
        <v>679</v>
      </c>
    </row>
    <row r="52" spans="21:23">
      <c r="U52" t="str">
        <f ca="1">SUBSTITUTE(人物卡!D20,"：","")&amp;"（"&amp;TRIM(人物卡!J20)&amp;"）"</f>
        <v>艺术（）</v>
      </c>
      <c r="V52">
        <f ca="1">IF(附表!$I$12,MAX(IF(AND($K$2=U52,$P$2="J20"),$O$2,0),IF(AND($K$3=U52,$P$3="J20"),$O$3,0),IF(AND($K$4=U52,$P$4="J20"),$O$4,0),IF(AND($K$5=U52,$P$5="J20"),$O$5,0),IF(AND($K$6=U52,$P$6="J20"),$O$6,0),IF(AND($K$7=U52,$P$7="J20"),$O$7,0),IF(AND($K$8=U52,$P$8="J20"),$O$8,0),IF(AND($K$9=U52,$P$9="J20"),$O$9,0),IF(AND($K$10=U52,$P$10="J20"),$O$10,0),IF(AND($K$11=U52,$P$11="J20"),$O$11,0),IF(AND($K$12=U52,$P$12="J20"),$O$12,0),IF(AND($K$13=U52,$P$13="J20"),$O$13,0),IF(AND($K$14=U52,$P$14="J20"),$O$14,0),IF(AND($K$15=U52,$P$15="J20"),$O$15,0),IF(AND($K$16=U52,$P$16="J20"),$O$16,0),IF(AND($K$17=U52,$P$17="J20"),$O$17,0),IF(AND($K$18=U52,$P$18="J20"),$O$18,0),IF(AND($K$19=U52,$P$19="J20"),$O$19,0),IF(AND($K$20=U52,$P$20="J20"),$O$20,0),IF(AND($K$21=U52,$P$21="J20"),$O$21,0),IF(AND($K$22=U52,$P$22="J20"),$O$22,0),IF(AND($K$23=U52,$P$23="J20"),$O$23,0),IF(AND($K$24=U52,$P$24="J20"),$O$24,0),IF(AND($K$25=U52,$P$25="J20"),$O$25,0),IF(AND($K$26=U52,$P$26="J20"),$O$26,0),IF(AND($K$27=U52,$P$27="J20"),$O$27,0),IF(AND($K$28=U52,$P$28="J20"),$O$28,0)),0)</f>
        <v>0</v>
      </c>
      <c r="W52" t="s">
        <v>680</v>
      </c>
    </row>
    <row r="53" spans="21:23">
      <c r="U53" t="str">
        <f>人物卡!AG20</f>
        <v>导航</v>
      </c>
      <c r="V53">
        <f ca="1">IF(附表!$I$12,MAX(IF($K$2=U53,$O$2,0),IF($K$3=U53,$O$3,0),IF($K$4=U53,$O$4,0),IF($K$5=U53,$O$5,0),IF($K$6=U53,$O$6,0),IF($K$7=U53,$O$7,0),IF($K$8=U53,$O$8,0),IF($K$9=U53,$O$9,0),IF($K$10=U53,$O$10,0),IF($K$11=U53,$O$11,0),IF($K$12=U53,$O$12,0),IF($K$13=U53,$O$13,0),IF($K$14=U53,$O$14,0),IF($K$15=U53,$O$15,0),IF($K$16=U53,$O$16,0),IF($K$17=U53,$O$17,0),IF($K$18=U53,$O$18,0),IF($K$19=U53,$O$19,0),IF($K$20=U53,$O$20,0),IF($K$21=U53,$O$21,0),IF($K$22=U53,$O$22,0),IF($K$23=U53,$O$23,0),IF($K$24=U53,$O$24,0),IF($K$25=U53,$O$25,0),IF($K$26=U53,$O$26,0),IF($K$27=U53,$O$27,0),IF($K$28=U53,$O$28,0)),0)</f>
        <v>0</v>
      </c>
      <c r="W53" t="s">
        <v>681</v>
      </c>
    </row>
    <row r="54" spans="21:23">
      <c r="U54" t="str">
        <f>人物卡!D21</f>
        <v>炮术</v>
      </c>
      <c r="V54">
        <f ca="1">IF(附表!$I$12,MAX(IF($K$2=U54,$O$2,0),IF($K$3=U54,$O$3,0),IF($K$4=U54,$O$4,0),IF($K$5=U54,$O$5,0),IF($K$6=U54,$O$6,0),IF($K$7=U54,$O$7,0),IF($K$8=U54,$O$8,0),IF($K$9=U54,$O$9,0),IF($K$10=U54,$O$10,0),IF($K$11=U54,$O$11,0),IF($K$12=U54,$O$12,0),IF($K$13=U54,$O$13,0),IF($K$14=U54,$O$14,0),IF($K$15=U54,$O$15,0),IF($K$16=U54,$O$16,0),IF($K$17=U54,$O$17,0),IF($K$18=U54,$O$18,0),IF($K$19=U54,$O$19,0),IF($K$20=U54,$O$20,0),IF($K$21=U54,$O$21,0),IF($K$22=U54,$O$22,0),IF($K$23=U54,$O$23,0),IF($K$24=U54,$O$24,0),IF($K$25=U54,$O$25,0),IF($K$26=U54,$O$26,0),IF($K$27=U54,$O$27,0),IF($K$28=U54,$O$28,0)),0)</f>
        <v>0</v>
      </c>
      <c r="W54" t="s">
        <v>682</v>
      </c>
    </row>
    <row r="55" spans="21:23">
      <c r="U55" t="str">
        <f>人物卡!AG21</f>
        <v>神秘学</v>
      </c>
      <c r="V55">
        <f ca="1">IF(附表!$I$12,MAX(IF($K$2=U55,$O$2,0),IF($K$3=U55,$O$3,0),IF($K$4=U55,$O$4,0),IF($K$5=U55,$O$5,0),IF($K$6=U55,$O$6,0),IF($K$7=U55,$O$7,0),IF($K$8=U55,$O$8,0),IF($K$9=U55,$O$9,0),IF($K$10=U55,$O$10,0),IF($K$11=U55,$O$11,0),IF($K$12=U55,$O$12,0),IF($K$13=U55,$O$13,0),IF($K$14=U55,$O$14,0),IF($K$15=U55,$O$15,0),IF($K$16=U55,$O$16,0),IF($K$17=U55,$O$17,0),IF($K$18=U55,$O$18,0),IF($K$19=U55,$O$19,0),IF($K$20=U55,$O$20,0),IF($K$21=U55,$O$21,0),IF($K$22=U55,$O$22,0),IF($K$23=U55,$O$23,0),IF($K$24=U55,$O$24,0),IF($K$25=U55,$O$25,0),IF($K$26=U55,$O$26,0),IF($K$27=U55,$O$27,0),IF($K$28=U55,$O$28,0)),0)</f>
        <v>0</v>
      </c>
      <c r="W55" t="s">
        <v>683</v>
      </c>
    </row>
    <row r="56" spans="21:23">
      <c r="U56" t="str">
        <f>人物卡!D22</f>
        <v>运动</v>
      </c>
      <c r="V56">
        <f ca="1">IF(附表!$I$12,MAX(IF($K$2=U56,$O$2,0),IF($K$3=U56,$O$3,0),IF($K$4=U56,$O$4,0),IF($K$5=U56,$O$5,0),IF($K$6=U56,$O$6,0),IF($K$7=U56,$O$7,0),IF($K$8=U56,$O$8,0),IF($K$9=U56,$O$9,0),IF($K$10=U56,$O$10,0),IF($K$11=U56,$O$11,0),IF($K$12=U56,$O$12,0),IF($K$13=U56,$O$13,0),IF($K$14=U56,$O$14,0),IF($K$15=U56,$O$15,0),IF($K$16=U56,$O$16,0),IF($K$17=U56,$O$17,0),IF($K$18=U56,$O$18,0),IF($K$19=U56,$O$19,0),IF($K$20=U56,$O$20,0),IF($K$21=U56,$O$21,0),IF($K$22=U56,$O$22,0),IF($K$23=U56,$O$23,0),IF($K$24=U56,$O$24,0),IF($K$25=U56,$O$25,0),IF($K$26=U56,$O$26,0),IF($K$27=U56,$O$27,0),IF($K$28=U56,$O$28,0)),0)</f>
        <v>0</v>
      </c>
      <c r="W56" t="s">
        <v>684</v>
      </c>
    </row>
    <row r="57" spans="21:23">
      <c r="U57" t="str">
        <f>人物卡!AG22</f>
        <v>说服</v>
      </c>
      <c r="V57">
        <f ca="1">IF(附表!$I$12,MAX(IF($K$2=U57,$O$2,0),IF($K$3=U57,$O$3,0),IF($K$4=U57,$O$4,0),IF($K$5=U57,$O$5,0),IF($K$6=U57,$O$6,0),IF($K$7=U57,$O$7,0),IF($K$8=U57,$O$8,0),IF($K$9=U57,$O$9,0),IF($K$10=U57,$O$10,0),IF($K$11=U57,$O$11,0),IF($K$12=U57,$O$12,0),IF($K$13=U57,$O$13,0),IF($K$14=U57,$O$14,0),IF($K$15=U57,$O$15,0),IF($K$16=U57,$O$16,0),IF($K$17=U57,$O$17,0),IF($K$18=U57,$O$18,0),IF($K$19=U57,$O$19,0),IF($K$20=U57,$O$20,0),IF($K$21=U57,$O$21,0),IF($K$22=U57,$O$22,0),IF($K$23=U57,$O$23,0),IF($K$24=U57,$O$24,0),IF($K$25=U57,$O$25,0),IF($K$26=U57,$O$26,0),IF($K$27=U57,$O$27,0),IF($K$28=U57,$O$28,0)),0)</f>
        <v>0</v>
      </c>
      <c r="W57" t="s">
        <v>685</v>
      </c>
    </row>
    <row r="58" spans="21:23">
      <c r="U58" t="str">
        <f>人物卡!D23</f>
        <v>行政</v>
      </c>
      <c r="V58">
        <f ca="1">IF(附表!$I$12,MAX(IF($K$2=U58,$O$2,0),IF($K$3=U58,$O$3,0),IF($K$4=U58,$O$4,0),IF($K$5=U58,$O$5,0),IF($K$6=U58,$O$6,0),IF($K$7=U58,$O$7,0),IF($K$8=U58,$O$8,0),IF($K$9=U58,$O$9,0),IF($K$10=U58,$O$10,0),IF($K$11=U58,$O$11,0),IF($K$12=U58,$O$12,0),IF($K$13=U58,$O$13,0),IF($K$14=U58,$O$14,0),IF($K$15=U58,$O$15,0),IF($K$16=U58,$O$16,0),IF($K$17=U58,$O$17,0),IF($K$18=U58,$O$18,0),IF($K$19=U58,$O$19,0),IF($K$20=U58,$O$20,0),IF($K$21=U58,$O$21,0),IF($K$22=U58,$O$22,0),IF($K$23=U58,$O$23,0),IF($K$24=U58,$O$24,0),IF($K$25=U58,$O$25,0),IF($K$26=U58,$O$26,0),IF($K$27=U58,$O$27,0),IF($K$28=U58,$O$28,0)),0)</f>
        <v>0</v>
      </c>
      <c r="W58" t="s">
        <v>686</v>
      </c>
    </row>
    <row r="59" spans="21:23">
      <c r="U59" t="str">
        <f>人物卡!AG23</f>
        <v>药学</v>
      </c>
      <c r="V59">
        <f ca="1">IF(附表!$I$12,MAX(IF($K$2=U59,$O$2,0),IF($K$3=U59,$O$3,0),IF($K$4=U59,$O$4,0),IF($K$5=U59,$O$5,0),IF($K$6=U59,$O$6,0),IF($K$7=U59,$O$7,0),IF($K$8=U59,$O$8,0),IF($K$9=U59,$O$9,0),IF($K$10=U59,$O$10,0),IF($K$11=U59,$O$11,0),IF($K$12=U59,$O$12,0),IF($K$13=U59,$O$13,0),IF($K$14=U59,$O$14,0),IF($K$15=U59,$O$15,0),IF($K$16=U59,$O$16,0),IF($K$17=U59,$O$17,0),IF($K$18=U59,$O$18,0),IF($K$19=U59,$O$19,0),IF($K$20=U59,$O$20,0),IF($K$21=U59,$O$21,0),IF($K$22=U59,$O$22,0),IF($K$23=U59,$O$23,0),IF($K$24=U59,$O$24,0),IF($K$25=U59,$O$25,0),IF($K$26=U59,$O$26,0),IF($K$27=U59,$O$27,0),IF($K$28=U59,$O$28,0)),0)</f>
        <v>0</v>
      </c>
      <c r="W59" t="s">
        <v>687</v>
      </c>
    </row>
    <row r="60" spans="21:23">
      <c r="U60" t="str">
        <f>人物卡!D24</f>
        <v>计算机科学</v>
      </c>
      <c r="V60">
        <f ca="1">IF(附表!$I$12,MAX(IF($K$2=U60,$O$2,0),IF($K$3=U60,$O$3,0),IF($K$4=U60,$O$4,0),IF($K$5=U60,$O$5,0),IF($K$6=U60,$O$6,0),IF($K$7=U60,$O$7,0),IF($K$8=U60,$O$8,0),IF($K$9=U60,$O$9,0),IF($K$10=U60,$O$10,0),IF($K$11=U60,$O$11,0),IF($K$12=U60,$O$12,0),IF($K$13=U60,$O$13,0),IF($K$14=U60,$O$14,0),IF($K$15=U60,$O$15,0),IF($K$16=U60,$O$16,0),IF($K$17=U60,$O$17,0),IF($K$18=U60,$O$18,0),IF($K$19=U60,$O$19,0),IF($K$20=U60,$O$20,0),IF($K$21=U60,$O$21,0),IF($K$22=U60,$O$22,0),IF($K$23=U60,$O$23,0),IF($K$24=U60,$O$24,0),IF($K$25=U60,$O$25,0),IF($K$26=U60,$O$26,0),IF($K$27=U60,$O$27,0),IF($K$28=U60,$O$28,0)),0)</f>
        <v>0</v>
      </c>
      <c r="W60" t="s">
        <v>688</v>
      </c>
    </row>
    <row r="61" spans="21:23">
      <c r="U61" t="str">
        <f ca="1">SUBSTITUTE(人物卡!AG24,"：","")&amp;"（"&amp;TRIM(人物卡!AM24)&amp;"）"</f>
        <v>特种载具（）</v>
      </c>
      <c r="V61">
        <f ca="1">IF(附表!$I$12,MAX(IF(AND($K$2=U61,$P$2="AM24"),$O$2,0),IF(AND($K$3=U61,$P$3="AM24"),$O$3,0),IF(AND($K$4=U61,$P$4="AM24"),$O$4,0),IF(AND($K$5=U61,$P$5="AM24"),$O$5,0),IF(AND($K$6=U61,$P$6="AM24"),$O$6,0),IF(AND($K$7=U61,$P$7="AM24"),$O$7,0),IF(AND($K$8=U61,$P$8="AM24"),$O$8,0),IF(AND($K$9=U61,$P$9="AM24"),$O$9,0),IF(AND($K$10=U61,$P$10="AM24"),$O$10,0),IF(AND($K$11=U61,$P$11="AM24"),$O$11,0),IF(AND($K$12=U61,$P$12="AM24"),$O$12,0),IF(AND($K$13=U61,$P$13="AM24"),$O$13,0),IF(AND($K$14=U61,$P$14="AM24"),$O$14,0),IF(AND($K$15=U61,$P$15="AM24"),$O$15,0),IF(AND($K$16=U61,$P$16="AM24"),$O$16,0),IF(AND($K$17=U61,$P$17="AM24"),$O$17,0),IF(AND($K$18=U61,$P$18="AM24"),$O$18,0),IF(AND($K$19=U61,$P$19="AM24"),$O$19,0),IF(AND($K$20=U61,$P$20="AM24"),$O$20,0),IF(AND($K$21=U61,$P$21="AM24"),$O$21,0),IF(AND($K$22=U61,$P$22="AM24"),$O$22,0),IF(AND($K$23=U61,$P$23="AM24"),$O$23,0),IF(AND($K$24=U61,$P$24="AM24"),$O$24,0),IF(AND($K$25=U61,$P$25="AM24"),$O$25,0),IF(AND($K$26=U61,$P$26="AM24"),$O$26,0),IF(AND($K$27=U61,$P$27="AM24"),$O$27,0),IF(AND($K$28=U61,$P$28="AM24"),$O$28,0)),0)</f>
        <v>0</v>
      </c>
      <c r="W61" t="s">
        <v>689</v>
      </c>
    </row>
    <row r="62" spans="21:23">
      <c r="U62" t="str">
        <f ca="1">SUBSTITUTE(人物卡!D25,"：","")&amp;"（"&amp;TRIM(人物卡!J25)&amp;"）"</f>
        <v>工艺（）</v>
      </c>
      <c r="V62">
        <f ca="1">IF(附表!$I$12,MAX(IF(AND($K$2=U62,$P$2="J25"),$O$2,0),IF(AND($K$3=U62,$P$3="J25"),$O$3,0),IF(AND($K$4=U62,$P$4="J25"),$O$4,0),IF(AND($K$5=U62,$P$5="J25"),$O$5,0),IF(AND($K$6=U62,$P$6="J25"),$O$6,0),IF(AND($K$7=U62,$P$7="J25"),$O$7,0),IF(AND($K$8=U62,$P$8="J25"),$O$8,0),IF(AND($K$9=U62,$P$9="J25"),$O$9,0),IF(AND($K$10=U62,$P$10="J25"),$O$10,0),IF(AND($K$11=U62,$P$11="J25"),$O$11,0),IF(AND($K$12=U62,$P$12="J25"),$O$12,0),IF(AND($K$13=U62,$P$13="J25"),$O$13,0),IF(AND($K$14=U62,$P$14="J25"),$O$14,0),IF(AND($K$15=U62,$P$15="J25"),$O$15,0),IF(AND($K$16=U62,$P$16="J25"),$O$16,0),IF(AND($K$17=U62,$P$17="J25"),$O$17,0),IF(AND($K$18=U62,$P$18="J25"),$O$18,0),IF(AND($K$19=U62,$P$19="J25"),$O$19,0),IF(AND($K$20=U62,$P$20="J25"),$O$20,0),IF(AND($K$21=U62,$P$21="J25"),$O$21,0),IF(AND($K$22=U62,$P$22="J25"),$O$22,0),IF(AND($K$23=U62,$P$23="J25"),$O$23,0),IF(AND($K$24=U62,$P$24="J25"),$O$24,0),IF(AND($K$25=U62,$P$25="J25"),$O$25,0),IF(AND($K$26=U62,$P$26="J25"),$O$26,0),IF(AND($K$27=U62,$P$27="J25"),$O$27,0),IF(AND($K$28=U62,$P$28="J25"),$O$28,0)),0)</f>
        <v>0</v>
      </c>
      <c r="W62" t="s">
        <v>690</v>
      </c>
    </row>
    <row r="63" spans="21:23">
      <c r="U63" t="str">
        <f ca="1">SUBSTITUTE(人物卡!AG25,"：","")&amp;"（"&amp;TRIM(人物卡!AM25)&amp;"）"</f>
        <v>特种载具（）</v>
      </c>
      <c r="V63">
        <f ca="1">IF(附表!$I$12,MAX(IF(AND($K$2=U63,$P$2="AM25"),$O$2,0),IF(AND($K$3=U63,$P$3="AM25"),$O$3,0),IF(AND($K$4=U63,$P$4="AM25"),$O$4,0),IF(AND($K$5=U63,$P$5="AM25"),$O$5,0),IF(AND($K$6=U63,$P$6="AM25"),$O$6,0),IF(AND($K$7=U63,$P$7="AM25"),$O$7,0),IF(AND($K$8=U63,$P$8="AM25"),$O$8,0),IF(AND($K$9=U63,$P$9="AM25"),$O$9,0),IF(AND($K$10=U63,$P$10="AM25"),$O$10,0),IF(AND($K$11=U63,$P$11="AM25"),$O$11,0),IF(AND($K$12=U63,$P$12="AM25"),$O$12,0),IF(AND($K$13=U63,$P$13="AM25"),$O$13,0),IF(AND($K$14=U63,$P$14="AM25"),$O$14,0),IF(AND($K$15=U63,$P$15="AM25"),$O$15,0),IF(AND($K$16=U63,$P$16="AM25"),$O$16,0),IF(AND($K$17=U63,$P$17="AM25"),$O$17,0),IF(AND($K$18=U63,$P$18="AM25"),$O$18,0),IF(AND($K$19=U63,$P$19="AM25"),$O$19,0),IF(AND($K$20=U63,$P$20="AM25"),$O$20,0),IF(AND($K$21=U63,$P$21="AM25"),$O$21,0),IF(AND($K$22=U63,$P$22="AM25"),$O$22,0),IF(AND($K$23=U63,$P$23="AM25"),$O$23,0),IF(AND($K$24=U63,$P$24="AM25"),$O$24,0),IF(AND($K$25=U63,$P$25="AM25"),$O$25,0),IF(AND($K$26=U63,$P$26="AM25"),$O$26,0),IF(AND($K$27=U63,$P$27="AM25"),$O$27,0),IF(AND($K$28=U63,$P$28="AM25"),$O$28,0)),0)</f>
        <v>0</v>
      </c>
      <c r="W63" t="s">
        <v>691</v>
      </c>
    </row>
    <row r="64" spans="21:23">
      <c r="U64" t="str">
        <f ca="1">SUBSTITUTE(人物卡!D26,"：","")&amp;"（"&amp;TRIM(人物卡!J26)&amp;"）"</f>
        <v>工艺（）</v>
      </c>
      <c r="V64">
        <f ca="1">IF(附表!$I$12,MAX(IF(AND($K$2=U64,$P$2="J26"),$O$2,0),IF(AND($K$3=U64,$P$3="J26"),$O$3,0),IF(AND($K$4=U64,$P$4="J26"),$O$4,0),IF(AND($K$5=U64,$P$5="J26"),$O$5,0),IF(AND($K$6=U64,$P$6="J26"),$O$6,0),IF(AND($K$7=U64,$P$7="J26"),$O$7,0),IF(AND($K$8=U64,$P$8="J26"),$O$8,0),IF(AND($K$9=U64,$P$9="J26"),$O$9,0),IF(AND($K$10=U64,$P$10="J26"),$O$10,0),IF(AND($K$11=U64,$P$11="J26"),$O$11,0),IF(AND($K$12=U64,$P$12="J26"),$O$12,0),IF(AND($K$13=U64,$P$13="J26"),$O$13,0),IF(AND($K$14=U64,$P$14="J26"),$O$14,0),IF(AND($K$15=U64,$P$15="J26"),$O$15,0),IF(AND($K$16=U64,$P$16="J26"),$O$16,0),IF(AND($K$17=U64,$P$17="J26"),$O$17,0),IF(AND($K$18=U64,$P$18="J26"),$O$18,0),IF(AND($K$19=U64,$P$19="J26"),$O$19,0),IF(AND($K$20=U64,$P$20="J26"),$O$20,0),IF(AND($K$21=U64,$P$21="J26"),$O$21,0),IF(AND($K$22=U64,$P$22="J26"),$O$22,0),IF(AND($K$23=U64,$P$23="J26"),$O$23,0),IF(AND($K$24=U64,$P$24="J26"),$O$24,0),IF(AND($K$25=U64,$P$25="J26"),$O$25,0),IF(AND($K$26=U64,$P$26="J26"),$O$26,0),IF(AND($K$27=U64,$P$27="J26"),$O$27,0),IF(AND($K$28=U64,$P$28="J26"),$O$28,0)),0)</f>
        <v>0</v>
      </c>
      <c r="W64" t="s">
        <v>692</v>
      </c>
    </row>
    <row r="65" spans="21:23">
      <c r="U65" t="str">
        <f ca="1">SUBSTITUTE(人物卡!AG26,"：","")&amp;"（"&amp;TRIM(人物卡!AM26)&amp;"）"</f>
        <v>特种载具（）</v>
      </c>
      <c r="V65">
        <f ca="1">IF(附表!$I$12,MAX(IF(AND($K$2=U65,$P$2="AM26"),$O$2,0),IF(AND($K$3=U65,$P$3="AM26"),$O$3,0),IF(AND($K$4=U65,$P$4="AM26"),$O$4,0),IF(AND($K$5=U65,$P$5="AM26"),$O$5,0),IF(AND($K$6=U65,$P$6="AM26"),$O$6,0),IF(AND($K$7=U65,$P$7="AM26"),$O$7,0),IF(AND($K$8=U65,$P$8="AM26"),$O$8,0),IF(AND($K$9=U65,$P$9="AM26"),$O$9,0),IF(AND($K$10=U65,$P$10="AM26"),$O$10,0),IF(AND($K$11=U65,$P$11="AM26"),$O$11,0),IF(AND($K$12=U65,$P$12="AM26"),$O$12,0),IF(AND($K$13=U65,$P$13="AM26"),$O$13,0),IF(AND($K$14=U65,$P$14="AM26"),$O$14,0),IF(AND($K$15=U65,$P$15="AM26"),$O$15,0),IF(AND($K$16=U65,$P$16="AM26"),$O$16,0),IF(AND($K$17=U65,$P$17="AM26"),$O$17,0),IF(AND($K$18=U65,$P$18="AM26"),$O$18,0),IF(AND($K$19=U65,$P$19="AM26"),$O$19,0),IF(AND($K$20=U65,$P$20="AM26"),$O$20,0),IF(AND($K$21=U65,$P$21="AM26"),$O$21,0),IF(AND($K$22=U65,$P$22="AM26"),$O$22,0),IF(AND($K$23=U65,$P$23="AM26"),$O$23,0),IF(AND($K$24=U65,$P$24="AM26"),$O$24,0),IF(AND($K$25=U65,$P$25="AM26"),$O$25,0),IF(AND($K$26=U65,$P$26="AM26"),$O$26,0),IF(AND($K$27=U65,$P$27="AM26"),$O$27,0),IF(AND($K$28=U65,$P$28="AM26"),$O$28,0)),0)</f>
        <v>0</v>
      </c>
      <c r="W65" t="s">
        <v>693</v>
      </c>
    </row>
    <row r="66" spans="21:23">
      <c r="U66" t="str">
        <f ca="1">SUBSTITUTE(人物卡!D27,"：","")&amp;"（"&amp;TRIM(人物卡!J27)&amp;"）"</f>
        <v>工艺（）</v>
      </c>
      <c r="V66">
        <f ca="1">IF(附表!$I$12,MAX(IF(AND($K$2=U66,$P$2="J27"),$O$2,0),IF(AND($K$3=U66,$P$3="J27"),$O$3,0),IF(AND($K$4=U66,$P$4="J27"),$O$4,0),IF(AND($K$5=U66,$P$5="J27"),$O$5,0),IF(AND($K$6=U66,$P$6="J27"),$O$6,0),IF(AND($K$7=U66,$P$7="J27"),$O$7,0),IF(AND($K$8=U66,$P$8="J27"),$O$8,0),IF(AND($K$9=U66,$P$9="J27"),$O$9,0),IF(AND($K$10=U66,$P$10="J27"),$O$10,0),IF(AND($K$11=U66,$P$11="J27"),$O$11,0),IF(AND($K$12=U66,$P$12="J27"),$O$12,0),IF(AND($K$13=U66,$P$13="J27"),$O$13,0),IF(AND($K$14=U66,$P$14="J27"),$O$14,0),IF(AND($K$15=U66,$P$15="J27"),$O$15,0),IF(AND($K$16=U66,$P$16="J27"),$O$16,0),IF(AND($K$17=U66,$P$17="J27"),$O$17,0),IF(AND($K$18=U66,$P$18="J27"),$O$18,0),IF(AND($K$19=U66,$P$19="J27"),$O$19,0),IF(AND($K$20=U66,$P$20="J27"),$O$20,0),IF(AND($K$21=U66,$P$21="J27"),$O$21,0),IF(AND($K$22=U66,$P$22="J27"),$O$22,0),IF(AND($K$23=U66,$P$23="J27"),$O$23,0),IF(AND($K$24=U66,$P$24="J27"),$O$24,0),IF(AND($K$25=U66,$P$25="J27"),$O$25,0),IF(AND($K$26=U66,$P$26="J27"),$O$26,0),IF(AND($K$27=U66,$P$27="J27"),$O$27,0),IF(AND($K$28=U66,$P$28="J27"),$O$28,0)),0)</f>
        <v>0</v>
      </c>
      <c r="W66" t="s">
        <v>694</v>
      </c>
    </row>
    <row r="67" spans="21:23">
      <c r="U67" t="str">
        <f>人物卡!AG27</f>
        <v>精神治疗</v>
      </c>
      <c r="V67">
        <f ca="1">IF(附表!$I$12,MAX(IF($K$2=U67,$O$2,0),IF($K$3=U67,$O$3,0),IF($K$4=U67,$O$4,0),IF($K$5=U67,$O$5,0),IF($K$6=U67,$O$6,0),IF($K$7=U67,$O$7,0),IF($K$8=U67,$O$8,0),IF($K$9=U67,$O$9,0),IF($K$10=U67,$O$10,0),IF($K$11=U67,$O$11,0),IF($K$12=U67,$O$12,0),IF($K$13=U67,$O$13,0),IF($K$14=U67,$O$14,0),IF($K$15=U67,$O$15,0),IF($K$16=U67,$O$16,0),IF($K$17=U67,$O$17,0),IF($K$18=U67,$O$18,0),IF($K$19=U67,$O$19,0),IF($K$20=U67,$O$20,0),IF($K$21=U67,$O$21,0),IF($K$22=U67,$O$22,0),IF($K$23=U67,$O$23,0),IF($K$24=U67,$O$24,0),IF($K$25=U67,$O$25,0),IF($K$26=U67,$O$26,0),IF($K$27=U67,$O$27,0),IF($K$28=U67,$O$28,0)),0)</f>
        <v>0</v>
      </c>
      <c r="W67" t="s">
        <v>695</v>
      </c>
    </row>
    <row r="68" spans="21:23">
      <c r="U68" t="str">
        <f ca="1">SUBSTITUTE(人物卡!D28,"：","")&amp;"（"&amp;TRIM(人物卡!J28)&amp;"）"</f>
        <v>工艺（）</v>
      </c>
      <c r="V68">
        <f ca="1">IF(附表!$I$12,MAX(IF(AND($K$2=U68,$P$2="J28"),$O$2,0),IF(AND($K$3=U68,$P$3="J28"),$O$3,0),IF(AND($K$4=U68,$P$4="J28"),$O$4,0),IF(AND($K$5=U68,$P$5="J28"),$O$5,0),IF(AND($K$6=U68,$P$6="J28"),$O$6,0),IF(AND($K$7=U68,$P$7="J28"),$O$7,0),IF(AND($K$8=U68,$P$8="J28"),$O$8,0),IF(AND($K$9=U68,$P$9="J28"),$O$9,0),IF(AND($K$10=U68,$P$10="J28"),$O$10,0),IF(AND($K$11=U68,$P$11="J28"),$O$11,0),IF(AND($K$12=U68,$P$12="J28"),$O$12,0),IF(AND($K$13=U68,$P$13="J28"),$O$13,0),IF(AND($K$14=U68,$P$14="J28"),$O$14,0),IF(AND($K$15=U68,$P$15="J28"),$O$15,0),IF(AND($K$16=U68,$P$16="J28"),$O$16,0),IF(AND($K$17=U68,$P$17="J28"),$O$17,0),IF(AND($K$18=U68,$P$18="J28"),$O$18,0),IF(AND($K$19=U68,$P$19="J28"),$O$19,0),IF(AND($K$20=U68,$P$20="J28"),$O$20,0),IF(AND($K$21=U68,$P$21="J28"),$O$21,0),IF(AND($K$22=U68,$P$22="J28"),$O$22,0),IF(AND($K$23=U68,$P$23="J28"),$O$23,0),IF(AND($K$24=U68,$P$24="J28"),$O$24,0),IF(AND($K$25=U68,$P$25="J28"),$O$25,0),IF(AND($K$26=U68,$P$26="J28"),$O$26,0),IF(AND($K$27=U68,$P$27="J28"),$O$27,0),IF(AND($K$28=U68,$P$28="J28"),$O$28,0)),0)</f>
        <v>0</v>
      </c>
      <c r="W68" t="s">
        <v>696</v>
      </c>
    </row>
    <row r="69" spans="21:23">
      <c r="U69" t="str">
        <f>人物卡!AG28</f>
        <v>骑术</v>
      </c>
      <c r="V69">
        <f ca="1">IF(附表!$I$12,MAX(IF($K$2=U69,$O$2,0),IF($K$3=U69,$O$3,0),IF($K$4=U69,$O$4,0),IF($K$5=U69,$O$5,0),IF($K$6=U69,$O$6,0),IF($K$7=U69,$O$7,0),IF($K$8=U69,$O$8,0),IF($K$9=U69,$O$9,0),IF($K$10=U69,$O$10,0),IF($K$11=U69,$O$11,0),IF($K$12=U69,$O$12,0),IF($K$13=U69,$O$13,0),IF($K$14=U69,$O$14,0),IF($K$15=U69,$O$15,0),IF($K$16=U69,$O$16,0),IF($K$17=U69,$O$17,0),IF($K$18=U69,$O$18,0),IF($K$19=U69,$O$19,0),IF($K$20=U69,$O$20,0),IF($K$21=U69,$O$21,0),IF($K$22=U69,$O$22,0),IF($K$23=U69,$O$23,0),IF($K$24=U69,$O$24,0),IF($K$25=U69,$O$25,0),IF($K$26=U69,$O$26,0),IF($K$27=U69,$O$27,0),IF($K$28=U69,$O$28,0)),0)</f>
        <v>0</v>
      </c>
      <c r="W69" t="s">
        <v>697</v>
      </c>
    </row>
    <row r="70" spans="21:23">
      <c r="U70" t="str">
        <f>人物卡!D29</f>
        <v>犯罪学</v>
      </c>
      <c r="V70">
        <f ca="1">IF(附表!$I$12,MAX(IF($K$2=U70,$O$2,0),IF($K$3=U70,$O$3,0),IF($K$4=U70,$O$4,0),IF($K$5=U70,$O$5,0),IF($K$6=U70,$O$6,0),IF($K$7=U70,$O$7,0),IF($K$8=U70,$O$8,0),IF($K$9=U70,$O$9,0),IF($K$10=U70,$O$10,0),IF($K$11=U70,$O$11,0),IF($K$12=U70,$O$12,0),IF($K$13=U70,$O$13,0),IF($K$14=U70,$O$14,0),IF($K$15=U70,$O$15,0),IF($K$16=U70,$O$16,0),IF($K$17=U70,$O$17,0),IF($K$18=U70,$O$18,0),IF($K$19=U70,$O$19,0),IF($K$20=U70,$O$20,0),IF($K$21=U70,$O$21,0),IF($K$22=U70,$O$22,0),IF($K$23=U70,$O$23,0),IF($K$24=U70,$O$24,0),IF($K$25=U70,$O$25,0),IF($K$26=U70,$O$26,0),IF($K$27=U70,$O$27,0),IF($K$28=U70,$O$28,0)),0)</f>
        <v>0</v>
      </c>
      <c r="W70" t="s">
        <v>698</v>
      </c>
    </row>
    <row r="71" spans="21:23">
      <c r="U71" t="str">
        <f ca="1">SUBSTITUTE(人物卡!AG29,"：","")&amp;"（"&amp;TRIM(人物卡!AM29)&amp;"）"</f>
        <v>科学（）</v>
      </c>
      <c r="V71">
        <f ca="1">IF(附表!$I$12,MAX(IF(AND($K$2=U71,$P$2="AM29"),$O$2,0),IF(AND($K$3=U71,$P$3="AM29"),$O$3,0),IF(AND($K$4=U71,$P$4="AM29"),$O$4,0),IF(AND($K$5=U71,$P$5="AM29"),$O$5,0),IF(AND($K$6=U71,$P$6="AM29"),$O$6,0),IF(AND($K$7=U71,$P$7="AM29"),$O$7,0),IF(AND($K$8=U71,$P$8="AM29"),$O$8,0),IF(AND($K$9=U71,$P$9="AM29"),$O$9,0),IF(AND($K$10=U71,$P$10="AM29"),$O$10,0),IF(AND($K$11=U71,$P$11="AM29"),$O$11,0),IF(AND($K$12=U71,$P$12="AM29"),$O$12,0),IF(AND($K$13=U71,$P$13="AM29"),$O$13,0),IF(AND($K$14=U71,$P$14="AM29"),$O$14,0),IF(AND($K$15=U71,$P$15="AM29"),$O$15,0),IF(AND($K$16=U71,$P$16="AM29"),$O$16,0),IF(AND($K$17=U71,$P$17="AM29"),$O$17,0),IF(AND($K$18=U71,$P$18="AM29"),$O$18,0),IF(AND($K$19=U71,$P$19="AM29"),$O$19,0),IF(AND($K$20=U71,$P$20="AM29"),$O$20,0),IF(AND($K$21=U71,$P$21="AM29"),$O$21,0),IF(AND($K$22=U71,$P$22="AM29"),$O$22,0),IF(AND($K$23=U71,$P$23="AM29"),$O$23,0),IF(AND($K$24=U71,$P$24="AM29"),$O$24,0),IF(AND($K$25=U71,$P$25="AM29"),$O$25,0),IF(AND($K$26=U71,$P$26="AM29"),$O$26,0),IF(AND($K$27=U71,$P$27="AM29"),$O$27,0),IF(AND($K$28=U71,$P$28="AM29"),$O$28,0)),0)</f>
        <v>0</v>
      </c>
      <c r="W71" t="s">
        <v>699</v>
      </c>
    </row>
    <row r="72" spans="21:23">
      <c r="U72" t="str">
        <f>人物卡!D30</f>
        <v>爆破</v>
      </c>
      <c r="V72">
        <f ca="1">IF(附表!$I$12,MAX(IF($K$2=U72,$O$2,0),IF($K$3=U72,$O$3,0),IF($K$4=U72,$O$4,0),IF($K$5=U72,$O$5,0),IF($K$6=U72,$O$6,0),IF($K$7=U72,$O$7,0),IF($K$8=U72,$O$8,0),IF($K$9=U72,$O$9,0),IF($K$10=U72,$O$10,0),IF($K$11=U72,$O$11,0),IF($K$12=U72,$O$12,0),IF($K$13=U72,$O$13,0),IF($K$14=U72,$O$14,0),IF($K$15=U72,$O$15,0),IF($K$16=U72,$O$16,0),IF($K$17=U72,$O$17,0),IF($K$18=U72,$O$18,0),IF($K$19=U72,$O$19,0),IF($K$20=U72,$O$20,0),IF($K$21=U72,$O$21,0),IF($K$22=U72,$O$22,0),IF($K$23=U72,$O$23,0),IF($K$24=U72,$O$24,0),IF($K$25=U72,$O$25,0),IF($K$26=U72,$O$26,0),IF($K$27=U72,$O$27,0),IF($K$28=U72,$O$28,0)),0)</f>
        <v>0</v>
      </c>
      <c r="W72" t="s">
        <v>700</v>
      </c>
    </row>
    <row r="73" spans="21:23">
      <c r="U73" t="str">
        <f ca="1">SUBSTITUTE(人物卡!AG30,"：","")&amp;"（"&amp;TRIM(人物卡!AM30)&amp;"）"</f>
        <v>科学（）</v>
      </c>
      <c r="V73">
        <f ca="1">IF(附表!$I$12,MAX(IF(AND($K$2=U73,$P$2="AM30"),$O$2,0),IF(AND($K$3=U73,$P$3="AM30"),$O$3,0),IF(AND($K$4=U73,$P$4="AM30"),$O$4,0),IF(AND($K$5=U73,$P$5="AM30"),$O$5,0),IF(AND($K$6=U73,$P$6="AM30"),$O$6,0),IF(AND($K$7=U73,$P$7="AM30"),$O$7,0),IF(AND($K$8=U73,$P$8="AM30"),$O$8,0),IF(AND($K$9=U73,$P$9="AM30"),$O$9,0),IF(AND($K$10=U73,$P$10="AM30"),$O$10,0),IF(AND($K$11=U73,$P$11="AM30"),$O$11,0),IF(AND($K$12=U73,$P$12="AM30"),$O$12,0),IF(AND($K$13=U73,$P$13="AM30"),$O$13,0),IF(AND($K$14=U73,$P$14="AM30"),$O$14,0),IF(AND($K$15=U73,$P$15="AM30"),$O$15,0),IF(AND($K$16=U73,$P$16="AM30"),$O$16,0),IF(AND($K$17=U73,$P$17="AM30"),$O$17,0),IF(AND($K$18=U73,$P$18="AM30"),$O$18,0),IF(AND($K$19=U73,$P$19="AM30"),$O$19,0),IF(AND($K$20=U73,$P$20="AM30"),$O$20,0),IF(AND($K$21=U73,$P$21="AM30"),$O$21,0),IF(AND($K$22=U73,$P$22="AM30"),$O$22,0),IF(AND($K$23=U73,$P$23="AM30"),$O$23,0),IF(AND($K$24=U73,$P$24="AM30"),$O$24,0),IF(AND($K$25=U73,$P$25="AM30"),$O$25,0),IF(AND($K$26=U73,$P$26="AM30"),$O$26,0),IF(AND($K$27=U73,$P$27="AM30"),$O$27,0),IF(AND($K$28=U73,$P$28="AM30"),$O$28,0)),0)</f>
        <v>0</v>
      </c>
      <c r="W73" t="s">
        <v>701</v>
      </c>
    </row>
    <row r="74" spans="21:23">
      <c r="U74" t="str">
        <f>人物卡!D31</f>
        <v>乔装</v>
      </c>
      <c r="V74">
        <f ca="1">IF(附表!$I$12,MAX(IF($K$2=U74,$O$2,0),IF($K$3=U74,$O$3,0),IF($K$4=U74,$O$4,0),IF($K$5=U74,$O$5,0),IF($K$6=U74,$O$6,0),IF($K$7=U74,$O$7,0),IF($K$8=U74,$O$8,0),IF($K$9=U74,$O$9,0),IF($K$10=U74,$O$10,0),IF($K$11=U74,$O$11,0),IF($K$12=U74,$O$12,0),IF($K$13=U74,$O$13,0),IF($K$14=U74,$O$14,0),IF($K$15=U74,$O$15,0),IF($K$16=U74,$O$16,0),IF($K$17=U74,$O$17,0),IF($K$18=U74,$O$18,0),IF($K$19=U74,$O$19,0),IF($K$20=U74,$O$20,0),IF($K$21=U74,$O$21,0),IF($K$22=U74,$O$22,0),IF($K$23=U74,$O$23,0),IF($K$24=U74,$O$24,0),IF($K$25=U74,$O$25,0),IF($K$26=U74,$O$26,0),IF($K$27=U74,$O$27,0),IF($K$28=U74,$O$28,0)),0)</f>
        <v>0</v>
      </c>
      <c r="W74" t="s">
        <v>702</v>
      </c>
    </row>
    <row r="75" spans="21:23">
      <c r="U75" t="str">
        <f ca="1">SUBSTITUTE(人物卡!AG31,"：","")&amp;"（"&amp;TRIM(人物卡!AM31)&amp;"）"</f>
        <v>科学（）</v>
      </c>
      <c r="V75">
        <f ca="1">IF(附表!$I$12,MAX(IF(AND($K$2=U75,$P$2="AM31"),$O$2,0),IF(AND($K$3=U75,$P$3="AM31"),$O$3,0),IF(AND($K$4=U75,$P$4="AM31"),$O$4,0),IF(AND($K$5=U75,$P$5="AM31"),$O$5,0),IF(AND($K$6=U75,$P$6="AM31"),$O$6,0),IF(AND($K$7=U75,$P$7="AM31"),$O$7,0),IF(AND($K$8=U75,$P$8="AM31"),$O$8,0),IF(AND($K$9=U75,$P$9="AM31"),$O$9,0),IF(AND($K$10=U75,$P$10="AM31"),$O$10,0),IF(AND($K$11=U75,$P$11="AM31"),$O$11,0),IF(AND($K$12=U75,$P$12="AM31"),$O$12,0),IF(AND($K$13=U75,$P$13="AM31"),$O$13,0),IF(AND($K$14=U75,$P$14="AM31"),$O$14,0),IF(AND($K$15=U75,$P$15="AM31"),$O$15,0),IF(AND($K$16=U75,$P$16="AM31"),$O$16,0),IF(AND($K$17=U75,$P$17="AM31"),$O$17,0),IF(AND($K$18=U75,$P$18="AM31"),$O$18,0),IF(AND($K$19=U75,$P$19="AM31"),$O$19,0),IF(AND($K$20=U75,$P$20="AM31"),$O$20,0),IF(AND($K$21=U75,$P$21="AM31"),$O$21,0),IF(AND($K$22=U75,$P$22="AM31"),$O$22,0),IF(AND($K$23=U75,$P$23="AM31"),$O$23,0),IF(AND($K$24=U75,$P$24="AM31"),$O$24,0),IF(AND($K$25=U75,$P$25="AM31"),$O$25,0),IF(AND($K$26=U75,$P$26="AM31"),$O$26,0),IF(AND($K$27=U75,$P$27="AM31"),$O$27,0),IF(AND($K$28=U75,$P$28="AM31"),$O$28,0)),0)</f>
        <v>0</v>
      </c>
      <c r="W75" t="s">
        <v>703</v>
      </c>
    </row>
    <row r="76" spans="21:23">
      <c r="U76" t="str">
        <f>人物卡!D32</f>
        <v>闪避</v>
      </c>
      <c r="V76">
        <f ca="1">IF(附表!$I$12,MAX(IF($K$2=U76,$O$2,0),IF($K$3=U76,$O$3,0),IF($K$4=U76,$O$4,0),IF($K$5=U76,$O$5,0),IF($K$6=U76,$O$6,0),IF($K$7=U76,$O$7,0),IF($K$8=U76,$O$8,0),IF($K$9=U76,$O$9,0),IF($K$10=U76,$O$10,0),IF($K$11=U76,$O$11,0),IF($K$12=U76,$O$12,0),IF($K$13=U76,$O$13,0),IF($K$14=U76,$O$14,0),IF($K$15=U76,$O$15,0),IF($K$16=U76,$O$16,0),IF($K$17=U76,$O$17,0),IF($K$18=U76,$O$18,0),IF($K$19=U76,$O$19,0),IF($K$20=U76,$O$20,0),IF($K$21=U76,$O$21,0),IF($K$22=U76,$O$22,0),IF($K$23=U76,$O$23,0),IF($K$24=U76,$O$24,0),IF($K$25=U76,$O$25,0),IF($K$26=U76,$O$26,0),IF($K$27=U76,$O$27,0),IF($K$28=U76,$O$28,0)),0)</f>
        <v>0</v>
      </c>
      <c r="W76" t="s">
        <v>704</v>
      </c>
    </row>
    <row r="77" spans="21:23">
      <c r="U77" t="str">
        <f>人物卡!AG32</f>
        <v>搜寻</v>
      </c>
      <c r="V77">
        <f ca="1">IF(附表!$I$12,MAX(IF($K$2=U77,$O$2,0),IF($K$3=U77,$O$3,0),IF($K$4=U77,$O$4,0),IF($K$5=U77,$O$5,0),IF($K$6=U77,$O$6,0),IF($K$7=U77,$O$7,0),IF($K$8=U77,$O$8,0),IF($K$9=U77,$O$9,0),IF($K$10=U77,$O$10,0),IF($K$11=U77,$O$11,0),IF($K$12=U77,$O$12,0),IF($K$13=U77,$O$13,0),IF($K$14=U77,$O$14,0),IF($K$15=U77,$O$15,0),IF($K$16=U77,$O$16,0),IF($K$17=U77,$O$17,0),IF($K$18=U77,$O$18,0),IF($K$19=U77,$O$19,0),IF($K$20=U77,$O$20,0),IF($K$21=U77,$O$21,0),IF($K$22=U77,$O$22,0),IF($K$23=U77,$O$23,0),IF($K$24=U77,$O$24,0),IF($K$25=U77,$O$25,0),IF($K$26=U77,$O$26,0),IF($K$27=U77,$O$27,0),IF($K$28=U77,$O$28,0)),0)</f>
        <v>0</v>
      </c>
      <c r="W77" t="s">
        <v>705</v>
      </c>
    </row>
    <row r="78" spans="21:23">
      <c r="U78" t="str">
        <f>人物卡!D33</f>
        <v>机动车驾驶</v>
      </c>
      <c r="V78">
        <f ca="1">IF(附表!$I$12,MAX(IF($K$2=U78,$O$2,0),IF($K$3=U78,$O$3,0),IF($K$4=U78,$O$4,0),IF($K$5=U78,$O$5,0),IF($K$6=U78,$O$6,0),IF($K$7=U78,$O$7,0),IF($K$8=U78,$O$8,0),IF($K$9=U78,$O$9,0),IF($K$10=U78,$O$10,0),IF($K$11=U78,$O$11,0),IF($K$12=U78,$O$12,0),IF($K$13=U78,$O$13,0),IF($K$14=U78,$O$14,0),IF($K$15=U78,$O$15,0),IF($K$16=U78,$O$16,0),IF($K$17=U78,$O$17,0),IF($K$18=U78,$O$18,0),IF($K$19=U78,$O$19,0),IF($K$20=U78,$O$20,0),IF($K$21=U78,$O$21,0),IF($K$22=U78,$O$22,0),IF($K$23=U78,$O$23,0),IF($K$24=U78,$O$24,0),IF($K$25=U78,$O$25,0),IF($K$26=U78,$O$26,0),IF($K$27=U78,$O$27,0),IF($K$28=U78,$O$28,0)),0)</f>
        <v>0</v>
      </c>
      <c r="W78" t="s">
        <v>706</v>
      </c>
    </row>
    <row r="79" spans="21:23">
      <c r="U79" t="str">
        <f>人物卡!AG33</f>
        <v>信号情报</v>
      </c>
      <c r="V79">
        <f ca="1">IF(附表!$I$12,MAX(IF($K$2=U79,$O$2,0),IF($K$3=U79,$O$3,0),IF($K$4=U79,$O$4,0),IF($K$5=U79,$O$5,0),IF($K$6=U79,$O$6,0),IF($K$7=U79,$O$7,0),IF($K$8=U79,$O$8,0),IF($K$9=U79,$O$9,0),IF($K$10=U79,$O$10,0),IF($K$11=U79,$O$11,0),IF($K$12=U79,$O$12,0),IF($K$13=U79,$O$13,0),IF($K$14=U79,$O$14,0),IF($K$15=U79,$O$15,0),IF($K$16=U79,$O$16,0),IF($K$17=U79,$O$17,0),IF($K$18=U79,$O$18,0),IF($K$19=U79,$O$19,0),IF($K$20=U79,$O$20,0),IF($K$21=U79,$O$21,0),IF($K$22=U79,$O$22,0),IF($K$23=U79,$O$23,0),IF($K$24=U79,$O$24,0),IF($K$25=U79,$O$25,0),IF($K$26=U79,$O$26,0),IF($K$27=U79,$O$27,0),IF($K$28=U79,$O$28,0)),0)</f>
        <v>0</v>
      </c>
      <c r="W79" t="s">
        <v>707</v>
      </c>
    </row>
    <row r="80" spans="21:23">
      <c r="U80" t="str">
        <f>人物卡!D34</f>
        <v>射击</v>
      </c>
      <c r="V80">
        <f ca="1">IF(附表!$I$12,MAX(IF($K$2=U80,$O$2,0),IF($K$3=U80,$O$3,0),IF($K$4=U80,$O$4,0),IF($K$5=U80,$O$5,0),IF($K$6=U80,$O$6,0),IF($K$7=U80,$O$7,0),IF($K$8=U80,$O$8,0),IF($K$9=U80,$O$9,0),IF($K$10=U80,$O$10,0),IF($K$11=U80,$O$11,0),IF($K$12=U80,$O$12,0),IF($K$13=U80,$O$13,0),IF($K$14=U80,$O$14,0),IF($K$15=U80,$O$15,0),IF($K$16=U80,$O$16,0),IF($K$17=U80,$O$17,0),IF($K$18=U80,$O$18,0),IF($K$19=U80,$O$19,0),IF($K$20=U80,$O$20,0),IF($K$21=U80,$O$21,0),IF($K$22=U80,$O$22,0),IF($K$23=U80,$O$23,0),IF($K$24=U80,$O$24,0),IF($K$25=U80,$O$25,0),IF($K$26=U80,$O$26,0),IF($K$27=U80,$O$27,0),IF($K$28=U80,$O$28,0)),0)</f>
        <v>0</v>
      </c>
      <c r="W80" t="s">
        <v>708</v>
      </c>
    </row>
    <row r="81" spans="21:23">
      <c r="U81" t="str">
        <f>人物卡!AG34</f>
        <v>潜藏</v>
      </c>
      <c r="V81">
        <f ca="1">IF(附表!$I$12,MAX(IF($K$2=U81,$O$2,0),IF($K$3=U81,$O$3,0),IF($K$4=U81,$O$4,0),IF($K$5=U81,$O$5,0),IF($K$6=U81,$O$6,0),IF($K$7=U81,$O$7,0),IF($K$8=U81,$O$8,0),IF($K$9=U81,$O$9,0),IF($K$10=U81,$O$10,0),IF($K$11=U81,$O$11,0),IF($K$12=U81,$O$12,0),IF($K$13=U81,$O$13,0),IF($K$14=U81,$O$14,0),IF($K$15=U81,$O$15,0),IF($K$16=U81,$O$16,0),IF($K$17=U81,$O$17,0),IF($K$18=U81,$O$18,0),IF($K$19=U81,$O$19,0),IF($K$20=U81,$O$20,0),IF($K$21=U81,$O$21,0),IF($K$22=U81,$O$22,0),IF($K$23=U81,$O$23,0),IF($K$24=U81,$O$24,0),IF($K$25=U81,$O$25,0),IF($K$26=U81,$O$26,0),IF($K$27=U81,$O$27,0),IF($K$28=U81,$O$28,0)),0)</f>
        <v>0</v>
      </c>
      <c r="W81" t="s">
        <v>709</v>
      </c>
    </row>
    <row r="82" spans="21:23">
      <c r="U82" t="str">
        <f>人物卡!D35</f>
        <v>急救</v>
      </c>
      <c r="V82">
        <f ca="1">IF(附表!$I$12,MAX(IF($K$2=U82,$O$2,0),IF($K$3=U82,$O$3,0),IF($K$4=U82,$O$4,0),IF($K$5=U82,$O$5,0),IF($K$6=U82,$O$6,0),IF($K$7=U82,$O$7,0),IF($K$8=U82,$O$8,0),IF($K$9=U82,$O$9,0),IF($K$10=U82,$O$10,0),IF($K$11=U82,$O$11,0),IF($K$12=U82,$O$12,0),IF($K$13=U82,$O$13,0),IF($K$14=U82,$O$14,0),IF($K$15=U82,$O$15,0),IF($K$16=U82,$O$16,0),IF($K$17=U82,$O$17,0),IF($K$18=U82,$O$18,0),IF($K$19=U82,$O$19,0),IF($K$20=U82,$O$20,0),IF($K$21=U82,$O$21,0),IF($K$22=U82,$O$22,0),IF($K$23=U82,$O$23,0),IF($K$24=U82,$O$24,0),IF($K$25=U82,$O$25,0),IF($K$26=U82,$O$26,0),IF($K$27=U82,$O$27,0),IF($K$28=U82,$O$28,0)),0)</f>
        <v>0</v>
      </c>
      <c r="W82" t="s">
        <v>710</v>
      </c>
    </row>
    <row r="83" spans="21:23">
      <c r="U83" t="str">
        <f>人物卡!AG35</f>
        <v>手术</v>
      </c>
      <c r="V83">
        <f ca="1">IF(附表!$I$12,MAX(IF($K$2=U83,$O$2,0),IF($K$3=U83,$O$3,0),IF($K$4=U83,$O$4,0),IF($K$5=U83,$O$5,0),IF($K$6=U83,$O$6,0),IF($K$7=U83,$O$7,0),IF($K$8=U83,$O$8,0),IF($K$9=U83,$O$9,0),IF($K$10=U83,$O$10,0),IF($K$11=U83,$O$11,0),IF($K$12=U83,$O$12,0),IF($K$13=U83,$O$13,0),IF($K$14=U83,$O$14,0),IF($K$15=U83,$O$15,0),IF($K$16=U83,$O$16,0),IF($K$17=U83,$O$17,0),IF($K$18=U83,$O$18,0),IF($K$19=U83,$O$19,0),IF($K$20=U83,$O$20,0),IF($K$21=U83,$O$21,0),IF($K$22=U83,$O$22,0),IF($K$23=U83,$O$23,0),IF($K$24=U83,$O$24,0),IF($K$25=U83,$O$25,0),IF($K$26=U83,$O$26,0),IF($K$27=U83,$O$27,0),IF($K$28=U83,$O$28,0)),0)</f>
        <v>0</v>
      </c>
      <c r="W83" t="s">
        <v>711</v>
      </c>
    </row>
    <row r="84" spans="21:23">
      <c r="U84" t="str">
        <f>SUBSTITUTE(人物卡!D36,"：","")&amp;"（"&amp;TRIM(人物卡!J36)&amp;"）"</f>
        <v>外语（）</v>
      </c>
      <c r="V84">
        <f ca="1">IF(附表!$I$12,MAX(IF(AND($K$2=U84,$P$2="J36"),$O$2,0),IF(AND($K$3=U84,$P$3="J36"),$O$3,0),IF(AND($K$4=U84,$P$4="J36"),$O$4,0),IF(AND($K$5=U84,$P$5="J36"),$O$5,0),IF(AND($K$6=U84,$P$6="J36"),$O$6,0),IF(AND($K$7=U84,$P$7="J36"),$O$7,0),IF(AND($K$8=U84,$P$8="J36"),$O$8,0),IF(AND($K$9=U84,$P$9="J36"),$O$9,0),IF(AND($K$10=U84,$P$10="J36"),$O$10,0),IF(AND($K$11=U84,$P$11="J36"),$O$11,0),IF(AND($K$12=U84,$P$12="J36"),$O$12,0),IF(AND($K$13=U84,$P$13="J36"),$O$13,0),IF(AND($K$14=U84,$P$14="J36"),$O$14,0),IF(AND($K$15=U84,$P$15="J36"),$O$15,0),IF(AND($K$16=U84,$P$16="J36"),$O$16,0),IF(AND($K$17=U84,$P$17="J36"),$O$17,0),IF(AND($K$18=U84,$P$18="J36"),$O$18,0),IF(AND($K$19=U84,$P$19="J36"),$O$19,0),IF(AND($K$20=U84,$P$20="J36"),$O$20,0),IF(AND($K$21=U84,$P$21="J36"),$O$21,0),IF(AND($K$22=U84,$P$22="J36"),$O$22,0),IF(AND($K$23=U84,$P$23="J36"),$O$23,0),IF(AND($K$24=U84,$P$24="J36"),$O$24,0),IF(AND($K$25=U84,$P$25="J36"),$O$25,0),IF(AND($K$26=U84,$P$26="J36"),$O$26,0),IF(AND($K$27=U84,$P$27="J36"),$O$27,0),IF(AND($K$28=U84,$P$28="J36"),$O$28,0)),0)</f>
        <v>0</v>
      </c>
      <c r="W84" t="s">
        <v>712</v>
      </c>
    </row>
    <row r="85" spans="21:23">
      <c r="U85" t="str">
        <f>人物卡!AG36</f>
        <v>生存</v>
      </c>
      <c r="V85">
        <f ca="1">IF(附表!$I$12,MAX(IF($K$2=U85,$O$2,0),IF($K$3=U85,$O$3,0),IF($K$4=U85,$O$4,0),IF($K$5=U85,$O$5,0),IF($K$6=U85,$O$6,0),IF($K$7=U85,$O$7,0),IF($K$8=U85,$O$8,0),IF($K$9=U85,$O$9,0),IF($K$10=U85,$O$10,0),IF($K$11=U85,$O$11,0),IF($K$12=U85,$O$12,0),IF($K$13=U85,$O$13,0),IF($K$14=U85,$O$14,0),IF($K$15=U85,$O$15,0),IF($K$16=U85,$O$16,0),IF($K$17=U85,$O$17,0),IF($K$18=U85,$O$18,0),IF($K$19=U85,$O$19,0),IF($K$20=U85,$O$20,0),IF($K$21=U85,$O$21,0),IF($K$22=U85,$O$22,0),IF($K$23=U85,$O$23,0),IF($K$24=U85,$O$24,0),IF($K$25=U85,$O$25,0),IF($K$26=U85,$O$26,0),IF($K$27=U85,$O$27,0),IF($K$28=U85,$O$28,0)),0)</f>
        <v>0</v>
      </c>
      <c r="W85" t="s">
        <v>713</v>
      </c>
    </row>
    <row r="86" spans="21:23">
      <c r="U86" t="str">
        <f>SUBSTITUTE(人物卡!D37,"：","")&amp;"（"&amp;TRIM(人物卡!J37)&amp;"）"</f>
        <v>外语（）</v>
      </c>
      <c r="V86">
        <f ca="1">IF(附表!$I$12,MAX(IF(AND($K$2=U86,$P$2="J37"),$O$2,0),IF(AND($K$3=U86,$P$3="J37"),$O$3,0),IF(AND($K$4=U86,$P$4="J37"),$O$4,0),IF(AND($K$5=U86,$P$5="J37"),$O$5,0),IF(AND($K$6=U86,$P$6="J37"),$O$6,0),IF(AND($K$7=U86,$P$7="J37"),$O$7,0),IF(AND($K$8=U86,$P$8="J37"),$O$8,0),IF(AND($K$9=U86,$P$9="J37"),$O$9,0),IF(AND($K$10=U86,$P$10="J37"),$O$10,0),IF(AND($K$11=U86,$P$11="J37"),$O$11,0),IF(AND($K$12=U86,$P$12="J37"),$O$12,0),IF(AND($K$13=U86,$P$13="J37"),$O$13,0),IF(AND($K$14=U86,$P$14="J37"),$O$14,0),IF(AND($K$15=U86,$P$15="J37"),$O$15,0),IF(AND($K$16=U86,$P$16="J37"),$O$16,0),IF(AND($K$17=U86,$P$17="J37"),$O$17,0),IF(AND($K$18=U86,$P$18="J37"),$O$18,0),IF(AND($K$19=U86,$P$19="J37"),$O$19,0),IF(AND($K$20=U86,$P$20="J37"),$O$20,0),IF(AND($K$21=U86,$P$21="J37"),$O$21,0),IF(AND($K$22=U86,$P$22="J37"),$O$22,0),IF(AND($K$23=U86,$P$23="J37"),$O$23,0),IF(AND($K$24=U86,$P$24="J37"),$O$24,0),IF(AND($K$25=U86,$P$25="J37"),$O$25,0),IF(AND($K$26=U86,$P$26="J37"),$O$26,0),IF(AND($K$27=U86,$P$27="J37"),$O$27,0),IF(AND($K$28=U86,$P$28="J37"),$O$28,0)),0)</f>
        <v>0</v>
      </c>
      <c r="W86" t="s">
        <v>714</v>
      </c>
    </row>
    <row r="87" spans="21:23">
      <c r="U87" t="str">
        <f>人物卡!AG37</f>
        <v>游泳</v>
      </c>
      <c r="V87">
        <f ca="1">IF(附表!$I$12,MAX(IF($K$2=U87,$O$2,0),IF($K$3=U87,$O$3,0),IF($K$4=U87,$O$4,0),IF($K$5=U87,$O$5,0),IF($K$6=U87,$O$6,0),IF($K$7=U87,$O$7,0),IF($K$8=U87,$O$8,0),IF($K$9=U87,$O$9,0),IF($K$10=U87,$O$10,0),IF($K$11=U87,$O$11,0),IF($K$12=U87,$O$12,0),IF($K$13=U87,$O$13,0),IF($K$14=U87,$O$14,0),IF($K$15=U87,$O$15,0),IF($K$16=U87,$O$16,0),IF($K$17=U87,$O$17,0),IF($K$18=U87,$O$18,0),IF($K$19=U87,$O$19,0),IF($K$20=U87,$O$20,0),IF($K$21=U87,$O$21,0),IF($K$22=U87,$O$22,0),IF($K$23=U87,$O$23,0),IF($K$24=U87,$O$24,0),IF($K$25=U87,$O$25,0),IF($K$26=U87,$O$26,0),IF($K$27=U87,$O$27,0),IF($K$28=U87,$O$28,0)),0)</f>
        <v>0</v>
      </c>
      <c r="W87" t="s">
        <v>715</v>
      </c>
    </row>
    <row r="88" spans="21:23">
      <c r="U88" t="str">
        <f ca="1">SUBSTITUTE(人物卡!D38,"：","")&amp;"（"&amp;TRIM(人物卡!J38)&amp;"）"</f>
        <v>外语（）</v>
      </c>
      <c r="V88">
        <f ca="1">IF(附表!$I$12,MAX(IF(AND($K$2=U88,$P$2="J38"),$O$2,0),IF(AND($K$3=U88,$P$3="J38"),$O$3,0),IF(AND($K$4=U88,$P$4="J38"),$O$4,0),IF(AND($K$5=U88,$P$5="J38"),$O$5,0),IF(AND($K$6=U88,$P$6="J38"),$O$6,0),IF(AND($K$7=U88,$P$7="J38"),$O$7,0),IF(AND($K$8=U88,$P$8="J38"),$O$8,0),IF(AND($K$9=U88,$P$9="J38"),$O$9,0),IF(AND($K$10=U88,$P$10="J38"),$O$10,0),IF(AND($K$11=U88,$P$11="J38"),$O$11,0),IF(AND($K$12=U88,$P$12="J38"),$O$12,0),IF(AND($K$13=U88,$P$13="J38"),$O$13,0),IF(AND($K$14=U88,$P$14="J38"),$O$14,0),IF(AND($K$15=U88,$P$15="J38"),$O$15,0),IF(AND($K$16=U88,$P$16="J38"),$O$16,0),IF(AND($K$17=U88,$P$17="J38"),$O$17,0),IF(AND($K$18=U88,$P$18="J38"),$O$18,0),IF(AND($K$19=U88,$P$19="J38"),$O$19,0),IF(AND($K$20=U88,$P$20="J38"),$O$20,0),IF(AND($K$21=U88,$P$21="J38"),$O$21,0),IF(AND($K$22=U88,$P$22="J38"),$O$22,0),IF(AND($K$23=U88,$P$23="J38"),$O$23,0),IF(AND($K$24=U88,$P$24="J38"),$O$24,0),IF(AND($K$25=U88,$P$25="J38"),$O$25,0),IF(AND($K$26=U88,$P$26="J38"),$O$26,0),IF(AND($K$27=U88,$P$27="J38"),$O$27,0),IF(AND($K$28=U88,$P$28="J38"),$O$28,0)),0)</f>
        <v>0</v>
      </c>
      <c r="W88" t="s">
        <v>716</v>
      </c>
    </row>
    <row r="89" spans="21:23">
      <c r="U89" t="str">
        <f>人物卡!AG38</f>
        <v>徒手搏斗</v>
      </c>
      <c r="V89">
        <f ca="1">IF(附表!$I$12,MAX(IF($K$2=U89,$O$2,0),IF($K$3=U89,$O$3,0),IF($K$4=U89,$O$4,0),IF($K$5=U89,$O$5,0),IF($K$6=U89,$O$6,0),IF($K$7=U89,$O$7,0),IF($K$8=U89,$O$8,0),IF($K$9=U89,$O$9,0),IF($K$10=U89,$O$10,0),IF($K$11=U89,$O$11,0),IF($K$12=U89,$O$12,0),IF($K$13=U89,$O$13,0),IF($K$14=U89,$O$14,0),IF($K$15=U89,$O$15,0),IF($K$16=U89,$O$16,0),IF($K$17=U89,$O$17,0),IF($K$18=U89,$O$18,0),IF($K$19=U89,$O$19,0),IF($K$20=U89,$O$20,0),IF($K$21=U89,$O$21,0),IF($K$22=U89,$O$22,0),IF($K$23=U89,$O$23,0),IF($K$24=U89,$O$24,0),IF($K$25=U89,$O$25,0),IF($K$26=U89,$O$26,0),IF($K$27=U89,$O$27,0),IF($K$28=U89,$O$28,0)),0)</f>
        <v>0</v>
      </c>
      <c r="W89" t="s">
        <v>717</v>
      </c>
    </row>
    <row r="90" spans="21:23">
      <c r="U90" t="str">
        <f>人物卡!D39</f>
        <v>法证学</v>
      </c>
      <c r="V90">
        <f ca="1">IF(附表!$I$12,MAX(IF($K$2=U90,$O$2,0),IF($K$3=U90,$O$3,0),IF($K$4=U90,$O$4,0),IF($K$5=U90,$O$5,0),IF($K$6=U90,$O$6,0),IF($K$7=U90,$O$7,0),IF($K$8=U90,$O$8,0),IF($K$9=U90,$O$9,0),IF($K$10=U90,$O$10,0),IF($K$11=U90,$O$11,0),IF($K$12=U90,$O$12,0),IF($K$13=U90,$O$13,0),IF($K$14=U90,$O$14,0),IF($K$15=U90,$O$15,0),IF($K$16=U90,$O$16,0),IF($K$17=U90,$O$17,0),IF($K$18=U90,$O$18,0),IF($K$19=U90,$O$19,0),IF($K$20=U90,$O$20,0),IF($K$21=U90,$O$21,0),IF($K$22=U90,$O$22,0),IF($K$23=U90,$O$23,0),IF($K$24=U90,$O$24,0),IF($K$25=U90,$O$25,0),IF($K$26=U90,$O$26,0),IF($K$27=U90,$O$27,0),IF($K$28=U90,$O$28,0)),0)</f>
        <v>0</v>
      </c>
      <c r="W90" t="s">
        <v>718</v>
      </c>
    </row>
    <row r="91" spans="21:23">
      <c r="U91" t="str">
        <f>人物卡!D40</f>
        <v>重型机械</v>
      </c>
      <c r="V91">
        <f ca="1">IF(附表!$I$12,MAX(IF($K$2=U91,$O$2,0),IF($K$3=U91,$O$3,0),IF($K$4=U91,$O$4,0),IF($K$5=U91,$O$5,0),IF($K$6=U91,$O$6,0),IF($K$7=U91,$O$7,0),IF($K$8=U91,$O$8,0),IF($K$9=U91,$O$9,0),IF($K$10=U91,$O$10,0),IF($K$11=U91,$O$11,0),IF($K$12=U91,$O$12,0),IF($K$13=U91,$O$13,0),IF($K$14=U91,$O$14,0),IF($K$15=U91,$O$15,0),IF($K$16=U91,$O$16,0),IF($K$17=U91,$O$17,0),IF($K$18=U91,$O$18,0),IF($K$19=U91,$O$19,0),IF($K$20=U91,$O$20,0),IF($K$21=U91,$O$21,0),IF($K$22=U91,$O$22,0),IF($K$23=U91,$O$23,0),IF($K$24=U91,$O$24,0),IF($K$25=U91,$O$25,0),IF($K$26=U91,$O$26,0),IF($K$27=U91,$O$27,0),IF($K$28=U91,$O$28,0)),0)</f>
        <v>0</v>
      </c>
      <c r="W91" t="s">
        <v>719</v>
      </c>
    </row>
    <row r="92" spans="21:23">
      <c r="U92" t="str">
        <f>人物卡!D41</f>
        <v>重型武器</v>
      </c>
      <c r="V92">
        <f ca="1">IF(附表!$I$12,MAX(IF($K$2=U92,$O$2,0),IF($K$3=U92,$O$3,0),IF($K$4=U92,$O$4,0),IF($K$5=U92,$O$5,0),IF($K$6=U92,$O$6,0),IF($K$7=U92,$O$7,0),IF($K$8=U92,$O$8,0),IF($K$9=U92,$O$9,0),IF($K$10=U92,$O$10,0),IF($K$11=U92,$O$11,0),IF($K$12=U92,$O$12,0),IF($K$13=U92,$O$13,0),IF($K$14=U92,$O$14,0),IF($K$15=U92,$O$15,0),IF($K$16=U92,$O$16,0),IF($K$17=U92,$O$17,0),IF($K$18=U92,$O$18,0),IF($K$19=U92,$O$19,0),IF($K$20=U92,$O$20,0),IF($K$21=U92,$O$21,0),IF($K$22=U92,$O$22,0),IF($K$23=U92,$O$23,0),IF($K$24=U92,$O$24,0),IF($K$25=U92,$O$25,0),IF($K$26=U92,$O$26,0),IF($K$27=U92,$O$27,0),IF($K$28=U92,$O$28,0)),0)</f>
        <v>0</v>
      </c>
      <c r="W92" t="s">
        <v>720</v>
      </c>
    </row>
    <row r="93" spans="21:23">
      <c r="U93" t="str">
        <f>人物卡!D42</f>
        <v>历史</v>
      </c>
      <c r="V93">
        <f ca="1">IF(附表!$I$12,MAX(IF($K$2=U93,$O$2,0),IF($K$3=U93,$O$3,0),IF($K$4=U93,$O$4,0),IF($K$5=U93,$O$5,0),IF($K$6=U93,$O$6,0),IF($K$7=U93,$O$7,0),IF($K$8=U93,$O$8,0),IF($K$9=U93,$O$9,0),IF($K$10=U93,$O$10,0),IF($K$11=U93,$O$11,0),IF($K$12=U93,$O$12,0),IF($K$13=U93,$O$13,0),IF($K$14=U93,$O$14,0),IF($K$15=U93,$O$15,0),IF($K$16=U93,$O$16,0),IF($K$17=U93,$O$17,0),IF($K$18=U93,$O$18,0),IF($K$19=U93,$O$19,0),IF($K$20=U93,$O$20,0),IF($K$21=U93,$O$21,0),IF($K$22=U93,$O$22,0),IF($K$23=U93,$O$23,0),IF($K$24=U93,$O$24,0),IF($K$25=U93,$O$25,0),IF($K$26=U93,$O$26,0),IF($K$27=U93,$O$27,0),IF($K$28=U93,$O$28,0)),0)</f>
        <v>0</v>
      </c>
      <c r="W93" t="s">
        <v>721</v>
      </c>
    </row>
    <row r="94" spans="21:23">
      <c r="U94" t="str">
        <f>人物卡!D43</f>
        <v>人源情报</v>
      </c>
      <c r="V94">
        <f ca="1">IF(附表!$I$12,MAX(IF($K$2=U94,$O$2,0),IF($K$3=U94,$O$3,0),IF($K$4=U94,$O$4,0),IF($K$5=U94,$O$5,0),IF($K$6=U94,$O$6,0),IF($K$7=U94,$O$7,0),IF($K$8=U94,$O$8,0),IF($K$9=U94,$O$9,0),IF($K$10=U94,$O$10,0),IF($K$11=U94,$O$11,0),IF($K$12=U94,$O$12,0),IF($K$13=U94,$O$13,0),IF($K$14=U94,$O$14,0),IF($K$15=U94,$O$15,0),IF($K$16=U94,$O$16,0),IF($K$17=U94,$O$17,0),IF($K$18=U94,$O$18,0),IF($K$19=U94,$O$19,0),IF($K$20=U94,$O$20,0),IF($K$21=U94,$O$21,0),IF($K$22=U94,$O$22,0),IF($K$23=U94,$O$23,0),IF($K$24=U94,$O$24,0),IF($K$25=U94,$O$25,0),IF($K$26=U94,$O$26,0),IF($K$27=U94,$O$27,0),IF($K$28=U94,$O$28,0)),0)</f>
        <v>0</v>
      </c>
      <c r="W94" t="s">
        <v>722</v>
      </c>
    </row>
    <row r="100" spans="1:14">
      <c r="A100">
        <v>2</v>
      </c>
      <c r="B100">
        <v>0</v>
      </c>
      <c r="C100" t="s">
        <v>125</v>
      </c>
      <c r="D100" t="s">
        <v>723</v>
      </c>
      <c r="E100" t="s">
        <v>125</v>
      </c>
      <c r="F100">
        <v>0</v>
      </c>
      <c r="G100" t="s">
        <v>125</v>
      </c>
      <c r="H100" t="s">
        <v>125</v>
      </c>
      <c r="I100" t="s">
        <v>125</v>
      </c>
      <c r="J100" t="s">
        <v>125</v>
      </c>
      <c r="K100" t="s">
        <v>125</v>
      </c>
      <c r="L100" t="s">
        <v>125</v>
      </c>
      <c r="M100" t="s">
        <v>724</v>
      </c>
      <c r="N100" t="b">
        <v>0</v>
      </c>
    </row>
    <row r="101" spans="1:14">
      <c r="A101">
        <v>2</v>
      </c>
      <c r="B101">
        <v>1</v>
      </c>
      <c r="C101" t="s">
        <v>125</v>
      </c>
      <c r="D101" t="s">
        <v>723</v>
      </c>
      <c r="E101" t="s">
        <v>125</v>
      </c>
      <c r="F101">
        <v>0</v>
      </c>
      <c r="G101" t="s">
        <v>125</v>
      </c>
      <c r="H101" t="s">
        <v>125</v>
      </c>
      <c r="I101" t="s">
        <v>125</v>
      </c>
      <c r="J101" t="s">
        <v>125</v>
      </c>
      <c r="K101" t="s">
        <v>125</v>
      </c>
      <c r="L101" t="s">
        <v>125</v>
      </c>
      <c r="M101" t="s">
        <v>725</v>
      </c>
      <c r="N101" t="b">
        <v>0</v>
      </c>
    </row>
    <row r="102" spans="1:14">
      <c r="A102">
        <v>2</v>
      </c>
      <c r="B102">
        <v>2</v>
      </c>
      <c r="C102" t="s">
        <v>125</v>
      </c>
      <c r="D102" t="s">
        <v>723</v>
      </c>
      <c r="E102" t="s">
        <v>125</v>
      </c>
      <c r="F102">
        <v>0</v>
      </c>
      <c r="G102" t="s">
        <v>125</v>
      </c>
      <c r="H102" t="s">
        <v>125</v>
      </c>
      <c r="I102" t="s">
        <v>125</v>
      </c>
      <c r="J102" t="s">
        <v>125</v>
      </c>
      <c r="K102" t="s">
        <v>125</v>
      </c>
      <c r="L102" t="s">
        <v>125</v>
      </c>
      <c r="M102" t="s">
        <v>726</v>
      </c>
      <c r="N102" t="b">
        <v>0</v>
      </c>
    </row>
    <row r="103" spans="1:14">
      <c r="A103">
        <v>2</v>
      </c>
      <c r="B103">
        <v>3</v>
      </c>
      <c r="C103" t="s">
        <v>125</v>
      </c>
      <c r="D103" t="s">
        <v>723</v>
      </c>
      <c r="E103" t="s">
        <v>125</v>
      </c>
      <c r="F103">
        <v>0</v>
      </c>
      <c r="G103" t="s">
        <v>125</v>
      </c>
      <c r="H103" t="s">
        <v>125</v>
      </c>
      <c r="I103" t="s">
        <v>125</v>
      </c>
      <c r="J103" t="s">
        <v>125</v>
      </c>
      <c r="K103" t="s">
        <v>125</v>
      </c>
      <c r="L103" t="s">
        <v>125</v>
      </c>
      <c r="M103" t="s">
        <v>727</v>
      </c>
      <c r="N103" t="b">
        <v>0</v>
      </c>
    </row>
    <row r="104" spans="1:14">
      <c r="A104">
        <v>2</v>
      </c>
      <c r="B104">
        <v>4</v>
      </c>
      <c r="C104" t="s">
        <v>125</v>
      </c>
      <c r="D104" t="s">
        <v>723</v>
      </c>
      <c r="E104" t="s">
        <v>125</v>
      </c>
      <c r="F104">
        <v>0</v>
      </c>
      <c r="G104" t="s">
        <v>125</v>
      </c>
      <c r="H104" t="s">
        <v>125</v>
      </c>
      <c r="I104" t="s">
        <v>125</v>
      </c>
      <c r="J104" t="s">
        <v>125</v>
      </c>
      <c r="K104" t="s">
        <v>125</v>
      </c>
      <c r="L104" t="s">
        <v>125</v>
      </c>
      <c r="M104" t="s">
        <v>728</v>
      </c>
      <c r="N104" t="b">
        <v>0</v>
      </c>
    </row>
    <row r="105" spans="1:14">
      <c r="A105">
        <v>2</v>
      </c>
      <c r="B105">
        <v>5</v>
      </c>
      <c r="C105" t="s">
        <v>125</v>
      </c>
      <c r="D105" t="s">
        <v>723</v>
      </c>
      <c r="E105" t="s">
        <v>125</v>
      </c>
      <c r="F105">
        <v>0</v>
      </c>
      <c r="G105" t="s">
        <v>125</v>
      </c>
      <c r="H105" t="s">
        <v>125</v>
      </c>
      <c r="I105" t="s">
        <v>125</v>
      </c>
      <c r="J105" t="s">
        <v>125</v>
      </c>
      <c r="K105" t="s">
        <v>125</v>
      </c>
      <c r="L105" t="s">
        <v>125</v>
      </c>
      <c r="M105" t="s">
        <v>729</v>
      </c>
      <c r="N105" t="b">
        <v>0</v>
      </c>
    </row>
    <row r="106" spans="1:14">
      <c r="A106">
        <v>2</v>
      </c>
      <c r="B106">
        <v>6</v>
      </c>
      <c r="C106" t="s">
        <v>125</v>
      </c>
      <c r="D106" t="s">
        <v>723</v>
      </c>
      <c r="E106" t="s">
        <v>125</v>
      </c>
      <c r="F106">
        <v>0</v>
      </c>
      <c r="G106" t="s">
        <v>125</v>
      </c>
      <c r="H106" t="s">
        <v>125</v>
      </c>
      <c r="I106" t="s">
        <v>125</v>
      </c>
      <c r="J106" t="s">
        <v>125</v>
      </c>
      <c r="K106" t="s">
        <v>125</v>
      </c>
      <c r="L106" t="s">
        <v>125</v>
      </c>
      <c r="M106" t="s">
        <v>730</v>
      </c>
      <c r="N106" t="b">
        <v>0</v>
      </c>
    </row>
    <row r="107" spans="1:14">
      <c r="A107">
        <v>2</v>
      </c>
      <c r="B107">
        <v>7</v>
      </c>
      <c r="C107" t="s">
        <v>125</v>
      </c>
      <c r="D107" t="s">
        <v>723</v>
      </c>
      <c r="E107" t="s">
        <v>125</v>
      </c>
      <c r="F107">
        <v>0</v>
      </c>
      <c r="G107" t="s">
        <v>125</v>
      </c>
      <c r="H107" t="s">
        <v>125</v>
      </c>
      <c r="I107" t="s">
        <v>125</v>
      </c>
      <c r="J107" t="s">
        <v>125</v>
      </c>
      <c r="K107" t="s">
        <v>125</v>
      </c>
      <c r="L107" t="s">
        <v>125</v>
      </c>
      <c r="M107" t="s">
        <v>731</v>
      </c>
      <c r="N107" t="b">
        <v>0</v>
      </c>
    </row>
    <row r="108" spans="1:14">
      <c r="A108">
        <v>2</v>
      </c>
      <c r="B108">
        <v>8</v>
      </c>
      <c r="C108" t="s">
        <v>125</v>
      </c>
      <c r="D108" t="s">
        <v>723</v>
      </c>
      <c r="E108" t="s">
        <v>125</v>
      </c>
      <c r="F108">
        <v>0</v>
      </c>
      <c r="G108" t="s">
        <v>125</v>
      </c>
      <c r="H108" t="s">
        <v>125</v>
      </c>
      <c r="I108" t="s">
        <v>125</v>
      </c>
      <c r="J108" t="s">
        <v>125</v>
      </c>
      <c r="K108" t="s">
        <v>125</v>
      </c>
      <c r="L108" t="s">
        <v>125</v>
      </c>
      <c r="M108" t="s">
        <v>732</v>
      </c>
      <c r="N108" t="b">
        <v>0</v>
      </c>
    </row>
    <row r="109" spans="1:14">
      <c r="A109">
        <v>2</v>
      </c>
      <c r="B109">
        <v>9</v>
      </c>
      <c r="C109" t="s">
        <v>125</v>
      </c>
      <c r="D109" t="s">
        <v>723</v>
      </c>
      <c r="E109" t="s">
        <v>125</v>
      </c>
      <c r="F109">
        <v>0</v>
      </c>
      <c r="G109" t="s">
        <v>125</v>
      </c>
      <c r="H109" t="s">
        <v>125</v>
      </c>
      <c r="I109" t="s">
        <v>125</v>
      </c>
      <c r="J109" t="s">
        <v>125</v>
      </c>
      <c r="K109" t="s">
        <v>125</v>
      </c>
      <c r="L109" t="s">
        <v>125</v>
      </c>
      <c r="M109" t="s">
        <v>733</v>
      </c>
      <c r="N109" t="b">
        <v>0</v>
      </c>
    </row>
    <row r="110" spans="1:14">
      <c r="A110">
        <v>2</v>
      </c>
      <c r="B110">
        <v>10</v>
      </c>
      <c r="C110" t="s">
        <v>125</v>
      </c>
      <c r="D110" t="s">
        <v>723</v>
      </c>
      <c r="E110" t="s">
        <v>125</v>
      </c>
      <c r="F110">
        <v>0</v>
      </c>
      <c r="G110" t="s">
        <v>125</v>
      </c>
      <c r="H110" t="s">
        <v>125</v>
      </c>
      <c r="I110" t="s">
        <v>125</v>
      </c>
      <c r="J110" t="s">
        <v>125</v>
      </c>
      <c r="K110" t="s">
        <v>125</v>
      </c>
      <c r="L110" t="s">
        <v>125</v>
      </c>
      <c r="M110" t="s">
        <v>734</v>
      </c>
      <c r="N110" t="b">
        <v>0</v>
      </c>
    </row>
    <row r="111" spans="1:14">
      <c r="A111">
        <v>2</v>
      </c>
      <c r="B111">
        <v>11</v>
      </c>
      <c r="C111" t="s">
        <v>125</v>
      </c>
      <c r="D111" t="s">
        <v>723</v>
      </c>
      <c r="E111" t="s">
        <v>125</v>
      </c>
      <c r="F111">
        <v>0</v>
      </c>
      <c r="G111" t="s">
        <v>125</v>
      </c>
      <c r="H111" t="s">
        <v>125</v>
      </c>
      <c r="I111" t="s">
        <v>125</v>
      </c>
      <c r="J111" t="s">
        <v>125</v>
      </c>
      <c r="K111" t="s">
        <v>125</v>
      </c>
      <c r="L111" t="s">
        <v>125</v>
      </c>
      <c r="M111" t="s">
        <v>735</v>
      </c>
      <c r="N111" t="b">
        <v>0</v>
      </c>
    </row>
    <row r="112" spans="1:14">
      <c r="A112">
        <v>2</v>
      </c>
      <c r="B112">
        <v>12</v>
      </c>
      <c r="C112" t="s">
        <v>125</v>
      </c>
      <c r="D112" t="s">
        <v>723</v>
      </c>
      <c r="E112" t="s">
        <v>125</v>
      </c>
      <c r="F112">
        <v>0</v>
      </c>
      <c r="G112" t="s">
        <v>125</v>
      </c>
      <c r="H112" t="s">
        <v>125</v>
      </c>
      <c r="I112" t="s">
        <v>125</v>
      </c>
      <c r="J112" t="s">
        <v>125</v>
      </c>
      <c r="K112" t="s">
        <v>125</v>
      </c>
      <c r="L112" t="s">
        <v>125</v>
      </c>
      <c r="M112" t="s">
        <v>736</v>
      </c>
      <c r="N112" t="b">
        <v>0</v>
      </c>
    </row>
    <row r="113" spans="1:14">
      <c r="A113">
        <v>2</v>
      </c>
      <c r="B113">
        <v>13</v>
      </c>
      <c r="C113" t="s">
        <v>125</v>
      </c>
      <c r="D113" t="s">
        <v>723</v>
      </c>
      <c r="E113" t="s">
        <v>125</v>
      </c>
      <c r="F113">
        <v>0</v>
      </c>
      <c r="G113" t="s">
        <v>125</v>
      </c>
      <c r="H113" t="s">
        <v>125</v>
      </c>
      <c r="I113" t="s">
        <v>125</v>
      </c>
      <c r="J113" t="s">
        <v>125</v>
      </c>
      <c r="K113" t="s">
        <v>125</v>
      </c>
      <c r="L113" t="s">
        <v>125</v>
      </c>
      <c r="M113" t="s">
        <v>737</v>
      </c>
      <c r="N113" t="b">
        <v>0</v>
      </c>
    </row>
    <row r="114" spans="1:14">
      <c r="A114">
        <v>2</v>
      </c>
      <c r="B114">
        <v>14</v>
      </c>
      <c r="C114" t="s">
        <v>125</v>
      </c>
      <c r="D114" t="s">
        <v>723</v>
      </c>
      <c r="E114" t="s">
        <v>125</v>
      </c>
      <c r="F114">
        <v>0</v>
      </c>
      <c r="G114" t="s">
        <v>125</v>
      </c>
      <c r="H114" t="s">
        <v>125</v>
      </c>
      <c r="I114" t="s">
        <v>125</v>
      </c>
      <c r="J114" t="s">
        <v>125</v>
      </c>
      <c r="K114" t="s">
        <v>125</v>
      </c>
      <c r="L114" t="s">
        <v>125</v>
      </c>
      <c r="M114" t="s">
        <v>738</v>
      </c>
      <c r="N114" t="b">
        <v>0</v>
      </c>
    </row>
    <row r="115" spans="1:14">
      <c r="A115">
        <v>2</v>
      </c>
      <c r="B115">
        <v>15</v>
      </c>
      <c r="C115" t="s">
        <v>125</v>
      </c>
      <c r="D115" t="s">
        <v>723</v>
      </c>
      <c r="E115" t="s">
        <v>125</v>
      </c>
      <c r="F115">
        <v>0</v>
      </c>
      <c r="G115" t="s">
        <v>125</v>
      </c>
      <c r="H115" t="s">
        <v>125</v>
      </c>
      <c r="I115" t="s">
        <v>125</v>
      </c>
      <c r="J115" t="s">
        <v>125</v>
      </c>
      <c r="K115" t="s">
        <v>125</v>
      </c>
      <c r="L115" t="s">
        <v>125</v>
      </c>
      <c r="M115" t="s">
        <v>739</v>
      </c>
      <c r="N115" t="b">
        <v>0</v>
      </c>
    </row>
    <row r="116" spans="1:14">
      <c r="A116">
        <v>2</v>
      </c>
      <c r="B116">
        <v>16</v>
      </c>
      <c r="C116" t="s">
        <v>125</v>
      </c>
      <c r="D116" t="s">
        <v>740</v>
      </c>
      <c r="E116" t="s">
        <v>125</v>
      </c>
      <c r="F116">
        <v>0</v>
      </c>
      <c r="G116" t="s">
        <v>125</v>
      </c>
      <c r="H116" t="s">
        <v>125</v>
      </c>
      <c r="I116" t="s">
        <v>125</v>
      </c>
      <c r="J116" t="s">
        <v>125</v>
      </c>
      <c r="K116" t="s">
        <v>125</v>
      </c>
      <c r="L116" t="s">
        <v>125</v>
      </c>
      <c r="M116" t="s">
        <v>741</v>
      </c>
      <c r="N116" t="b">
        <v>0</v>
      </c>
    </row>
    <row r="117" spans="1:14">
      <c r="A117">
        <v>2</v>
      </c>
      <c r="B117">
        <v>17</v>
      </c>
      <c r="C117" t="s">
        <v>125</v>
      </c>
      <c r="D117" t="s">
        <v>740</v>
      </c>
      <c r="E117" t="s">
        <v>125</v>
      </c>
      <c r="F117">
        <v>0</v>
      </c>
      <c r="G117" t="s">
        <v>125</v>
      </c>
      <c r="H117" t="s">
        <v>125</v>
      </c>
      <c r="I117" t="s">
        <v>125</v>
      </c>
      <c r="J117" t="s">
        <v>125</v>
      </c>
      <c r="K117" t="s">
        <v>125</v>
      </c>
      <c r="L117" t="s">
        <v>125</v>
      </c>
      <c r="M117" t="s">
        <v>742</v>
      </c>
      <c r="N117" t="b">
        <v>0</v>
      </c>
    </row>
    <row r="118" spans="1:14">
      <c r="A118">
        <v>2</v>
      </c>
      <c r="B118">
        <v>18</v>
      </c>
      <c r="C118" t="s">
        <v>125</v>
      </c>
      <c r="D118" t="s">
        <v>740</v>
      </c>
      <c r="E118" t="s">
        <v>125</v>
      </c>
      <c r="F118">
        <v>0</v>
      </c>
      <c r="G118" t="s">
        <v>125</v>
      </c>
      <c r="H118" t="s">
        <v>125</v>
      </c>
      <c r="I118" t="s">
        <v>125</v>
      </c>
      <c r="J118" t="s">
        <v>125</v>
      </c>
      <c r="K118" t="s">
        <v>125</v>
      </c>
      <c r="L118" t="s">
        <v>125</v>
      </c>
      <c r="M118" t="s">
        <v>743</v>
      </c>
      <c r="N118" t="b">
        <v>0</v>
      </c>
    </row>
    <row r="119" spans="1:14">
      <c r="A119">
        <v>2</v>
      </c>
      <c r="B119">
        <v>19</v>
      </c>
      <c r="C119" t="s">
        <v>125</v>
      </c>
      <c r="D119" t="s">
        <v>740</v>
      </c>
      <c r="E119" t="s">
        <v>125</v>
      </c>
      <c r="F119">
        <v>0</v>
      </c>
      <c r="G119" t="s">
        <v>125</v>
      </c>
      <c r="H119" t="s">
        <v>125</v>
      </c>
      <c r="I119" t="s">
        <v>125</v>
      </c>
      <c r="J119" t="s">
        <v>125</v>
      </c>
      <c r="K119" t="s">
        <v>125</v>
      </c>
      <c r="L119" t="s">
        <v>125</v>
      </c>
      <c r="M119" t="s">
        <v>744</v>
      </c>
      <c r="N119" t="b">
        <v>0</v>
      </c>
    </row>
    <row r="120" spans="1:14">
      <c r="A120">
        <v>2</v>
      </c>
      <c r="B120">
        <v>20</v>
      </c>
      <c r="C120" t="s">
        <v>125</v>
      </c>
      <c r="D120" t="s">
        <v>740</v>
      </c>
      <c r="E120" t="s">
        <v>125</v>
      </c>
      <c r="F120">
        <v>0</v>
      </c>
      <c r="G120" t="s">
        <v>125</v>
      </c>
      <c r="H120" t="s">
        <v>125</v>
      </c>
      <c r="I120" t="s">
        <v>125</v>
      </c>
      <c r="J120" t="s">
        <v>125</v>
      </c>
      <c r="K120" t="s">
        <v>125</v>
      </c>
      <c r="L120" t="s">
        <v>125</v>
      </c>
      <c r="M120" t="s">
        <v>745</v>
      </c>
      <c r="N120" t="b">
        <v>0</v>
      </c>
    </row>
    <row r="121" spans="1:14">
      <c r="A121">
        <v>2</v>
      </c>
      <c r="B121">
        <v>21</v>
      </c>
      <c r="C121" t="s">
        <v>125</v>
      </c>
      <c r="D121" t="s">
        <v>740</v>
      </c>
      <c r="E121" t="s">
        <v>125</v>
      </c>
      <c r="F121">
        <v>0</v>
      </c>
      <c r="G121" t="s">
        <v>125</v>
      </c>
      <c r="H121" t="s">
        <v>125</v>
      </c>
      <c r="I121" t="s">
        <v>125</v>
      </c>
      <c r="J121" t="s">
        <v>125</v>
      </c>
      <c r="K121" t="s">
        <v>125</v>
      </c>
      <c r="L121" t="s">
        <v>125</v>
      </c>
      <c r="M121" t="s">
        <v>746</v>
      </c>
      <c r="N121" t="b">
        <v>0</v>
      </c>
    </row>
    <row r="122" spans="1:14">
      <c r="A122">
        <v>2</v>
      </c>
      <c r="B122">
        <v>22</v>
      </c>
      <c r="C122" t="s">
        <v>125</v>
      </c>
      <c r="D122" t="s">
        <v>740</v>
      </c>
      <c r="E122" t="s">
        <v>125</v>
      </c>
      <c r="F122">
        <v>0</v>
      </c>
      <c r="G122" t="s">
        <v>125</v>
      </c>
      <c r="H122" t="s">
        <v>125</v>
      </c>
      <c r="I122" t="s">
        <v>125</v>
      </c>
      <c r="J122" t="s">
        <v>125</v>
      </c>
      <c r="K122" t="s">
        <v>125</v>
      </c>
      <c r="L122" t="s">
        <v>125</v>
      </c>
      <c r="M122" t="s">
        <v>747</v>
      </c>
      <c r="N122" t="b">
        <v>0</v>
      </c>
    </row>
    <row r="123" spans="1:14">
      <c r="A123">
        <v>2</v>
      </c>
      <c r="B123">
        <v>23</v>
      </c>
      <c r="C123" t="s">
        <v>125</v>
      </c>
      <c r="D123" t="s">
        <v>740</v>
      </c>
      <c r="E123" t="s">
        <v>125</v>
      </c>
      <c r="F123">
        <v>0</v>
      </c>
      <c r="G123" t="s">
        <v>125</v>
      </c>
      <c r="H123" t="s">
        <v>125</v>
      </c>
      <c r="I123" t="s">
        <v>125</v>
      </c>
      <c r="J123" t="s">
        <v>125</v>
      </c>
      <c r="K123" t="s">
        <v>125</v>
      </c>
      <c r="L123" t="s">
        <v>125</v>
      </c>
      <c r="M123" t="s">
        <v>748</v>
      </c>
      <c r="N123" t="b">
        <v>0</v>
      </c>
    </row>
    <row r="124" spans="1:14">
      <c r="A124">
        <v>2</v>
      </c>
      <c r="B124">
        <v>24</v>
      </c>
      <c r="C124" t="s">
        <v>125</v>
      </c>
      <c r="D124" t="s">
        <v>740</v>
      </c>
      <c r="E124" t="s">
        <v>125</v>
      </c>
      <c r="F124">
        <v>0</v>
      </c>
      <c r="G124" t="s">
        <v>125</v>
      </c>
      <c r="H124" t="s">
        <v>125</v>
      </c>
      <c r="I124" t="s">
        <v>125</v>
      </c>
      <c r="J124" t="s">
        <v>125</v>
      </c>
      <c r="K124" t="s">
        <v>125</v>
      </c>
      <c r="L124" t="s">
        <v>125</v>
      </c>
      <c r="M124" t="s">
        <v>749</v>
      </c>
      <c r="N124" t="b">
        <v>0</v>
      </c>
    </row>
    <row r="125" spans="1:14">
      <c r="A125">
        <v>2</v>
      </c>
      <c r="B125">
        <v>25</v>
      </c>
      <c r="C125" t="s">
        <v>125</v>
      </c>
      <c r="D125" t="s">
        <v>740</v>
      </c>
      <c r="E125" t="s">
        <v>125</v>
      </c>
      <c r="F125">
        <v>0</v>
      </c>
      <c r="G125" t="s">
        <v>125</v>
      </c>
      <c r="H125" t="s">
        <v>125</v>
      </c>
      <c r="I125" t="s">
        <v>125</v>
      </c>
      <c r="J125" t="s">
        <v>125</v>
      </c>
      <c r="K125" t="s">
        <v>125</v>
      </c>
      <c r="L125" t="s">
        <v>125</v>
      </c>
      <c r="M125" t="s">
        <v>750</v>
      </c>
      <c r="N125" t="b">
        <v>0</v>
      </c>
    </row>
    <row r="126" spans="1:14">
      <c r="A126">
        <v>2</v>
      </c>
      <c r="B126">
        <v>26</v>
      </c>
      <c r="C126" t="s">
        <v>125</v>
      </c>
      <c r="D126" t="s">
        <v>740</v>
      </c>
      <c r="E126" t="s">
        <v>125</v>
      </c>
      <c r="F126">
        <v>0</v>
      </c>
      <c r="G126" t="s">
        <v>125</v>
      </c>
      <c r="H126" t="s">
        <v>125</v>
      </c>
      <c r="I126" t="s">
        <v>125</v>
      </c>
      <c r="J126" t="s">
        <v>125</v>
      </c>
      <c r="K126" t="s">
        <v>125</v>
      </c>
      <c r="L126" t="s">
        <v>125</v>
      </c>
      <c r="M126" t="s">
        <v>751</v>
      </c>
      <c r="N126" t="b">
        <v>0</v>
      </c>
    </row>
    <row r="127" spans="1:14">
      <c r="A127">
        <v>8</v>
      </c>
      <c r="B127">
        <v>0</v>
      </c>
      <c r="C127" t="s">
        <v>156</v>
      </c>
      <c r="D127" t="s">
        <v>752</v>
      </c>
      <c r="E127" t="s">
        <v>125</v>
      </c>
      <c r="F127">
        <v>50</v>
      </c>
      <c r="G127" t="s">
        <v>753</v>
      </c>
      <c r="H127" t="s">
        <v>125</v>
      </c>
      <c r="I127" t="s">
        <v>125</v>
      </c>
      <c r="J127" t="s">
        <v>754</v>
      </c>
      <c r="K127" t="s">
        <v>755</v>
      </c>
      <c r="L127" t="s">
        <v>756</v>
      </c>
      <c r="M127" t="s">
        <v>757</v>
      </c>
      <c r="N127" t="b">
        <v>0</v>
      </c>
    </row>
    <row r="128" spans="1:14">
      <c r="A128">
        <v>8</v>
      </c>
      <c r="B128">
        <v>1</v>
      </c>
      <c r="C128" t="s">
        <v>157</v>
      </c>
      <c r="D128" t="s">
        <v>723</v>
      </c>
      <c r="E128" t="s">
        <v>82</v>
      </c>
      <c r="F128">
        <v>40</v>
      </c>
      <c r="G128" t="s">
        <v>125</v>
      </c>
      <c r="H128" t="s">
        <v>125</v>
      </c>
      <c r="I128" t="s">
        <v>82</v>
      </c>
      <c r="J128" t="s">
        <v>125</v>
      </c>
      <c r="K128" t="s">
        <v>125</v>
      </c>
      <c r="L128" t="s">
        <v>125</v>
      </c>
      <c r="M128" t="s">
        <v>758</v>
      </c>
      <c r="N128" t="b">
        <v>0</v>
      </c>
    </row>
    <row r="129" spans="1:14">
      <c r="A129">
        <v>8</v>
      </c>
      <c r="B129">
        <v>2</v>
      </c>
      <c r="C129" t="s">
        <v>158</v>
      </c>
      <c r="D129" t="s">
        <v>752</v>
      </c>
      <c r="E129" t="s">
        <v>296</v>
      </c>
      <c r="F129">
        <v>50</v>
      </c>
      <c r="G129" t="s">
        <v>759</v>
      </c>
      <c r="H129" t="s">
        <v>125</v>
      </c>
      <c r="I129" t="s">
        <v>125</v>
      </c>
      <c r="J129" t="s">
        <v>760</v>
      </c>
      <c r="K129" t="s">
        <v>761</v>
      </c>
      <c r="L129" t="s">
        <v>762</v>
      </c>
      <c r="M129" t="s">
        <v>763</v>
      </c>
      <c r="N129" t="b">
        <v>0</v>
      </c>
    </row>
    <row r="130" spans="1:14">
      <c r="A130">
        <v>8</v>
      </c>
      <c r="B130">
        <v>3</v>
      </c>
      <c r="C130" t="s">
        <v>159</v>
      </c>
      <c r="D130" t="s">
        <v>752</v>
      </c>
      <c r="E130" t="s">
        <v>296</v>
      </c>
      <c r="F130">
        <v>40</v>
      </c>
      <c r="G130" t="s">
        <v>759</v>
      </c>
      <c r="H130" t="s">
        <v>125</v>
      </c>
      <c r="I130" t="s">
        <v>125</v>
      </c>
      <c r="J130" t="s">
        <v>760</v>
      </c>
      <c r="K130" t="s">
        <v>764</v>
      </c>
      <c r="L130" t="s">
        <v>765</v>
      </c>
      <c r="M130" t="s">
        <v>766</v>
      </c>
      <c r="N130" t="b">
        <v>0</v>
      </c>
    </row>
    <row r="131" spans="1:14">
      <c r="A131">
        <v>8</v>
      </c>
      <c r="B131">
        <v>4</v>
      </c>
      <c r="C131" t="s">
        <v>160</v>
      </c>
      <c r="D131" t="s">
        <v>723</v>
      </c>
      <c r="E131" t="s">
        <v>113</v>
      </c>
      <c r="F131">
        <v>60</v>
      </c>
      <c r="G131" t="s">
        <v>125</v>
      </c>
      <c r="H131" t="s">
        <v>125</v>
      </c>
      <c r="I131" t="s">
        <v>113</v>
      </c>
      <c r="J131" t="s">
        <v>125</v>
      </c>
      <c r="K131" t="s">
        <v>125</v>
      </c>
      <c r="L131" t="s">
        <v>125</v>
      </c>
      <c r="M131" t="s">
        <v>767</v>
      </c>
      <c r="N131" t="b">
        <v>0</v>
      </c>
    </row>
    <row r="132" spans="1:14">
      <c r="A132">
        <v>8</v>
      </c>
      <c r="B132">
        <v>5</v>
      </c>
      <c r="C132" t="s">
        <v>161</v>
      </c>
      <c r="D132" t="s">
        <v>723</v>
      </c>
      <c r="E132" t="s">
        <v>75</v>
      </c>
      <c r="F132">
        <v>40</v>
      </c>
      <c r="G132" t="s">
        <v>125</v>
      </c>
      <c r="H132" t="s">
        <v>125</v>
      </c>
      <c r="I132" t="s">
        <v>75</v>
      </c>
      <c r="J132" t="s">
        <v>125</v>
      </c>
      <c r="K132" t="s">
        <v>125</v>
      </c>
      <c r="L132" t="s">
        <v>125</v>
      </c>
      <c r="M132" t="s">
        <v>768</v>
      </c>
      <c r="N132" t="b">
        <v>0</v>
      </c>
    </row>
    <row r="133" spans="1:14">
      <c r="A133">
        <v>8</v>
      </c>
      <c r="B133">
        <v>6</v>
      </c>
      <c r="C133" t="s">
        <v>162</v>
      </c>
      <c r="D133" t="s">
        <v>723</v>
      </c>
      <c r="E133" t="s">
        <v>77</v>
      </c>
      <c r="F133">
        <v>40</v>
      </c>
      <c r="G133" t="s">
        <v>125</v>
      </c>
      <c r="H133" t="s">
        <v>125</v>
      </c>
      <c r="I133" t="s">
        <v>77</v>
      </c>
      <c r="J133" t="s">
        <v>125</v>
      </c>
      <c r="K133" t="s">
        <v>125</v>
      </c>
      <c r="L133" t="s">
        <v>125</v>
      </c>
      <c r="M133" t="s">
        <v>769</v>
      </c>
      <c r="N133" t="b">
        <v>0</v>
      </c>
    </row>
    <row r="134" spans="1:14">
      <c r="A134">
        <v>8</v>
      </c>
      <c r="B134">
        <v>7</v>
      </c>
      <c r="C134" t="s">
        <v>125</v>
      </c>
      <c r="D134" t="s">
        <v>723</v>
      </c>
      <c r="E134" t="s">
        <v>125</v>
      </c>
      <c r="F134">
        <v>0</v>
      </c>
      <c r="G134" t="s">
        <v>125</v>
      </c>
      <c r="H134" t="s">
        <v>125</v>
      </c>
      <c r="I134" t="s">
        <v>125</v>
      </c>
      <c r="J134" t="s">
        <v>125</v>
      </c>
      <c r="K134" t="s">
        <v>125</v>
      </c>
      <c r="L134" t="s">
        <v>125</v>
      </c>
      <c r="M134" t="s">
        <v>770</v>
      </c>
      <c r="N134" t="b">
        <v>0</v>
      </c>
    </row>
    <row r="135" spans="1:14">
      <c r="A135">
        <v>8</v>
      </c>
      <c r="B135">
        <v>8</v>
      </c>
      <c r="C135" t="s">
        <v>125</v>
      </c>
      <c r="D135" t="s">
        <v>723</v>
      </c>
      <c r="E135" t="s">
        <v>125</v>
      </c>
      <c r="F135">
        <v>0</v>
      </c>
      <c r="G135" t="s">
        <v>125</v>
      </c>
      <c r="H135" t="s">
        <v>125</v>
      </c>
      <c r="I135" t="s">
        <v>125</v>
      </c>
      <c r="J135" t="s">
        <v>125</v>
      </c>
      <c r="K135" t="s">
        <v>125</v>
      </c>
      <c r="L135" t="s">
        <v>125</v>
      </c>
      <c r="M135" t="s">
        <v>771</v>
      </c>
      <c r="N135" t="b">
        <v>0</v>
      </c>
    </row>
    <row r="136" spans="1:14">
      <c r="A136">
        <v>8</v>
      </c>
      <c r="B136">
        <v>9</v>
      </c>
      <c r="C136" t="s">
        <v>125</v>
      </c>
      <c r="D136" t="s">
        <v>723</v>
      </c>
      <c r="E136" t="s">
        <v>125</v>
      </c>
      <c r="F136">
        <v>0</v>
      </c>
      <c r="G136" t="s">
        <v>125</v>
      </c>
      <c r="H136" t="s">
        <v>125</v>
      </c>
      <c r="I136" t="s">
        <v>125</v>
      </c>
      <c r="J136" t="s">
        <v>125</v>
      </c>
      <c r="K136" t="s">
        <v>125</v>
      </c>
      <c r="L136" t="s">
        <v>125</v>
      </c>
      <c r="M136" t="s">
        <v>772</v>
      </c>
      <c r="N136" t="b">
        <v>0</v>
      </c>
    </row>
    <row r="137" spans="1:14">
      <c r="A137">
        <v>8</v>
      </c>
      <c r="B137">
        <v>10</v>
      </c>
      <c r="C137" t="s">
        <v>125</v>
      </c>
      <c r="D137" t="s">
        <v>723</v>
      </c>
      <c r="E137" t="s">
        <v>125</v>
      </c>
      <c r="F137">
        <v>0</v>
      </c>
      <c r="G137" t="s">
        <v>125</v>
      </c>
      <c r="H137" t="s">
        <v>125</v>
      </c>
      <c r="I137" t="s">
        <v>125</v>
      </c>
      <c r="J137" t="s">
        <v>125</v>
      </c>
      <c r="K137" t="s">
        <v>125</v>
      </c>
      <c r="L137" t="s">
        <v>125</v>
      </c>
      <c r="M137" t="s">
        <v>773</v>
      </c>
      <c r="N137" t="b">
        <v>0</v>
      </c>
    </row>
    <row r="138" spans="1:14">
      <c r="A138">
        <v>8</v>
      </c>
      <c r="B138">
        <v>11</v>
      </c>
      <c r="C138" t="s">
        <v>125</v>
      </c>
      <c r="D138" t="s">
        <v>723</v>
      </c>
      <c r="E138" t="s">
        <v>125</v>
      </c>
      <c r="F138">
        <v>0</v>
      </c>
      <c r="G138" t="s">
        <v>125</v>
      </c>
      <c r="H138" t="s">
        <v>125</v>
      </c>
      <c r="I138" t="s">
        <v>125</v>
      </c>
      <c r="J138" t="s">
        <v>125</v>
      </c>
      <c r="K138" t="s">
        <v>125</v>
      </c>
      <c r="L138" t="s">
        <v>125</v>
      </c>
      <c r="M138" t="s">
        <v>774</v>
      </c>
      <c r="N138" t="b">
        <v>0</v>
      </c>
    </row>
    <row r="139" spans="1:14">
      <c r="A139">
        <v>8</v>
      </c>
      <c r="B139">
        <v>12</v>
      </c>
      <c r="C139" t="s">
        <v>125</v>
      </c>
      <c r="D139" t="s">
        <v>723</v>
      </c>
      <c r="E139" t="s">
        <v>125</v>
      </c>
      <c r="F139">
        <v>0</v>
      </c>
      <c r="G139" t="s">
        <v>125</v>
      </c>
      <c r="H139" t="s">
        <v>125</v>
      </c>
      <c r="I139" t="s">
        <v>125</v>
      </c>
      <c r="J139" t="s">
        <v>125</v>
      </c>
      <c r="K139" t="s">
        <v>125</v>
      </c>
      <c r="L139" t="s">
        <v>125</v>
      </c>
      <c r="M139" t="s">
        <v>775</v>
      </c>
      <c r="N139" t="b">
        <v>0</v>
      </c>
    </row>
    <row r="140" spans="1:14">
      <c r="A140">
        <v>8</v>
      </c>
      <c r="B140">
        <v>13</v>
      </c>
      <c r="C140" t="s">
        <v>125</v>
      </c>
      <c r="D140" t="s">
        <v>723</v>
      </c>
      <c r="E140" t="s">
        <v>125</v>
      </c>
      <c r="F140">
        <v>0</v>
      </c>
      <c r="G140" t="s">
        <v>125</v>
      </c>
      <c r="H140" t="s">
        <v>125</v>
      </c>
      <c r="I140" t="s">
        <v>125</v>
      </c>
      <c r="J140" t="s">
        <v>125</v>
      </c>
      <c r="K140" t="s">
        <v>125</v>
      </c>
      <c r="L140" t="s">
        <v>125</v>
      </c>
      <c r="M140" t="s">
        <v>776</v>
      </c>
      <c r="N140" t="b">
        <v>0</v>
      </c>
    </row>
    <row r="141" spans="1:14">
      <c r="A141">
        <v>8</v>
      </c>
      <c r="B141">
        <v>14</v>
      </c>
      <c r="C141" t="s">
        <v>125</v>
      </c>
      <c r="D141" t="s">
        <v>723</v>
      </c>
      <c r="E141" t="s">
        <v>125</v>
      </c>
      <c r="F141">
        <v>0</v>
      </c>
      <c r="G141" t="s">
        <v>125</v>
      </c>
      <c r="H141" t="s">
        <v>125</v>
      </c>
      <c r="I141" t="s">
        <v>125</v>
      </c>
      <c r="J141" t="s">
        <v>125</v>
      </c>
      <c r="K141" t="s">
        <v>125</v>
      </c>
      <c r="L141" t="s">
        <v>125</v>
      </c>
      <c r="M141" t="s">
        <v>777</v>
      </c>
      <c r="N141" t="b">
        <v>0</v>
      </c>
    </row>
    <row r="142" spans="1:14">
      <c r="A142">
        <v>8</v>
      </c>
      <c r="B142">
        <v>15</v>
      </c>
      <c r="C142" t="s">
        <v>125</v>
      </c>
      <c r="D142" t="s">
        <v>723</v>
      </c>
      <c r="E142" t="s">
        <v>125</v>
      </c>
      <c r="F142">
        <v>0</v>
      </c>
      <c r="G142" t="s">
        <v>125</v>
      </c>
      <c r="H142" t="s">
        <v>125</v>
      </c>
      <c r="I142" t="s">
        <v>125</v>
      </c>
      <c r="J142" t="s">
        <v>125</v>
      </c>
      <c r="K142" t="s">
        <v>125</v>
      </c>
      <c r="L142" t="s">
        <v>125</v>
      </c>
      <c r="M142" t="s">
        <v>778</v>
      </c>
      <c r="N142" t="b">
        <v>0</v>
      </c>
    </row>
    <row r="143" spans="1:14">
      <c r="A143">
        <v>8</v>
      </c>
      <c r="B143">
        <v>16</v>
      </c>
      <c r="C143" t="s">
        <v>163</v>
      </c>
      <c r="D143" t="s">
        <v>740</v>
      </c>
      <c r="E143" t="s">
        <v>66</v>
      </c>
      <c r="F143">
        <v>40</v>
      </c>
      <c r="G143" t="s">
        <v>125</v>
      </c>
      <c r="H143" t="s">
        <v>125</v>
      </c>
      <c r="I143" t="s">
        <v>66</v>
      </c>
      <c r="J143" t="s">
        <v>125</v>
      </c>
      <c r="K143" t="s">
        <v>125</v>
      </c>
      <c r="L143" t="s">
        <v>125</v>
      </c>
      <c r="M143" t="s">
        <v>779</v>
      </c>
      <c r="N143" t="b">
        <v>0</v>
      </c>
    </row>
    <row r="144" spans="1:14">
      <c r="A144">
        <v>8</v>
      </c>
      <c r="B144">
        <v>17</v>
      </c>
      <c r="C144" t="s">
        <v>164</v>
      </c>
      <c r="D144" t="s">
        <v>740</v>
      </c>
      <c r="E144" t="s">
        <v>69</v>
      </c>
      <c r="F144">
        <v>40</v>
      </c>
      <c r="G144" t="s">
        <v>125</v>
      </c>
      <c r="H144" t="s">
        <v>125</v>
      </c>
      <c r="I144" t="s">
        <v>69</v>
      </c>
      <c r="J144" t="s">
        <v>125</v>
      </c>
      <c r="K144" t="s">
        <v>125</v>
      </c>
      <c r="L144" t="s">
        <v>125</v>
      </c>
      <c r="M144" t="s">
        <v>780</v>
      </c>
      <c r="N144" t="b">
        <v>0</v>
      </c>
    </row>
    <row r="145" spans="1:14">
      <c r="A145">
        <v>8</v>
      </c>
      <c r="B145">
        <v>18</v>
      </c>
      <c r="C145" t="s">
        <v>165</v>
      </c>
      <c r="D145" t="s">
        <v>740</v>
      </c>
      <c r="E145" t="s">
        <v>114</v>
      </c>
      <c r="F145">
        <v>50</v>
      </c>
      <c r="G145" t="s">
        <v>125</v>
      </c>
      <c r="H145" t="s">
        <v>125</v>
      </c>
      <c r="I145" t="s">
        <v>114</v>
      </c>
      <c r="J145" t="s">
        <v>125</v>
      </c>
      <c r="K145" t="s">
        <v>125</v>
      </c>
      <c r="L145" t="s">
        <v>125</v>
      </c>
      <c r="M145" t="s">
        <v>781</v>
      </c>
      <c r="N145" t="b">
        <v>0</v>
      </c>
    </row>
    <row r="146" spans="1:14">
      <c r="A146">
        <v>8</v>
      </c>
      <c r="B146">
        <v>19</v>
      </c>
      <c r="C146" t="s">
        <v>166</v>
      </c>
      <c r="D146" t="s">
        <v>740</v>
      </c>
      <c r="E146" t="s">
        <v>73</v>
      </c>
      <c r="F146">
        <v>50</v>
      </c>
      <c r="G146" t="s">
        <v>125</v>
      </c>
      <c r="H146" t="s">
        <v>125</v>
      </c>
      <c r="I146" t="s">
        <v>73</v>
      </c>
      <c r="J146" t="s">
        <v>125</v>
      </c>
      <c r="K146" t="s">
        <v>125</v>
      </c>
      <c r="L146" t="s">
        <v>125</v>
      </c>
      <c r="M146" t="s">
        <v>782</v>
      </c>
      <c r="N146" t="b">
        <v>0</v>
      </c>
    </row>
    <row r="147" spans="1:14">
      <c r="A147">
        <v>8</v>
      </c>
      <c r="B147">
        <v>20</v>
      </c>
      <c r="C147" t="s">
        <v>167</v>
      </c>
      <c r="D147" t="s">
        <v>740</v>
      </c>
      <c r="E147" t="s">
        <v>91</v>
      </c>
      <c r="F147">
        <v>50</v>
      </c>
      <c r="G147" t="s">
        <v>125</v>
      </c>
      <c r="H147" t="s">
        <v>125</v>
      </c>
      <c r="I147" t="s">
        <v>91</v>
      </c>
      <c r="J147" t="s">
        <v>125</v>
      </c>
      <c r="K147" t="s">
        <v>125</v>
      </c>
      <c r="L147" t="s">
        <v>125</v>
      </c>
      <c r="M147" t="s">
        <v>783</v>
      </c>
      <c r="N147" t="b">
        <v>0</v>
      </c>
    </row>
    <row r="148" spans="1:14">
      <c r="A148">
        <v>8</v>
      </c>
      <c r="B148">
        <v>21</v>
      </c>
      <c r="C148" t="s">
        <v>168</v>
      </c>
      <c r="D148" t="s">
        <v>740</v>
      </c>
      <c r="E148" t="s">
        <v>97</v>
      </c>
      <c r="F148">
        <v>60</v>
      </c>
      <c r="G148" t="s">
        <v>125</v>
      </c>
      <c r="H148" t="s">
        <v>125</v>
      </c>
      <c r="I148" t="s">
        <v>97</v>
      </c>
      <c r="J148" t="s">
        <v>125</v>
      </c>
      <c r="K148" t="s">
        <v>125</v>
      </c>
      <c r="L148" t="s">
        <v>125</v>
      </c>
      <c r="M148" t="s">
        <v>784</v>
      </c>
      <c r="N148" t="b">
        <v>0</v>
      </c>
    </row>
    <row r="149" spans="1:14">
      <c r="A149">
        <v>8</v>
      </c>
      <c r="B149">
        <v>22</v>
      </c>
      <c r="C149" t="s">
        <v>169</v>
      </c>
      <c r="D149" t="s">
        <v>740</v>
      </c>
      <c r="E149" t="s">
        <v>105</v>
      </c>
      <c r="F149">
        <v>50</v>
      </c>
      <c r="G149" t="s">
        <v>125</v>
      </c>
      <c r="H149" t="s">
        <v>125</v>
      </c>
      <c r="I149" t="s">
        <v>105</v>
      </c>
      <c r="J149" t="s">
        <v>125</v>
      </c>
      <c r="K149" t="s">
        <v>125</v>
      </c>
      <c r="L149" t="s">
        <v>125</v>
      </c>
      <c r="M149" t="s">
        <v>785</v>
      </c>
      <c r="N149" t="b">
        <v>0</v>
      </c>
    </row>
    <row r="150" spans="1:14">
      <c r="A150">
        <v>8</v>
      </c>
      <c r="B150">
        <v>23</v>
      </c>
      <c r="C150" t="s">
        <v>125</v>
      </c>
      <c r="D150" t="s">
        <v>740</v>
      </c>
      <c r="E150" t="s">
        <v>125</v>
      </c>
      <c r="F150">
        <v>0</v>
      </c>
      <c r="G150" t="s">
        <v>125</v>
      </c>
      <c r="H150" t="s">
        <v>125</v>
      </c>
      <c r="I150" t="s">
        <v>125</v>
      </c>
      <c r="J150" t="s">
        <v>125</v>
      </c>
      <c r="K150" t="s">
        <v>125</v>
      </c>
      <c r="L150" t="s">
        <v>125</v>
      </c>
      <c r="M150" t="s">
        <v>786</v>
      </c>
      <c r="N150" t="b">
        <v>0</v>
      </c>
    </row>
    <row r="151" spans="1:14">
      <c r="A151">
        <v>8</v>
      </c>
      <c r="B151">
        <v>24</v>
      </c>
      <c r="C151" t="s">
        <v>125</v>
      </c>
      <c r="D151" t="s">
        <v>740</v>
      </c>
      <c r="E151" t="s">
        <v>125</v>
      </c>
      <c r="F151">
        <v>0</v>
      </c>
      <c r="G151" t="s">
        <v>125</v>
      </c>
      <c r="H151" t="s">
        <v>125</v>
      </c>
      <c r="I151" t="s">
        <v>125</v>
      </c>
      <c r="J151" t="s">
        <v>125</v>
      </c>
      <c r="K151" t="s">
        <v>125</v>
      </c>
      <c r="L151" t="s">
        <v>125</v>
      </c>
      <c r="M151" t="s">
        <v>787</v>
      </c>
      <c r="N151" t="b">
        <v>0</v>
      </c>
    </row>
    <row r="152" spans="1:14">
      <c r="A152">
        <v>8</v>
      </c>
      <c r="B152">
        <v>25</v>
      </c>
      <c r="C152" t="s">
        <v>125</v>
      </c>
      <c r="D152" t="s">
        <v>740</v>
      </c>
      <c r="E152" t="s">
        <v>125</v>
      </c>
      <c r="F152">
        <v>0</v>
      </c>
      <c r="G152" t="s">
        <v>125</v>
      </c>
      <c r="H152" t="s">
        <v>125</v>
      </c>
      <c r="I152" t="s">
        <v>125</v>
      </c>
      <c r="J152" t="s">
        <v>125</v>
      </c>
      <c r="K152" t="s">
        <v>125</v>
      </c>
      <c r="L152" t="s">
        <v>125</v>
      </c>
      <c r="M152" t="s">
        <v>788</v>
      </c>
      <c r="N152" t="b">
        <v>0</v>
      </c>
    </row>
    <row r="153" spans="1:14">
      <c r="A153">
        <v>8</v>
      </c>
      <c r="B153">
        <v>26</v>
      </c>
      <c r="C153" t="s">
        <v>125</v>
      </c>
      <c r="D153" t="s">
        <v>740</v>
      </c>
      <c r="E153" t="s">
        <v>125</v>
      </c>
      <c r="F153">
        <v>0</v>
      </c>
      <c r="G153" t="s">
        <v>125</v>
      </c>
      <c r="H153" t="s">
        <v>125</v>
      </c>
      <c r="I153" t="s">
        <v>125</v>
      </c>
      <c r="J153" t="s">
        <v>125</v>
      </c>
      <c r="K153" t="s">
        <v>125</v>
      </c>
      <c r="L153" t="s">
        <v>125</v>
      </c>
      <c r="M153" t="s">
        <v>789</v>
      </c>
      <c r="N153" t="b">
        <v>0</v>
      </c>
    </row>
    <row r="154" spans="1:14">
      <c r="A154">
        <v>9</v>
      </c>
      <c r="B154">
        <v>0</v>
      </c>
      <c r="C154" t="s">
        <v>171</v>
      </c>
      <c r="D154" t="s">
        <v>723</v>
      </c>
      <c r="E154" t="s">
        <v>86</v>
      </c>
      <c r="F154">
        <v>60</v>
      </c>
      <c r="G154" t="s">
        <v>125</v>
      </c>
      <c r="H154" t="s">
        <v>125</v>
      </c>
      <c r="I154" t="s">
        <v>86</v>
      </c>
      <c r="J154" t="s">
        <v>125</v>
      </c>
      <c r="K154" t="s">
        <v>125</v>
      </c>
      <c r="L154" t="s">
        <v>125</v>
      </c>
      <c r="M154" t="s">
        <v>790</v>
      </c>
      <c r="N154" t="b">
        <v>0</v>
      </c>
    </row>
    <row r="155" spans="1:14">
      <c r="A155">
        <v>9</v>
      </c>
      <c r="B155">
        <v>1</v>
      </c>
      <c r="C155" t="s">
        <v>172</v>
      </c>
      <c r="D155" t="s">
        <v>723</v>
      </c>
      <c r="E155" t="s">
        <v>543</v>
      </c>
      <c r="F155">
        <v>30</v>
      </c>
      <c r="G155" t="s">
        <v>125</v>
      </c>
      <c r="H155" t="s">
        <v>546</v>
      </c>
      <c r="I155" t="s">
        <v>507</v>
      </c>
      <c r="J155" t="s">
        <v>125</v>
      </c>
      <c r="K155" t="s">
        <v>791</v>
      </c>
      <c r="L155" t="s">
        <v>792</v>
      </c>
      <c r="M155" t="s">
        <v>793</v>
      </c>
      <c r="N155" t="b">
        <v>0</v>
      </c>
    </row>
    <row r="156" spans="1:14">
      <c r="A156">
        <v>9</v>
      </c>
      <c r="B156">
        <v>2</v>
      </c>
      <c r="C156" t="s">
        <v>173</v>
      </c>
      <c r="D156" t="s">
        <v>723</v>
      </c>
      <c r="E156" t="s">
        <v>543</v>
      </c>
      <c r="F156">
        <v>30</v>
      </c>
      <c r="G156" t="s">
        <v>125</v>
      </c>
      <c r="H156" t="s">
        <v>556</v>
      </c>
      <c r="I156" t="s">
        <v>485</v>
      </c>
      <c r="J156" t="s">
        <v>125</v>
      </c>
      <c r="K156" t="s">
        <v>794</v>
      </c>
      <c r="L156" t="s">
        <v>795</v>
      </c>
      <c r="M156" t="s">
        <v>796</v>
      </c>
      <c r="N156" t="b">
        <v>0</v>
      </c>
    </row>
    <row r="157" spans="1:14">
      <c r="A157">
        <v>9</v>
      </c>
      <c r="B157">
        <v>3</v>
      </c>
      <c r="C157" t="s">
        <v>174</v>
      </c>
      <c r="D157" t="s">
        <v>723</v>
      </c>
      <c r="E157" t="s">
        <v>543</v>
      </c>
      <c r="F157">
        <v>40</v>
      </c>
      <c r="G157" t="s">
        <v>125</v>
      </c>
      <c r="H157" t="s">
        <v>577</v>
      </c>
      <c r="I157" t="s">
        <v>365</v>
      </c>
      <c r="J157" t="s">
        <v>125</v>
      </c>
      <c r="K157" t="s">
        <v>797</v>
      </c>
      <c r="L157" t="s">
        <v>798</v>
      </c>
      <c r="M157" t="s">
        <v>799</v>
      </c>
      <c r="N157" t="b">
        <v>0</v>
      </c>
    </row>
    <row r="158" spans="1:14">
      <c r="A158">
        <v>9</v>
      </c>
      <c r="B158">
        <v>4</v>
      </c>
      <c r="C158" t="s">
        <v>175</v>
      </c>
      <c r="D158" t="s">
        <v>723</v>
      </c>
      <c r="E158" t="s">
        <v>544</v>
      </c>
      <c r="F158">
        <v>40</v>
      </c>
      <c r="G158" t="s">
        <v>125</v>
      </c>
      <c r="H158" t="s">
        <v>579</v>
      </c>
      <c r="I158" t="s">
        <v>372</v>
      </c>
      <c r="J158" t="s">
        <v>125</v>
      </c>
      <c r="K158" t="s">
        <v>800</v>
      </c>
      <c r="L158" t="s">
        <v>801</v>
      </c>
      <c r="M158" t="s">
        <v>802</v>
      </c>
      <c r="N158" t="b">
        <v>0</v>
      </c>
    </row>
    <row r="159" spans="1:14">
      <c r="A159">
        <v>9</v>
      </c>
      <c r="B159">
        <v>5</v>
      </c>
      <c r="C159" t="s">
        <v>176</v>
      </c>
      <c r="D159" t="s">
        <v>723</v>
      </c>
      <c r="E159" t="s">
        <v>99</v>
      </c>
      <c r="F159">
        <v>40</v>
      </c>
      <c r="G159" t="s">
        <v>125</v>
      </c>
      <c r="H159" t="s">
        <v>125</v>
      </c>
      <c r="I159" t="s">
        <v>99</v>
      </c>
      <c r="J159" t="s">
        <v>125</v>
      </c>
      <c r="K159" t="s">
        <v>125</v>
      </c>
      <c r="L159" t="s">
        <v>125</v>
      </c>
      <c r="M159" t="s">
        <v>803</v>
      </c>
      <c r="N159" t="b">
        <v>0</v>
      </c>
    </row>
    <row r="160" spans="1:14">
      <c r="A160">
        <v>9</v>
      </c>
      <c r="B160">
        <v>6</v>
      </c>
      <c r="C160" t="s">
        <v>125</v>
      </c>
      <c r="D160" t="s">
        <v>723</v>
      </c>
      <c r="E160" t="s">
        <v>125</v>
      </c>
      <c r="F160">
        <v>0</v>
      </c>
      <c r="G160" t="s">
        <v>125</v>
      </c>
      <c r="H160" t="s">
        <v>125</v>
      </c>
      <c r="I160" t="s">
        <v>125</v>
      </c>
      <c r="J160" t="s">
        <v>125</v>
      </c>
      <c r="K160" t="s">
        <v>125</v>
      </c>
      <c r="L160" t="s">
        <v>125</v>
      </c>
      <c r="M160" t="s">
        <v>804</v>
      </c>
      <c r="N160" t="b">
        <v>0</v>
      </c>
    </row>
    <row r="161" spans="1:14">
      <c r="A161">
        <v>9</v>
      </c>
      <c r="B161">
        <v>7</v>
      </c>
      <c r="C161" t="s">
        <v>125</v>
      </c>
      <c r="D161" t="s">
        <v>723</v>
      </c>
      <c r="E161" t="s">
        <v>125</v>
      </c>
      <c r="F161">
        <v>0</v>
      </c>
      <c r="G161" t="s">
        <v>125</v>
      </c>
      <c r="H161" t="s">
        <v>125</v>
      </c>
      <c r="I161" t="s">
        <v>125</v>
      </c>
      <c r="J161" t="s">
        <v>125</v>
      </c>
      <c r="K161" t="s">
        <v>125</v>
      </c>
      <c r="L161" t="s">
        <v>125</v>
      </c>
      <c r="M161" t="s">
        <v>805</v>
      </c>
      <c r="N161" t="b">
        <v>0</v>
      </c>
    </row>
    <row r="162" spans="1:14">
      <c r="A162">
        <v>9</v>
      </c>
      <c r="B162">
        <v>8</v>
      </c>
      <c r="C162" t="s">
        <v>125</v>
      </c>
      <c r="D162" t="s">
        <v>723</v>
      </c>
      <c r="E162" t="s">
        <v>125</v>
      </c>
      <c r="F162">
        <v>0</v>
      </c>
      <c r="G162" t="s">
        <v>125</v>
      </c>
      <c r="H162" t="s">
        <v>125</v>
      </c>
      <c r="I162" t="s">
        <v>125</v>
      </c>
      <c r="J162" t="s">
        <v>125</v>
      </c>
      <c r="K162" t="s">
        <v>125</v>
      </c>
      <c r="L162" t="s">
        <v>125</v>
      </c>
      <c r="M162" t="s">
        <v>806</v>
      </c>
      <c r="N162" t="b">
        <v>0</v>
      </c>
    </row>
    <row r="163" spans="1:14">
      <c r="A163">
        <v>9</v>
      </c>
      <c r="B163">
        <v>9</v>
      </c>
      <c r="C163" t="s">
        <v>125</v>
      </c>
      <c r="D163" t="s">
        <v>723</v>
      </c>
      <c r="E163" t="s">
        <v>125</v>
      </c>
      <c r="F163">
        <v>0</v>
      </c>
      <c r="G163" t="s">
        <v>125</v>
      </c>
      <c r="H163" t="s">
        <v>125</v>
      </c>
      <c r="I163" t="s">
        <v>125</v>
      </c>
      <c r="J163" t="s">
        <v>125</v>
      </c>
      <c r="K163" t="s">
        <v>125</v>
      </c>
      <c r="L163" t="s">
        <v>125</v>
      </c>
      <c r="M163" t="s">
        <v>807</v>
      </c>
      <c r="N163" t="b">
        <v>0</v>
      </c>
    </row>
    <row r="164" spans="1:14">
      <c r="A164">
        <v>9</v>
      </c>
      <c r="B164">
        <v>10</v>
      </c>
      <c r="C164" t="s">
        <v>125</v>
      </c>
      <c r="D164" t="s">
        <v>723</v>
      </c>
      <c r="E164" t="s">
        <v>125</v>
      </c>
      <c r="F164">
        <v>0</v>
      </c>
      <c r="G164" t="s">
        <v>125</v>
      </c>
      <c r="H164" t="s">
        <v>125</v>
      </c>
      <c r="I164" t="s">
        <v>125</v>
      </c>
      <c r="J164" t="s">
        <v>125</v>
      </c>
      <c r="K164" t="s">
        <v>125</v>
      </c>
      <c r="L164" t="s">
        <v>125</v>
      </c>
      <c r="M164" t="s">
        <v>808</v>
      </c>
      <c r="N164" t="b">
        <v>0</v>
      </c>
    </row>
    <row r="165" spans="1:14">
      <c r="A165">
        <v>9</v>
      </c>
      <c r="B165">
        <v>11</v>
      </c>
      <c r="C165" t="s">
        <v>125</v>
      </c>
      <c r="D165" t="s">
        <v>723</v>
      </c>
      <c r="E165" t="s">
        <v>125</v>
      </c>
      <c r="F165">
        <v>0</v>
      </c>
      <c r="G165" t="s">
        <v>125</v>
      </c>
      <c r="H165" t="s">
        <v>125</v>
      </c>
      <c r="I165" t="s">
        <v>125</v>
      </c>
      <c r="J165" t="s">
        <v>125</v>
      </c>
      <c r="K165" t="s">
        <v>125</v>
      </c>
      <c r="L165" t="s">
        <v>125</v>
      </c>
      <c r="M165" t="s">
        <v>809</v>
      </c>
      <c r="N165" t="b">
        <v>0</v>
      </c>
    </row>
    <row r="166" spans="1:14">
      <c r="A166">
        <v>9</v>
      </c>
      <c r="B166">
        <v>12</v>
      </c>
      <c r="C166" t="s">
        <v>125</v>
      </c>
      <c r="D166" t="s">
        <v>723</v>
      </c>
      <c r="E166" t="s">
        <v>125</v>
      </c>
      <c r="F166">
        <v>0</v>
      </c>
      <c r="G166" t="s">
        <v>125</v>
      </c>
      <c r="H166" t="s">
        <v>125</v>
      </c>
      <c r="I166" t="s">
        <v>125</v>
      </c>
      <c r="J166" t="s">
        <v>125</v>
      </c>
      <c r="K166" t="s">
        <v>125</v>
      </c>
      <c r="L166" t="s">
        <v>125</v>
      </c>
      <c r="M166" t="s">
        <v>810</v>
      </c>
      <c r="N166" t="b">
        <v>0</v>
      </c>
    </row>
    <row r="167" spans="1:14">
      <c r="A167">
        <v>9</v>
      </c>
      <c r="B167">
        <v>13</v>
      </c>
      <c r="C167" t="s">
        <v>125</v>
      </c>
      <c r="D167" t="s">
        <v>723</v>
      </c>
      <c r="E167" t="s">
        <v>125</v>
      </c>
      <c r="F167">
        <v>0</v>
      </c>
      <c r="G167" t="s">
        <v>125</v>
      </c>
      <c r="H167" t="s">
        <v>125</v>
      </c>
      <c r="I167" t="s">
        <v>125</v>
      </c>
      <c r="J167" t="s">
        <v>125</v>
      </c>
      <c r="K167" t="s">
        <v>125</v>
      </c>
      <c r="L167" t="s">
        <v>125</v>
      </c>
      <c r="M167" t="s">
        <v>811</v>
      </c>
      <c r="N167" t="b">
        <v>0</v>
      </c>
    </row>
    <row r="168" spans="1:14">
      <c r="A168">
        <v>9</v>
      </c>
      <c r="B168">
        <v>14</v>
      </c>
      <c r="C168" t="s">
        <v>125</v>
      </c>
      <c r="D168" t="s">
        <v>723</v>
      </c>
      <c r="E168" t="s">
        <v>125</v>
      </c>
      <c r="F168">
        <v>0</v>
      </c>
      <c r="G168" t="s">
        <v>125</v>
      </c>
      <c r="H168" t="s">
        <v>125</v>
      </c>
      <c r="I168" t="s">
        <v>125</v>
      </c>
      <c r="J168" t="s">
        <v>125</v>
      </c>
      <c r="K168" t="s">
        <v>125</v>
      </c>
      <c r="L168" t="s">
        <v>125</v>
      </c>
      <c r="M168" t="s">
        <v>812</v>
      </c>
      <c r="N168" t="b">
        <v>0</v>
      </c>
    </row>
    <row r="169" spans="1:14">
      <c r="A169">
        <v>9</v>
      </c>
      <c r="B169">
        <v>15</v>
      </c>
      <c r="C169" t="s">
        <v>125</v>
      </c>
      <c r="D169" t="s">
        <v>723</v>
      </c>
      <c r="E169" t="s">
        <v>125</v>
      </c>
      <c r="F169">
        <v>0</v>
      </c>
      <c r="G169" t="s">
        <v>125</v>
      </c>
      <c r="H169" t="s">
        <v>125</v>
      </c>
      <c r="I169" t="s">
        <v>125</v>
      </c>
      <c r="J169" t="s">
        <v>125</v>
      </c>
      <c r="K169" t="s">
        <v>125</v>
      </c>
      <c r="L169" t="s">
        <v>125</v>
      </c>
      <c r="M169" t="s">
        <v>813</v>
      </c>
      <c r="N169" t="b">
        <v>0</v>
      </c>
    </row>
    <row r="170" spans="1:14">
      <c r="A170">
        <v>9</v>
      </c>
      <c r="B170">
        <v>16</v>
      </c>
      <c r="C170" t="s">
        <v>177</v>
      </c>
      <c r="D170" t="s">
        <v>740</v>
      </c>
      <c r="E170" t="s">
        <v>59</v>
      </c>
      <c r="F170">
        <v>50</v>
      </c>
      <c r="G170" t="s">
        <v>125</v>
      </c>
      <c r="H170" t="s">
        <v>125</v>
      </c>
      <c r="I170" t="s">
        <v>59</v>
      </c>
      <c r="J170" t="s">
        <v>125</v>
      </c>
      <c r="K170" t="s">
        <v>125</v>
      </c>
      <c r="L170" t="s">
        <v>125</v>
      </c>
      <c r="M170" t="s">
        <v>814</v>
      </c>
      <c r="N170" t="b">
        <v>0</v>
      </c>
    </row>
    <row r="171" spans="1:14">
      <c r="A171">
        <v>9</v>
      </c>
      <c r="B171">
        <v>17</v>
      </c>
      <c r="C171" t="s">
        <v>178</v>
      </c>
      <c r="D171" t="s">
        <v>740</v>
      </c>
      <c r="E171" t="s">
        <v>82</v>
      </c>
      <c r="F171">
        <v>50</v>
      </c>
      <c r="G171" t="s">
        <v>125</v>
      </c>
      <c r="H171" t="s">
        <v>125</v>
      </c>
      <c r="I171" t="s">
        <v>82</v>
      </c>
      <c r="J171" t="s">
        <v>125</v>
      </c>
      <c r="K171" t="s">
        <v>125</v>
      </c>
      <c r="L171" t="s">
        <v>125</v>
      </c>
      <c r="M171" t="s">
        <v>815</v>
      </c>
      <c r="N171" t="b">
        <v>0</v>
      </c>
    </row>
    <row r="172" spans="1:14">
      <c r="A172">
        <v>9</v>
      </c>
      <c r="B172">
        <v>18</v>
      </c>
      <c r="C172" t="s">
        <v>179</v>
      </c>
      <c r="D172" t="s">
        <v>740</v>
      </c>
      <c r="E172" t="s">
        <v>543</v>
      </c>
      <c r="F172">
        <v>40</v>
      </c>
      <c r="G172" t="s">
        <v>759</v>
      </c>
      <c r="H172" t="s">
        <v>125</v>
      </c>
      <c r="I172" t="s">
        <v>125</v>
      </c>
      <c r="J172" t="s">
        <v>816</v>
      </c>
      <c r="K172" t="s">
        <v>817</v>
      </c>
      <c r="L172" t="s">
        <v>818</v>
      </c>
      <c r="M172" t="s">
        <v>819</v>
      </c>
      <c r="N172" t="b">
        <v>0</v>
      </c>
    </row>
    <row r="173" spans="1:14">
      <c r="A173">
        <v>9</v>
      </c>
      <c r="B173">
        <v>19</v>
      </c>
      <c r="C173" t="s">
        <v>159</v>
      </c>
      <c r="D173" t="s">
        <v>740</v>
      </c>
      <c r="E173" t="s">
        <v>296</v>
      </c>
      <c r="F173">
        <v>40</v>
      </c>
      <c r="G173" t="s">
        <v>759</v>
      </c>
      <c r="H173" t="s">
        <v>125</v>
      </c>
      <c r="I173" t="s">
        <v>125</v>
      </c>
      <c r="J173" t="s">
        <v>760</v>
      </c>
      <c r="K173" t="s">
        <v>761</v>
      </c>
      <c r="L173" t="s">
        <v>762</v>
      </c>
      <c r="M173" t="s">
        <v>820</v>
      </c>
      <c r="N173" t="b">
        <v>0</v>
      </c>
    </row>
    <row r="174" spans="1:14">
      <c r="A174">
        <v>9</v>
      </c>
      <c r="B174">
        <v>20</v>
      </c>
      <c r="C174" t="s">
        <v>180</v>
      </c>
      <c r="D174" t="s">
        <v>740</v>
      </c>
      <c r="E174" t="s">
        <v>111</v>
      </c>
      <c r="F174">
        <v>50</v>
      </c>
      <c r="G174" t="s">
        <v>125</v>
      </c>
      <c r="H174" t="s">
        <v>125</v>
      </c>
      <c r="I174" t="s">
        <v>111</v>
      </c>
      <c r="J174" t="s">
        <v>125</v>
      </c>
      <c r="K174" t="s">
        <v>125</v>
      </c>
      <c r="L174" t="s">
        <v>125</v>
      </c>
      <c r="M174" t="s">
        <v>821</v>
      </c>
      <c r="N174" t="b">
        <v>0</v>
      </c>
    </row>
    <row r="175" spans="1:14">
      <c r="A175">
        <v>9</v>
      </c>
      <c r="B175">
        <v>21</v>
      </c>
      <c r="C175" t="s">
        <v>181</v>
      </c>
      <c r="D175" t="s">
        <v>740</v>
      </c>
      <c r="E175" t="s">
        <v>60</v>
      </c>
      <c r="F175">
        <v>40</v>
      </c>
      <c r="G175" t="s">
        <v>125</v>
      </c>
      <c r="H175" t="s">
        <v>125</v>
      </c>
      <c r="I175" t="s">
        <v>60</v>
      </c>
      <c r="J175" t="s">
        <v>125</v>
      </c>
      <c r="K175" t="s">
        <v>125</v>
      </c>
      <c r="L175" t="s">
        <v>125</v>
      </c>
      <c r="M175" t="s">
        <v>822</v>
      </c>
      <c r="N175" t="b">
        <v>0</v>
      </c>
    </row>
    <row r="176" spans="1:14">
      <c r="A176">
        <v>9</v>
      </c>
      <c r="B176">
        <v>22</v>
      </c>
      <c r="C176" t="s">
        <v>182</v>
      </c>
      <c r="D176" t="s">
        <v>740</v>
      </c>
      <c r="E176" t="s">
        <v>544</v>
      </c>
      <c r="F176">
        <v>40</v>
      </c>
      <c r="G176" t="s">
        <v>759</v>
      </c>
      <c r="H176" t="s">
        <v>125</v>
      </c>
      <c r="I176" t="s">
        <v>125</v>
      </c>
      <c r="J176" t="s">
        <v>823</v>
      </c>
      <c r="K176" t="s">
        <v>824</v>
      </c>
      <c r="L176" t="s">
        <v>825</v>
      </c>
      <c r="M176" t="s">
        <v>826</v>
      </c>
      <c r="N176" t="b">
        <v>0</v>
      </c>
    </row>
    <row r="177" spans="1:14">
      <c r="A177">
        <v>9</v>
      </c>
      <c r="B177">
        <v>23</v>
      </c>
      <c r="C177" t="s">
        <v>125</v>
      </c>
      <c r="D177" t="s">
        <v>740</v>
      </c>
      <c r="E177" t="s">
        <v>125</v>
      </c>
      <c r="F177">
        <v>0</v>
      </c>
      <c r="G177" t="s">
        <v>125</v>
      </c>
      <c r="H177" t="s">
        <v>125</v>
      </c>
      <c r="I177" t="s">
        <v>125</v>
      </c>
      <c r="J177" t="s">
        <v>125</v>
      </c>
      <c r="K177" t="s">
        <v>125</v>
      </c>
      <c r="L177" t="s">
        <v>125</v>
      </c>
      <c r="M177" t="s">
        <v>827</v>
      </c>
      <c r="N177" t="b">
        <v>0</v>
      </c>
    </row>
    <row r="178" spans="1:14">
      <c r="A178">
        <v>9</v>
      </c>
      <c r="B178">
        <v>24</v>
      </c>
      <c r="C178" t="s">
        <v>125</v>
      </c>
      <c r="D178" t="s">
        <v>740</v>
      </c>
      <c r="E178" t="s">
        <v>125</v>
      </c>
      <c r="F178">
        <v>0</v>
      </c>
      <c r="G178" t="s">
        <v>125</v>
      </c>
      <c r="H178" t="s">
        <v>125</v>
      </c>
      <c r="I178" t="s">
        <v>125</v>
      </c>
      <c r="J178" t="s">
        <v>125</v>
      </c>
      <c r="K178" t="s">
        <v>125</v>
      </c>
      <c r="L178" t="s">
        <v>125</v>
      </c>
      <c r="M178" t="s">
        <v>828</v>
      </c>
      <c r="N178" t="b">
        <v>0</v>
      </c>
    </row>
    <row r="179" spans="1:14">
      <c r="A179">
        <v>9</v>
      </c>
      <c r="B179">
        <v>25</v>
      </c>
      <c r="C179" t="s">
        <v>125</v>
      </c>
      <c r="D179" t="s">
        <v>740</v>
      </c>
      <c r="E179" t="s">
        <v>125</v>
      </c>
      <c r="F179">
        <v>0</v>
      </c>
      <c r="G179" t="s">
        <v>125</v>
      </c>
      <c r="H179" t="s">
        <v>125</v>
      </c>
      <c r="I179" t="s">
        <v>125</v>
      </c>
      <c r="J179" t="s">
        <v>125</v>
      </c>
      <c r="K179" t="s">
        <v>125</v>
      </c>
      <c r="L179" t="s">
        <v>125</v>
      </c>
      <c r="M179" t="s">
        <v>829</v>
      </c>
      <c r="N179" t="b">
        <v>0</v>
      </c>
    </row>
    <row r="180" spans="1:14">
      <c r="A180">
        <v>9</v>
      </c>
      <c r="B180">
        <v>26</v>
      </c>
      <c r="C180" t="s">
        <v>125</v>
      </c>
      <c r="D180" t="s">
        <v>740</v>
      </c>
      <c r="E180" t="s">
        <v>125</v>
      </c>
      <c r="F180">
        <v>0</v>
      </c>
      <c r="G180" t="s">
        <v>125</v>
      </c>
      <c r="H180" t="s">
        <v>125</v>
      </c>
      <c r="I180" t="s">
        <v>125</v>
      </c>
      <c r="J180" t="s">
        <v>125</v>
      </c>
      <c r="K180" t="s">
        <v>125</v>
      </c>
      <c r="L180" t="s">
        <v>125</v>
      </c>
      <c r="M180" t="s">
        <v>830</v>
      </c>
      <c r="N180" t="b">
        <v>0</v>
      </c>
    </row>
    <row r="181" spans="1:14">
      <c r="A181">
        <v>10</v>
      </c>
      <c r="B181">
        <v>0</v>
      </c>
      <c r="C181" t="s">
        <v>185</v>
      </c>
      <c r="D181" t="s">
        <v>723</v>
      </c>
      <c r="E181" t="s">
        <v>64</v>
      </c>
      <c r="F181">
        <v>50</v>
      </c>
      <c r="G181" t="s">
        <v>125</v>
      </c>
      <c r="H181" t="s">
        <v>125</v>
      </c>
      <c r="I181" t="s">
        <v>64</v>
      </c>
      <c r="J181" t="s">
        <v>125</v>
      </c>
      <c r="K181" t="s">
        <v>125</v>
      </c>
      <c r="L181" t="s">
        <v>125</v>
      </c>
      <c r="M181" t="s">
        <v>831</v>
      </c>
      <c r="N181" t="b">
        <v>0</v>
      </c>
    </row>
    <row r="182" spans="1:14">
      <c r="A182">
        <v>10</v>
      </c>
      <c r="B182">
        <v>1</v>
      </c>
      <c r="C182" t="s">
        <v>157</v>
      </c>
      <c r="D182" t="s">
        <v>723</v>
      </c>
      <c r="E182" t="s">
        <v>82</v>
      </c>
      <c r="F182">
        <v>40</v>
      </c>
      <c r="G182" t="s">
        <v>125</v>
      </c>
      <c r="H182" t="s">
        <v>125</v>
      </c>
      <c r="I182" t="s">
        <v>82</v>
      </c>
      <c r="J182" t="s">
        <v>125</v>
      </c>
      <c r="K182" t="s">
        <v>125</v>
      </c>
      <c r="L182" t="s">
        <v>125</v>
      </c>
      <c r="M182" t="s">
        <v>832</v>
      </c>
      <c r="N182" t="b">
        <v>0</v>
      </c>
    </row>
    <row r="183" spans="1:14">
      <c r="A183">
        <v>10</v>
      </c>
      <c r="B183">
        <v>2</v>
      </c>
      <c r="C183" t="s">
        <v>186</v>
      </c>
      <c r="D183" t="s">
        <v>723</v>
      </c>
      <c r="E183" t="s">
        <v>92</v>
      </c>
      <c r="F183">
        <v>50</v>
      </c>
      <c r="G183" t="s">
        <v>125</v>
      </c>
      <c r="H183" t="s">
        <v>125</v>
      </c>
      <c r="I183" t="s">
        <v>92</v>
      </c>
      <c r="J183" t="s">
        <v>125</v>
      </c>
      <c r="K183" t="s">
        <v>125</v>
      </c>
      <c r="L183" t="s">
        <v>125</v>
      </c>
      <c r="M183" t="s">
        <v>833</v>
      </c>
      <c r="N183" t="b">
        <v>0</v>
      </c>
    </row>
    <row r="184" spans="1:14">
      <c r="A184">
        <v>10</v>
      </c>
      <c r="B184">
        <v>3</v>
      </c>
      <c r="C184" t="s">
        <v>187</v>
      </c>
      <c r="D184" t="s">
        <v>723</v>
      </c>
      <c r="E184" t="s">
        <v>98</v>
      </c>
      <c r="F184">
        <v>50</v>
      </c>
      <c r="G184" t="s">
        <v>125</v>
      </c>
      <c r="H184" t="s">
        <v>125</v>
      </c>
      <c r="I184" t="s">
        <v>98</v>
      </c>
      <c r="J184" t="s">
        <v>125</v>
      </c>
      <c r="K184" t="s">
        <v>125</v>
      </c>
      <c r="L184" t="s">
        <v>125</v>
      </c>
      <c r="M184" t="s">
        <v>834</v>
      </c>
      <c r="N184" t="b">
        <v>0</v>
      </c>
    </row>
    <row r="185" spans="1:14">
      <c r="A185">
        <v>10</v>
      </c>
      <c r="B185">
        <v>4</v>
      </c>
      <c r="C185" t="s">
        <v>188</v>
      </c>
      <c r="D185" t="s">
        <v>723</v>
      </c>
      <c r="E185" t="s">
        <v>100</v>
      </c>
      <c r="F185">
        <v>50</v>
      </c>
      <c r="G185" t="s">
        <v>125</v>
      </c>
      <c r="H185" t="s">
        <v>125</v>
      </c>
      <c r="I185" t="s">
        <v>100</v>
      </c>
      <c r="J185" t="s">
        <v>125</v>
      </c>
      <c r="K185" t="s">
        <v>125</v>
      </c>
      <c r="L185" t="s">
        <v>125</v>
      </c>
      <c r="M185" t="s">
        <v>835</v>
      </c>
      <c r="N185" t="b">
        <v>0</v>
      </c>
    </row>
    <row r="186" spans="1:14">
      <c r="A186">
        <v>10</v>
      </c>
      <c r="B186">
        <v>5</v>
      </c>
      <c r="C186" t="s">
        <v>189</v>
      </c>
      <c r="D186" t="s">
        <v>723</v>
      </c>
      <c r="E186" t="s">
        <v>108</v>
      </c>
      <c r="F186">
        <v>30</v>
      </c>
      <c r="G186" t="s">
        <v>125</v>
      </c>
      <c r="H186" t="s">
        <v>125</v>
      </c>
      <c r="I186" t="s">
        <v>108</v>
      </c>
      <c r="J186" t="s">
        <v>125</v>
      </c>
      <c r="K186" t="s">
        <v>125</v>
      </c>
      <c r="L186" t="s">
        <v>125</v>
      </c>
      <c r="M186" t="s">
        <v>836</v>
      </c>
      <c r="N186" t="b">
        <v>0</v>
      </c>
    </row>
    <row r="187" spans="1:14">
      <c r="A187">
        <v>10</v>
      </c>
      <c r="B187">
        <v>6</v>
      </c>
      <c r="C187" t="s">
        <v>190</v>
      </c>
      <c r="D187" t="s">
        <v>723</v>
      </c>
      <c r="E187" t="s">
        <v>114</v>
      </c>
      <c r="F187">
        <v>60</v>
      </c>
      <c r="G187" t="s">
        <v>125</v>
      </c>
      <c r="H187" t="s">
        <v>125</v>
      </c>
      <c r="I187" t="s">
        <v>114</v>
      </c>
      <c r="J187" t="s">
        <v>125</v>
      </c>
      <c r="K187" t="s">
        <v>125</v>
      </c>
      <c r="L187" t="s">
        <v>125</v>
      </c>
      <c r="M187" t="s">
        <v>837</v>
      </c>
      <c r="N187" t="b">
        <v>0</v>
      </c>
    </row>
    <row r="188" spans="1:14">
      <c r="A188">
        <v>10</v>
      </c>
      <c r="B188">
        <v>7</v>
      </c>
      <c r="C188" t="s">
        <v>191</v>
      </c>
      <c r="D188" t="s">
        <v>723</v>
      </c>
      <c r="E188" t="s">
        <v>60</v>
      </c>
      <c r="F188">
        <v>30</v>
      </c>
      <c r="G188" t="s">
        <v>125</v>
      </c>
      <c r="H188" t="s">
        <v>125</v>
      </c>
      <c r="I188" t="s">
        <v>60</v>
      </c>
      <c r="J188" t="s">
        <v>125</v>
      </c>
      <c r="K188" t="s">
        <v>125</v>
      </c>
      <c r="L188" t="s">
        <v>125</v>
      </c>
      <c r="M188" t="s">
        <v>838</v>
      </c>
      <c r="N188" t="b">
        <v>0</v>
      </c>
    </row>
    <row r="189" spans="1:14">
      <c r="A189">
        <v>10</v>
      </c>
      <c r="B189">
        <v>8</v>
      </c>
      <c r="C189" t="s">
        <v>192</v>
      </c>
      <c r="D189" t="s">
        <v>723</v>
      </c>
      <c r="E189" t="s">
        <v>77</v>
      </c>
      <c r="F189">
        <v>50</v>
      </c>
      <c r="G189" t="s">
        <v>125</v>
      </c>
      <c r="H189" t="s">
        <v>125</v>
      </c>
      <c r="I189" t="s">
        <v>77</v>
      </c>
      <c r="J189" t="s">
        <v>125</v>
      </c>
      <c r="K189" t="s">
        <v>125</v>
      </c>
      <c r="L189" t="s">
        <v>125</v>
      </c>
      <c r="M189" t="s">
        <v>839</v>
      </c>
      <c r="N189" t="b">
        <v>0</v>
      </c>
    </row>
    <row r="190" spans="1:14">
      <c r="A190">
        <v>10</v>
      </c>
      <c r="B190">
        <v>9</v>
      </c>
      <c r="C190" t="s">
        <v>193</v>
      </c>
      <c r="D190" t="s">
        <v>723</v>
      </c>
      <c r="E190" t="s">
        <v>97</v>
      </c>
      <c r="F190">
        <v>50</v>
      </c>
      <c r="G190" t="s">
        <v>125</v>
      </c>
      <c r="H190" t="s">
        <v>125</v>
      </c>
      <c r="I190" t="s">
        <v>97</v>
      </c>
      <c r="J190" t="s">
        <v>125</v>
      </c>
      <c r="K190" t="s">
        <v>125</v>
      </c>
      <c r="L190" t="s">
        <v>125</v>
      </c>
      <c r="M190" t="s">
        <v>840</v>
      </c>
      <c r="N190" t="b">
        <v>0</v>
      </c>
    </row>
    <row r="191" spans="1:14">
      <c r="A191">
        <v>10</v>
      </c>
      <c r="B191">
        <v>10</v>
      </c>
      <c r="C191" t="s">
        <v>194</v>
      </c>
      <c r="D191" t="s">
        <v>723</v>
      </c>
      <c r="E191" t="s">
        <v>107</v>
      </c>
      <c r="F191">
        <v>60</v>
      </c>
      <c r="G191" t="s">
        <v>125</v>
      </c>
      <c r="H191" t="s">
        <v>125</v>
      </c>
      <c r="I191" t="s">
        <v>107</v>
      </c>
      <c r="J191" t="s">
        <v>125</v>
      </c>
      <c r="K191" t="s">
        <v>125</v>
      </c>
      <c r="L191" t="s">
        <v>125</v>
      </c>
      <c r="M191" t="s">
        <v>841</v>
      </c>
      <c r="N191" t="b">
        <v>0</v>
      </c>
    </row>
    <row r="192" spans="1:14">
      <c r="A192">
        <v>10</v>
      </c>
      <c r="B192">
        <v>11</v>
      </c>
      <c r="C192" t="s">
        <v>125</v>
      </c>
      <c r="D192" t="s">
        <v>723</v>
      </c>
      <c r="E192" t="s">
        <v>125</v>
      </c>
      <c r="F192">
        <v>0</v>
      </c>
      <c r="G192" t="s">
        <v>125</v>
      </c>
      <c r="H192" t="s">
        <v>125</v>
      </c>
      <c r="I192" t="s">
        <v>125</v>
      </c>
      <c r="J192" t="s">
        <v>125</v>
      </c>
      <c r="K192" t="s">
        <v>125</v>
      </c>
      <c r="L192" t="s">
        <v>125</v>
      </c>
      <c r="M192" t="s">
        <v>842</v>
      </c>
      <c r="N192" t="b">
        <v>0</v>
      </c>
    </row>
    <row r="193" spans="1:14">
      <c r="A193">
        <v>10</v>
      </c>
      <c r="B193">
        <v>12</v>
      </c>
      <c r="C193" t="s">
        <v>125</v>
      </c>
      <c r="D193" t="s">
        <v>723</v>
      </c>
      <c r="E193" t="s">
        <v>125</v>
      </c>
      <c r="F193">
        <v>0</v>
      </c>
      <c r="G193" t="s">
        <v>125</v>
      </c>
      <c r="H193" t="s">
        <v>125</v>
      </c>
      <c r="I193" t="s">
        <v>125</v>
      </c>
      <c r="J193" t="s">
        <v>125</v>
      </c>
      <c r="K193" t="s">
        <v>125</v>
      </c>
      <c r="L193" t="s">
        <v>125</v>
      </c>
      <c r="M193" t="s">
        <v>843</v>
      </c>
      <c r="N193" t="b">
        <v>0</v>
      </c>
    </row>
    <row r="194" spans="1:14">
      <c r="A194">
        <v>10</v>
      </c>
      <c r="B194">
        <v>13</v>
      </c>
      <c r="C194" t="s">
        <v>125</v>
      </c>
      <c r="D194" t="s">
        <v>723</v>
      </c>
      <c r="E194" t="s">
        <v>125</v>
      </c>
      <c r="F194">
        <v>0</v>
      </c>
      <c r="G194" t="s">
        <v>125</v>
      </c>
      <c r="H194" t="s">
        <v>125</v>
      </c>
      <c r="I194" t="s">
        <v>125</v>
      </c>
      <c r="J194" t="s">
        <v>125</v>
      </c>
      <c r="K194" t="s">
        <v>125</v>
      </c>
      <c r="L194" t="s">
        <v>125</v>
      </c>
      <c r="M194" t="s">
        <v>844</v>
      </c>
      <c r="N194" t="b">
        <v>0</v>
      </c>
    </row>
    <row r="195" spans="1:14">
      <c r="A195">
        <v>10</v>
      </c>
      <c r="B195">
        <v>14</v>
      </c>
      <c r="C195" t="s">
        <v>125</v>
      </c>
      <c r="D195" t="s">
        <v>723</v>
      </c>
      <c r="E195" t="s">
        <v>125</v>
      </c>
      <c r="F195">
        <v>0</v>
      </c>
      <c r="G195" t="s">
        <v>125</v>
      </c>
      <c r="H195" t="s">
        <v>125</v>
      </c>
      <c r="I195" t="s">
        <v>125</v>
      </c>
      <c r="J195" t="s">
        <v>125</v>
      </c>
      <c r="K195" t="s">
        <v>125</v>
      </c>
      <c r="L195" t="s">
        <v>125</v>
      </c>
      <c r="M195" t="s">
        <v>845</v>
      </c>
      <c r="N195" t="b">
        <v>0</v>
      </c>
    </row>
    <row r="196" spans="1:14">
      <c r="A196">
        <v>10</v>
      </c>
      <c r="B196">
        <v>15</v>
      </c>
      <c r="C196" t="s">
        <v>125</v>
      </c>
      <c r="D196" t="s">
        <v>723</v>
      </c>
      <c r="E196" t="s">
        <v>125</v>
      </c>
      <c r="F196">
        <v>0</v>
      </c>
      <c r="G196" t="s">
        <v>125</v>
      </c>
      <c r="H196" t="s">
        <v>125</v>
      </c>
      <c r="I196" t="s">
        <v>125</v>
      </c>
      <c r="J196" t="s">
        <v>125</v>
      </c>
      <c r="K196" t="s">
        <v>125</v>
      </c>
      <c r="L196" t="s">
        <v>125</v>
      </c>
      <c r="M196" t="s">
        <v>846</v>
      </c>
      <c r="N196" t="b">
        <v>0</v>
      </c>
    </row>
    <row r="197" spans="1:14">
      <c r="A197">
        <v>10</v>
      </c>
      <c r="B197">
        <v>16</v>
      </c>
      <c r="C197" t="s">
        <v>195</v>
      </c>
      <c r="D197" t="s">
        <v>740</v>
      </c>
      <c r="E197" t="s">
        <v>59</v>
      </c>
      <c r="F197">
        <v>60</v>
      </c>
      <c r="G197" t="s">
        <v>125</v>
      </c>
      <c r="H197" t="s">
        <v>125</v>
      </c>
      <c r="I197" t="s">
        <v>59</v>
      </c>
      <c r="J197" t="s">
        <v>125</v>
      </c>
      <c r="K197" t="s">
        <v>125</v>
      </c>
      <c r="L197" t="s">
        <v>125</v>
      </c>
      <c r="M197" t="s">
        <v>847</v>
      </c>
      <c r="N197" t="b">
        <v>0</v>
      </c>
    </row>
    <row r="198" spans="1:14">
      <c r="A198">
        <v>10</v>
      </c>
      <c r="B198">
        <v>17</v>
      </c>
      <c r="C198" t="s">
        <v>196</v>
      </c>
      <c r="D198" t="s">
        <v>740</v>
      </c>
      <c r="E198" t="s">
        <v>86</v>
      </c>
      <c r="F198">
        <v>50</v>
      </c>
      <c r="G198" t="s">
        <v>125</v>
      </c>
      <c r="H198" t="s">
        <v>125</v>
      </c>
      <c r="I198" t="s">
        <v>86</v>
      </c>
      <c r="J198" t="s">
        <v>125</v>
      </c>
      <c r="K198" t="s">
        <v>125</v>
      </c>
      <c r="L198" t="s">
        <v>125</v>
      </c>
      <c r="M198" t="s">
        <v>848</v>
      </c>
      <c r="N198" t="b">
        <v>0</v>
      </c>
    </row>
    <row r="199" spans="1:14">
      <c r="A199">
        <v>10</v>
      </c>
      <c r="B199">
        <v>18</v>
      </c>
      <c r="C199" t="s">
        <v>158</v>
      </c>
      <c r="D199" t="s">
        <v>740</v>
      </c>
      <c r="E199" t="s">
        <v>296</v>
      </c>
      <c r="F199">
        <v>50</v>
      </c>
      <c r="G199" t="s">
        <v>759</v>
      </c>
      <c r="H199" t="s">
        <v>125</v>
      </c>
      <c r="I199" t="s">
        <v>125</v>
      </c>
      <c r="J199" t="s">
        <v>760</v>
      </c>
      <c r="K199" t="s">
        <v>761</v>
      </c>
      <c r="L199" t="s">
        <v>762</v>
      </c>
      <c r="M199" t="s">
        <v>849</v>
      </c>
      <c r="N199" t="b">
        <v>0</v>
      </c>
    </row>
    <row r="200" spans="1:14">
      <c r="A200">
        <v>10</v>
      </c>
      <c r="B200">
        <v>19</v>
      </c>
      <c r="C200" t="s">
        <v>197</v>
      </c>
      <c r="D200" t="s">
        <v>740</v>
      </c>
      <c r="E200" t="s">
        <v>112</v>
      </c>
      <c r="F200">
        <v>50</v>
      </c>
      <c r="G200" t="s">
        <v>125</v>
      </c>
      <c r="H200" t="s">
        <v>125</v>
      </c>
      <c r="I200" t="s">
        <v>112</v>
      </c>
      <c r="J200" t="s">
        <v>125</v>
      </c>
      <c r="K200" t="s">
        <v>125</v>
      </c>
      <c r="L200" t="s">
        <v>125</v>
      </c>
      <c r="M200" t="s">
        <v>850</v>
      </c>
      <c r="N200" t="b">
        <v>0</v>
      </c>
    </row>
    <row r="201" spans="1:14">
      <c r="A201">
        <v>10</v>
      </c>
      <c r="B201">
        <v>20</v>
      </c>
      <c r="C201" t="s">
        <v>198</v>
      </c>
      <c r="D201" t="s">
        <v>740</v>
      </c>
      <c r="E201" t="s">
        <v>83</v>
      </c>
      <c r="F201">
        <v>50</v>
      </c>
      <c r="G201" t="s">
        <v>125</v>
      </c>
      <c r="H201" t="s">
        <v>125</v>
      </c>
      <c r="I201" t="s">
        <v>83</v>
      </c>
      <c r="J201" t="s">
        <v>125</v>
      </c>
      <c r="K201" t="s">
        <v>125</v>
      </c>
      <c r="L201" t="s">
        <v>125</v>
      </c>
      <c r="M201" t="s">
        <v>851</v>
      </c>
      <c r="N201" t="b">
        <v>0</v>
      </c>
    </row>
    <row r="202" spans="1:14">
      <c r="A202">
        <v>10</v>
      </c>
      <c r="B202">
        <v>21</v>
      </c>
      <c r="C202" t="s">
        <v>125</v>
      </c>
      <c r="D202" t="s">
        <v>740</v>
      </c>
      <c r="E202" t="s">
        <v>125</v>
      </c>
      <c r="F202">
        <v>0</v>
      </c>
      <c r="G202" t="s">
        <v>125</v>
      </c>
      <c r="H202" t="s">
        <v>125</v>
      </c>
      <c r="I202" t="s">
        <v>125</v>
      </c>
      <c r="J202" t="s">
        <v>125</v>
      </c>
      <c r="K202" t="s">
        <v>125</v>
      </c>
      <c r="L202" t="s">
        <v>125</v>
      </c>
      <c r="M202" t="s">
        <v>852</v>
      </c>
      <c r="N202" t="b">
        <v>0</v>
      </c>
    </row>
    <row r="203" spans="1:14">
      <c r="A203">
        <v>10</v>
      </c>
      <c r="B203">
        <v>22</v>
      </c>
      <c r="C203" t="s">
        <v>125</v>
      </c>
      <c r="D203" t="s">
        <v>740</v>
      </c>
      <c r="E203" t="s">
        <v>125</v>
      </c>
      <c r="F203">
        <v>0</v>
      </c>
      <c r="G203" t="s">
        <v>125</v>
      </c>
      <c r="H203" t="s">
        <v>125</v>
      </c>
      <c r="I203" t="s">
        <v>125</v>
      </c>
      <c r="J203" t="s">
        <v>125</v>
      </c>
      <c r="K203" t="s">
        <v>125</v>
      </c>
      <c r="L203" t="s">
        <v>125</v>
      </c>
      <c r="M203" t="s">
        <v>853</v>
      </c>
      <c r="N203" t="b">
        <v>0</v>
      </c>
    </row>
    <row r="204" spans="1:14">
      <c r="A204">
        <v>10</v>
      </c>
      <c r="B204">
        <v>23</v>
      </c>
      <c r="C204" t="s">
        <v>125</v>
      </c>
      <c r="D204" t="s">
        <v>740</v>
      </c>
      <c r="E204" t="s">
        <v>125</v>
      </c>
      <c r="F204">
        <v>0</v>
      </c>
      <c r="G204" t="s">
        <v>125</v>
      </c>
      <c r="H204" t="s">
        <v>125</v>
      </c>
      <c r="I204" t="s">
        <v>125</v>
      </c>
      <c r="J204" t="s">
        <v>125</v>
      </c>
      <c r="K204" t="s">
        <v>125</v>
      </c>
      <c r="L204" t="s">
        <v>125</v>
      </c>
      <c r="M204" t="s">
        <v>854</v>
      </c>
      <c r="N204" t="b">
        <v>0</v>
      </c>
    </row>
    <row r="205" spans="1:14">
      <c r="A205">
        <v>10</v>
      </c>
      <c r="B205">
        <v>24</v>
      </c>
      <c r="C205" t="s">
        <v>125</v>
      </c>
      <c r="D205" t="s">
        <v>740</v>
      </c>
      <c r="E205" t="s">
        <v>125</v>
      </c>
      <c r="F205">
        <v>0</v>
      </c>
      <c r="G205" t="s">
        <v>125</v>
      </c>
      <c r="H205" t="s">
        <v>125</v>
      </c>
      <c r="I205" t="s">
        <v>125</v>
      </c>
      <c r="J205" t="s">
        <v>125</v>
      </c>
      <c r="K205" t="s">
        <v>125</v>
      </c>
      <c r="L205" t="s">
        <v>125</v>
      </c>
      <c r="M205" t="s">
        <v>855</v>
      </c>
      <c r="N205" t="b">
        <v>0</v>
      </c>
    </row>
    <row r="206" spans="1:14">
      <c r="A206">
        <v>10</v>
      </c>
      <c r="B206">
        <v>25</v>
      </c>
      <c r="C206" t="s">
        <v>125</v>
      </c>
      <c r="D206" t="s">
        <v>740</v>
      </c>
      <c r="E206" t="s">
        <v>125</v>
      </c>
      <c r="F206">
        <v>0</v>
      </c>
      <c r="G206" t="s">
        <v>125</v>
      </c>
      <c r="H206" t="s">
        <v>125</v>
      </c>
      <c r="I206" t="s">
        <v>125</v>
      </c>
      <c r="J206" t="s">
        <v>125</v>
      </c>
      <c r="K206" t="s">
        <v>125</v>
      </c>
      <c r="L206" t="s">
        <v>125</v>
      </c>
      <c r="M206" t="s">
        <v>856</v>
      </c>
      <c r="N206" t="b">
        <v>0</v>
      </c>
    </row>
    <row r="207" spans="1:14">
      <c r="A207">
        <v>10</v>
      </c>
      <c r="B207">
        <v>26</v>
      </c>
      <c r="C207" t="s">
        <v>125</v>
      </c>
      <c r="D207" t="s">
        <v>740</v>
      </c>
      <c r="E207" t="s">
        <v>125</v>
      </c>
      <c r="F207">
        <v>0</v>
      </c>
      <c r="G207" t="s">
        <v>125</v>
      </c>
      <c r="H207" t="s">
        <v>125</v>
      </c>
      <c r="I207" t="s">
        <v>125</v>
      </c>
      <c r="J207" t="s">
        <v>125</v>
      </c>
      <c r="K207" t="s">
        <v>125</v>
      </c>
      <c r="L207" t="s">
        <v>125</v>
      </c>
      <c r="M207" t="s">
        <v>857</v>
      </c>
      <c r="N207" t="b">
        <v>0</v>
      </c>
    </row>
    <row r="208" spans="1:14">
      <c r="A208">
        <v>11</v>
      </c>
      <c r="B208">
        <v>0</v>
      </c>
      <c r="C208" t="s">
        <v>178</v>
      </c>
      <c r="D208" t="s">
        <v>723</v>
      </c>
      <c r="E208" t="s">
        <v>82</v>
      </c>
      <c r="F208">
        <v>50</v>
      </c>
      <c r="G208" t="s">
        <v>125</v>
      </c>
      <c r="H208" t="s">
        <v>125</v>
      </c>
      <c r="I208" t="s">
        <v>82</v>
      </c>
      <c r="J208" t="s">
        <v>125</v>
      </c>
      <c r="K208" t="s">
        <v>125</v>
      </c>
      <c r="L208" t="s">
        <v>125</v>
      </c>
      <c r="M208" t="s">
        <v>858</v>
      </c>
      <c r="N208" t="b">
        <v>0</v>
      </c>
    </row>
    <row r="209" spans="1:14">
      <c r="A209">
        <v>11</v>
      </c>
      <c r="B209">
        <v>1</v>
      </c>
      <c r="C209" t="s">
        <v>201</v>
      </c>
      <c r="D209" t="s">
        <v>723</v>
      </c>
      <c r="E209" t="s">
        <v>102</v>
      </c>
      <c r="F209">
        <v>60</v>
      </c>
      <c r="G209" t="s">
        <v>125</v>
      </c>
      <c r="H209" t="s">
        <v>125</v>
      </c>
      <c r="I209" t="s">
        <v>102</v>
      </c>
      <c r="J209" t="s">
        <v>125</v>
      </c>
      <c r="K209" t="s">
        <v>125</v>
      </c>
      <c r="L209" t="s">
        <v>125</v>
      </c>
      <c r="M209" t="s">
        <v>859</v>
      </c>
      <c r="N209" t="b">
        <v>0</v>
      </c>
    </row>
    <row r="210" spans="1:14">
      <c r="A210">
        <v>11</v>
      </c>
      <c r="B210">
        <v>2</v>
      </c>
      <c r="C210" t="s">
        <v>202</v>
      </c>
      <c r="D210" t="s">
        <v>723</v>
      </c>
      <c r="E210" t="s">
        <v>65</v>
      </c>
      <c r="F210">
        <v>60</v>
      </c>
      <c r="G210" t="s">
        <v>125</v>
      </c>
      <c r="H210" t="s">
        <v>125</v>
      </c>
      <c r="I210" t="s">
        <v>65</v>
      </c>
      <c r="J210" t="s">
        <v>125</v>
      </c>
      <c r="K210" t="s">
        <v>125</v>
      </c>
      <c r="L210" t="s">
        <v>125</v>
      </c>
      <c r="M210" t="s">
        <v>860</v>
      </c>
      <c r="N210" t="b">
        <v>0</v>
      </c>
    </row>
    <row r="211" spans="1:14">
      <c r="A211">
        <v>11</v>
      </c>
      <c r="B211">
        <v>3</v>
      </c>
      <c r="C211" t="s">
        <v>162</v>
      </c>
      <c r="D211" t="s">
        <v>723</v>
      </c>
      <c r="E211" t="s">
        <v>77</v>
      </c>
      <c r="F211">
        <v>40</v>
      </c>
      <c r="G211" t="s">
        <v>125</v>
      </c>
      <c r="H211" t="s">
        <v>125</v>
      </c>
      <c r="I211" t="s">
        <v>77</v>
      </c>
      <c r="J211" t="s">
        <v>125</v>
      </c>
      <c r="K211" t="s">
        <v>125</v>
      </c>
      <c r="L211" t="s">
        <v>125</v>
      </c>
      <c r="M211" t="s">
        <v>861</v>
      </c>
      <c r="N211" t="b">
        <v>0</v>
      </c>
    </row>
    <row r="212" spans="1:14">
      <c r="A212">
        <v>11</v>
      </c>
      <c r="B212">
        <v>4</v>
      </c>
      <c r="C212" t="s">
        <v>198</v>
      </c>
      <c r="D212" t="s">
        <v>723</v>
      </c>
      <c r="E212" t="s">
        <v>83</v>
      </c>
      <c r="F212">
        <v>50</v>
      </c>
      <c r="G212" t="s">
        <v>125</v>
      </c>
      <c r="H212" t="s">
        <v>125</v>
      </c>
      <c r="I212" t="s">
        <v>83</v>
      </c>
      <c r="J212" t="s">
        <v>125</v>
      </c>
      <c r="K212" t="s">
        <v>125</v>
      </c>
      <c r="L212" t="s">
        <v>125</v>
      </c>
      <c r="M212" t="s">
        <v>862</v>
      </c>
      <c r="N212" t="b">
        <v>0</v>
      </c>
    </row>
    <row r="213" spans="1:14">
      <c r="A213">
        <v>11</v>
      </c>
      <c r="B213">
        <v>5</v>
      </c>
      <c r="C213" t="s">
        <v>203</v>
      </c>
      <c r="D213" t="s">
        <v>723</v>
      </c>
      <c r="E213" t="s">
        <v>544</v>
      </c>
      <c r="F213">
        <v>60</v>
      </c>
      <c r="G213" t="s">
        <v>125</v>
      </c>
      <c r="H213" t="s">
        <v>554</v>
      </c>
      <c r="I213" t="s">
        <v>331</v>
      </c>
      <c r="J213" t="s">
        <v>125</v>
      </c>
      <c r="K213" t="s">
        <v>800</v>
      </c>
      <c r="L213" t="s">
        <v>801</v>
      </c>
      <c r="M213" t="s">
        <v>863</v>
      </c>
      <c r="N213" t="b">
        <v>0</v>
      </c>
    </row>
    <row r="214" spans="1:14">
      <c r="A214">
        <v>11</v>
      </c>
      <c r="B214">
        <v>6</v>
      </c>
      <c r="C214" t="s">
        <v>204</v>
      </c>
      <c r="D214" t="s">
        <v>723</v>
      </c>
      <c r="E214" t="s">
        <v>97</v>
      </c>
      <c r="F214">
        <v>40</v>
      </c>
      <c r="G214" t="s">
        <v>125</v>
      </c>
      <c r="H214" t="s">
        <v>125</v>
      </c>
      <c r="I214" t="s">
        <v>97</v>
      </c>
      <c r="J214" t="s">
        <v>125</v>
      </c>
      <c r="K214" t="s">
        <v>125</v>
      </c>
      <c r="L214" t="s">
        <v>125</v>
      </c>
      <c r="M214" t="s">
        <v>864</v>
      </c>
      <c r="N214" t="b">
        <v>0</v>
      </c>
    </row>
    <row r="215" spans="1:14">
      <c r="A215">
        <v>11</v>
      </c>
      <c r="B215">
        <v>7</v>
      </c>
      <c r="C215" t="s">
        <v>125</v>
      </c>
      <c r="D215" t="s">
        <v>723</v>
      </c>
      <c r="E215" t="s">
        <v>125</v>
      </c>
      <c r="F215">
        <v>0</v>
      </c>
      <c r="G215" t="s">
        <v>125</v>
      </c>
      <c r="H215" t="s">
        <v>125</v>
      </c>
      <c r="I215" t="s">
        <v>125</v>
      </c>
      <c r="J215" t="s">
        <v>125</v>
      </c>
      <c r="K215" t="s">
        <v>125</v>
      </c>
      <c r="L215" t="s">
        <v>125</v>
      </c>
      <c r="M215" t="s">
        <v>865</v>
      </c>
      <c r="N215" t="b">
        <v>0</v>
      </c>
    </row>
    <row r="216" spans="1:14">
      <c r="A216">
        <v>11</v>
      </c>
      <c r="B216">
        <v>8</v>
      </c>
      <c r="C216" t="s">
        <v>125</v>
      </c>
      <c r="D216" t="s">
        <v>723</v>
      </c>
      <c r="E216" t="s">
        <v>125</v>
      </c>
      <c r="F216">
        <v>0</v>
      </c>
      <c r="G216" t="s">
        <v>125</v>
      </c>
      <c r="H216" t="s">
        <v>125</v>
      </c>
      <c r="I216" t="s">
        <v>125</v>
      </c>
      <c r="J216" t="s">
        <v>125</v>
      </c>
      <c r="K216" t="s">
        <v>125</v>
      </c>
      <c r="L216" t="s">
        <v>125</v>
      </c>
      <c r="M216" t="s">
        <v>866</v>
      </c>
      <c r="N216" t="b">
        <v>0</v>
      </c>
    </row>
    <row r="217" spans="1:14">
      <c r="A217">
        <v>11</v>
      </c>
      <c r="B217">
        <v>9</v>
      </c>
      <c r="C217" t="s">
        <v>125</v>
      </c>
      <c r="D217" t="s">
        <v>723</v>
      </c>
      <c r="E217" t="s">
        <v>125</v>
      </c>
      <c r="F217">
        <v>0</v>
      </c>
      <c r="G217" t="s">
        <v>125</v>
      </c>
      <c r="H217" t="s">
        <v>125</v>
      </c>
      <c r="I217" t="s">
        <v>125</v>
      </c>
      <c r="J217" t="s">
        <v>125</v>
      </c>
      <c r="K217" t="s">
        <v>125</v>
      </c>
      <c r="L217" t="s">
        <v>125</v>
      </c>
      <c r="M217" t="s">
        <v>867</v>
      </c>
      <c r="N217" t="b">
        <v>0</v>
      </c>
    </row>
    <row r="218" spans="1:14">
      <c r="A218">
        <v>11</v>
      </c>
      <c r="B218">
        <v>10</v>
      </c>
      <c r="C218" t="s">
        <v>125</v>
      </c>
      <c r="D218" t="s">
        <v>723</v>
      </c>
      <c r="E218" t="s">
        <v>125</v>
      </c>
      <c r="F218">
        <v>0</v>
      </c>
      <c r="G218" t="s">
        <v>125</v>
      </c>
      <c r="H218" t="s">
        <v>125</v>
      </c>
      <c r="I218" t="s">
        <v>125</v>
      </c>
      <c r="J218" t="s">
        <v>125</v>
      </c>
      <c r="K218" t="s">
        <v>125</v>
      </c>
      <c r="L218" t="s">
        <v>125</v>
      </c>
      <c r="M218" t="s">
        <v>868</v>
      </c>
      <c r="N218" t="b">
        <v>0</v>
      </c>
    </row>
    <row r="219" spans="1:14">
      <c r="A219">
        <v>11</v>
      </c>
      <c r="B219">
        <v>11</v>
      </c>
      <c r="C219" t="s">
        <v>125</v>
      </c>
      <c r="D219" t="s">
        <v>723</v>
      </c>
      <c r="E219" t="s">
        <v>125</v>
      </c>
      <c r="F219">
        <v>0</v>
      </c>
      <c r="G219" t="s">
        <v>125</v>
      </c>
      <c r="H219" t="s">
        <v>125</v>
      </c>
      <c r="I219" t="s">
        <v>125</v>
      </c>
      <c r="J219" t="s">
        <v>125</v>
      </c>
      <c r="K219" t="s">
        <v>125</v>
      </c>
      <c r="L219" t="s">
        <v>125</v>
      </c>
      <c r="M219" t="s">
        <v>869</v>
      </c>
      <c r="N219" t="b">
        <v>0</v>
      </c>
    </row>
    <row r="220" spans="1:14">
      <c r="A220">
        <v>11</v>
      </c>
      <c r="B220">
        <v>12</v>
      </c>
      <c r="C220" t="s">
        <v>125</v>
      </c>
      <c r="D220" t="s">
        <v>723</v>
      </c>
      <c r="E220" t="s">
        <v>125</v>
      </c>
      <c r="F220">
        <v>0</v>
      </c>
      <c r="G220" t="s">
        <v>125</v>
      </c>
      <c r="H220" t="s">
        <v>125</v>
      </c>
      <c r="I220" t="s">
        <v>125</v>
      </c>
      <c r="J220" t="s">
        <v>125</v>
      </c>
      <c r="K220" t="s">
        <v>125</v>
      </c>
      <c r="L220" t="s">
        <v>125</v>
      </c>
      <c r="M220" t="s">
        <v>870</v>
      </c>
      <c r="N220" t="b">
        <v>0</v>
      </c>
    </row>
    <row r="221" spans="1:14">
      <c r="A221">
        <v>11</v>
      </c>
      <c r="B221">
        <v>13</v>
      </c>
      <c r="C221" t="s">
        <v>125</v>
      </c>
      <c r="D221" t="s">
        <v>723</v>
      </c>
      <c r="E221" t="s">
        <v>125</v>
      </c>
      <c r="F221">
        <v>0</v>
      </c>
      <c r="G221" t="s">
        <v>125</v>
      </c>
      <c r="H221" t="s">
        <v>125</v>
      </c>
      <c r="I221" t="s">
        <v>125</v>
      </c>
      <c r="J221" t="s">
        <v>125</v>
      </c>
      <c r="K221" t="s">
        <v>125</v>
      </c>
      <c r="L221" t="s">
        <v>125</v>
      </c>
      <c r="M221" t="s">
        <v>871</v>
      </c>
      <c r="N221" t="b">
        <v>0</v>
      </c>
    </row>
    <row r="222" spans="1:14">
      <c r="A222">
        <v>11</v>
      </c>
      <c r="B222">
        <v>14</v>
      </c>
      <c r="C222" t="s">
        <v>125</v>
      </c>
      <c r="D222" t="s">
        <v>723</v>
      </c>
      <c r="E222" t="s">
        <v>125</v>
      </c>
      <c r="F222">
        <v>0</v>
      </c>
      <c r="G222" t="s">
        <v>125</v>
      </c>
      <c r="H222" t="s">
        <v>125</v>
      </c>
      <c r="I222" t="s">
        <v>125</v>
      </c>
      <c r="J222" t="s">
        <v>125</v>
      </c>
      <c r="K222" t="s">
        <v>125</v>
      </c>
      <c r="L222" t="s">
        <v>125</v>
      </c>
      <c r="M222" t="s">
        <v>872</v>
      </c>
      <c r="N222" t="b">
        <v>0</v>
      </c>
    </row>
    <row r="223" spans="1:14">
      <c r="A223">
        <v>11</v>
      </c>
      <c r="B223">
        <v>15</v>
      </c>
      <c r="C223" t="s">
        <v>125</v>
      </c>
      <c r="D223" t="s">
        <v>723</v>
      </c>
      <c r="E223" t="s">
        <v>125</v>
      </c>
      <c r="F223">
        <v>0</v>
      </c>
      <c r="G223" t="s">
        <v>125</v>
      </c>
      <c r="H223" t="s">
        <v>125</v>
      </c>
      <c r="I223" t="s">
        <v>125</v>
      </c>
      <c r="J223" t="s">
        <v>125</v>
      </c>
      <c r="K223" t="s">
        <v>125</v>
      </c>
      <c r="L223" t="s">
        <v>125</v>
      </c>
      <c r="M223" t="s">
        <v>873</v>
      </c>
      <c r="N223" t="b">
        <v>0</v>
      </c>
    </row>
    <row r="224" spans="1:14">
      <c r="A224">
        <v>11</v>
      </c>
      <c r="B224">
        <v>16</v>
      </c>
      <c r="C224" t="s">
        <v>205</v>
      </c>
      <c r="D224" t="s">
        <v>740</v>
      </c>
      <c r="E224" t="s">
        <v>108</v>
      </c>
      <c r="F224">
        <v>50</v>
      </c>
      <c r="G224" t="s">
        <v>125</v>
      </c>
      <c r="H224" t="s">
        <v>125</v>
      </c>
      <c r="I224" t="s">
        <v>108</v>
      </c>
      <c r="J224" t="s">
        <v>125</v>
      </c>
      <c r="K224" t="s">
        <v>125</v>
      </c>
      <c r="L224" t="s">
        <v>125</v>
      </c>
      <c r="M224" t="s">
        <v>874</v>
      </c>
      <c r="N224" t="b">
        <v>0</v>
      </c>
    </row>
    <row r="225" spans="1:14">
      <c r="A225">
        <v>11</v>
      </c>
      <c r="B225">
        <v>17</v>
      </c>
      <c r="C225" t="s">
        <v>206</v>
      </c>
      <c r="D225" t="s">
        <v>740</v>
      </c>
      <c r="E225" t="s">
        <v>90</v>
      </c>
      <c r="F225">
        <v>60</v>
      </c>
      <c r="G225" t="s">
        <v>125</v>
      </c>
      <c r="H225" t="s">
        <v>125</v>
      </c>
      <c r="I225" t="s">
        <v>90</v>
      </c>
      <c r="J225" t="s">
        <v>125</v>
      </c>
      <c r="K225" t="s">
        <v>125</v>
      </c>
      <c r="L225" t="s">
        <v>125</v>
      </c>
      <c r="M225" t="s">
        <v>875</v>
      </c>
      <c r="N225" t="b">
        <v>0</v>
      </c>
    </row>
    <row r="226" spans="1:14">
      <c r="A226">
        <v>11</v>
      </c>
      <c r="B226">
        <v>18</v>
      </c>
      <c r="C226" t="s">
        <v>207</v>
      </c>
      <c r="D226" t="s">
        <v>740</v>
      </c>
      <c r="E226" t="s">
        <v>544</v>
      </c>
      <c r="F226">
        <v>50</v>
      </c>
      <c r="G226" t="s">
        <v>759</v>
      </c>
      <c r="H226" t="s">
        <v>125</v>
      </c>
      <c r="I226" t="s">
        <v>125</v>
      </c>
      <c r="J226" t="s">
        <v>823</v>
      </c>
      <c r="K226" t="s">
        <v>824</v>
      </c>
      <c r="L226" t="s">
        <v>825</v>
      </c>
      <c r="M226" t="s">
        <v>876</v>
      </c>
      <c r="N226" t="b">
        <v>0</v>
      </c>
    </row>
    <row r="227" spans="1:14">
      <c r="A227">
        <v>11</v>
      </c>
      <c r="B227">
        <v>19</v>
      </c>
      <c r="C227" t="s">
        <v>208</v>
      </c>
      <c r="D227" t="s">
        <v>740</v>
      </c>
      <c r="E227" t="s">
        <v>103</v>
      </c>
      <c r="F227">
        <v>50</v>
      </c>
      <c r="G227" t="s">
        <v>125</v>
      </c>
      <c r="H227" t="s">
        <v>125</v>
      </c>
      <c r="I227" t="s">
        <v>103</v>
      </c>
      <c r="J227" t="s">
        <v>125</v>
      </c>
      <c r="K227" t="s">
        <v>125</v>
      </c>
      <c r="L227" t="s">
        <v>125</v>
      </c>
      <c r="M227" t="s">
        <v>877</v>
      </c>
      <c r="N227" t="b">
        <v>0</v>
      </c>
    </row>
    <row r="228" spans="1:14">
      <c r="A228">
        <v>11</v>
      </c>
      <c r="B228">
        <v>20</v>
      </c>
      <c r="C228" t="s">
        <v>125</v>
      </c>
      <c r="D228" t="s">
        <v>740</v>
      </c>
      <c r="E228" t="s">
        <v>125</v>
      </c>
      <c r="F228">
        <v>0</v>
      </c>
      <c r="G228" t="s">
        <v>125</v>
      </c>
      <c r="H228" t="s">
        <v>125</v>
      </c>
      <c r="I228" t="s">
        <v>125</v>
      </c>
      <c r="J228" t="s">
        <v>125</v>
      </c>
      <c r="K228" t="s">
        <v>125</v>
      </c>
      <c r="L228" t="s">
        <v>125</v>
      </c>
      <c r="M228" t="s">
        <v>878</v>
      </c>
      <c r="N228" t="b">
        <v>0</v>
      </c>
    </row>
    <row r="229" spans="1:14">
      <c r="A229">
        <v>11</v>
      </c>
      <c r="B229">
        <v>21</v>
      </c>
      <c r="C229" t="s">
        <v>125</v>
      </c>
      <c r="D229" t="s">
        <v>740</v>
      </c>
      <c r="E229" t="s">
        <v>125</v>
      </c>
      <c r="F229">
        <v>0</v>
      </c>
      <c r="G229" t="s">
        <v>125</v>
      </c>
      <c r="H229" t="s">
        <v>125</v>
      </c>
      <c r="I229" t="s">
        <v>125</v>
      </c>
      <c r="J229" t="s">
        <v>125</v>
      </c>
      <c r="K229" t="s">
        <v>125</v>
      </c>
      <c r="L229" t="s">
        <v>125</v>
      </c>
      <c r="M229" t="s">
        <v>879</v>
      </c>
      <c r="N229" t="b">
        <v>0</v>
      </c>
    </row>
    <row r="230" spans="1:14">
      <c r="A230">
        <v>11</v>
      </c>
      <c r="B230">
        <v>22</v>
      </c>
      <c r="C230" t="s">
        <v>125</v>
      </c>
      <c r="D230" t="s">
        <v>740</v>
      </c>
      <c r="E230" t="s">
        <v>125</v>
      </c>
      <c r="F230">
        <v>0</v>
      </c>
      <c r="G230" t="s">
        <v>125</v>
      </c>
      <c r="H230" t="s">
        <v>125</v>
      </c>
      <c r="I230" t="s">
        <v>125</v>
      </c>
      <c r="J230" t="s">
        <v>125</v>
      </c>
      <c r="K230" t="s">
        <v>125</v>
      </c>
      <c r="L230" t="s">
        <v>125</v>
      </c>
      <c r="M230" t="s">
        <v>880</v>
      </c>
      <c r="N230" t="b">
        <v>0</v>
      </c>
    </row>
    <row r="231" spans="1:14">
      <c r="A231">
        <v>11</v>
      </c>
      <c r="B231">
        <v>23</v>
      </c>
      <c r="C231" t="s">
        <v>125</v>
      </c>
      <c r="D231" t="s">
        <v>740</v>
      </c>
      <c r="E231" t="s">
        <v>125</v>
      </c>
      <c r="F231">
        <v>0</v>
      </c>
      <c r="G231" t="s">
        <v>125</v>
      </c>
      <c r="H231" t="s">
        <v>125</v>
      </c>
      <c r="I231" t="s">
        <v>125</v>
      </c>
      <c r="J231" t="s">
        <v>125</v>
      </c>
      <c r="K231" t="s">
        <v>125</v>
      </c>
      <c r="L231" t="s">
        <v>125</v>
      </c>
      <c r="M231" t="s">
        <v>881</v>
      </c>
      <c r="N231" t="b">
        <v>0</v>
      </c>
    </row>
    <row r="232" spans="1:14">
      <c r="A232">
        <v>11</v>
      </c>
      <c r="B232">
        <v>24</v>
      </c>
      <c r="C232" t="s">
        <v>125</v>
      </c>
      <c r="D232" t="s">
        <v>740</v>
      </c>
      <c r="E232" t="s">
        <v>125</v>
      </c>
      <c r="F232">
        <v>0</v>
      </c>
      <c r="G232" t="s">
        <v>125</v>
      </c>
      <c r="H232" t="s">
        <v>125</v>
      </c>
      <c r="I232" t="s">
        <v>125</v>
      </c>
      <c r="J232" t="s">
        <v>125</v>
      </c>
      <c r="K232" t="s">
        <v>125</v>
      </c>
      <c r="L232" t="s">
        <v>125</v>
      </c>
      <c r="M232" t="s">
        <v>882</v>
      </c>
      <c r="N232" t="b">
        <v>0</v>
      </c>
    </row>
    <row r="233" spans="1:14">
      <c r="A233">
        <v>11</v>
      </c>
      <c r="B233">
        <v>25</v>
      </c>
      <c r="C233" t="s">
        <v>125</v>
      </c>
      <c r="D233" t="s">
        <v>740</v>
      </c>
      <c r="E233" t="s">
        <v>125</v>
      </c>
      <c r="F233">
        <v>0</v>
      </c>
      <c r="G233" t="s">
        <v>125</v>
      </c>
      <c r="H233" t="s">
        <v>125</v>
      </c>
      <c r="I233" t="s">
        <v>125</v>
      </c>
      <c r="J233" t="s">
        <v>125</v>
      </c>
      <c r="K233" t="s">
        <v>125</v>
      </c>
      <c r="L233" t="s">
        <v>125</v>
      </c>
      <c r="M233" t="s">
        <v>883</v>
      </c>
      <c r="N233" t="b">
        <v>0</v>
      </c>
    </row>
    <row r="234" spans="1:14">
      <c r="A234">
        <v>11</v>
      </c>
      <c r="B234">
        <v>26</v>
      </c>
      <c r="C234" t="s">
        <v>125</v>
      </c>
      <c r="D234" t="s">
        <v>740</v>
      </c>
      <c r="E234" t="s">
        <v>125</v>
      </c>
      <c r="F234">
        <v>0</v>
      </c>
      <c r="G234" t="s">
        <v>125</v>
      </c>
      <c r="H234" t="s">
        <v>125</v>
      </c>
      <c r="I234" t="s">
        <v>125</v>
      </c>
      <c r="J234" t="s">
        <v>125</v>
      </c>
      <c r="K234" t="s">
        <v>125</v>
      </c>
      <c r="L234" t="s">
        <v>125</v>
      </c>
      <c r="M234" t="s">
        <v>884</v>
      </c>
      <c r="N234" t="b">
        <v>0</v>
      </c>
    </row>
    <row r="235" spans="1:14">
      <c r="A235">
        <v>12</v>
      </c>
      <c r="B235">
        <v>0</v>
      </c>
      <c r="C235" t="s">
        <v>157</v>
      </c>
      <c r="D235" t="s">
        <v>723</v>
      </c>
      <c r="E235" t="s">
        <v>82</v>
      </c>
      <c r="F235">
        <v>40</v>
      </c>
      <c r="G235" t="s">
        <v>125</v>
      </c>
      <c r="H235" t="s">
        <v>125</v>
      </c>
      <c r="I235" t="s">
        <v>82</v>
      </c>
      <c r="J235" t="s">
        <v>125</v>
      </c>
      <c r="K235" t="s">
        <v>125</v>
      </c>
      <c r="L235" t="s">
        <v>125</v>
      </c>
      <c r="M235" t="s">
        <v>885</v>
      </c>
      <c r="N235" t="b">
        <v>0</v>
      </c>
    </row>
    <row r="236" spans="1:14">
      <c r="A236">
        <v>12</v>
      </c>
      <c r="B236">
        <v>1</v>
      </c>
      <c r="C236" t="s">
        <v>209</v>
      </c>
      <c r="D236" t="s">
        <v>723</v>
      </c>
      <c r="E236" t="s">
        <v>86</v>
      </c>
      <c r="F236">
        <v>40</v>
      </c>
      <c r="G236" t="s">
        <v>125</v>
      </c>
      <c r="H236" t="s">
        <v>125</v>
      </c>
      <c r="I236" t="s">
        <v>86</v>
      </c>
      <c r="J236" t="s">
        <v>125</v>
      </c>
      <c r="K236" t="s">
        <v>125</v>
      </c>
      <c r="L236" t="s">
        <v>125</v>
      </c>
      <c r="M236" t="s">
        <v>886</v>
      </c>
      <c r="N236" t="b">
        <v>0</v>
      </c>
    </row>
    <row r="237" spans="1:14">
      <c r="A237">
        <v>12</v>
      </c>
      <c r="B237">
        <v>2</v>
      </c>
      <c r="C237" t="s">
        <v>210</v>
      </c>
      <c r="D237" t="s">
        <v>752</v>
      </c>
      <c r="E237" t="s">
        <v>544</v>
      </c>
      <c r="F237">
        <v>60</v>
      </c>
      <c r="G237" t="s">
        <v>759</v>
      </c>
      <c r="H237" t="s">
        <v>125</v>
      </c>
      <c r="I237" t="s">
        <v>125</v>
      </c>
      <c r="J237" t="s">
        <v>823</v>
      </c>
      <c r="K237" t="s">
        <v>800</v>
      </c>
      <c r="L237" t="s">
        <v>801</v>
      </c>
      <c r="M237" t="s">
        <v>887</v>
      </c>
      <c r="N237" t="b">
        <v>0</v>
      </c>
    </row>
    <row r="238" spans="1:14">
      <c r="A238">
        <v>12</v>
      </c>
      <c r="B238">
        <v>3</v>
      </c>
      <c r="C238" t="s">
        <v>207</v>
      </c>
      <c r="D238" t="s">
        <v>752</v>
      </c>
      <c r="E238" t="s">
        <v>544</v>
      </c>
      <c r="F238">
        <v>50</v>
      </c>
      <c r="G238" t="s">
        <v>759</v>
      </c>
      <c r="H238" t="s">
        <v>125</v>
      </c>
      <c r="I238" t="s">
        <v>125</v>
      </c>
      <c r="J238" t="s">
        <v>823</v>
      </c>
      <c r="K238" t="s">
        <v>824</v>
      </c>
      <c r="L238" t="s">
        <v>825</v>
      </c>
      <c r="M238" t="s">
        <v>888</v>
      </c>
      <c r="N238" t="b">
        <v>0</v>
      </c>
    </row>
    <row r="239" spans="1:14">
      <c r="A239">
        <v>12</v>
      </c>
      <c r="B239">
        <v>4</v>
      </c>
      <c r="C239" t="s">
        <v>207</v>
      </c>
      <c r="D239" t="s">
        <v>752</v>
      </c>
      <c r="E239" t="s">
        <v>544</v>
      </c>
      <c r="F239">
        <v>50</v>
      </c>
      <c r="G239" t="s">
        <v>759</v>
      </c>
      <c r="H239" t="s">
        <v>125</v>
      </c>
      <c r="I239" t="s">
        <v>125</v>
      </c>
      <c r="J239" t="s">
        <v>823</v>
      </c>
      <c r="K239" t="s">
        <v>889</v>
      </c>
      <c r="L239" t="s">
        <v>890</v>
      </c>
      <c r="M239" t="s">
        <v>891</v>
      </c>
      <c r="N239" t="b">
        <v>0</v>
      </c>
    </row>
    <row r="240" spans="1:14">
      <c r="A240">
        <v>12</v>
      </c>
      <c r="B240">
        <v>5</v>
      </c>
      <c r="C240" t="s">
        <v>125</v>
      </c>
      <c r="D240" t="s">
        <v>723</v>
      </c>
      <c r="E240" t="s">
        <v>125</v>
      </c>
      <c r="F240">
        <v>0</v>
      </c>
      <c r="G240" t="s">
        <v>125</v>
      </c>
      <c r="H240" t="s">
        <v>125</v>
      </c>
      <c r="I240" t="s">
        <v>125</v>
      </c>
      <c r="J240" t="s">
        <v>125</v>
      </c>
      <c r="K240" t="s">
        <v>125</v>
      </c>
      <c r="L240" t="s">
        <v>125</v>
      </c>
      <c r="M240" t="s">
        <v>892</v>
      </c>
      <c r="N240" t="b">
        <v>0</v>
      </c>
    </row>
    <row r="241" spans="1:14">
      <c r="A241">
        <v>12</v>
      </c>
      <c r="B241">
        <v>6</v>
      </c>
      <c r="C241" t="s">
        <v>125</v>
      </c>
      <c r="D241" t="s">
        <v>723</v>
      </c>
      <c r="E241" t="s">
        <v>125</v>
      </c>
      <c r="F241">
        <v>0</v>
      </c>
      <c r="G241" t="s">
        <v>125</v>
      </c>
      <c r="H241" t="s">
        <v>125</v>
      </c>
      <c r="I241" t="s">
        <v>125</v>
      </c>
      <c r="J241" t="s">
        <v>125</v>
      </c>
      <c r="K241" t="s">
        <v>125</v>
      </c>
      <c r="L241" t="s">
        <v>125</v>
      </c>
      <c r="M241" t="s">
        <v>893</v>
      </c>
      <c r="N241" t="b">
        <v>0</v>
      </c>
    </row>
    <row r="242" spans="1:14">
      <c r="A242">
        <v>12</v>
      </c>
      <c r="B242">
        <v>7</v>
      </c>
      <c r="C242" t="s">
        <v>125</v>
      </c>
      <c r="D242" t="s">
        <v>723</v>
      </c>
      <c r="E242" t="s">
        <v>125</v>
      </c>
      <c r="F242">
        <v>0</v>
      </c>
      <c r="G242" t="s">
        <v>125</v>
      </c>
      <c r="H242" t="s">
        <v>125</v>
      </c>
      <c r="I242" t="s">
        <v>125</v>
      </c>
      <c r="J242" t="s">
        <v>125</v>
      </c>
      <c r="K242" t="s">
        <v>125</v>
      </c>
      <c r="L242" t="s">
        <v>125</v>
      </c>
      <c r="M242" t="s">
        <v>894</v>
      </c>
      <c r="N242" t="b">
        <v>0</v>
      </c>
    </row>
    <row r="243" spans="1:14">
      <c r="A243">
        <v>12</v>
      </c>
      <c r="B243">
        <v>8</v>
      </c>
      <c r="C243" t="s">
        <v>125</v>
      </c>
      <c r="D243" t="s">
        <v>723</v>
      </c>
      <c r="E243" t="s">
        <v>125</v>
      </c>
      <c r="F243">
        <v>0</v>
      </c>
      <c r="G243" t="s">
        <v>125</v>
      </c>
      <c r="H243" t="s">
        <v>125</v>
      </c>
      <c r="I243" t="s">
        <v>125</v>
      </c>
      <c r="J243" t="s">
        <v>125</v>
      </c>
      <c r="K243" t="s">
        <v>125</v>
      </c>
      <c r="L243" t="s">
        <v>125</v>
      </c>
      <c r="M243" t="s">
        <v>895</v>
      </c>
      <c r="N243" t="b">
        <v>0</v>
      </c>
    </row>
    <row r="244" spans="1:14">
      <c r="A244">
        <v>12</v>
      </c>
      <c r="B244">
        <v>9</v>
      </c>
      <c r="C244" t="s">
        <v>125</v>
      </c>
      <c r="D244" t="s">
        <v>723</v>
      </c>
      <c r="E244" t="s">
        <v>125</v>
      </c>
      <c r="F244">
        <v>0</v>
      </c>
      <c r="G244" t="s">
        <v>125</v>
      </c>
      <c r="H244" t="s">
        <v>125</v>
      </c>
      <c r="I244" t="s">
        <v>125</v>
      </c>
      <c r="J244" t="s">
        <v>125</v>
      </c>
      <c r="K244" t="s">
        <v>125</v>
      </c>
      <c r="L244" t="s">
        <v>125</v>
      </c>
      <c r="M244" t="s">
        <v>896</v>
      </c>
      <c r="N244" t="b">
        <v>0</v>
      </c>
    </row>
    <row r="245" spans="1:14">
      <c r="A245">
        <v>12</v>
      </c>
      <c r="B245">
        <v>10</v>
      </c>
      <c r="C245" t="s">
        <v>125</v>
      </c>
      <c r="D245" t="s">
        <v>723</v>
      </c>
      <c r="E245" t="s">
        <v>125</v>
      </c>
      <c r="F245">
        <v>0</v>
      </c>
      <c r="G245" t="s">
        <v>125</v>
      </c>
      <c r="H245" t="s">
        <v>125</v>
      </c>
      <c r="I245" t="s">
        <v>125</v>
      </c>
      <c r="J245" t="s">
        <v>125</v>
      </c>
      <c r="K245" t="s">
        <v>125</v>
      </c>
      <c r="L245" t="s">
        <v>125</v>
      </c>
      <c r="M245" t="s">
        <v>897</v>
      </c>
      <c r="N245" t="b">
        <v>0</v>
      </c>
    </row>
    <row r="246" spans="1:14">
      <c r="A246">
        <v>12</v>
      </c>
      <c r="B246">
        <v>11</v>
      </c>
      <c r="C246" t="s">
        <v>125</v>
      </c>
      <c r="D246" t="s">
        <v>723</v>
      </c>
      <c r="E246" t="s">
        <v>125</v>
      </c>
      <c r="F246">
        <v>0</v>
      </c>
      <c r="G246" t="s">
        <v>125</v>
      </c>
      <c r="H246" t="s">
        <v>125</v>
      </c>
      <c r="I246" t="s">
        <v>125</v>
      </c>
      <c r="J246" t="s">
        <v>125</v>
      </c>
      <c r="K246" t="s">
        <v>125</v>
      </c>
      <c r="L246" t="s">
        <v>125</v>
      </c>
      <c r="M246" t="s">
        <v>898</v>
      </c>
      <c r="N246" t="b">
        <v>0</v>
      </c>
    </row>
    <row r="247" spans="1:14">
      <c r="A247">
        <v>12</v>
      </c>
      <c r="B247">
        <v>12</v>
      </c>
      <c r="C247" t="s">
        <v>125</v>
      </c>
      <c r="D247" t="s">
        <v>723</v>
      </c>
      <c r="E247" t="s">
        <v>125</v>
      </c>
      <c r="F247">
        <v>0</v>
      </c>
      <c r="G247" t="s">
        <v>125</v>
      </c>
      <c r="H247" t="s">
        <v>125</v>
      </c>
      <c r="I247" t="s">
        <v>125</v>
      </c>
      <c r="J247" t="s">
        <v>125</v>
      </c>
      <c r="K247" t="s">
        <v>125</v>
      </c>
      <c r="L247" t="s">
        <v>125</v>
      </c>
      <c r="M247" t="s">
        <v>899</v>
      </c>
      <c r="N247" t="b">
        <v>0</v>
      </c>
    </row>
    <row r="248" spans="1:14">
      <c r="A248">
        <v>12</v>
      </c>
      <c r="B248">
        <v>13</v>
      </c>
      <c r="C248" t="s">
        <v>125</v>
      </c>
      <c r="D248" t="s">
        <v>723</v>
      </c>
      <c r="E248" t="s">
        <v>125</v>
      </c>
      <c r="F248">
        <v>0</v>
      </c>
      <c r="G248" t="s">
        <v>125</v>
      </c>
      <c r="H248" t="s">
        <v>125</v>
      </c>
      <c r="I248" t="s">
        <v>125</v>
      </c>
      <c r="J248" t="s">
        <v>125</v>
      </c>
      <c r="K248" t="s">
        <v>125</v>
      </c>
      <c r="L248" t="s">
        <v>125</v>
      </c>
      <c r="M248" t="s">
        <v>900</v>
      </c>
      <c r="N248" t="b">
        <v>0</v>
      </c>
    </row>
    <row r="249" spans="1:14">
      <c r="A249">
        <v>12</v>
      </c>
      <c r="B249">
        <v>14</v>
      </c>
      <c r="C249" t="s">
        <v>125</v>
      </c>
      <c r="D249" t="s">
        <v>723</v>
      </c>
      <c r="E249" t="s">
        <v>125</v>
      </c>
      <c r="F249">
        <v>0</v>
      </c>
      <c r="G249" t="s">
        <v>125</v>
      </c>
      <c r="H249" t="s">
        <v>125</v>
      </c>
      <c r="I249" t="s">
        <v>125</v>
      </c>
      <c r="J249" t="s">
        <v>125</v>
      </c>
      <c r="K249" t="s">
        <v>125</v>
      </c>
      <c r="L249" t="s">
        <v>125</v>
      </c>
      <c r="M249" t="s">
        <v>901</v>
      </c>
      <c r="N249" t="b">
        <v>0</v>
      </c>
    </row>
    <row r="250" spans="1:14">
      <c r="A250">
        <v>12</v>
      </c>
      <c r="B250">
        <v>15</v>
      </c>
      <c r="C250" t="s">
        <v>125</v>
      </c>
      <c r="D250" t="s">
        <v>723</v>
      </c>
      <c r="E250" t="s">
        <v>125</v>
      </c>
      <c r="F250">
        <v>0</v>
      </c>
      <c r="G250" t="s">
        <v>125</v>
      </c>
      <c r="H250" t="s">
        <v>125</v>
      </c>
      <c r="I250" t="s">
        <v>125</v>
      </c>
      <c r="J250" t="s">
        <v>125</v>
      </c>
      <c r="K250" t="s">
        <v>125</v>
      </c>
      <c r="L250" t="s">
        <v>125</v>
      </c>
      <c r="M250" t="s">
        <v>902</v>
      </c>
      <c r="N250" t="b">
        <v>0</v>
      </c>
    </row>
    <row r="251" spans="1:14">
      <c r="A251">
        <v>12</v>
      </c>
      <c r="B251">
        <v>16</v>
      </c>
      <c r="C251" t="s">
        <v>177</v>
      </c>
      <c r="D251" t="s">
        <v>740</v>
      </c>
      <c r="E251" t="s">
        <v>59</v>
      </c>
      <c r="F251">
        <v>50</v>
      </c>
      <c r="G251" t="s">
        <v>125</v>
      </c>
      <c r="H251" t="s">
        <v>125</v>
      </c>
      <c r="I251" t="s">
        <v>59</v>
      </c>
      <c r="J251" t="s">
        <v>125</v>
      </c>
      <c r="K251" t="s">
        <v>125</v>
      </c>
      <c r="L251" t="s">
        <v>125</v>
      </c>
      <c r="M251" t="s">
        <v>903</v>
      </c>
      <c r="N251" t="b">
        <v>0</v>
      </c>
    </row>
    <row r="252" spans="1:14">
      <c r="A252">
        <v>12</v>
      </c>
      <c r="B252">
        <v>17</v>
      </c>
      <c r="C252" t="s">
        <v>179</v>
      </c>
      <c r="D252" t="s">
        <v>740</v>
      </c>
      <c r="E252" t="s">
        <v>543</v>
      </c>
      <c r="F252">
        <v>40</v>
      </c>
      <c r="G252" t="s">
        <v>759</v>
      </c>
      <c r="H252" t="s">
        <v>125</v>
      </c>
      <c r="I252" t="s">
        <v>125</v>
      </c>
      <c r="J252" t="s">
        <v>816</v>
      </c>
      <c r="K252" t="s">
        <v>791</v>
      </c>
      <c r="L252" t="s">
        <v>792</v>
      </c>
      <c r="M252" t="s">
        <v>904</v>
      </c>
      <c r="N252" t="b">
        <v>0</v>
      </c>
    </row>
    <row r="253" spans="1:14">
      <c r="A253">
        <v>12</v>
      </c>
      <c r="B253">
        <v>18</v>
      </c>
      <c r="C253" t="s">
        <v>159</v>
      </c>
      <c r="D253" t="s">
        <v>740</v>
      </c>
      <c r="E253" t="s">
        <v>296</v>
      </c>
      <c r="F253">
        <v>40</v>
      </c>
      <c r="G253" t="s">
        <v>759</v>
      </c>
      <c r="H253" t="s">
        <v>125</v>
      </c>
      <c r="I253" t="s">
        <v>125</v>
      </c>
      <c r="J253" t="s">
        <v>760</v>
      </c>
      <c r="K253" t="s">
        <v>761</v>
      </c>
      <c r="L253" t="s">
        <v>762</v>
      </c>
      <c r="M253" t="s">
        <v>905</v>
      </c>
      <c r="N253" t="b">
        <v>0</v>
      </c>
    </row>
    <row r="254" spans="1:14">
      <c r="A254">
        <v>12</v>
      </c>
      <c r="B254">
        <v>19</v>
      </c>
      <c r="C254" t="s">
        <v>211</v>
      </c>
      <c r="D254" t="s">
        <v>740</v>
      </c>
      <c r="E254" t="s">
        <v>108</v>
      </c>
      <c r="F254">
        <v>40</v>
      </c>
      <c r="G254" t="s">
        <v>125</v>
      </c>
      <c r="H254" t="s">
        <v>125</v>
      </c>
      <c r="I254" t="s">
        <v>108</v>
      </c>
      <c r="J254" t="s">
        <v>125</v>
      </c>
      <c r="K254" t="s">
        <v>125</v>
      </c>
      <c r="L254" t="s">
        <v>125</v>
      </c>
      <c r="M254" t="s">
        <v>906</v>
      </c>
      <c r="N254" t="b">
        <v>0</v>
      </c>
    </row>
    <row r="255" spans="1:14">
      <c r="A255">
        <v>12</v>
      </c>
      <c r="B255">
        <v>20</v>
      </c>
      <c r="C255" t="s">
        <v>181</v>
      </c>
      <c r="D255" t="s">
        <v>740</v>
      </c>
      <c r="E255" t="s">
        <v>60</v>
      </c>
      <c r="F255">
        <v>40</v>
      </c>
      <c r="G255" t="s">
        <v>125</v>
      </c>
      <c r="H255" t="s">
        <v>125</v>
      </c>
      <c r="I255" t="s">
        <v>60</v>
      </c>
      <c r="J255" t="s">
        <v>125</v>
      </c>
      <c r="K255" t="s">
        <v>125</v>
      </c>
      <c r="L255" t="s">
        <v>125</v>
      </c>
      <c r="M255" t="s">
        <v>907</v>
      </c>
      <c r="N255" t="b">
        <v>0</v>
      </c>
    </row>
    <row r="256" spans="1:14">
      <c r="A256">
        <v>12</v>
      </c>
      <c r="B256">
        <v>21</v>
      </c>
      <c r="C256" t="s">
        <v>212</v>
      </c>
      <c r="D256" t="s">
        <v>740</v>
      </c>
      <c r="E256" t="s">
        <v>83</v>
      </c>
      <c r="F256">
        <v>40</v>
      </c>
      <c r="G256" t="s">
        <v>125</v>
      </c>
      <c r="H256" t="s">
        <v>125</v>
      </c>
      <c r="I256" t="s">
        <v>83</v>
      </c>
      <c r="J256" t="s">
        <v>125</v>
      </c>
      <c r="K256" t="s">
        <v>125</v>
      </c>
      <c r="L256" t="s">
        <v>125</v>
      </c>
      <c r="M256" t="s">
        <v>908</v>
      </c>
      <c r="N256" t="b">
        <v>0</v>
      </c>
    </row>
    <row r="257" spans="1:14">
      <c r="A257">
        <v>12</v>
      </c>
      <c r="B257">
        <v>22</v>
      </c>
      <c r="C257" t="s">
        <v>125</v>
      </c>
      <c r="D257" t="s">
        <v>740</v>
      </c>
      <c r="E257" t="s">
        <v>125</v>
      </c>
      <c r="F257">
        <v>0</v>
      </c>
      <c r="G257" t="s">
        <v>125</v>
      </c>
      <c r="H257" t="s">
        <v>125</v>
      </c>
      <c r="I257" t="s">
        <v>125</v>
      </c>
      <c r="J257" t="s">
        <v>125</v>
      </c>
      <c r="K257" t="s">
        <v>125</v>
      </c>
      <c r="L257" t="s">
        <v>125</v>
      </c>
      <c r="M257" t="s">
        <v>909</v>
      </c>
      <c r="N257" t="b">
        <v>0</v>
      </c>
    </row>
    <row r="258" spans="1:14">
      <c r="A258">
        <v>12</v>
      </c>
      <c r="B258">
        <v>23</v>
      </c>
      <c r="C258" t="s">
        <v>125</v>
      </c>
      <c r="D258" t="s">
        <v>740</v>
      </c>
      <c r="E258" t="s">
        <v>125</v>
      </c>
      <c r="F258">
        <v>0</v>
      </c>
      <c r="G258" t="s">
        <v>125</v>
      </c>
      <c r="H258" t="s">
        <v>125</v>
      </c>
      <c r="I258" t="s">
        <v>125</v>
      </c>
      <c r="J258" t="s">
        <v>125</v>
      </c>
      <c r="K258" t="s">
        <v>125</v>
      </c>
      <c r="L258" t="s">
        <v>125</v>
      </c>
      <c r="M258" t="s">
        <v>910</v>
      </c>
      <c r="N258" t="b">
        <v>0</v>
      </c>
    </row>
    <row r="259" spans="1:14">
      <c r="A259">
        <v>12</v>
      </c>
      <c r="B259">
        <v>24</v>
      </c>
      <c r="C259" t="s">
        <v>125</v>
      </c>
      <c r="D259" t="s">
        <v>740</v>
      </c>
      <c r="E259" t="s">
        <v>125</v>
      </c>
      <c r="F259">
        <v>0</v>
      </c>
      <c r="G259" t="s">
        <v>125</v>
      </c>
      <c r="H259" t="s">
        <v>125</v>
      </c>
      <c r="I259" t="s">
        <v>125</v>
      </c>
      <c r="J259" t="s">
        <v>125</v>
      </c>
      <c r="K259" t="s">
        <v>125</v>
      </c>
      <c r="L259" t="s">
        <v>125</v>
      </c>
      <c r="M259" t="s">
        <v>911</v>
      </c>
      <c r="N259" t="b">
        <v>0</v>
      </c>
    </row>
    <row r="260" spans="1:14">
      <c r="A260">
        <v>12</v>
      </c>
      <c r="B260">
        <v>25</v>
      </c>
      <c r="C260" t="s">
        <v>125</v>
      </c>
      <c r="D260" t="s">
        <v>740</v>
      </c>
      <c r="E260" t="s">
        <v>125</v>
      </c>
      <c r="F260">
        <v>0</v>
      </c>
      <c r="G260" t="s">
        <v>125</v>
      </c>
      <c r="H260" t="s">
        <v>125</v>
      </c>
      <c r="I260" t="s">
        <v>125</v>
      </c>
      <c r="J260" t="s">
        <v>125</v>
      </c>
      <c r="K260" t="s">
        <v>125</v>
      </c>
      <c r="L260" t="s">
        <v>125</v>
      </c>
      <c r="M260" t="s">
        <v>912</v>
      </c>
      <c r="N260" t="b">
        <v>0</v>
      </c>
    </row>
    <row r="261" spans="1:14">
      <c r="A261">
        <v>12</v>
      </c>
      <c r="B261">
        <v>26</v>
      </c>
      <c r="C261" t="s">
        <v>125</v>
      </c>
      <c r="D261" t="s">
        <v>740</v>
      </c>
      <c r="E261" t="s">
        <v>125</v>
      </c>
      <c r="F261">
        <v>0</v>
      </c>
      <c r="G261" t="s">
        <v>125</v>
      </c>
      <c r="H261" t="s">
        <v>125</v>
      </c>
      <c r="I261" t="s">
        <v>125</v>
      </c>
      <c r="J261" t="s">
        <v>125</v>
      </c>
      <c r="K261" t="s">
        <v>125</v>
      </c>
      <c r="L261" t="s">
        <v>125</v>
      </c>
      <c r="M261" t="s">
        <v>913</v>
      </c>
      <c r="N261" t="b">
        <v>0</v>
      </c>
    </row>
    <row r="262" spans="1:14">
      <c r="A262">
        <v>13</v>
      </c>
      <c r="B262">
        <v>0</v>
      </c>
      <c r="C262" t="s">
        <v>215</v>
      </c>
      <c r="D262" t="s">
        <v>723</v>
      </c>
      <c r="E262" t="s">
        <v>64</v>
      </c>
      <c r="F262">
        <v>60</v>
      </c>
      <c r="G262" t="s">
        <v>125</v>
      </c>
      <c r="H262" t="s">
        <v>125</v>
      </c>
      <c r="I262" t="s">
        <v>64</v>
      </c>
      <c r="J262" t="s">
        <v>125</v>
      </c>
      <c r="K262" t="s">
        <v>125</v>
      </c>
      <c r="L262" t="s">
        <v>125</v>
      </c>
      <c r="M262" t="s">
        <v>914</v>
      </c>
      <c r="N262" t="b">
        <v>0</v>
      </c>
    </row>
    <row r="263" spans="1:14">
      <c r="A263">
        <v>13</v>
      </c>
      <c r="B263">
        <v>1</v>
      </c>
      <c r="C263" t="s">
        <v>216</v>
      </c>
      <c r="D263" t="s">
        <v>723</v>
      </c>
      <c r="E263" t="s">
        <v>76</v>
      </c>
      <c r="F263">
        <v>60</v>
      </c>
      <c r="G263" t="s">
        <v>125</v>
      </c>
      <c r="H263" t="s">
        <v>125</v>
      </c>
      <c r="I263" t="s">
        <v>76</v>
      </c>
      <c r="J263" t="s">
        <v>125</v>
      </c>
      <c r="K263" t="s">
        <v>125</v>
      </c>
      <c r="L263" t="s">
        <v>125</v>
      </c>
      <c r="M263" t="s">
        <v>915</v>
      </c>
      <c r="N263" t="b">
        <v>0</v>
      </c>
    </row>
    <row r="264" spans="1:14">
      <c r="A264">
        <v>13</v>
      </c>
      <c r="B264">
        <v>2</v>
      </c>
      <c r="C264" t="s">
        <v>217</v>
      </c>
      <c r="D264" t="s">
        <v>723</v>
      </c>
      <c r="E264" t="s">
        <v>94</v>
      </c>
      <c r="F264">
        <v>40</v>
      </c>
      <c r="G264" t="s">
        <v>125</v>
      </c>
      <c r="H264" t="s">
        <v>125</v>
      </c>
      <c r="I264" t="s">
        <v>94</v>
      </c>
      <c r="J264" t="s">
        <v>125</v>
      </c>
      <c r="K264" t="s">
        <v>125</v>
      </c>
      <c r="L264" t="s">
        <v>125</v>
      </c>
      <c r="M264" t="s">
        <v>916</v>
      </c>
      <c r="N264" t="b">
        <v>0</v>
      </c>
    </row>
    <row r="265" spans="1:14">
      <c r="A265">
        <v>13</v>
      </c>
      <c r="B265">
        <v>3</v>
      </c>
      <c r="C265" t="s">
        <v>218</v>
      </c>
      <c r="D265" t="s">
        <v>723</v>
      </c>
      <c r="E265" t="s">
        <v>100</v>
      </c>
      <c r="F265">
        <v>60</v>
      </c>
      <c r="G265" t="s">
        <v>125</v>
      </c>
      <c r="H265" t="s">
        <v>125</v>
      </c>
      <c r="I265" t="s">
        <v>100</v>
      </c>
      <c r="J265" t="s">
        <v>125</v>
      </c>
      <c r="K265" t="s">
        <v>125</v>
      </c>
      <c r="L265" t="s">
        <v>125</v>
      </c>
      <c r="M265" t="s">
        <v>917</v>
      </c>
      <c r="N265" t="b">
        <v>0</v>
      </c>
    </row>
    <row r="266" spans="1:14">
      <c r="A266">
        <v>13</v>
      </c>
      <c r="B266">
        <v>4</v>
      </c>
      <c r="C266" t="s">
        <v>197</v>
      </c>
      <c r="D266" t="s">
        <v>723</v>
      </c>
      <c r="E266" t="s">
        <v>112</v>
      </c>
      <c r="F266">
        <v>50</v>
      </c>
      <c r="G266" t="s">
        <v>125</v>
      </c>
      <c r="H266" t="s">
        <v>125</v>
      </c>
      <c r="I266" t="s">
        <v>112</v>
      </c>
      <c r="J266" t="s">
        <v>125</v>
      </c>
      <c r="K266" t="s">
        <v>125</v>
      </c>
      <c r="L266" t="s">
        <v>125</v>
      </c>
      <c r="M266" t="s">
        <v>918</v>
      </c>
      <c r="N266" t="b">
        <v>0</v>
      </c>
    </row>
    <row r="267" spans="1:14">
      <c r="A267">
        <v>13</v>
      </c>
      <c r="B267">
        <v>5</v>
      </c>
      <c r="C267" t="s">
        <v>219</v>
      </c>
      <c r="D267" t="s">
        <v>723</v>
      </c>
      <c r="E267" t="s">
        <v>67</v>
      </c>
      <c r="F267">
        <v>50</v>
      </c>
      <c r="G267" t="s">
        <v>125</v>
      </c>
      <c r="H267" t="s">
        <v>125</v>
      </c>
      <c r="I267" t="s">
        <v>67</v>
      </c>
      <c r="J267" t="s">
        <v>125</v>
      </c>
      <c r="K267" t="s">
        <v>125</v>
      </c>
      <c r="L267" t="s">
        <v>125</v>
      </c>
      <c r="M267" t="s">
        <v>919</v>
      </c>
      <c r="N267" t="b">
        <v>0</v>
      </c>
    </row>
    <row r="268" spans="1:14">
      <c r="A268">
        <v>13</v>
      </c>
      <c r="B268">
        <v>6</v>
      </c>
      <c r="C268" t="s">
        <v>220</v>
      </c>
      <c r="D268" t="s">
        <v>723</v>
      </c>
      <c r="E268" t="s">
        <v>330</v>
      </c>
      <c r="F268">
        <v>60</v>
      </c>
      <c r="G268" t="s">
        <v>125</v>
      </c>
      <c r="H268" t="s">
        <v>547</v>
      </c>
      <c r="I268" t="s">
        <v>444</v>
      </c>
      <c r="J268" t="s">
        <v>125</v>
      </c>
      <c r="K268" t="s">
        <v>920</v>
      </c>
      <c r="L268" t="s">
        <v>921</v>
      </c>
      <c r="M268" t="s">
        <v>922</v>
      </c>
      <c r="N268" t="b">
        <v>0</v>
      </c>
    </row>
    <row r="269" spans="1:14">
      <c r="A269">
        <v>13</v>
      </c>
      <c r="B269">
        <v>7</v>
      </c>
      <c r="C269" t="s">
        <v>166</v>
      </c>
      <c r="D269" t="s">
        <v>723</v>
      </c>
      <c r="E269" t="s">
        <v>73</v>
      </c>
      <c r="F269">
        <v>50</v>
      </c>
      <c r="G269" t="s">
        <v>125</v>
      </c>
      <c r="H269" t="s">
        <v>125</v>
      </c>
      <c r="I269" t="s">
        <v>73</v>
      </c>
      <c r="J269" t="s">
        <v>125</v>
      </c>
      <c r="K269" t="s">
        <v>125</v>
      </c>
      <c r="L269" t="s">
        <v>125</v>
      </c>
      <c r="M269" t="s">
        <v>923</v>
      </c>
      <c r="N269" t="b">
        <v>0</v>
      </c>
    </row>
    <row r="270" spans="1:14">
      <c r="A270">
        <v>13</v>
      </c>
      <c r="B270">
        <v>8</v>
      </c>
      <c r="C270" t="s">
        <v>221</v>
      </c>
      <c r="D270" t="s">
        <v>723</v>
      </c>
      <c r="E270" t="s">
        <v>101</v>
      </c>
      <c r="F270">
        <v>50</v>
      </c>
      <c r="G270" t="s">
        <v>125</v>
      </c>
      <c r="H270" t="s">
        <v>125</v>
      </c>
      <c r="I270" t="s">
        <v>101</v>
      </c>
      <c r="J270" t="s">
        <v>125</v>
      </c>
      <c r="K270" t="s">
        <v>125</v>
      </c>
      <c r="L270" t="s">
        <v>125</v>
      </c>
      <c r="M270" t="s">
        <v>924</v>
      </c>
      <c r="N270" t="b">
        <v>0</v>
      </c>
    </row>
    <row r="271" spans="1:14">
      <c r="A271">
        <v>13</v>
      </c>
      <c r="B271">
        <v>9</v>
      </c>
      <c r="C271" t="s">
        <v>169</v>
      </c>
      <c r="D271" t="s">
        <v>723</v>
      </c>
      <c r="E271" t="s">
        <v>105</v>
      </c>
      <c r="F271">
        <v>50</v>
      </c>
      <c r="G271" t="s">
        <v>125</v>
      </c>
      <c r="H271" t="s">
        <v>125</v>
      </c>
      <c r="I271" t="s">
        <v>105</v>
      </c>
      <c r="J271" t="s">
        <v>125</v>
      </c>
      <c r="K271" t="s">
        <v>125</v>
      </c>
      <c r="L271" t="s">
        <v>125</v>
      </c>
      <c r="M271" t="s">
        <v>925</v>
      </c>
      <c r="N271" t="b">
        <v>0</v>
      </c>
    </row>
    <row r="272" spans="1:14">
      <c r="A272">
        <v>13</v>
      </c>
      <c r="B272">
        <v>10</v>
      </c>
      <c r="C272" t="s">
        <v>222</v>
      </c>
      <c r="D272" t="s">
        <v>723</v>
      </c>
      <c r="E272" t="s">
        <v>106</v>
      </c>
      <c r="F272">
        <v>50</v>
      </c>
      <c r="G272" t="s">
        <v>125</v>
      </c>
      <c r="H272" t="s">
        <v>125</v>
      </c>
      <c r="I272" t="s">
        <v>106</v>
      </c>
      <c r="J272" t="s">
        <v>125</v>
      </c>
      <c r="K272" t="s">
        <v>125</v>
      </c>
      <c r="L272" t="s">
        <v>125</v>
      </c>
      <c r="M272" t="s">
        <v>926</v>
      </c>
      <c r="N272" t="b">
        <v>0</v>
      </c>
    </row>
    <row r="273" spans="1:14">
      <c r="A273">
        <v>13</v>
      </c>
      <c r="B273">
        <v>11</v>
      </c>
      <c r="C273" t="s">
        <v>194</v>
      </c>
      <c r="D273" t="s">
        <v>723</v>
      </c>
      <c r="E273" t="s">
        <v>107</v>
      </c>
      <c r="F273">
        <v>60</v>
      </c>
      <c r="G273" t="s">
        <v>125</v>
      </c>
      <c r="H273" t="s">
        <v>125</v>
      </c>
      <c r="I273" t="s">
        <v>107</v>
      </c>
      <c r="J273" t="s">
        <v>125</v>
      </c>
      <c r="K273" t="s">
        <v>125</v>
      </c>
      <c r="L273" t="s">
        <v>125</v>
      </c>
      <c r="M273" t="s">
        <v>927</v>
      </c>
      <c r="N273" t="b">
        <v>0</v>
      </c>
    </row>
    <row r="274" spans="1:14">
      <c r="A274">
        <v>13</v>
      </c>
      <c r="B274">
        <v>12</v>
      </c>
      <c r="C274" t="s">
        <v>125</v>
      </c>
      <c r="D274" t="s">
        <v>723</v>
      </c>
      <c r="E274" t="s">
        <v>125</v>
      </c>
      <c r="F274">
        <v>0</v>
      </c>
      <c r="G274" t="s">
        <v>125</v>
      </c>
      <c r="H274" t="s">
        <v>125</v>
      </c>
      <c r="I274" t="s">
        <v>125</v>
      </c>
      <c r="J274" t="s">
        <v>125</v>
      </c>
      <c r="K274" t="s">
        <v>125</v>
      </c>
      <c r="L274" t="s">
        <v>125</v>
      </c>
      <c r="M274" t="s">
        <v>928</v>
      </c>
      <c r="N274" t="b">
        <v>0</v>
      </c>
    </row>
    <row r="275" spans="1:14">
      <c r="A275">
        <v>13</v>
      </c>
      <c r="B275">
        <v>13</v>
      </c>
      <c r="C275" t="s">
        <v>125</v>
      </c>
      <c r="D275" t="s">
        <v>723</v>
      </c>
      <c r="E275" t="s">
        <v>125</v>
      </c>
      <c r="F275">
        <v>0</v>
      </c>
      <c r="G275" t="s">
        <v>125</v>
      </c>
      <c r="H275" t="s">
        <v>125</v>
      </c>
      <c r="I275" t="s">
        <v>125</v>
      </c>
      <c r="J275" t="s">
        <v>125</v>
      </c>
      <c r="K275" t="s">
        <v>125</v>
      </c>
      <c r="L275" t="s">
        <v>125</v>
      </c>
      <c r="M275" t="s">
        <v>929</v>
      </c>
      <c r="N275" t="b">
        <v>0</v>
      </c>
    </row>
    <row r="276" spans="1:14">
      <c r="A276">
        <v>13</v>
      </c>
      <c r="B276">
        <v>14</v>
      </c>
      <c r="C276" t="s">
        <v>125</v>
      </c>
      <c r="D276" t="s">
        <v>723</v>
      </c>
      <c r="E276" t="s">
        <v>125</v>
      </c>
      <c r="F276">
        <v>0</v>
      </c>
      <c r="G276" t="s">
        <v>125</v>
      </c>
      <c r="H276" t="s">
        <v>125</v>
      </c>
      <c r="I276" t="s">
        <v>125</v>
      </c>
      <c r="J276" t="s">
        <v>125</v>
      </c>
      <c r="K276" t="s">
        <v>125</v>
      </c>
      <c r="L276" t="s">
        <v>125</v>
      </c>
      <c r="M276" t="s">
        <v>930</v>
      </c>
      <c r="N276" t="b">
        <v>0</v>
      </c>
    </row>
    <row r="277" spans="1:14">
      <c r="A277">
        <v>13</v>
      </c>
      <c r="B277">
        <v>15</v>
      </c>
      <c r="C277" t="s">
        <v>125</v>
      </c>
      <c r="D277" t="s">
        <v>723</v>
      </c>
      <c r="E277" t="s">
        <v>125</v>
      </c>
      <c r="F277">
        <v>0</v>
      </c>
      <c r="G277" t="s">
        <v>125</v>
      </c>
      <c r="H277" t="s">
        <v>125</v>
      </c>
      <c r="I277" t="s">
        <v>125</v>
      </c>
      <c r="J277" t="s">
        <v>125</v>
      </c>
      <c r="K277" t="s">
        <v>125</v>
      </c>
      <c r="L277" t="s">
        <v>125</v>
      </c>
      <c r="M277" t="s">
        <v>931</v>
      </c>
      <c r="N277" t="b">
        <v>0</v>
      </c>
    </row>
    <row r="278" spans="1:14">
      <c r="A278">
        <v>13</v>
      </c>
      <c r="B278">
        <v>16</v>
      </c>
      <c r="C278" t="s">
        <v>125</v>
      </c>
      <c r="D278" t="s">
        <v>740</v>
      </c>
      <c r="E278" t="s">
        <v>125</v>
      </c>
      <c r="F278">
        <v>0</v>
      </c>
      <c r="G278" t="s">
        <v>125</v>
      </c>
      <c r="H278" t="s">
        <v>125</v>
      </c>
      <c r="I278" t="s">
        <v>125</v>
      </c>
      <c r="J278" t="s">
        <v>125</v>
      </c>
      <c r="K278" t="s">
        <v>125</v>
      </c>
      <c r="L278" t="s">
        <v>125</v>
      </c>
      <c r="M278" t="s">
        <v>932</v>
      </c>
      <c r="N278" t="b">
        <v>0</v>
      </c>
    </row>
    <row r="279" spans="1:14">
      <c r="A279">
        <v>13</v>
      </c>
      <c r="B279">
        <v>17</v>
      </c>
      <c r="C279" t="s">
        <v>125</v>
      </c>
      <c r="D279" t="s">
        <v>740</v>
      </c>
      <c r="E279" t="s">
        <v>125</v>
      </c>
      <c r="F279">
        <v>0</v>
      </c>
      <c r="G279" t="s">
        <v>125</v>
      </c>
      <c r="H279" t="s">
        <v>125</v>
      </c>
      <c r="I279" t="s">
        <v>125</v>
      </c>
      <c r="J279" t="s">
        <v>125</v>
      </c>
      <c r="K279" t="s">
        <v>125</v>
      </c>
      <c r="L279" t="s">
        <v>125</v>
      </c>
      <c r="M279" t="s">
        <v>933</v>
      </c>
      <c r="N279" t="b">
        <v>0</v>
      </c>
    </row>
    <row r="280" spans="1:14">
      <c r="A280">
        <v>13</v>
      </c>
      <c r="B280">
        <v>18</v>
      </c>
      <c r="C280" t="s">
        <v>125</v>
      </c>
      <c r="D280" t="s">
        <v>740</v>
      </c>
      <c r="E280" t="s">
        <v>125</v>
      </c>
      <c r="F280">
        <v>0</v>
      </c>
      <c r="G280" t="s">
        <v>125</v>
      </c>
      <c r="H280" t="s">
        <v>125</v>
      </c>
      <c r="I280" t="s">
        <v>125</v>
      </c>
      <c r="J280" t="s">
        <v>125</v>
      </c>
      <c r="K280" t="s">
        <v>125</v>
      </c>
      <c r="L280" t="s">
        <v>125</v>
      </c>
      <c r="M280" t="s">
        <v>934</v>
      </c>
      <c r="N280" t="b">
        <v>0</v>
      </c>
    </row>
    <row r="281" spans="1:14">
      <c r="A281">
        <v>13</v>
      </c>
      <c r="B281">
        <v>19</v>
      </c>
      <c r="C281" t="s">
        <v>125</v>
      </c>
      <c r="D281" t="s">
        <v>740</v>
      </c>
      <c r="E281" t="s">
        <v>125</v>
      </c>
      <c r="F281">
        <v>0</v>
      </c>
      <c r="G281" t="s">
        <v>125</v>
      </c>
      <c r="H281" t="s">
        <v>125</v>
      </c>
      <c r="I281" t="s">
        <v>125</v>
      </c>
      <c r="J281" t="s">
        <v>125</v>
      </c>
      <c r="K281" t="s">
        <v>125</v>
      </c>
      <c r="L281" t="s">
        <v>125</v>
      </c>
      <c r="M281" t="s">
        <v>935</v>
      </c>
      <c r="N281" t="b">
        <v>0</v>
      </c>
    </row>
    <row r="282" spans="1:14">
      <c r="A282">
        <v>13</v>
      </c>
      <c r="B282">
        <v>20</v>
      </c>
      <c r="C282" t="s">
        <v>125</v>
      </c>
      <c r="D282" t="s">
        <v>740</v>
      </c>
      <c r="E282" t="s">
        <v>125</v>
      </c>
      <c r="F282">
        <v>0</v>
      </c>
      <c r="G282" t="s">
        <v>125</v>
      </c>
      <c r="H282" t="s">
        <v>125</v>
      </c>
      <c r="I282" t="s">
        <v>125</v>
      </c>
      <c r="J282" t="s">
        <v>125</v>
      </c>
      <c r="K282" t="s">
        <v>125</v>
      </c>
      <c r="L282" t="s">
        <v>125</v>
      </c>
      <c r="M282" t="s">
        <v>936</v>
      </c>
      <c r="N282" t="b">
        <v>0</v>
      </c>
    </row>
    <row r="283" spans="1:14">
      <c r="A283">
        <v>13</v>
      </c>
      <c r="B283">
        <v>21</v>
      </c>
      <c r="C283" t="s">
        <v>125</v>
      </c>
      <c r="D283" t="s">
        <v>740</v>
      </c>
      <c r="E283" t="s">
        <v>125</v>
      </c>
      <c r="F283">
        <v>0</v>
      </c>
      <c r="G283" t="s">
        <v>125</v>
      </c>
      <c r="H283" t="s">
        <v>125</v>
      </c>
      <c r="I283" t="s">
        <v>125</v>
      </c>
      <c r="J283" t="s">
        <v>125</v>
      </c>
      <c r="K283" t="s">
        <v>125</v>
      </c>
      <c r="L283" t="s">
        <v>125</v>
      </c>
      <c r="M283" t="s">
        <v>937</v>
      </c>
      <c r="N283" t="b">
        <v>0</v>
      </c>
    </row>
    <row r="284" spans="1:14">
      <c r="A284">
        <v>13</v>
      </c>
      <c r="B284">
        <v>22</v>
      </c>
      <c r="C284" t="s">
        <v>125</v>
      </c>
      <c r="D284" t="s">
        <v>740</v>
      </c>
      <c r="E284" t="s">
        <v>125</v>
      </c>
      <c r="F284">
        <v>0</v>
      </c>
      <c r="G284" t="s">
        <v>125</v>
      </c>
      <c r="H284" t="s">
        <v>125</v>
      </c>
      <c r="I284" t="s">
        <v>125</v>
      </c>
      <c r="J284" t="s">
        <v>125</v>
      </c>
      <c r="K284" t="s">
        <v>125</v>
      </c>
      <c r="L284" t="s">
        <v>125</v>
      </c>
      <c r="M284" t="s">
        <v>938</v>
      </c>
      <c r="N284" t="b">
        <v>0</v>
      </c>
    </row>
    <row r="285" spans="1:14">
      <c r="A285">
        <v>13</v>
      </c>
      <c r="B285">
        <v>23</v>
      </c>
      <c r="C285" t="s">
        <v>125</v>
      </c>
      <c r="D285" t="s">
        <v>740</v>
      </c>
      <c r="E285" t="s">
        <v>125</v>
      </c>
      <c r="F285">
        <v>0</v>
      </c>
      <c r="G285" t="s">
        <v>125</v>
      </c>
      <c r="H285" t="s">
        <v>125</v>
      </c>
      <c r="I285" t="s">
        <v>125</v>
      </c>
      <c r="J285" t="s">
        <v>125</v>
      </c>
      <c r="K285" t="s">
        <v>125</v>
      </c>
      <c r="L285" t="s">
        <v>125</v>
      </c>
      <c r="M285" t="s">
        <v>939</v>
      </c>
      <c r="N285" t="b">
        <v>0</v>
      </c>
    </row>
    <row r="286" spans="1:14">
      <c r="A286">
        <v>13</v>
      </c>
      <c r="B286">
        <v>24</v>
      </c>
      <c r="C286" t="s">
        <v>125</v>
      </c>
      <c r="D286" t="s">
        <v>740</v>
      </c>
      <c r="E286" t="s">
        <v>125</v>
      </c>
      <c r="F286">
        <v>0</v>
      </c>
      <c r="G286" t="s">
        <v>125</v>
      </c>
      <c r="H286" t="s">
        <v>125</v>
      </c>
      <c r="I286" t="s">
        <v>125</v>
      </c>
      <c r="J286" t="s">
        <v>125</v>
      </c>
      <c r="K286" t="s">
        <v>125</v>
      </c>
      <c r="L286" t="s">
        <v>125</v>
      </c>
      <c r="M286" t="s">
        <v>940</v>
      </c>
      <c r="N286" t="b">
        <v>0</v>
      </c>
    </row>
    <row r="287" spans="1:14">
      <c r="A287">
        <v>13</v>
      </c>
      <c r="B287">
        <v>25</v>
      </c>
      <c r="C287" t="s">
        <v>125</v>
      </c>
      <c r="D287" t="s">
        <v>740</v>
      </c>
      <c r="E287" t="s">
        <v>125</v>
      </c>
      <c r="F287">
        <v>0</v>
      </c>
      <c r="G287" t="s">
        <v>125</v>
      </c>
      <c r="H287" t="s">
        <v>125</v>
      </c>
      <c r="I287" t="s">
        <v>125</v>
      </c>
      <c r="J287" t="s">
        <v>125</v>
      </c>
      <c r="K287" t="s">
        <v>125</v>
      </c>
      <c r="L287" t="s">
        <v>125</v>
      </c>
      <c r="M287" t="s">
        <v>941</v>
      </c>
      <c r="N287" t="b">
        <v>0</v>
      </c>
    </row>
    <row r="288" spans="1:14">
      <c r="A288">
        <v>13</v>
      </c>
      <c r="B288">
        <v>26</v>
      </c>
      <c r="C288" t="s">
        <v>125</v>
      </c>
      <c r="D288" t="s">
        <v>740</v>
      </c>
      <c r="E288" t="s">
        <v>125</v>
      </c>
      <c r="F288">
        <v>0</v>
      </c>
      <c r="G288" t="s">
        <v>125</v>
      </c>
      <c r="H288" t="s">
        <v>125</v>
      </c>
      <c r="I288" t="s">
        <v>125</v>
      </c>
      <c r="J288" t="s">
        <v>125</v>
      </c>
      <c r="K288" t="s">
        <v>125</v>
      </c>
      <c r="L288" t="s">
        <v>125</v>
      </c>
      <c r="M288" t="s">
        <v>942</v>
      </c>
      <c r="N288" t="b">
        <v>0</v>
      </c>
    </row>
    <row r="289" spans="1:14">
      <c r="A289">
        <v>14</v>
      </c>
      <c r="B289">
        <v>0</v>
      </c>
      <c r="C289" t="s">
        <v>185</v>
      </c>
      <c r="D289" t="s">
        <v>723</v>
      </c>
      <c r="E289" t="s">
        <v>64</v>
      </c>
      <c r="F289">
        <v>50</v>
      </c>
      <c r="G289" t="s">
        <v>125</v>
      </c>
      <c r="H289" t="s">
        <v>125</v>
      </c>
      <c r="I289" t="s">
        <v>64</v>
      </c>
      <c r="J289" t="s">
        <v>125</v>
      </c>
      <c r="K289" t="s">
        <v>125</v>
      </c>
      <c r="L289" t="s">
        <v>125</v>
      </c>
      <c r="M289" t="s">
        <v>943</v>
      </c>
      <c r="N289" t="b">
        <v>0</v>
      </c>
    </row>
    <row r="290" spans="1:14">
      <c r="A290">
        <v>14</v>
      </c>
      <c r="B290">
        <v>1</v>
      </c>
      <c r="C290" t="s">
        <v>225</v>
      </c>
      <c r="D290" t="s">
        <v>723</v>
      </c>
      <c r="E290" t="s">
        <v>76</v>
      </c>
      <c r="F290">
        <v>50</v>
      </c>
      <c r="G290" t="s">
        <v>125</v>
      </c>
      <c r="H290" t="s">
        <v>125</v>
      </c>
      <c r="I290" t="s">
        <v>76</v>
      </c>
      <c r="J290" t="s">
        <v>125</v>
      </c>
      <c r="K290" t="s">
        <v>125</v>
      </c>
      <c r="L290" t="s">
        <v>125</v>
      </c>
      <c r="M290" t="s">
        <v>944</v>
      </c>
      <c r="N290" t="b">
        <v>0</v>
      </c>
    </row>
    <row r="291" spans="1:14">
      <c r="A291">
        <v>14</v>
      </c>
      <c r="B291">
        <v>2</v>
      </c>
      <c r="C291" t="s">
        <v>226</v>
      </c>
      <c r="D291" t="s">
        <v>723</v>
      </c>
      <c r="E291" t="s">
        <v>92</v>
      </c>
      <c r="F291">
        <v>60</v>
      </c>
      <c r="G291" t="s">
        <v>125</v>
      </c>
      <c r="H291" t="s">
        <v>125</v>
      </c>
      <c r="I291" t="s">
        <v>92</v>
      </c>
      <c r="J291" t="s">
        <v>125</v>
      </c>
      <c r="K291" t="s">
        <v>125</v>
      </c>
      <c r="L291" t="s">
        <v>125</v>
      </c>
      <c r="M291" t="s">
        <v>945</v>
      </c>
      <c r="N291" t="b">
        <v>0</v>
      </c>
    </row>
    <row r="292" spans="1:14">
      <c r="A292">
        <v>14</v>
      </c>
      <c r="B292">
        <v>3</v>
      </c>
      <c r="C292" t="s">
        <v>227</v>
      </c>
      <c r="D292" t="s">
        <v>723</v>
      </c>
      <c r="E292" t="s">
        <v>96</v>
      </c>
      <c r="F292">
        <v>40</v>
      </c>
      <c r="G292" t="s">
        <v>125</v>
      </c>
      <c r="H292" t="s">
        <v>125</v>
      </c>
      <c r="I292" t="s">
        <v>96</v>
      </c>
      <c r="J292" t="s">
        <v>125</v>
      </c>
      <c r="K292" t="s">
        <v>125</v>
      </c>
      <c r="L292" t="s">
        <v>125</v>
      </c>
      <c r="M292" t="s">
        <v>946</v>
      </c>
      <c r="N292" t="b">
        <v>0</v>
      </c>
    </row>
    <row r="293" spans="1:14">
      <c r="A293">
        <v>14</v>
      </c>
      <c r="B293">
        <v>4</v>
      </c>
      <c r="C293" t="s">
        <v>187</v>
      </c>
      <c r="D293" t="s">
        <v>723</v>
      </c>
      <c r="E293" t="s">
        <v>98</v>
      </c>
      <c r="F293">
        <v>50</v>
      </c>
      <c r="G293" t="s">
        <v>125</v>
      </c>
      <c r="H293" t="s">
        <v>125</v>
      </c>
      <c r="I293" t="s">
        <v>98</v>
      </c>
      <c r="J293" t="s">
        <v>125</v>
      </c>
      <c r="K293" t="s">
        <v>125</v>
      </c>
      <c r="L293" t="s">
        <v>125</v>
      </c>
      <c r="M293" t="s">
        <v>947</v>
      </c>
      <c r="N293" t="b">
        <v>0</v>
      </c>
    </row>
    <row r="294" spans="1:14">
      <c r="A294">
        <v>14</v>
      </c>
      <c r="B294">
        <v>5</v>
      </c>
      <c r="C294" t="s">
        <v>228</v>
      </c>
      <c r="D294" t="s">
        <v>723</v>
      </c>
      <c r="E294" t="s">
        <v>100</v>
      </c>
      <c r="F294">
        <v>40</v>
      </c>
      <c r="G294" t="s">
        <v>125</v>
      </c>
      <c r="H294" t="s">
        <v>125</v>
      </c>
      <c r="I294" t="s">
        <v>100</v>
      </c>
      <c r="J294" t="s">
        <v>125</v>
      </c>
      <c r="K294" t="s">
        <v>125</v>
      </c>
      <c r="L294" t="s">
        <v>125</v>
      </c>
      <c r="M294" t="s">
        <v>948</v>
      </c>
      <c r="N294" t="b">
        <v>0</v>
      </c>
    </row>
    <row r="295" spans="1:14">
      <c r="A295">
        <v>14</v>
      </c>
      <c r="B295">
        <v>6</v>
      </c>
      <c r="C295" t="s">
        <v>229</v>
      </c>
      <c r="D295" t="s">
        <v>723</v>
      </c>
      <c r="E295" t="s">
        <v>60</v>
      </c>
      <c r="F295">
        <v>20</v>
      </c>
      <c r="G295" t="s">
        <v>125</v>
      </c>
      <c r="H295" t="s">
        <v>125</v>
      </c>
      <c r="I295" t="s">
        <v>60</v>
      </c>
      <c r="J295" t="s">
        <v>125</v>
      </c>
      <c r="K295" t="s">
        <v>125</v>
      </c>
      <c r="L295" t="s">
        <v>125</v>
      </c>
      <c r="M295" t="s">
        <v>949</v>
      </c>
      <c r="N295" t="b">
        <v>0</v>
      </c>
    </row>
    <row r="296" spans="1:14">
      <c r="A296">
        <v>14</v>
      </c>
      <c r="B296">
        <v>7</v>
      </c>
      <c r="C296" t="s">
        <v>230</v>
      </c>
      <c r="D296" t="s">
        <v>723</v>
      </c>
      <c r="E296" t="s">
        <v>67</v>
      </c>
      <c r="F296">
        <v>40</v>
      </c>
      <c r="G296" t="s">
        <v>125</v>
      </c>
      <c r="H296" t="s">
        <v>125</v>
      </c>
      <c r="I296" t="s">
        <v>67</v>
      </c>
      <c r="J296" t="s">
        <v>125</v>
      </c>
      <c r="K296" t="s">
        <v>125</v>
      </c>
      <c r="L296" t="s">
        <v>125</v>
      </c>
      <c r="M296" t="s">
        <v>950</v>
      </c>
      <c r="N296" t="b">
        <v>0</v>
      </c>
    </row>
    <row r="297" spans="1:14">
      <c r="A297">
        <v>14</v>
      </c>
      <c r="B297">
        <v>8</v>
      </c>
      <c r="C297" t="s">
        <v>192</v>
      </c>
      <c r="D297" t="s">
        <v>723</v>
      </c>
      <c r="E297" t="s">
        <v>77</v>
      </c>
      <c r="F297">
        <v>50</v>
      </c>
      <c r="G297" t="s">
        <v>125</v>
      </c>
      <c r="H297" t="s">
        <v>125</v>
      </c>
      <c r="I297" t="s">
        <v>77</v>
      </c>
      <c r="J297" t="s">
        <v>125</v>
      </c>
      <c r="K297" t="s">
        <v>125</v>
      </c>
      <c r="L297" t="s">
        <v>125</v>
      </c>
      <c r="M297" t="s">
        <v>951</v>
      </c>
      <c r="N297" t="b">
        <v>0</v>
      </c>
    </row>
    <row r="298" spans="1:14">
      <c r="A298">
        <v>14</v>
      </c>
      <c r="B298">
        <v>9</v>
      </c>
      <c r="C298" t="s">
        <v>221</v>
      </c>
      <c r="D298" t="s">
        <v>723</v>
      </c>
      <c r="E298" t="s">
        <v>101</v>
      </c>
      <c r="F298">
        <v>50</v>
      </c>
      <c r="G298" t="s">
        <v>125</v>
      </c>
      <c r="H298" t="s">
        <v>125</v>
      </c>
      <c r="I298" t="s">
        <v>101</v>
      </c>
      <c r="J298" t="s">
        <v>125</v>
      </c>
      <c r="K298" t="s">
        <v>125</v>
      </c>
      <c r="L298" t="s">
        <v>125</v>
      </c>
      <c r="M298" t="s">
        <v>952</v>
      </c>
      <c r="N298" t="b">
        <v>0</v>
      </c>
    </row>
    <row r="299" spans="1:14">
      <c r="A299">
        <v>14</v>
      </c>
      <c r="B299">
        <v>10</v>
      </c>
      <c r="C299" t="s">
        <v>231</v>
      </c>
      <c r="D299" t="s">
        <v>723</v>
      </c>
      <c r="E299" t="s">
        <v>107</v>
      </c>
      <c r="F299">
        <v>50</v>
      </c>
      <c r="G299" t="s">
        <v>125</v>
      </c>
      <c r="H299" t="s">
        <v>125</v>
      </c>
      <c r="I299" t="s">
        <v>107</v>
      </c>
      <c r="J299" t="s">
        <v>125</v>
      </c>
      <c r="K299" t="s">
        <v>125</v>
      </c>
      <c r="L299" t="s">
        <v>125</v>
      </c>
      <c r="M299" t="s">
        <v>953</v>
      </c>
      <c r="N299" t="b">
        <v>0</v>
      </c>
    </row>
    <row r="300" spans="1:14">
      <c r="A300">
        <v>14</v>
      </c>
      <c r="B300">
        <v>11</v>
      </c>
      <c r="C300" t="s">
        <v>125</v>
      </c>
      <c r="D300" t="s">
        <v>723</v>
      </c>
      <c r="E300" t="s">
        <v>125</v>
      </c>
      <c r="F300">
        <v>0</v>
      </c>
      <c r="G300" t="s">
        <v>125</v>
      </c>
      <c r="H300" t="s">
        <v>125</v>
      </c>
      <c r="I300" t="s">
        <v>125</v>
      </c>
      <c r="J300" t="s">
        <v>125</v>
      </c>
      <c r="K300" t="s">
        <v>125</v>
      </c>
      <c r="L300" t="s">
        <v>125</v>
      </c>
      <c r="M300" t="s">
        <v>954</v>
      </c>
      <c r="N300" t="b">
        <v>0</v>
      </c>
    </row>
    <row r="301" spans="1:14">
      <c r="A301">
        <v>14</v>
      </c>
      <c r="B301">
        <v>12</v>
      </c>
      <c r="C301" t="s">
        <v>125</v>
      </c>
      <c r="D301" t="s">
        <v>723</v>
      </c>
      <c r="E301" t="s">
        <v>125</v>
      </c>
      <c r="F301">
        <v>0</v>
      </c>
      <c r="G301" t="s">
        <v>125</v>
      </c>
      <c r="H301" t="s">
        <v>125</v>
      </c>
      <c r="I301" t="s">
        <v>125</v>
      </c>
      <c r="J301" t="s">
        <v>125</v>
      </c>
      <c r="K301" t="s">
        <v>125</v>
      </c>
      <c r="L301" t="s">
        <v>125</v>
      </c>
      <c r="M301" t="s">
        <v>955</v>
      </c>
      <c r="N301" t="b">
        <v>0</v>
      </c>
    </row>
    <row r="302" spans="1:14">
      <c r="A302">
        <v>14</v>
      </c>
      <c r="B302">
        <v>13</v>
      </c>
      <c r="C302" t="s">
        <v>125</v>
      </c>
      <c r="D302" t="s">
        <v>723</v>
      </c>
      <c r="E302" t="s">
        <v>125</v>
      </c>
      <c r="F302">
        <v>0</v>
      </c>
      <c r="G302" t="s">
        <v>125</v>
      </c>
      <c r="H302" t="s">
        <v>125</v>
      </c>
      <c r="I302" t="s">
        <v>125</v>
      </c>
      <c r="J302" t="s">
        <v>125</v>
      </c>
      <c r="K302" t="s">
        <v>125</v>
      </c>
      <c r="L302" t="s">
        <v>125</v>
      </c>
      <c r="M302" t="s">
        <v>956</v>
      </c>
      <c r="N302" t="b">
        <v>0</v>
      </c>
    </row>
    <row r="303" spans="1:14">
      <c r="A303">
        <v>14</v>
      </c>
      <c r="B303">
        <v>14</v>
      </c>
      <c r="C303" t="s">
        <v>125</v>
      </c>
      <c r="D303" t="s">
        <v>723</v>
      </c>
      <c r="E303" t="s">
        <v>125</v>
      </c>
      <c r="F303">
        <v>0</v>
      </c>
      <c r="G303" t="s">
        <v>125</v>
      </c>
      <c r="H303" t="s">
        <v>125</v>
      </c>
      <c r="I303" t="s">
        <v>125</v>
      </c>
      <c r="J303" t="s">
        <v>125</v>
      </c>
      <c r="K303" t="s">
        <v>125</v>
      </c>
      <c r="L303" t="s">
        <v>125</v>
      </c>
      <c r="M303" t="s">
        <v>957</v>
      </c>
      <c r="N303" t="b">
        <v>0</v>
      </c>
    </row>
    <row r="304" spans="1:14">
      <c r="A304">
        <v>14</v>
      </c>
      <c r="B304">
        <v>15</v>
      </c>
      <c r="C304" t="s">
        <v>125</v>
      </c>
      <c r="D304" t="s">
        <v>723</v>
      </c>
      <c r="E304" t="s">
        <v>125</v>
      </c>
      <c r="F304">
        <v>0</v>
      </c>
      <c r="G304" t="s">
        <v>125</v>
      </c>
      <c r="H304" t="s">
        <v>125</v>
      </c>
      <c r="I304" t="s">
        <v>125</v>
      </c>
      <c r="J304" t="s">
        <v>125</v>
      </c>
      <c r="K304" t="s">
        <v>125</v>
      </c>
      <c r="L304" t="s">
        <v>125</v>
      </c>
      <c r="M304" t="s">
        <v>958</v>
      </c>
      <c r="N304" t="b">
        <v>0</v>
      </c>
    </row>
    <row r="305" spans="1:14">
      <c r="A305">
        <v>14</v>
      </c>
      <c r="B305">
        <v>16</v>
      </c>
      <c r="C305" t="s">
        <v>232</v>
      </c>
      <c r="D305" t="s">
        <v>740</v>
      </c>
      <c r="E305" t="s">
        <v>543</v>
      </c>
      <c r="F305">
        <v>40</v>
      </c>
      <c r="G305" t="s">
        <v>125</v>
      </c>
      <c r="H305" t="s">
        <v>561</v>
      </c>
      <c r="I305" t="s">
        <v>508</v>
      </c>
      <c r="J305" t="s">
        <v>125</v>
      </c>
      <c r="K305" t="s">
        <v>791</v>
      </c>
      <c r="L305" t="s">
        <v>792</v>
      </c>
      <c r="M305" t="s">
        <v>959</v>
      </c>
      <c r="N305" t="b">
        <v>0</v>
      </c>
    </row>
    <row r="306" spans="1:14">
      <c r="A306">
        <v>14</v>
      </c>
      <c r="B306">
        <v>17</v>
      </c>
      <c r="C306" t="s">
        <v>217</v>
      </c>
      <c r="D306" t="s">
        <v>740</v>
      </c>
      <c r="E306" t="s">
        <v>94</v>
      </c>
      <c r="F306">
        <v>40</v>
      </c>
      <c r="G306" t="s">
        <v>125</v>
      </c>
      <c r="H306" t="s">
        <v>125</v>
      </c>
      <c r="I306" t="s">
        <v>94</v>
      </c>
      <c r="J306" t="s">
        <v>125</v>
      </c>
      <c r="K306" t="s">
        <v>125</v>
      </c>
      <c r="L306" t="s">
        <v>125</v>
      </c>
      <c r="M306" t="s">
        <v>668</v>
      </c>
      <c r="N306" t="b">
        <v>0</v>
      </c>
    </row>
    <row r="307" spans="1:14">
      <c r="A307">
        <v>14</v>
      </c>
      <c r="B307">
        <v>18</v>
      </c>
      <c r="C307" t="s">
        <v>233</v>
      </c>
      <c r="D307" t="s">
        <v>740</v>
      </c>
      <c r="E307" t="s">
        <v>95</v>
      </c>
      <c r="F307">
        <v>50</v>
      </c>
      <c r="G307" t="s">
        <v>125</v>
      </c>
      <c r="H307" t="s">
        <v>125</v>
      </c>
      <c r="I307" t="s">
        <v>95</v>
      </c>
      <c r="J307" t="s">
        <v>125</v>
      </c>
      <c r="K307" t="s">
        <v>125</v>
      </c>
      <c r="L307" t="s">
        <v>125</v>
      </c>
      <c r="M307" t="s">
        <v>960</v>
      </c>
      <c r="N307" t="b">
        <v>0</v>
      </c>
    </row>
    <row r="308" spans="1:14">
      <c r="A308">
        <v>14</v>
      </c>
      <c r="B308">
        <v>19</v>
      </c>
      <c r="C308" t="s">
        <v>159</v>
      </c>
      <c r="D308" t="s">
        <v>740</v>
      </c>
      <c r="E308" t="s">
        <v>296</v>
      </c>
      <c r="F308">
        <v>40</v>
      </c>
      <c r="G308" t="s">
        <v>759</v>
      </c>
      <c r="H308" t="s">
        <v>125</v>
      </c>
      <c r="I308" t="s">
        <v>125</v>
      </c>
      <c r="J308" t="s">
        <v>760</v>
      </c>
      <c r="K308" t="s">
        <v>761</v>
      </c>
      <c r="L308" t="s">
        <v>762</v>
      </c>
      <c r="M308" t="s">
        <v>961</v>
      </c>
      <c r="N308" t="b">
        <v>0</v>
      </c>
    </row>
    <row r="309" spans="1:14">
      <c r="A309">
        <v>14</v>
      </c>
      <c r="B309">
        <v>20</v>
      </c>
      <c r="C309" t="s">
        <v>211</v>
      </c>
      <c r="D309" t="s">
        <v>740</v>
      </c>
      <c r="E309" t="s">
        <v>108</v>
      </c>
      <c r="F309">
        <v>40</v>
      </c>
      <c r="G309" t="s">
        <v>125</v>
      </c>
      <c r="H309" t="s">
        <v>125</v>
      </c>
      <c r="I309" t="s">
        <v>108</v>
      </c>
      <c r="J309" t="s">
        <v>125</v>
      </c>
      <c r="K309" t="s">
        <v>125</v>
      </c>
      <c r="L309" t="s">
        <v>125</v>
      </c>
      <c r="M309" t="s">
        <v>962</v>
      </c>
      <c r="N309" t="b">
        <v>0</v>
      </c>
    </row>
    <row r="310" spans="1:14">
      <c r="A310">
        <v>14</v>
      </c>
      <c r="B310">
        <v>21</v>
      </c>
      <c r="C310" t="s">
        <v>165</v>
      </c>
      <c r="D310" t="s">
        <v>740</v>
      </c>
      <c r="E310" t="s">
        <v>114</v>
      </c>
      <c r="F310">
        <v>50</v>
      </c>
      <c r="G310" t="s">
        <v>125</v>
      </c>
      <c r="H310" t="s">
        <v>125</v>
      </c>
      <c r="I310" t="s">
        <v>114</v>
      </c>
      <c r="J310" t="s">
        <v>125</v>
      </c>
      <c r="K310" t="s">
        <v>125</v>
      </c>
      <c r="L310" t="s">
        <v>125</v>
      </c>
      <c r="M310" t="s">
        <v>963</v>
      </c>
      <c r="N310" t="b">
        <v>0</v>
      </c>
    </row>
    <row r="311" spans="1:14">
      <c r="A311">
        <v>14</v>
      </c>
      <c r="B311">
        <v>22</v>
      </c>
      <c r="C311" t="s">
        <v>166</v>
      </c>
      <c r="D311" t="s">
        <v>740</v>
      </c>
      <c r="E311" t="s">
        <v>73</v>
      </c>
      <c r="F311">
        <v>50</v>
      </c>
      <c r="G311" t="s">
        <v>125</v>
      </c>
      <c r="H311" t="s">
        <v>125</v>
      </c>
      <c r="I311" t="s">
        <v>73</v>
      </c>
      <c r="J311" t="s">
        <v>125</v>
      </c>
      <c r="K311" t="s">
        <v>125</v>
      </c>
      <c r="L311" t="s">
        <v>125</v>
      </c>
      <c r="M311" t="s">
        <v>964</v>
      </c>
      <c r="N311" t="b">
        <v>0</v>
      </c>
    </row>
    <row r="312" spans="1:14">
      <c r="A312">
        <v>14</v>
      </c>
      <c r="B312">
        <v>23</v>
      </c>
      <c r="C312" t="s">
        <v>234</v>
      </c>
      <c r="D312" t="s">
        <v>740</v>
      </c>
      <c r="E312" t="s">
        <v>75</v>
      </c>
      <c r="F312">
        <v>50</v>
      </c>
      <c r="G312" t="s">
        <v>125</v>
      </c>
      <c r="H312" t="s">
        <v>125</v>
      </c>
      <c r="I312" t="s">
        <v>75</v>
      </c>
      <c r="J312" t="s">
        <v>125</v>
      </c>
      <c r="K312" t="s">
        <v>125</v>
      </c>
      <c r="L312" t="s">
        <v>125</v>
      </c>
      <c r="M312" t="s">
        <v>965</v>
      </c>
      <c r="N312" t="b">
        <v>0</v>
      </c>
    </row>
    <row r="313" spans="1:14">
      <c r="A313">
        <v>14</v>
      </c>
      <c r="B313">
        <v>24</v>
      </c>
      <c r="C313" t="s">
        <v>212</v>
      </c>
      <c r="D313" t="s">
        <v>740</v>
      </c>
      <c r="E313" t="s">
        <v>83</v>
      </c>
      <c r="F313">
        <v>40</v>
      </c>
      <c r="G313" t="s">
        <v>125</v>
      </c>
      <c r="H313" t="s">
        <v>125</v>
      </c>
      <c r="I313" t="s">
        <v>83</v>
      </c>
      <c r="J313" t="s">
        <v>125</v>
      </c>
      <c r="K313" t="s">
        <v>125</v>
      </c>
      <c r="L313" t="s">
        <v>125</v>
      </c>
      <c r="M313" t="s">
        <v>966</v>
      </c>
      <c r="N313" t="b">
        <v>0</v>
      </c>
    </row>
    <row r="314" spans="1:14">
      <c r="A314">
        <v>14</v>
      </c>
      <c r="B314">
        <v>25</v>
      </c>
      <c r="C314" t="s">
        <v>125</v>
      </c>
      <c r="D314" t="s">
        <v>740</v>
      </c>
      <c r="E314" t="s">
        <v>125</v>
      </c>
      <c r="F314">
        <v>0</v>
      </c>
      <c r="G314" t="s">
        <v>125</v>
      </c>
      <c r="H314" t="s">
        <v>125</v>
      </c>
      <c r="I314" t="s">
        <v>125</v>
      </c>
      <c r="J314" t="s">
        <v>125</v>
      </c>
      <c r="K314" t="s">
        <v>125</v>
      </c>
      <c r="L314" t="s">
        <v>125</v>
      </c>
      <c r="M314" t="s">
        <v>967</v>
      </c>
      <c r="N314" t="b">
        <v>0</v>
      </c>
    </row>
    <row r="315" spans="1:14">
      <c r="A315">
        <v>14</v>
      </c>
      <c r="B315">
        <v>26</v>
      </c>
      <c r="C315" t="s">
        <v>125</v>
      </c>
      <c r="D315" t="s">
        <v>740</v>
      </c>
      <c r="E315" t="s">
        <v>125</v>
      </c>
      <c r="F315">
        <v>0</v>
      </c>
      <c r="G315" t="s">
        <v>125</v>
      </c>
      <c r="H315" t="s">
        <v>125</v>
      </c>
      <c r="I315" t="s">
        <v>125</v>
      </c>
      <c r="J315" t="s">
        <v>125</v>
      </c>
      <c r="K315" t="s">
        <v>125</v>
      </c>
      <c r="L315" t="s">
        <v>125</v>
      </c>
      <c r="M315" t="s">
        <v>968</v>
      </c>
      <c r="N315" t="b">
        <v>0</v>
      </c>
    </row>
    <row r="316" spans="1:14">
      <c r="A316">
        <v>15</v>
      </c>
      <c r="B316">
        <v>0</v>
      </c>
      <c r="C316" t="s">
        <v>185</v>
      </c>
      <c r="D316" t="s">
        <v>723</v>
      </c>
      <c r="E316" t="s">
        <v>64</v>
      </c>
      <c r="F316">
        <v>50</v>
      </c>
      <c r="G316" t="s">
        <v>125</v>
      </c>
      <c r="H316" t="s">
        <v>125</v>
      </c>
      <c r="I316" t="s">
        <v>64</v>
      </c>
      <c r="J316" t="s">
        <v>125</v>
      </c>
      <c r="K316" t="s">
        <v>125</v>
      </c>
      <c r="L316" t="s">
        <v>125</v>
      </c>
      <c r="M316" t="s">
        <v>969</v>
      </c>
      <c r="N316" t="b">
        <v>0</v>
      </c>
    </row>
    <row r="317" spans="1:14">
      <c r="A317">
        <v>15</v>
      </c>
      <c r="B317">
        <v>1</v>
      </c>
      <c r="C317" t="s">
        <v>216</v>
      </c>
      <c r="D317" t="s">
        <v>723</v>
      </c>
      <c r="E317" t="s">
        <v>76</v>
      </c>
      <c r="F317">
        <v>60</v>
      </c>
      <c r="G317" t="s">
        <v>125</v>
      </c>
      <c r="H317" t="s">
        <v>125</v>
      </c>
      <c r="I317" t="s">
        <v>76</v>
      </c>
      <c r="J317" t="s">
        <v>125</v>
      </c>
      <c r="K317" t="s">
        <v>125</v>
      </c>
      <c r="L317" t="s">
        <v>125</v>
      </c>
      <c r="M317" t="s">
        <v>970</v>
      </c>
      <c r="N317" t="b">
        <v>0</v>
      </c>
    </row>
    <row r="318" spans="1:14">
      <c r="A318">
        <v>15</v>
      </c>
      <c r="B318">
        <v>2</v>
      </c>
      <c r="C318" t="s">
        <v>237</v>
      </c>
      <c r="D318" t="s">
        <v>723</v>
      </c>
      <c r="E318" t="s">
        <v>543</v>
      </c>
      <c r="F318">
        <v>40</v>
      </c>
      <c r="G318" t="s">
        <v>125</v>
      </c>
      <c r="H318" t="s">
        <v>546</v>
      </c>
      <c r="I318" t="s">
        <v>507</v>
      </c>
      <c r="J318" t="s">
        <v>125</v>
      </c>
      <c r="K318" t="s">
        <v>791</v>
      </c>
      <c r="L318" t="s">
        <v>792</v>
      </c>
      <c r="M318" t="s">
        <v>971</v>
      </c>
      <c r="N318" t="b">
        <v>0</v>
      </c>
    </row>
    <row r="319" spans="1:14">
      <c r="A319">
        <v>15</v>
      </c>
      <c r="B319">
        <v>3</v>
      </c>
      <c r="C319" t="s">
        <v>238</v>
      </c>
      <c r="D319" t="s">
        <v>723</v>
      </c>
      <c r="E319" t="s">
        <v>543</v>
      </c>
      <c r="F319">
        <v>40</v>
      </c>
      <c r="G319" t="s">
        <v>125</v>
      </c>
      <c r="H319" t="s">
        <v>556</v>
      </c>
      <c r="I319" t="s">
        <v>485</v>
      </c>
      <c r="J319" t="s">
        <v>125</v>
      </c>
      <c r="K319" t="s">
        <v>794</v>
      </c>
      <c r="L319" t="s">
        <v>795</v>
      </c>
      <c r="M319" t="s">
        <v>972</v>
      </c>
      <c r="N319" t="b">
        <v>0</v>
      </c>
    </row>
    <row r="320" spans="1:14">
      <c r="A320">
        <v>15</v>
      </c>
      <c r="B320">
        <v>4</v>
      </c>
      <c r="C320" t="s">
        <v>239</v>
      </c>
      <c r="D320" t="s">
        <v>723</v>
      </c>
      <c r="E320" t="s">
        <v>94</v>
      </c>
      <c r="F320">
        <v>50</v>
      </c>
      <c r="G320" t="s">
        <v>125</v>
      </c>
      <c r="H320" t="s">
        <v>125</v>
      </c>
      <c r="I320" t="s">
        <v>94</v>
      </c>
      <c r="J320" t="s">
        <v>125</v>
      </c>
      <c r="K320" t="s">
        <v>125</v>
      </c>
      <c r="L320" t="s">
        <v>125</v>
      </c>
      <c r="M320" t="s">
        <v>973</v>
      </c>
      <c r="N320" t="b">
        <v>0</v>
      </c>
    </row>
    <row r="321" spans="1:14">
      <c r="A321">
        <v>15</v>
      </c>
      <c r="B321">
        <v>5</v>
      </c>
      <c r="C321" t="s">
        <v>187</v>
      </c>
      <c r="D321" t="s">
        <v>723</v>
      </c>
      <c r="E321" t="s">
        <v>98</v>
      </c>
      <c r="F321">
        <v>50</v>
      </c>
      <c r="G321" t="s">
        <v>125</v>
      </c>
      <c r="H321" t="s">
        <v>125</v>
      </c>
      <c r="I321" t="s">
        <v>98</v>
      </c>
      <c r="J321" t="s">
        <v>125</v>
      </c>
      <c r="K321" t="s">
        <v>125</v>
      </c>
      <c r="L321" t="s">
        <v>125</v>
      </c>
      <c r="M321" t="s">
        <v>974</v>
      </c>
      <c r="N321" t="b">
        <v>0</v>
      </c>
    </row>
    <row r="322" spans="1:14">
      <c r="A322">
        <v>15</v>
      </c>
      <c r="B322">
        <v>6</v>
      </c>
      <c r="C322" t="s">
        <v>240</v>
      </c>
      <c r="D322" t="s">
        <v>723</v>
      </c>
      <c r="E322" t="s">
        <v>102</v>
      </c>
      <c r="F322">
        <v>50</v>
      </c>
      <c r="G322" t="s">
        <v>125</v>
      </c>
      <c r="H322" t="s">
        <v>125</v>
      </c>
      <c r="I322" t="s">
        <v>102</v>
      </c>
      <c r="J322" t="s">
        <v>125</v>
      </c>
      <c r="K322" t="s">
        <v>125</v>
      </c>
      <c r="L322" t="s">
        <v>125</v>
      </c>
      <c r="M322" t="s">
        <v>975</v>
      </c>
      <c r="N322" t="b">
        <v>0</v>
      </c>
    </row>
    <row r="323" spans="1:14">
      <c r="A323">
        <v>15</v>
      </c>
      <c r="B323">
        <v>7</v>
      </c>
      <c r="C323" t="s">
        <v>211</v>
      </c>
      <c r="D323" t="s">
        <v>723</v>
      </c>
      <c r="E323" t="s">
        <v>108</v>
      </c>
      <c r="F323">
        <v>40</v>
      </c>
      <c r="G323" t="s">
        <v>125</v>
      </c>
      <c r="H323" t="s">
        <v>125</v>
      </c>
      <c r="I323" t="s">
        <v>108</v>
      </c>
      <c r="J323" t="s">
        <v>125</v>
      </c>
      <c r="K323" t="s">
        <v>125</v>
      </c>
      <c r="L323" t="s">
        <v>125</v>
      </c>
      <c r="M323" t="s">
        <v>976</v>
      </c>
      <c r="N323" t="b">
        <v>0</v>
      </c>
    </row>
    <row r="324" spans="1:14">
      <c r="A324">
        <v>15</v>
      </c>
      <c r="B324">
        <v>8</v>
      </c>
      <c r="C324" t="s">
        <v>180</v>
      </c>
      <c r="D324" t="s">
        <v>723</v>
      </c>
      <c r="E324" t="s">
        <v>111</v>
      </c>
      <c r="F324">
        <v>50</v>
      </c>
      <c r="G324" t="s">
        <v>125</v>
      </c>
      <c r="H324" t="s">
        <v>125</v>
      </c>
      <c r="I324" t="s">
        <v>111</v>
      </c>
      <c r="J324" t="s">
        <v>125</v>
      </c>
      <c r="K324" t="s">
        <v>125</v>
      </c>
      <c r="L324" t="s">
        <v>125</v>
      </c>
      <c r="M324" t="s">
        <v>977</v>
      </c>
      <c r="N324" t="b">
        <v>0</v>
      </c>
    </row>
    <row r="325" spans="1:14">
      <c r="A325">
        <v>15</v>
      </c>
      <c r="B325">
        <v>9</v>
      </c>
      <c r="C325" t="s">
        <v>166</v>
      </c>
      <c r="D325" t="s">
        <v>723</v>
      </c>
      <c r="E325" t="s">
        <v>73</v>
      </c>
      <c r="F325">
        <v>50</v>
      </c>
      <c r="G325" t="s">
        <v>125</v>
      </c>
      <c r="H325" t="s">
        <v>125</v>
      </c>
      <c r="I325" t="s">
        <v>73</v>
      </c>
      <c r="J325" t="s">
        <v>125</v>
      </c>
      <c r="K325" t="s">
        <v>125</v>
      </c>
      <c r="L325" t="s">
        <v>125</v>
      </c>
      <c r="M325" t="s">
        <v>978</v>
      </c>
      <c r="N325" t="b">
        <v>0</v>
      </c>
    </row>
    <row r="326" spans="1:14">
      <c r="A326">
        <v>15</v>
      </c>
      <c r="B326">
        <v>10</v>
      </c>
      <c r="C326" t="s">
        <v>204</v>
      </c>
      <c r="D326" t="s">
        <v>723</v>
      </c>
      <c r="E326" t="s">
        <v>97</v>
      </c>
      <c r="F326">
        <v>40</v>
      </c>
      <c r="G326" t="s">
        <v>125</v>
      </c>
      <c r="H326" t="s">
        <v>125</v>
      </c>
      <c r="I326" t="s">
        <v>97</v>
      </c>
      <c r="J326" t="s">
        <v>125</v>
      </c>
      <c r="K326" t="s">
        <v>125</v>
      </c>
      <c r="L326" t="s">
        <v>125</v>
      </c>
      <c r="M326" t="s">
        <v>979</v>
      </c>
      <c r="N326" t="b">
        <v>0</v>
      </c>
    </row>
    <row r="327" spans="1:14">
      <c r="A327">
        <v>15</v>
      </c>
      <c r="B327">
        <v>11</v>
      </c>
      <c r="C327" t="s">
        <v>125</v>
      </c>
      <c r="D327" t="s">
        <v>723</v>
      </c>
      <c r="E327" t="s">
        <v>125</v>
      </c>
      <c r="F327">
        <v>0</v>
      </c>
      <c r="G327" t="s">
        <v>125</v>
      </c>
      <c r="H327" t="s">
        <v>125</v>
      </c>
      <c r="I327" t="s">
        <v>125</v>
      </c>
      <c r="J327" t="s">
        <v>125</v>
      </c>
      <c r="K327" t="s">
        <v>125</v>
      </c>
      <c r="L327" t="s">
        <v>125</v>
      </c>
      <c r="M327" t="s">
        <v>980</v>
      </c>
      <c r="N327" t="b">
        <v>0</v>
      </c>
    </row>
    <row r="328" spans="1:14">
      <c r="A328">
        <v>15</v>
      </c>
      <c r="B328">
        <v>12</v>
      </c>
      <c r="C328" t="s">
        <v>125</v>
      </c>
      <c r="D328" t="s">
        <v>723</v>
      </c>
      <c r="E328" t="s">
        <v>125</v>
      </c>
      <c r="F328">
        <v>0</v>
      </c>
      <c r="G328" t="s">
        <v>125</v>
      </c>
      <c r="H328" t="s">
        <v>125</v>
      </c>
      <c r="I328" t="s">
        <v>125</v>
      </c>
      <c r="J328" t="s">
        <v>125</v>
      </c>
      <c r="K328" t="s">
        <v>125</v>
      </c>
      <c r="L328" t="s">
        <v>125</v>
      </c>
      <c r="M328" t="s">
        <v>981</v>
      </c>
      <c r="N328" t="b">
        <v>0</v>
      </c>
    </row>
    <row r="329" spans="1:14">
      <c r="A329">
        <v>15</v>
      </c>
      <c r="B329">
        <v>13</v>
      </c>
      <c r="C329" t="s">
        <v>125</v>
      </c>
      <c r="D329" t="s">
        <v>723</v>
      </c>
      <c r="E329" t="s">
        <v>125</v>
      </c>
      <c r="F329">
        <v>0</v>
      </c>
      <c r="G329" t="s">
        <v>125</v>
      </c>
      <c r="H329" t="s">
        <v>125</v>
      </c>
      <c r="I329" t="s">
        <v>125</v>
      </c>
      <c r="J329" t="s">
        <v>125</v>
      </c>
      <c r="K329" t="s">
        <v>125</v>
      </c>
      <c r="L329" t="s">
        <v>125</v>
      </c>
      <c r="M329" t="s">
        <v>982</v>
      </c>
      <c r="N329" t="b">
        <v>0</v>
      </c>
    </row>
    <row r="330" spans="1:14">
      <c r="A330">
        <v>15</v>
      </c>
      <c r="B330">
        <v>14</v>
      </c>
      <c r="C330" t="s">
        <v>125</v>
      </c>
      <c r="D330" t="s">
        <v>723</v>
      </c>
      <c r="E330" t="s">
        <v>125</v>
      </c>
      <c r="F330">
        <v>0</v>
      </c>
      <c r="G330" t="s">
        <v>125</v>
      </c>
      <c r="H330" t="s">
        <v>125</v>
      </c>
      <c r="I330" t="s">
        <v>125</v>
      </c>
      <c r="J330" t="s">
        <v>125</v>
      </c>
      <c r="K330" t="s">
        <v>125</v>
      </c>
      <c r="L330" t="s">
        <v>125</v>
      </c>
      <c r="M330" t="s">
        <v>983</v>
      </c>
      <c r="N330" t="b">
        <v>0</v>
      </c>
    </row>
    <row r="331" spans="1:14">
      <c r="A331">
        <v>15</v>
      </c>
      <c r="B331">
        <v>15</v>
      </c>
      <c r="C331" t="s">
        <v>125</v>
      </c>
      <c r="D331" t="s">
        <v>723</v>
      </c>
      <c r="E331" t="s">
        <v>125</v>
      </c>
      <c r="F331">
        <v>0</v>
      </c>
      <c r="G331" t="s">
        <v>125</v>
      </c>
      <c r="H331" t="s">
        <v>125</v>
      </c>
      <c r="I331" t="s">
        <v>125</v>
      </c>
      <c r="J331" t="s">
        <v>125</v>
      </c>
      <c r="K331" t="s">
        <v>125</v>
      </c>
      <c r="L331" t="s">
        <v>125</v>
      </c>
      <c r="M331" t="s">
        <v>984</v>
      </c>
      <c r="N331" t="b">
        <v>0</v>
      </c>
    </row>
    <row r="332" spans="1:14">
      <c r="A332">
        <v>15</v>
      </c>
      <c r="B332">
        <v>16</v>
      </c>
      <c r="C332" t="s">
        <v>125</v>
      </c>
      <c r="D332" t="s">
        <v>740</v>
      </c>
      <c r="E332" t="s">
        <v>125</v>
      </c>
      <c r="F332">
        <v>0</v>
      </c>
      <c r="G332" t="s">
        <v>125</v>
      </c>
      <c r="H332" t="s">
        <v>125</v>
      </c>
      <c r="I332" t="s">
        <v>125</v>
      </c>
      <c r="J332" t="s">
        <v>125</v>
      </c>
      <c r="K332" t="s">
        <v>125</v>
      </c>
      <c r="L332" t="s">
        <v>125</v>
      </c>
      <c r="M332" t="s">
        <v>985</v>
      </c>
      <c r="N332" t="b">
        <v>0</v>
      </c>
    </row>
    <row r="333" spans="1:14">
      <c r="A333">
        <v>15</v>
      </c>
      <c r="B333">
        <v>17</v>
      </c>
      <c r="C333" t="s">
        <v>125</v>
      </c>
      <c r="D333" t="s">
        <v>740</v>
      </c>
      <c r="E333" t="s">
        <v>125</v>
      </c>
      <c r="F333">
        <v>0</v>
      </c>
      <c r="G333" t="s">
        <v>125</v>
      </c>
      <c r="H333" t="s">
        <v>125</v>
      </c>
      <c r="I333" t="s">
        <v>125</v>
      </c>
      <c r="J333" t="s">
        <v>125</v>
      </c>
      <c r="K333" t="s">
        <v>125</v>
      </c>
      <c r="L333" t="s">
        <v>125</v>
      </c>
      <c r="M333" t="s">
        <v>670</v>
      </c>
      <c r="N333" t="b">
        <v>0</v>
      </c>
    </row>
    <row r="334" spans="1:14">
      <c r="A334">
        <v>15</v>
      </c>
      <c r="B334">
        <v>18</v>
      </c>
      <c r="C334" t="s">
        <v>125</v>
      </c>
      <c r="D334" t="s">
        <v>740</v>
      </c>
      <c r="E334" t="s">
        <v>125</v>
      </c>
      <c r="F334">
        <v>0</v>
      </c>
      <c r="G334" t="s">
        <v>125</v>
      </c>
      <c r="H334" t="s">
        <v>125</v>
      </c>
      <c r="I334" t="s">
        <v>125</v>
      </c>
      <c r="J334" t="s">
        <v>125</v>
      </c>
      <c r="K334" t="s">
        <v>125</v>
      </c>
      <c r="L334" t="s">
        <v>125</v>
      </c>
      <c r="M334" t="s">
        <v>986</v>
      </c>
      <c r="N334" t="b">
        <v>0</v>
      </c>
    </row>
    <row r="335" spans="1:14">
      <c r="A335">
        <v>15</v>
      </c>
      <c r="B335">
        <v>19</v>
      </c>
      <c r="C335" t="s">
        <v>125</v>
      </c>
      <c r="D335" t="s">
        <v>740</v>
      </c>
      <c r="E335" t="s">
        <v>125</v>
      </c>
      <c r="F335">
        <v>0</v>
      </c>
      <c r="G335" t="s">
        <v>125</v>
      </c>
      <c r="H335" t="s">
        <v>125</v>
      </c>
      <c r="I335" t="s">
        <v>125</v>
      </c>
      <c r="J335" t="s">
        <v>125</v>
      </c>
      <c r="K335" t="s">
        <v>125</v>
      </c>
      <c r="L335" t="s">
        <v>125</v>
      </c>
      <c r="M335" t="s">
        <v>987</v>
      </c>
      <c r="N335" t="b">
        <v>0</v>
      </c>
    </row>
    <row r="336" spans="1:14">
      <c r="A336">
        <v>15</v>
      </c>
      <c r="B336">
        <v>20</v>
      </c>
      <c r="C336" t="s">
        <v>125</v>
      </c>
      <c r="D336" t="s">
        <v>740</v>
      </c>
      <c r="E336" t="s">
        <v>125</v>
      </c>
      <c r="F336">
        <v>0</v>
      </c>
      <c r="G336" t="s">
        <v>125</v>
      </c>
      <c r="H336" t="s">
        <v>125</v>
      </c>
      <c r="I336" t="s">
        <v>125</v>
      </c>
      <c r="J336" t="s">
        <v>125</v>
      </c>
      <c r="K336" t="s">
        <v>125</v>
      </c>
      <c r="L336" t="s">
        <v>125</v>
      </c>
      <c r="M336" t="s">
        <v>988</v>
      </c>
      <c r="N336" t="b">
        <v>0</v>
      </c>
    </row>
    <row r="337" spans="1:14">
      <c r="A337">
        <v>15</v>
      </c>
      <c r="B337">
        <v>21</v>
      </c>
      <c r="C337" t="s">
        <v>125</v>
      </c>
      <c r="D337" t="s">
        <v>740</v>
      </c>
      <c r="E337" t="s">
        <v>125</v>
      </c>
      <c r="F337">
        <v>0</v>
      </c>
      <c r="G337" t="s">
        <v>125</v>
      </c>
      <c r="H337" t="s">
        <v>125</v>
      </c>
      <c r="I337" t="s">
        <v>125</v>
      </c>
      <c r="J337" t="s">
        <v>125</v>
      </c>
      <c r="K337" t="s">
        <v>125</v>
      </c>
      <c r="L337" t="s">
        <v>125</v>
      </c>
      <c r="M337" t="s">
        <v>989</v>
      </c>
      <c r="N337" t="b">
        <v>0</v>
      </c>
    </row>
    <row r="338" spans="1:14">
      <c r="A338">
        <v>15</v>
      </c>
      <c r="B338">
        <v>22</v>
      </c>
      <c r="C338" t="s">
        <v>125</v>
      </c>
      <c r="D338" t="s">
        <v>740</v>
      </c>
      <c r="E338" t="s">
        <v>125</v>
      </c>
      <c r="F338">
        <v>0</v>
      </c>
      <c r="G338" t="s">
        <v>125</v>
      </c>
      <c r="H338" t="s">
        <v>125</v>
      </c>
      <c r="I338" t="s">
        <v>125</v>
      </c>
      <c r="J338" t="s">
        <v>125</v>
      </c>
      <c r="K338" t="s">
        <v>125</v>
      </c>
      <c r="L338" t="s">
        <v>125</v>
      </c>
      <c r="M338" t="s">
        <v>990</v>
      </c>
      <c r="N338" t="b">
        <v>0</v>
      </c>
    </row>
    <row r="339" spans="1:14">
      <c r="A339">
        <v>15</v>
      </c>
      <c r="B339">
        <v>23</v>
      </c>
      <c r="C339" t="s">
        <v>125</v>
      </c>
      <c r="D339" t="s">
        <v>740</v>
      </c>
      <c r="E339" t="s">
        <v>125</v>
      </c>
      <c r="F339">
        <v>0</v>
      </c>
      <c r="G339" t="s">
        <v>125</v>
      </c>
      <c r="H339" t="s">
        <v>125</v>
      </c>
      <c r="I339" t="s">
        <v>125</v>
      </c>
      <c r="J339" t="s">
        <v>125</v>
      </c>
      <c r="K339" t="s">
        <v>125</v>
      </c>
      <c r="L339" t="s">
        <v>125</v>
      </c>
      <c r="M339" t="s">
        <v>991</v>
      </c>
      <c r="N339" t="b">
        <v>0</v>
      </c>
    </row>
    <row r="340" spans="1:14">
      <c r="A340">
        <v>15</v>
      </c>
      <c r="B340">
        <v>24</v>
      </c>
      <c r="C340" t="s">
        <v>125</v>
      </c>
      <c r="D340" t="s">
        <v>740</v>
      </c>
      <c r="E340" t="s">
        <v>125</v>
      </c>
      <c r="F340">
        <v>0</v>
      </c>
      <c r="G340" t="s">
        <v>125</v>
      </c>
      <c r="H340" t="s">
        <v>125</v>
      </c>
      <c r="I340" t="s">
        <v>125</v>
      </c>
      <c r="J340" t="s">
        <v>125</v>
      </c>
      <c r="K340" t="s">
        <v>125</v>
      </c>
      <c r="L340" t="s">
        <v>125</v>
      </c>
      <c r="M340" t="s">
        <v>992</v>
      </c>
      <c r="N340" t="b">
        <v>0</v>
      </c>
    </row>
    <row r="341" spans="1:14">
      <c r="A341">
        <v>15</v>
      </c>
      <c r="B341">
        <v>25</v>
      </c>
      <c r="C341" t="s">
        <v>125</v>
      </c>
      <c r="D341" t="s">
        <v>740</v>
      </c>
      <c r="E341" t="s">
        <v>125</v>
      </c>
      <c r="F341">
        <v>0</v>
      </c>
      <c r="G341" t="s">
        <v>125</v>
      </c>
      <c r="H341" t="s">
        <v>125</v>
      </c>
      <c r="I341" t="s">
        <v>125</v>
      </c>
      <c r="J341" t="s">
        <v>125</v>
      </c>
      <c r="K341" t="s">
        <v>125</v>
      </c>
      <c r="L341" t="s">
        <v>125</v>
      </c>
      <c r="M341" t="s">
        <v>993</v>
      </c>
      <c r="N341" t="b">
        <v>0</v>
      </c>
    </row>
    <row r="342" spans="1:14">
      <c r="A342">
        <v>15</v>
      </c>
      <c r="B342">
        <v>26</v>
      </c>
      <c r="C342" t="s">
        <v>125</v>
      </c>
      <c r="D342" t="s">
        <v>740</v>
      </c>
      <c r="E342" t="s">
        <v>125</v>
      </c>
      <c r="F342">
        <v>0</v>
      </c>
      <c r="G342" t="s">
        <v>125</v>
      </c>
      <c r="H342" t="s">
        <v>125</v>
      </c>
      <c r="I342" t="s">
        <v>125</v>
      </c>
      <c r="J342" t="s">
        <v>125</v>
      </c>
      <c r="K342" t="s">
        <v>125</v>
      </c>
      <c r="L342" t="s">
        <v>125</v>
      </c>
      <c r="M342" t="s">
        <v>994</v>
      </c>
      <c r="N342" t="b">
        <v>0</v>
      </c>
    </row>
    <row r="343" spans="1:14">
      <c r="A343">
        <v>16</v>
      </c>
      <c r="B343">
        <v>0</v>
      </c>
      <c r="C343" t="s">
        <v>243</v>
      </c>
      <c r="D343" t="s">
        <v>723</v>
      </c>
      <c r="E343" t="s">
        <v>59</v>
      </c>
      <c r="F343">
        <v>40</v>
      </c>
      <c r="G343" t="s">
        <v>125</v>
      </c>
      <c r="H343" t="s">
        <v>125</v>
      </c>
      <c r="I343" t="s">
        <v>59</v>
      </c>
      <c r="J343" t="s">
        <v>125</v>
      </c>
      <c r="K343" t="s">
        <v>125</v>
      </c>
      <c r="L343" t="s">
        <v>125</v>
      </c>
      <c r="M343" t="s">
        <v>995</v>
      </c>
      <c r="N343" t="b">
        <v>0</v>
      </c>
    </row>
    <row r="344" spans="1:14">
      <c r="A344">
        <v>16</v>
      </c>
      <c r="B344">
        <v>1</v>
      </c>
      <c r="C344" t="s">
        <v>163</v>
      </c>
      <c r="D344" t="s">
        <v>723</v>
      </c>
      <c r="E344" t="s">
        <v>66</v>
      </c>
      <c r="F344">
        <v>40</v>
      </c>
      <c r="G344" t="s">
        <v>125</v>
      </c>
      <c r="H344" t="s">
        <v>125</v>
      </c>
      <c r="I344" t="s">
        <v>66</v>
      </c>
      <c r="J344" t="s">
        <v>125</v>
      </c>
      <c r="K344" t="s">
        <v>125</v>
      </c>
      <c r="L344" t="s">
        <v>125</v>
      </c>
      <c r="M344" t="s">
        <v>996</v>
      </c>
      <c r="N344" t="b">
        <v>0</v>
      </c>
    </row>
    <row r="345" spans="1:14">
      <c r="A345">
        <v>16</v>
      </c>
      <c r="B345">
        <v>2</v>
      </c>
      <c r="C345" t="s">
        <v>244</v>
      </c>
      <c r="D345" t="s">
        <v>723</v>
      </c>
      <c r="E345" t="s">
        <v>82</v>
      </c>
      <c r="F345">
        <v>60</v>
      </c>
      <c r="G345" t="s">
        <v>125</v>
      </c>
      <c r="H345" t="s">
        <v>125</v>
      </c>
      <c r="I345" t="s">
        <v>82</v>
      </c>
      <c r="J345" t="s">
        <v>125</v>
      </c>
      <c r="K345" t="s">
        <v>125</v>
      </c>
      <c r="L345" t="s">
        <v>125</v>
      </c>
      <c r="M345" t="s">
        <v>997</v>
      </c>
      <c r="N345" t="b">
        <v>0</v>
      </c>
    </row>
    <row r="346" spans="1:14">
      <c r="A346">
        <v>16</v>
      </c>
      <c r="B346">
        <v>3</v>
      </c>
      <c r="C346" t="s">
        <v>158</v>
      </c>
      <c r="D346" t="s">
        <v>752</v>
      </c>
      <c r="E346" t="s">
        <v>296</v>
      </c>
      <c r="F346">
        <v>50</v>
      </c>
      <c r="G346" t="s">
        <v>759</v>
      </c>
      <c r="H346" t="s">
        <v>125</v>
      </c>
      <c r="I346" t="s">
        <v>125</v>
      </c>
      <c r="J346" t="s">
        <v>760</v>
      </c>
      <c r="K346" t="s">
        <v>761</v>
      </c>
      <c r="L346" t="s">
        <v>762</v>
      </c>
      <c r="M346" t="s">
        <v>998</v>
      </c>
      <c r="N346" t="b">
        <v>0</v>
      </c>
    </row>
    <row r="347" spans="1:14">
      <c r="A347">
        <v>16</v>
      </c>
      <c r="B347">
        <v>4</v>
      </c>
      <c r="C347" t="s">
        <v>158</v>
      </c>
      <c r="D347" t="s">
        <v>752</v>
      </c>
      <c r="E347" t="s">
        <v>296</v>
      </c>
      <c r="F347">
        <v>50</v>
      </c>
      <c r="G347" t="s">
        <v>759</v>
      </c>
      <c r="H347" t="s">
        <v>125</v>
      </c>
      <c r="I347" t="s">
        <v>125</v>
      </c>
      <c r="J347" t="s">
        <v>760</v>
      </c>
      <c r="K347" t="s">
        <v>764</v>
      </c>
      <c r="L347" t="s">
        <v>765</v>
      </c>
      <c r="M347" t="s">
        <v>999</v>
      </c>
      <c r="N347" t="b">
        <v>0</v>
      </c>
    </row>
    <row r="348" spans="1:14">
      <c r="A348">
        <v>16</v>
      </c>
      <c r="B348">
        <v>5</v>
      </c>
      <c r="C348" t="s">
        <v>159</v>
      </c>
      <c r="D348" t="s">
        <v>752</v>
      </c>
      <c r="E348" t="s">
        <v>296</v>
      </c>
      <c r="F348">
        <v>40</v>
      </c>
      <c r="G348" t="s">
        <v>759</v>
      </c>
      <c r="H348" t="s">
        <v>125</v>
      </c>
      <c r="I348" t="s">
        <v>125</v>
      </c>
      <c r="J348" t="s">
        <v>760</v>
      </c>
      <c r="K348" t="s">
        <v>1000</v>
      </c>
      <c r="L348" t="s">
        <v>1001</v>
      </c>
      <c r="M348" t="s">
        <v>1002</v>
      </c>
      <c r="N348" t="b">
        <v>0</v>
      </c>
    </row>
    <row r="349" spans="1:14">
      <c r="A349">
        <v>16</v>
      </c>
      <c r="B349">
        <v>6</v>
      </c>
      <c r="C349" t="s">
        <v>245</v>
      </c>
      <c r="D349" t="s">
        <v>723</v>
      </c>
      <c r="E349" t="s">
        <v>113</v>
      </c>
      <c r="F349">
        <v>40</v>
      </c>
      <c r="G349" t="s">
        <v>125</v>
      </c>
      <c r="H349" t="s">
        <v>125</v>
      </c>
      <c r="I349" t="s">
        <v>113</v>
      </c>
      <c r="J349" t="s">
        <v>125</v>
      </c>
      <c r="K349" t="s">
        <v>125</v>
      </c>
      <c r="L349" t="s">
        <v>125</v>
      </c>
      <c r="M349" t="s">
        <v>1003</v>
      </c>
      <c r="N349" t="b">
        <v>0</v>
      </c>
    </row>
    <row r="350" spans="1:14">
      <c r="A350">
        <v>16</v>
      </c>
      <c r="B350">
        <v>7</v>
      </c>
      <c r="C350" t="s">
        <v>165</v>
      </c>
      <c r="D350" t="s">
        <v>723</v>
      </c>
      <c r="E350" t="s">
        <v>114</v>
      </c>
      <c r="F350">
        <v>50</v>
      </c>
      <c r="G350" t="s">
        <v>125</v>
      </c>
      <c r="H350" t="s">
        <v>125</v>
      </c>
      <c r="I350" t="s">
        <v>114</v>
      </c>
      <c r="J350" t="s">
        <v>125</v>
      </c>
      <c r="K350" t="s">
        <v>125</v>
      </c>
      <c r="L350" t="s">
        <v>125</v>
      </c>
      <c r="M350" t="s">
        <v>1004</v>
      </c>
      <c r="N350" t="b">
        <v>0</v>
      </c>
    </row>
    <row r="351" spans="1:14">
      <c r="A351">
        <v>16</v>
      </c>
      <c r="B351">
        <v>8</v>
      </c>
      <c r="C351" t="s">
        <v>181</v>
      </c>
      <c r="D351" t="s">
        <v>723</v>
      </c>
      <c r="E351" t="s">
        <v>60</v>
      </c>
      <c r="F351">
        <v>40</v>
      </c>
      <c r="G351" t="s">
        <v>125</v>
      </c>
      <c r="H351" t="s">
        <v>125</v>
      </c>
      <c r="I351" t="s">
        <v>60</v>
      </c>
      <c r="J351" t="s">
        <v>125</v>
      </c>
      <c r="K351" t="s">
        <v>125</v>
      </c>
      <c r="L351" t="s">
        <v>125</v>
      </c>
      <c r="M351" t="s">
        <v>1005</v>
      </c>
      <c r="N351" t="b">
        <v>0</v>
      </c>
    </row>
    <row r="352" spans="1:14">
      <c r="A352">
        <v>16</v>
      </c>
      <c r="B352">
        <v>9</v>
      </c>
      <c r="C352" t="s">
        <v>192</v>
      </c>
      <c r="D352" t="s">
        <v>723</v>
      </c>
      <c r="E352" t="s">
        <v>77</v>
      </c>
      <c r="F352">
        <v>50</v>
      </c>
      <c r="G352" t="s">
        <v>125</v>
      </c>
      <c r="H352" t="s">
        <v>125</v>
      </c>
      <c r="I352" t="s">
        <v>77</v>
      </c>
      <c r="J352" t="s">
        <v>125</v>
      </c>
      <c r="K352" t="s">
        <v>125</v>
      </c>
      <c r="L352" t="s">
        <v>125</v>
      </c>
      <c r="M352" t="s">
        <v>1006</v>
      </c>
      <c r="N352" t="b">
        <v>0</v>
      </c>
    </row>
    <row r="353" spans="1:14">
      <c r="A353">
        <v>16</v>
      </c>
      <c r="B353">
        <v>10</v>
      </c>
      <c r="C353" t="s">
        <v>125</v>
      </c>
      <c r="D353" t="s">
        <v>723</v>
      </c>
      <c r="E353" t="s">
        <v>125</v>
      </c>
      <c r="F353">
        <v>0</v>
      </c>
      <c r="G353" t="s">
        <v>125</v>
      </c>
      <c r="H353" t="s">
        <v>125</v>
      </c>
      <c r="I353" t="s">
        <v>125</v>
      </c>
      <c r="J353" t="s">
        <v>125</v>
      </c>
      <c r="K353" t="s">
        <v>125</v>
      </c>
      <c r="L353" t="s">
        <v>125</v>
      </c>
      <c r="M353" t="s">
        <v>1007</v>
      </c>
      <c r="N353" t="b">
        <v>0</v>
      </c>
    </row>
    <row r="354" spans="1:14">
      <c r="A354">
        <v>16</v>
      </c>
      <c r="B354">
        <v>11</v>
      </c>
      <c r="C354" t="s">
        <v>125</v>
      </c>
      <c r="D354" t="s">
        <v>723</v>
      </c>
      <c r="E354" t="s">
        <v>125</v>
      </c>
      <c r="F354">
        <v>0</v>
      </c>
      <c r="G354" t="s">
        <v>125</v>
      </c>
      <c r="H354" t="s">
        <v>125</v>
      </c>
      <c r="I354" t="s">
        <v>125</v>
      </c>
      <c r="J354" t="s">
        <v>125</v>
      </c>
      <c r="K354" t="s">
        <v>125</v>
      </c>
      <c r="L354" t="s">
        <v>125</v>
      </c>
      <c r="M354" t="s">
        <v>1008</v>
      </c>
      <c r="N354" t="b">
        <v>0</v>
      </c>
    </row>
    <row r="355" spans="1:14">
      <c r="A355">
        <v>16</v>
      </c>
      <c r="B355">
        <v>12</v>
      </c>
      <c r="C355" t="s">
        <v>125</v>
      </c>
      <c r="D355" t="s">
        <v>723</v>
      </c>
      <c r="E355" t="s">
        <v>125</v>
      </c>
      <c r="F355">
        <v>0</v>
      </c>
      <c r="G355" t="s">
        <v>125</v>
      </c>
      <c r="H355" t="s">
        <v>125</v>
      </c>
      <c r="I355" t="s">
        <v>125</v>
      </c>
      <c r="J355" t="s">
        <v>125</v>
      </c>
      <c r="K355" t="s">
        <v>125</v>
      </c>
      <c r="L355" t="s">
        <v>125</v>
      </c>
      <c r="M355" t="s">
        <v>1009</v>
      </c>
      <c r="N355" t="b">
        <v>0</v>
      </c>
    </row>
    <row r="356" spans="1:14">
      <c r="A356">
        <v>16</v>
      </c>
      <c r="B356">
        <v>13</v>
      </c>
      <c r="C356" t="s">
        <v>125</v>
      </c>
      <c r="D356" t="s">
        <v>723</v>
      </c>
      <c r="E356" t="s">
        <v>125</v>
      </c>
      <c r="F356">
        <v>0</v>
      </c>
      <c r="G356" t="s">
        <v>125</v>
      </c>
      <c r="H356" t="s">
        <v>125</v>
      </c>
      <c r="I356" t="s">
        <v>125</v>
      </c>
      <c r="J356" t="s">
        <v>125</v>
      </c>
      <c r="K356" t="s">
        <v>125</v>
      </c>
      <c r="L356" t="s">
        <v>125</v>
      </c>
      <c r="M356" t="s">
        <v>1010</v>
      </c>
      <c r="N356" t="b">
        <v>0</v>
      </c>
    </row>
    <row r="357" spans="1:14">
      <c r="A357">
        <v>16</v>
      </c>
      <c r="B357">
        <v>14</v>
      </c>
      <c r="C357" t="s">
        <v>125</v>
      </c>
      <c r="D357" t="s">
        <v>723</v>
      </c>
      <c r="E357" t="s">
        <v>125</v>
      </c>
      <c r="F357">
        <v>0</v>
      </c>
      <c r="G357" t="s">
        <v>125</v>
      </c>
      <c r="H357" t="s">
        <v>125</v>
      </c>
      <c r="I357" t="s">
        <v>125</v>
      </c>
      <c r="J357" t="s">
        <v>125</v>
      </c>
      <c r="K357" t="s">
        <v>125</v>
      </c>
      <c r="L357" t="s">
        <v>125</v>
      </c>
      <c r="M357" t="s">
        <v>1011</v>
      </c>
      <c r="N357" t="b">
        <v>0</v>
      </c>
    </row>
    <row r="358" spans="1:14">
      <c r="A358">
        <v>16</v>
      </c>
      <c r="B358">
        <v>15</v>
      </c>
      <c r="C358" t="s">
        <v>125</v>
      </c>
      <c r="D358" t="s">
        <v>723</v>
      </c>
      <c r="E358" t="s">
        <v>125</v>
      </c>
      <c r="F358">
        <v>0</v>
      </c>
      <c r="G358" t="s">
        <v>125</v>
      </c>
      <c r="H358" t="s">
        <v>125</v>
      </c>
      <c r="I358" t="s">
        <v>125</v>
      </c>
      <c r="J358" t="s">
        <v>125</v>
      </c>
      <c r="K358" t="s">
        <v>125</v>
      </c>
      <c r="L358" t="s">
        <v>125</v>
      </c>
      <c r="M358" t="s">
        <v>1012</v>
      </c>
      <c r="N358" t="b">
        <v>0</v>
      </c>
    </row>
    <row r="359" spans="1:14">
      <c r="A359">
        <v>16</v>
      </c>
      <c r="B359">
        <v>16</v>
      </c>
      <c r="C359" t="s">
        <v>125</v>
      </c>
      <c r="D359" t="s">
        <v>740</v>
      </c>
      <c r="E359" t="s">
        <v>125</v>
      </c>
      <c r="F359">
        <v>0</v>
      </c>
      <c r="G359" t="s">
        <v>125</v>
      </c>
      <c r="H359" t="s">
        <v>125</v>
      </c>
      <c r="I359" t="s">
        <v>125</v>
      </c>
      <c r="J359" t="s">
        <v>125</v>
      </c>
      <c r="K359" t="s">
        <v>125</v>
      </c>
      <c r="L359" t="s">
        <v>125</v>
      </c>
      <c r="M359" t="s">
        <v>1013</v>
      </c>
      <c r="N359" t="b">
        <v>0</v>
      </c>
    </row>
    <row r="360" spans="1:14">
      <c r="A360">
        <v>16</v>
      </c>
      <c r="B360">
        <v>17</v>
      </c>
      <c r="C360" t="s">
        <v>125</v>
      </c>
      <c r="D360" t="s">
        <v>740</v>
      </c>
      <c r="E360" t="s">
        <v>125</v>
      </c>
      <c r="F360">
        <v>0</v>
      </c>
      <c r="G360" t="s">
        <v>125</v>
      </c>
      <c r="H360" t="s">
        <v>125</v>
      </c>
      <c r="I360" t="s">
        <v>125</v>
      </c>
      <c r="J360" t="s">
        <v>125</v>
      </c>
      <c r="K360" t="s">
        <v>125</v>
      </c>
      <c r="L360" t="s">
        <v>125</v>
      </c>
      <c r="M360" t="s">
        <v>672</v>
      </c>
      <c r="N360" t="b">
        <v>0</v>
      </c>
    </row>
    <row r="361" spans="1:14">
      <c r="A361">
        <v>16</v>
      </c>
      <c r="B361">
        <v>18</v>
      </c>
      <c r="C361" t="s">
        <v>125</v>
      </c>
      <c r="D361" t="s">
        <v>740</v>
      </c>
      <c r="E361" t="s">
        <v>125</v>
      </c>
      <c r="F361">
        <v>0</v>
      </c>
      <c r="G361" t="s">
        <v>125</v>
      </c>
      <c r="H361" t="s">
        <v>125</v>
      </c>
      <c r="I361" t="s">
        <v>125</v>
      </c>
      <c r="J361" t="s">
        <v>125</v>
      </c>
      <c r="K361" t="s">
        <v>125</v>
      </c>
      <c r="L361" t="s">
        <v>125</v>
      </c>
      <c r="M361" t="s">
        <v>1014</v>
      </c>
      <c r="N361" t="b">
        <v>0</v>
      </c>
    </row>
    <row r="362" spans="1:14">
      <c r="A362">
        <v>16</v>
      </c>
      <c r="B362">
        <v>19</v>
      </c>
      <c r="C362" t="s">
        <v>125</v>
      </c>
      <c r="D362" t="s">
        <v>740</v>
      </c>
      <c r="E362" t="s">
        <v>125</v>
      </c>
      <c r="F362">
        <v>0</v>
      </c>
      <c r="G362" t="s">
        <v>125</v>
      </c>
      <c r="H362" t="s">
        <v>125</v>
      </c>
      <c r="I362" t="s">
        <v>125</v>
      </c>
      <c r="J362" t="s">
        <v>125</v>
      </c>
      <c r="K362" t="s">
        <v>125</v>
      </c>
      <c r="L362" t="s">
        <v>125</v>
      </c>
      <c r="M362" t="s">
        <v>1015</v>
      </c>
      <c r="N362" t="b">
        <v>0</v>
      </c>
    </row>
    <row r="363" spans="1:14">
      <c r="A363">
        <v>16</v>
      </c>
      <c r="B363">
        <v>20</v>
      </c>
      <c r="C363" t="s">
        <v>125</v>
      </c>
      <c r="D363" t="s">
        <v>740</v>
      </c>
      <c r="E363" t="s">
        <v>125</v>
      </c>
      <c r="F363">
        <v>0</v>
      </c>
      <c r="G363" t="s">
        <v>125</v>
      </c>
      <c r="H363" t="s">
        <v>125</v>
      </c>
      <c r="I363" t="s">
        <v>125</v>
      </c>
      <c r="J363" t="s">
        <v>125</v>
      </c>
      <c r="K363" t="s">
        <v>125</v>
      </c>
      <c r="L363" t="s">
        <v>125</v>
      </c>
      <c r="M363" t="s">
        <v>1016</v>
      </c>
      <c r="N363" t="b">
        <v>0</v>
      </c>
    </row>
    <row r="364" spans="1:14">
      <c r="A364">
        <v>16</v>
      </c>
      <c r="B364">
        <v>21</v>
      </c>
      <c r="C364" t="s">
        <v>125</v>
      </c>
      <c r="D364" t="s">
        <v>740</v>
      </c>
      <c r="E364" t="s">
        <v>125</v>
      </c>
      <c r="F364">
        <v>0</v>
      </c>
      <c r="G364" t="s">
        <v>125</v>
      </c>
      <c r="H364" t="s">
        <v>125</v>
      </c>
      <c r="I364" t="s">
        <v>125</v>
      </c>
      <c r="J364" t="s">
        <v>125</v>
      </c>
      <c r="K364" t="s">
        <v>125</v>
      </c>
      <c r="L364" t="s">
        <v>125</v>
      </c>
      <c r="M364" t="s">
        <v>1017</v>
      </c>
      <c r="N364" t="b">
        <v>0</v>
      </c>
    </row>
    <row r="365" spans="1:14">
      <c r="A365">
        <v>16</v>
      </c>
      <c r="B365">
        <v>22</v>
      </c>
      <c r="C365" t="s">
        <v>125</v>
      </c>
      <c r="D365" t="s">
        <v>740</v>
      </c>
      <c r="E365" t="s">
        <v>125</v>
      </c>
      <c r="F365">
        <v>0</v>
      </c>
      <c r="G365" t="s">
        <v>125</v>
      </c>
      <c r="H365" t="s">
        <v>125</v>
      </c>
      <c r="I365" t="s">
        <v>125</v>
      </c>
      <c r="J365" t="s">
        <v>125</v>
      </c>
      <c r="K365" t="s">
        <v>125</v>
      </c>
      <c r="L365" t="s">
        <v>125</v>
      </c>
      <c r="M365" t="s">
        <v>1018</v>
      </c>
      <c r="N365" t="b">
        <v>0</v>
      </c>
    </row>
    <row r="366" spans="1:14">
      <c r="A366">
        <v>16</v>
      </c>
      <c r="B366">
        <v>23</v>
      </c>
      <c r="C366" t="s">
        <v>125</v>
      </c>
      <c r="D366" t="s">
        <v>740</v>
      </c>
      <c r="E366" t="s">
        <v>125</v>
      </c>
      <c r="F366">
        <v>0</v>
      </c>
      <c r="G366" t="s">
        <v>125</v>
      </c>
      <c r="H366" t="s">
        <v>125</v>
      </c>
      <c r="I366" t="s">
        <v>125</v>
      </c>
      <c r="J366" t="s">
        <v>125</v>
      </c>
      <c r="K366" t="s">
        <v>125</v>
      </c>
      <c r="L366" t="s">
        <v>125</v>
      </c>
      <c r="M366" t="s">
        <v>1019</v>
      </c>
      <c r="N366" t="b">
        <v>0</v>
      </c>
    </row>
    <row r="367" spans="1:14">
      <c r="A367">
        <v>16</v>
      </c>
      <c r="B367">
        <v>24</v>
      </c>
      <c r="C367" t="s">
        <v>125</v>
      </c>
      <c r="D367" t="s">
        <v>740</v>
      </c>
      <c r="E367" t="s">
        <v>125</v>
      </c>
      <c r="F367">
        <v>0</v>
      </c>
      <c r="G367" t="s">
        <v>125</v>
      </c>
      <c r="H367" t="s">
        <v>125</v>
      </c>
      <c r="I367" t="s">
        <v>125</v>
      </c>
      <c r="J367" t="s">
        <v>125</v>
      </c>
      <c r="K367" t="s">
        <v>125</v>
      </c>
      <c r="L367" t="s">
        <v>125</v>
      </c>
      <c r="M367" t="s">
        <v>1020</v>
      </c>
      <c r="N367" t="b">
        <v>0</v>
      </c>
    </row>
    <row r="368" spans="1:14">
      <c r="A368">
        <v>16</v>
      </c>
      <c r="B368">
        <v>25</v>
      </c>
      <c r="C368" t="s">
        <v>125</v>
      </c>
      <c r="D368" t="s">
        <v>740</v>
      </c>
      <c r="E368" t="s">
        <v>125</v>
      </c>
      <c r="F368">
        <v>0</v>
      </c>
      <c r="G368" t="s">
        <v>125</v>
      </c>
      <c r="H368" t="s">
        <v>125</v>
      </c>
      <c r="I368" t="s">
        <v>125</v>
      </c>
      <c r="J368" t="s">
        <v>125</v>
      </c>
      <c r="K368" t="s">
        <v>125</v>
      </c>
      <c r="L368" t="s">
        <v>125</v>
      </c>
      <c r="M368" t="s">
        <v>1021</v>
      </c>
      <c r="N368" t="b">
        <v>0</v>
      </c>
    </row>
    <row r="369" spans="1:14">
      <c r="A369">
        <v>16</v>
      </c>
      <c r="B369">
        <v>26</v>
      </c>
      <c r="C369" t="s">
        <v>125</v>
      </c>
      <c r="D369" t="s">
        <v>740</v>
      </c>
      <c r="E369" t="s">
        <v>125</v>
      </c>
      <c r="F369">
        <v>0</v>
      </c>
      <c r="G369" t="s">
        <v>125</v>
      </c>
      <c r="H369" t="s">
        <v>125</v>
      </c>
      <c r="I369" t="s">
        <v>125</v>
      </c>
      <c r="J369" t="s">
        <v>125</v>
      </c>
      <c r="K369" t="s">
        <v>125</v>
      </c>
      <c r="L369" t="s">
        <v>125</v>
      </c>
      <c r="M369" t="s">
        <v>1022</v>
      </c>
      <c r="N369" t="b">
        <v>0</v>
      </c>
    </row>
    <row r="370" spans="1:14">
      <c r="A370">
        <v>17</v>
      </c>
      <c r="B370">
        <v>0</v>
      </c>
      <c r="C370" t="s">
        <v>163</v>
      </c>
      <c r="D370" t="s">
        <v>723</v>
      </c>
      <c r="E370" t="s">
        <v>66</v>
      </c>
      <c r="F370">
        <v>40</v>
      </c>
      <c r="G370" t="s">
        <v>125</v>
      </c>
      <c r="H370" t="s">
        <v>125</v>
      </c>
      <c r="I370" t="s">
        <v>66</v>
      </c>
      <c r="J370" t="s">
        <v>125</v>
      </c>
      <c r="K370" t="s">
        <v>125</v>
      </c>
      <c r="L370" t="s">
        <v>125</v>
      </c>
      <c r="M370" t="s">
        <v>1023</v>
      </c>
      <c r="N370" t="b">
        <v>0</v>
      </c>
    </row>
    <row r="371" spans="1:14">
      <c r="A371">
        <v>17</v>
      </c>
      <c r="B371">
        <v>1</v>
      </c>
      <c r="C371" t="s">
        <v>178</v>
      </c>
      <c r="D371" t="s">
        <v>723</v>
      </c>
      <c r="E371" t="s">
        <v>82</v>
      </c>
      <c r="F371">
        <v>50</v>
      </c>
      <c r="G371" t="s">
        <v>125</v>
      </c>
      <c r="H371" t="s">
        <v>125</v>
      </c>
      <c r="I371" t="s">
        <v>82</v>
      </c>
      <c r="J371" t="s">
        <v>125</v>
      </c>
      <c r="K371" t="s">
        <v>125</v>
      </c>
      <c r="L371" t="s">
        <v>125</v>
      </c>
      <c r="M371" t="s">
        <v>1024</v>
      </c>
      <c r="N371" t="b">
        <v>0</v>
      </c>
    </row>
    <row r="372" spans="1:14">
      <c r="A372">
        <v>17</v>
      </c>
      <c r="B372">
        <v>2</v>
      </c>
      <c r="C372" t="s">
        <v>209</v>
      </c>
      <c r="D372" t="s">
        <v>723</v>
      </c>
      <c r="E372" t="s">
        <v>86</v>
      </c>
      <c r="F372">
        <v>40</v>
      </c>
      <c r="G372" t="s">
        <v>125</v>
      </c>
      <c r="H372" t="s">
        <v>125</v>
      </c>
      <c r="I372" t="s">
        <v>86</v>
      </c>
      <c r="J372" t="s">
        <v>125</v>
      </c>
      <c r="K372" t="s">
        <v>125</v>
      </c>
      <c r="L372" t="s">
        <v>125</v>
      </c>
      <c r="M372" t="s">
        <v>1025</v>
      </c>
      <c r="N372" t="b">
        <v>0</v>
      </c>
    </row>
    <row r="373" spans="1:14">
      <c r="A373">
        <v>17</v>
      </c>
      <c r="B373">
        <v>3</v>
      </c>
      <c r="C373" t="s">
        <v>247</v>
      </c>
      <c r="D373" t="s">
        <v>723</v>
      </c>
      <c r="E373" t="s">
        <v>92</v>
      </c>
      <c r="F373">
        <v>40</v>
      </c>
      <c r="G373" t="s">
        <v>125</v>
      </c>
      <c r="H373" t="s">
        <v>125</v>
      </c>
      <c r="I373" t="s">
        <v>92</v>
      </c>
      <c r="J373" t="s">
        <v>125</v>
      </c>
      <c r="K373" t="s">
        <v>125</v>
      </c>
      <c r="L373" t="s">
        <v>125</v>
      </c>
      <c r="M373" t="s">
        <v>1026</v>
      </c>
      <c r="N373" t="b">
        <v>0</v>
      </c>
    </row>
    <row r="374" spans="1:14">
      <c r="A374">
        <v>17</v>
      </c>
      <c r="B374">
        <v>4</v>
      </c>
      <c r="C374" t="s">
        <v>158</v>
      </c>
      <c r="D374" t="s">
        <v>752</v>
      </c>
      <c r="E374" t="s">
        <v>296</v>
      </c>
      <c r="F374">
        <v>50</v>
      </c>
      <c r="G374" t="s">
        <v>759</v>
      </c>
      <c r="H374" t="s">
        <v>125</v>
      </c>
      <c r="I374" t="s">
        <v>125</v>
      </c>
      <c r="J374" t="s">
        <v>760</v>
      </c>
      <c r="K374" t="s">
        <v>761</v>
      </c>
      <c r="L374" t="s">
        <v>762</v>
      </c>
      <c r="M374" t="s">
        <v>1027</v>
      </c>
      <c r="N374" t="b">
        <v>0</v>
      </c>
    </row>
    <row r="375" spans="1:14">
      <c r="A375">
        <v>17</v>
      </c>
      <c r="B375">
        <v>5</v>
      </c>
      <c r="C375" t="s">
        <v>158</v>
      </c>
      <c r="D375" t="s">
        <v>752</v>
      </c>
      <c r="E375" t="s">
        <v>296</v>
      </c>
      <c r="F375">
        <v>50</v>
      </c>
      <c r="G375" t="s">
        <v>759</v>
      </c>
      <c r="H375" t="s">
        <v>125</v>
      </c>
      <c r="I375" t="s">
        <v>125</v>
      </c>
      <c r="J375" t="s">
        <v>760</v>
      </c>
      <c r="K375" t="s">
        <v>764</v>
      </c>
      <c r="L375" t="s">
        <v>765</v>
      </c>
      <c r="M375" t="s">
        <v>1028</v>
      </c>
      <c r="N375" t="b">
        <v>0</v>
      </c>
    </row>
    <row r="376" spans="1:14">
      <c r="A376">
        <v>17</v>
      </c>
      <c r="B376">
        <v>6</v>
      </c>
      <c r="C376" t="s">
        <v>159</v>
      </c>
      <c r="D376" t="s">
        <v>752</v>
      </c>
      <c r="E376" t="s">
        <v>296</v>
      </c>
      <c r="F376">
        <v>40</v>
      </c>
      <c r="G376" t="s">
        <v>759</v>
      </c>
      <c r="H376" t="s">
        <v>125</v>
      </c>
      <c r="I376" t="s">
        <v>125</v>
      </c>
      <c r="J376" t="s">
        <v>760</v>
      </c>
      <c r="K376" t="s">
        <v>1000</v>
      </c>
      <c r="L376" t="s">
        <v>1001</v>
      </c>
      <c r="M376" t="s">
        <v>1029</v>
      </c>
      <c r="N376" t="b">
        <v>0</v>
      </c>
    </row>
    <row r="377" spans="1:14">
      <c r="A377">
        <v>17</v>
      </c>
      <c r="B377">
        <v>7</v>
      </c>
      <c r="C377" t="s">
        <v>245</v>
      </c>
      <c r="D377" t="s">
        <v>723</v>
      </c>
      <c r="E377" t="s">
        <v>113</v>
      </c>
      <c r="F377">
        <v>40</v>
      </c>
      <c r="G377" t="s">
        <v>125</v>
      </c>
      <c r="H377" t="s">
        <v>125</v>
      </c>
      <c r="I377" t="s">
        <v>113</v>
      </c>
      <c r="J377" t="s">
        <v>125</v>
      </c>
      <c r="K377" t="s">
        <v>125</v>
      </c>
      <c r="L377" t="s">
        <v>125</v>
      </c>
      <c r="M377" t="s">
        <v>1030</v>
      </c>
      <c r="N377" t="b">
        <v>0</v>
      </c>
    </row>
    <row r="378" spans="1:14">
      <c r="A378">
        <v>17</v>
      </c>
      <c r="B378">
        <v>8</v>
      </c>
      <c r="C378" t="s">
        <v>165</v>
      </c>
      <c r="D378" t="s">
        <v>723</v>
      </c>
      <c r="E378" t="s">
        <v>114</v>
      </c>
      <c r="F378">
        <v>50</v>
      </c>
      <c r="G378" t="s">
        <v>125</v>
      </c>
      <c r="H378" t="s">
        <v>125</v>
      </c>
      <c r="I378" t="s">
        <v>114</v>
      </c>
      <c r="J378" t="s">
        <v>125</v>
      </c>
      <c r="K378" t="s">
        <v>125</v>
      </c>
      <c r="L378" t="s">
        <v>125</v>
      </c>
      <c r="M378" t="s">
        <v>1031</v>
      </c>
      <c r="N378" t="b">
        <v>0</v>
      </c>
    </row>
    <row r="379" spans="1:14">
      <c r="A379">
        <v>17</v>
      </c>
      <c r="B379">
        <v>9</v>
      </c>
      <c r="C379" t="s">
        <v>176</v>
      </c>
      <c r="D379" t="s">
        <v>723</v>
      </c>
      <c r="E379" t="s">
        <v>99</v>
      </c>
      <c r="F379">
        <v>40</v>
      </c>
      <c r="G379" t="s">
        <v>125</v>
      </c>
      <c r="H379" t="s">
        <v>125</v>
      </c>
      <c r="I379" t="s">
        <v>99</v>
      </c>
      <c r="J379" t="s">
        <v>125</v>
      </c>
      <c r="K379" t="s">
        <v>125</v>
      </c>
      <c r="L379" t="s">
        <v>125</v>
      </c>
      <c r="M379" t="s">
        <v>1032</v>
      </c>
      <c r="N379" t="b">
        <v>0</v>
      </c>
    </row>
    <row r="380" spans="1:14">
      <c r="A380">
        <v>17</v>
      </c>
      <c r="B380">
        <v>10</v>
      </c>
      <c r="C380" t="s">
        <v>125</v>
      </c>
      <c r="D380" t="s">
        <v>723</v>
      </c>
      <c r="E380" t="s">
        <v>125</v>
      </c>
      <c r="F380">
        <v>0</v>
      </c>
      <c r="G380" t="s">
        <v>125</v>
      </c>
      <c r="H380" t="s">
        <v>125</v>
      </c>
      <c r="I380" t="s">
        <v>125</v>
      </c>
      <c r="J380" t="s">
        <v>125</v>
      </c>
      <c r="K380" t="s">
        <v>125</v>
      </c>
      <c r="L380" t="s">
        <v>125</v>
      </c>
      <c r="M380" t="s">
        <v>1033</v>
      </c>
      <c r="N380" t="b">
        <v>0</v>
      </c>
    </row>
    <row r="381" spans="1:14">
      <c r="A381">
        <v>17</v>
      </c>
      <c r="B381">
        <v>11</v>
      </c>
      <c r="C381" t="s">
        <v>125</v>
      </c>
      <c r="D381" t="s">
        <v>723</v>
      </c>
      <c r="E381" t="s">
        <v>125</v>
      </c>
      <c r="F381">
        <v>0</v>
      </c>
      <c r="G381" t="s">
        <v>125</v>
      </c>
      <c r="H381" t="s">
        <v>125</v>
      </c>
      <c r="I381" t="s">
        <v>125</v>
      </c>
      <c r="J381" t="s">
        <v>125</v>
      </c>
      <c r="K381" t="s">
        <v>125</v>
      </c>
      <c r="L381" t="s">
        <v>125</v>
      </c>
      <c r="M381" t="s">
        <v>1034</v>
      </c>
      <c r="N381" t="b">
        <v>0</v>
      </c>
    </row>
    <row r="382" spans="1:14">
      <c r="A382">
        <v>17</v>
      </c>
      <c r="B382">
        <v>12</v>
      </c>
      <c r="C382" t="s">
        <v>125</v>
      </c>
      <c r="D382" t="s">
        <v>723</v>
      </c>
      <c r="E382" t="s">
        <v>125</v>
      </c>
      <c r="F382">
        <v>0</v>
      </c>
      <c r="G382" t="s">
        <v>125</v>
      </c>
      <c r="H382" t="s">
        <v>125</v>
      </c>
      <c r="I382" t="s">
        <v>125</v>
      </c>
      <c r="J382" t="s">
        <v>125</v>
      </c>
      <c r="K382" t="s">
        <v>125</v>
      </c>
      <c r="L382" t="s">
        <v>125</v>
      </c>
      <c r="M382" t="s">
        <v>1035</v>
      </c>
      <c r="N382" t="b">
        <v>0</v>
      </c>
    </row>
    <row r="383" spans="1:14">
      <c r="A383">
        <v>17</v>
      </c>
      <c r="B383">
        <v>13</v>
      </c>
      <c r="C383" t="s">
        <v>125</v>
      </c>
      <c r="D383" t="s">
        <v>723</v>
      </c>
      <c r="E383" t="s">
        <v>125</v>
      </c>
      <c r="F383">
        <v>0</v>
      </c>
      <c r="G383" t="s">
        <v>125</v>
      </c>
      <c r="H383" t="s">
        <v>125</v>
      </c>
      <c r="I383" t="s">
        <v>125</v>
      </c>
      <c r="J383" t="s">
        <v>125</v>
      </c>
      <c r="K383" t="s">
        <v>125</v>
      </c>
      <c r="L383" t="s">
        <v>125</v>
      </c>
      <c r="M383" t="s">
        <v>1036</v>
      </c>
      <c r="N383" t="b">
        <v>0</v>
      </c>
    </row>
    <row r="384" spans="1:14">
      <c r="A384">
        <v>17</v>
      </c>
      <c r="B384">
        <v>14</v>
      </c>
      <c r="C384" t="s">
        <v>125</v>
      </c>
      <c r="D384" t="s">
        <v>723</v>
      </c>
      <c r="E384" t="s">
        <v>125</v>
      </c>
      <c r="F384">
        <v>0</v>
      </c>
      <c r="G384" t="s">
        <v>125</v>
      </c>
      <c r="H384" t="s">
        <v>125</v>
      </c>
      <c r="I384" t="s">
        <v>125</v>
      </c>
      <c r="J384" t="s">
        <v>125</v>
      </c>
      <c r="K384" t="s">
        <v>125</v>
      </c>
      <c r="L384" t="s">
        <v>125</v>
      </c>
      <c r="M384" t="s">
        <v>1037</v>
      </c>
      <c r="N384" t="b">
        <v>0</v>
      </c>
    </row>
    <row r="385" spans="1:14">
      <c r="A385">
        <v>17</v>
      </c>
      <c r="B385">
        <v>15</v>
      </c>
      <c r="C385" t="s">
        <v>125</v>
      </c>
      <c r="D385" t="s">
        <v>723</v>
      </c>
      <c r="E385" t="s">
        <v>125</v>
      </c>
      <c r="F385">
        <v>0</v>
      </c>
      <c r="G385" t="s">
        <v>125</v>
      </c>
      <c r="H385" t="s">
        <v>125</v>
      </c>
      <c r="I385" t="s">
        <v>125</v>
      </c>
      <c r="J385" t="s">
        <v>125</v>
      </c>
      <c r="K385" t="s">
        <v>125</v>
      </c>
      <c r="L385" t="s">
        <v>125</v>
      </c>
      <c r="M385" t="s">
        <v>1038</v>
      </c>
      <c r="N385" t="b">
        <v>0</v>
      </c>
    </row>
    <row r="386" spans="1:14">
      <c r="A386">
        <v>17</v>
      </c>
      <c r="B386">
        <v>16</v>
      </c>
      <c r="C386" t="s">
        <v>125</v>
      </c>
      <c r="D386" t="s">
        <v>740</v>
      </c>
      <c r="E386" t="s">
        <v>125</v>
      </c>
      <c r="F386">
        <v>0</v>
      </c>
      <c r="G386" t="s">
        <v>125</v>
      </c>
      <c r="H386" t="s">
        <v>125</v>
      </c>
      <c r="I386" t="s">
        <v>125</v>
      </c>
      <c r="J386" t="s">
        <v>125</v>
      </c>
      <c r="K386" t="s">
        <v>125</v>
      </c>
      <c r="L386" t="s">
        <v>125</v>
      </c>
      <c r="M386" t="s">
        <v>1039</v>
      </c>
      <c r="N386" t="b">
        <v>0</v>
      </c>
    </row>
    <row r="387" spans="1:14">
      <c r="A387">
        <v>17</v>
      </c>
      <c r="B387">
        <v>17</v>
      </c>
      <c r="C387" t="s">
        <v>125</v>
      </c>
      <c r="D387" t="s">
        <v>740</v>
      </c>
      <c r="E387" t="s">
        <v>125</v>
      </c>
      <c r="F387">
        <v>0</v>
      </c>
      <c r="G387" t="s">
        <v>125</v>
      </c>
      <c r="H387" t="s">
        <v>125</v>
      </c>
      <c r="I387" t="s">
        <v>125</v>
      </c>
      <c r="J387" t="s">
        <v>125</v>
      </c>
      <c r="K387" t="s">
        <v>125</v>
      </c>
      <c r="L387" t="s">
        <v>125</v>
      </c>
      <c r="M387" t="s">
        <v>674</v>
      </c>
      <c r="N387" t="b">
        <v>0</v>
      </c>
    </row>
    <row r="388" spans="1:14">
      <c r="A388">
        <v>17</v>
      </c>
      <c r="B388">
        <v>18</v>
      </c>
      <c r="C388" t="s">
        <v>125</v>
      </c>
      <c r="D388" t="s">
        <v>740</v>
      </c>
      <c r="E388" t="s">
        <v>125</v>
      </c>
      <c r="F388">
        <v>0</v>
      </c>
      <c r="G388" t="s">
        <v>125</v>
      </c>
      <c r="H388" t="s">
        <v>125</v>
      </c>
      <c r="I388" t="s">
        <v>125</v>
      </c>
      <c r="J388" t="s">
        <v>125</v>
      </c>
      <c r="K388" t="s">
        <v>125</v>
      </c>
      <c r="L388" t="s">
        <v>125</v>
      </c>
      <c r="M388" t="s">
        <v>1040</v>
      </c>
      <c r="N388" t="b">
        <v>0</v>
      </c>
    </row>
    <row r="389" spans="1:14">
      <c r="A389">
        <v>17</v>
      </c>
      <c r="B389">
        <v>19</v>
      </c>
      <c r="C389" t="s">
        <v>125</v>
      </c>
      <c r="D389" t="s">
        <v>740</v>
      </c>
      <c r="E389" t="s">
        <v>125</v>
      </c>
      <c r="F389">
        <v>0</v>
      </c>
      <c r="G389" t="s">
        <v>125</v>
      </c>
      <c r="H389" t="s">
        <v>125</v>
      </c>
      <c r="I389" t="s">
        <v>125</v>
      </c>
      <c r="J389" t="s">
        <v>125</v>
      </c>
      <c r="K389" t="s">
        <v>125</v>
      </c>
      <c r="L389" t="s">
        <v>125</v>
      </c>
      <c r="M389" t="s">
        <v>1041</v>
      </c>
      <c r="N389" t="b">
        <v>0</v>
      </c>
    </row>
    <row r="390" spans="1:14">
      <c r="A390">
        <v>17</v>
      </c>
      <c r="B390">
        <v>20</v>
      </c>
      <c r="C390" t="s">
        <v>125</v>
      </c>
      <c r="D390" t="s">
        <v>740</v>
      </c>
      <c r="E390" t="s">
        <v>125</v>
      </c>
      <c r="F390">
        <v>0</v>
      </c>
      <c r="G390" t="s">
        <v>125</v>
      </c>
      <c r="H390" t="s">
        <v>125</v>
      </c>
      <c r="I390" t="s">
        <v>125</v>
      </c>
      <c r="J390" t="s">
        <v>125</v>
      </c>
      <c r="K390" t="s">
        <v>125</v>
      </c>
      <c r="L390" t="s">
        <v>125</v>
      </c>
      <c r="M390" t="s">
        <v>1042</v>
      </c>
      <c r="N390" t="b">
        <v>0</v>
      </c>
    </row>
    <row r="391" spans="1:14">
      <c r="A391">
        <v>17</v>
      </c>
      <c r="B391">
        <v>21</v>
      </c>
      <c r="C391" t="s">
        <v>125</v>
      </c>
      <c r="D391" t="s">
        <v>740</v>
      </c>
      <c r="E391" t="s">
        <v>125</v>
      </c>
      <c r="F391">
        <v>0</v>
      </c>
      <c r="G391" t="s">
        <v>125</v>
      </c>
      <c r="H391" t="s">
        <v>125</v>
      </c>
      <c r="I391" t="s">
        <v>125</v>
      </c>
      <c r="J391" t="s">
        <v>125</v>
      </c>
      <c r="K391" t="s">
        <v>125</v>
      </c>
      <c r="L391" t="s">
        <v>125</v>
      </c>
      <c r="M391" t="s">
        <v>1043</v>
      </c>
      <c r="N391" t="b">
        <v>0</v>
      </c>
    </row>
    <row r="392" spans="1:14">
      <c r="A392">
        <v>17</v>
      </c>
      <c r="B392">
        <v>22</v>
      </c>
      <c r="C392" t="s">
        <v>125</v>
      </c>
      <c r="D392" t="s">
        <v>740</v>
      </c>
      <c r="E392" t="s">
        <v>125</v>
      </c>
      <c r="F392">
        <v>0</v>
      </c>
      <c r="G392" t="s">
        <v>125</v>
      </c>
      <c r="H392" t="s">
        <v>125</v>
      </c>
      <c r="I392" t="s">
        <v>125</v>
      </c>
      <c r="J392" t="s">
        <v>125</v>
      </c>
      <c r="K392" t="s">
        <v>125</v>
      </c>
      <c r="L392" t="s">
        <v>125</v>
      </c>
      <c r="M392" t="s">
        <v>1044</v>
      </c>
      <c r="N392" t="b">
        <v>0</v>
      </c>
    </row>
    <row r="393" spans="1:14">
      <c r="A393">
        <v>17</v>
      </c>
      <c r="B393">
        <v>23</v>
      </c>
      <c r="C393" t="s">
        <v>125</v>
      </c>
      <c r="D393" t="s">
        <v>740</v>
      </c>
      <c r="E393" t="s">
        <v>125</v>
      </c>
      <c r="F393">
        <v>0</v>
      </c>
      <c r="G393" t="s">
        <v>125</v>
      </c>
      <c r="H393" t="s">
        <v>125</v>
      </c>
      <c r="I393" t="s">
        <v>125</v>
      </c>
      <c r="J393" t="s">
        <v>125</v>
      </c>
      <c r="K393" t="s">
        <v>125</v>
      </c>
      <c r="L393" t="s">
        <v>125</v>
      </c>
      <c r="M393" t="s">
        <v>1045</v>
      </c>
      <c r="N393" t="b">
        <v>0</v>
      </c>
    </row>
    <row r="394" spans="1:14">
      <c r="A394">
        <v>17</v>
      </c>
      <c r="B394">
        <v>24</v>
      </c>
      <c r="C394" t="s">
        <v>125</v>
      </c>
      <c r="D394" t="s">
        <v>740</v>
      </c>
      <c r="E394" t="s">
        <v>125</v>
      </c>
      <c r="F394">
        <v>0</v>
      </c>
      <c r="G394" t="s">
        <v>125</v>
      </c>
      <c r="H394" t="s">
        <v>125</v>
      </c>
      <c r="I394" t="s">
        <v>125</v>
      </c>
      <c r="J394" t="s">
        <v>125</v>
      </c>
      <c r="K394" t="s">
        <v>125</v>
      </c>
      <c r="L394" t="s">
        <v>125</v>
      </c>
      <c r="M394" t="s">
        <v>1046</v>
      </c>
      <c r="N394" t="b">
        <v>0</v>
      </c>
    </row>
    <row r="395" spans="1:14">
      <c r="A395">
        <v>17</v>
      </c>
      <c r="B395">
        <v>25</v>
      </c>
      <c r="C395" t="s">
        <v>125</v>
      </c>
      <c r="D395" t="s">
        <v>740</v>
      </c>
      <c r="E395" t="s">
        <v>125</v>
      </c>
      <c r="F395">
        <v>0</v>
      </c>
      <c r="G395" t="s">
        <v>125</v>
      </c>
      <c r="H395" t="s">
        <v>125</v>
      </c>
      <c r="I395" t="s">
        <v>125</v>
      </c>
      <c r="J395" t="s">
        <v>125</v>
      </c>
      <c r="K395" t="s">
        <v>125</v>
      </c>
      <c r="L395" t="s">
        <v>125</v>
      </c>
      <c r="M395" t="s">
        <v>1047</v>
      </c>
      <c r="N395" t="b">
        <v>0</v>
      </c>
    </row>
    <row r="396" spans="1:14">
      <c r="A396">
        <v>17</v>
      </c>
      <c r="B396">
        <v>26</v>
      </c>
      <c r="C396" t="s">
        <v>125</v>
      </c>
      <c r="D396" t="s">
        <v>740</v>
      </c>
      <c r="E396" t="s">
        <v>125</v>
      </c>
      <c r="F396">
        <v>0</v>
      </c>
      <c r="G396" t="s">
        <v>125</v>
      </c>
      <c r="H396" t="s">
        <v>125</v>
      </c>
      <c r="I396" t="s">
        <v>125</v>
      </c>
      <c r="J396" t="s">
        <v>125</v>
      </c>
      <c r="K396" t="s">
        <v>125</v>
      </c>
      <c r="L396" t="s">
        <v>125</v>
      </c>
      <c r="M396" t="s">
        <v>1048</v>
      </c>
      <c r="N396" t="b">
        <v>0</v>
      </c>
    </row>
    <row r="397" spans="1:14">
      <c r="A397">
        <v>18</v>
      </c>
      <c r="B397">
        <v>0</v>
      </c>
      <c r="C397" t="s">
        <v>185</v>
      </c>
      <c r="D397" t="s">
        <v>723</v>
      </c>
      <c r="E397" t="s">
        <v>64</v>
      </c>
      <c r="F397">
        <v>50</v>
      </c>
      <c r="G397" t="s">
        <v>125</v>
      </c>
      <c r="H397" t="s">
        <v>125</v>
      </c>
      <c r="I397" t="s">
        <v>64</v>
      </c>
      <c r="J397" t="s">
        <v>125</v>
      </c>
      <c r="K397" t="s">
        <v>125</v>
      </c>
      <c r="L397" t="s">
        <v>125</v>
      </c>
      <c r="M397" t="s">
        <v>1049</v>
      </c>
      <c r="N397" t="b">
        <v>0</v>
      </c>
    </row>
    <row r="398" spans="1:14">
      <c r="A398">
        <v>18</v>
      </c>
      <c r="B398">
        <v>1</v>
      </c>
      <c r="C398" t="s">
        <v>157</v>
      </c>
      <c r="D398" t="s">
        <v>723</v>
      </c>
      <c r="E398" t="s">
        <v>82</v>
      </c>
      <c r="F398">
        <v>40</v>
      </c>
      <c r="G398" t="s">
        <v>125</v>
      </c>
      <c r="H398" t="s">
        <v>125</v>
      </c>
      <c r="I398" t="s">
        <v>82</v>
      </c>
      <c r="J398" t="s">
        <v>125</v>
      </c>
      <c r="K398" t="s">
        <v>125</v>
      </c>
      <c r="L398" t="s">
        <v>125</v>
      </c>
      <c r="M398" t="s">
        <v>1050</v>
      </c>
      <c r="N398" t="b">
        <v>0</v>
      </c>
    </row>
    <row r="399" spans="1:14">
      <c r="A399">
        <v>18</v>
      </c>
      <c r="B399">
        <v>2</v>
      </c>
      <c r="C399" t="s">
        <v>186</v>
      </c>
      <c r="D399" t="s">
        <v>723</v>
      </c>
      <c r="E399" t="s">
        <v>92</v>
      </c>
      <c r="F399">
        <v>50</v>
      </c>
      <c r="G399" t="s">
        <v>125</v>
      </c>
      <c r="H399" t="s">
        <v>125</v>
      </c>
      <c r="I399" t="s">
        <v>92</v>
      </c>
      <c r="J399" t="s">
        <v>125</v>
      </c>
      <c r="K399" t="s">
        <v>125</v>
      </c>
      <c r="L399" t="s">
        <v>125</v>
      </c>
      <c r="M399" t="s">
        <v>1051</v>
      </c>
      <c r="N399" t="b">
        <v>0</v>
      </c>
    </row>
    <row r="400" spans="1:14">
      <c r="A400">
        <v>18</v>
      </c>
      <c r="B400">
        <v>3</v>
      </c>
      <c r="C400" t="s">
        <v>233</v>
      </c>
      <c r="D400" t="s">
        <v>723</v>
      </c>
      <c r="E400" t="s">
        <v>95</v>
      </c>
      <c r="F400">
        <v>50</v>
      </c>
      <c r="G400" t="s">
        <v>125</v>
      </c>
      <c r="H400" t="s">
        <v>125</v>
      </c>
      <c r="I400" t="s">
        <v>95</v>
      </c>
      <c r="J400" t="s">
        <v>125</v>
      </c>
      <c r="K400" t="s">
        <v>125</v>
      </c>
      <c r="L400" t="s">
        <v>125</v>
      </c>
      <c r="M400" t="s">
        <v>1052</v>
      </c>
      <c r="N400" t="b">
        <v>0</v>
      </c>
    </row>
    <row r="401" spans="1:14">
      <c r="A401">
        <v>18</v>
      </c>
      <c r="B401">
        <v>4</v>
      </c>
      <c r="C401" t="s">
        <v>250</v>
      </c>
      <c r="D401" t="s">
        <v>723</v>
      </c>
      <c r="E401" t="s">
        <v>98</v>
      </c>
      <c r="F401">
        <v>40</v>
      </c>
      <c r="G401" t="s">
        <v>125</v>
      </c>
      <c r="H401" t="s">
        <v>125</v>
      </c>
      <c r="I401" t="s">
        <v>98</v>
      </c>
      <c r="J401" t="s">
        <v>125</v>
      </c>
      <c r="K401" t="s">
        <v>125</v>
      </c>
      <c r="L401" t="s">
        <v>125</v>
      </c>
      <c r="M401" t="s">
        <v>1053</v>
      </c>
      <c r="N401" t="b">
        <v>0</v>
      </c>
    </row>
    <row r="402" spans="1:14">
      <c r="A402">
        <v>18</v>
      </c>
      <c r="B402">
        <v>5</v>
      </c>
      <c r="C402" t="s">
        <v>228</v>
      </c>
      <c r="D402" t="s">
        <v>723</v>
      </c>
      <c r="E402" t="s">
        <v>100</v>
      </c>
      <c r="F402">
        <v>40</v>
      </c>
      <c r="G402" t="s">
        <v>125</v>
      </c>
      <c r="H402" t="s">
        <v>125</v>
      </c>
      <c r="I402" t="s">
        <v>100</v>
      </c>
      <c r="J402" t="s">
        <v>125</v>
      </c>
      <c r="K402" t="s">
        <v>125</v>
      </c>
      <c r="L402" t="s">
        <v>125</v>
      </c>
      <c r="M402" t="s">
        <v>1054</v>
      </c>
      <c r="N402" t="b">
        <v>0</v>
      </c>
    </row>
    <row r="403" spans="1:14">
      <c r="A403">
        <v>18</v>
      </c>
      <c r="B403">
        <v>6</v>
      </c>
      <c r="C403" t="s">
        <v>158</v>
      </c>
      <c r="D403" t="s">
        <v>752</v>
      </c>
      <c r="E403" t="s">
        <v>296</v>
      </c>
      <c r="F403">
        <v>50</v>
      </c>
      <c r="G403" t="s">
        <v>759</v>
      </c>
      <c r="H403" t="s">
        <v>125</v>
      </c>
      <c r="I403" t="s">
        <v>125</v>
      </c>
      <c r="J403" t="s">
        <v>760</v>
      </c>
      <c r="K403" t="s">
        <v>761</v>
      </c>
      <c r="L403" t="s">
        <v>762</v>
      </c>
      <c r="M403" t="s">
        <v>1055</v>
      </c>
      <c r="N403" t="b">
        <v>0</v>
      </c>
    </row>
    <row r="404" spans="1:14">
      <c r="A404">
        <v>18</v>
      </c>
      <c r="B404">
        <v>7</v>
      </c>
      <c r="C404" t="s">
        <v>159</v>
      </c>
      <c r="D404" t="s">
        <v>752</v>
      </c>
      <c r="E404" t="s">
        <v>296</v>
      </c>
      <c r="F404">
        <v>40</v>
      </c>
      <c r="G404" t="s">
        <v>759</v>
      </c>
      <c r="H404" t="s">
        <v>125</v>
      </c>
      <c r="I404" t="s">
        <v>125</v>
      </c>
      <c r="J404" t="s">
        <v>760</v>
      </c>
      <c r="K404" t="s">
        <v>764</v>
      </c>
      <c r="L404" t="s">
        <v>765</v>
      </c>
      <c r="M404" t="s">
        <v>1056</v>
      </c>
      <c r="N404" t="b">
        <v>0</v>
      </c>
    </row>
    <row r="405" spans="1:14">
      <c r="A405">
        <v>18</v>
      </c>
      <c r="B405">
        <v>8</v>
      </c>
      <c r="C405" t="s">
        <v>190</v>
      </c>
      <c r="D405" t="s">
        <v>723</v>
      </c>
      <c r="E405" t="s">
        <v>114</v>
      </c>
      <c r="F405">
        <v>60</v>
      </c>
      <c r="G405" t="s">
        <v>125</v>
      </c>
      <c r="H405" t="s">
        <v>125</v>
      </c>
      <c r="I405" t="s">
        <v>114</v>
      </c>
      <c r="J405" t="s">
        <v>125</v>
      </c>
      <c r="K405" t="s">
        <v>125</v>
      </c>
      <c r="L405" t="s">
        <v>125</v>
      </c>
      <c r="M405" t="s">
        <v>1057</v>
      </c>
      <c r="N405" t="b">
        <v>0</v>
      </c>
    </row>
    <row r="406" spans="1:14">
      <c r="A406">
        <v>18</v>
      </c>
      <c r="B406">
        <v>9</v>
      </c>
      <c r="C406" t="s">
        <v>251</v>
      </c>
      <c r="D406" t="s">
        <v>723</v>
      </c>
      <c r="E406" t="s">
        <v>77</v>
      </c>
      <c r="F406">
        <v>60</v>
      </c>
      <c r="G406" t="s">
        <v>125</v>
      </c>
      <c r="H406" t="s">
        <v>125</v>
      </c>
      <c r="I406" t="s">
        <v>77</v>
      </c>
      <c r="J406" t="s">
        <v>125</v>
      </c>
      <c r="K406" t="s">
        <v>125</v>
      </c>
      <c r="L406" t="s">
        <v>125</v>
      </c>
      <c r="M406" t="s">
        <v>1058</v>
      </c>
      <c r="N406" t="b">
        <v>0</v>
      </c>
    </row>
    <row r="407" spans="1:14">
      <c r="A407">
        <v>18</v>
      </c>
      <c r="B407">
        <v>10</v>
      </c>
      <c r="C407" t="s">
        <v>176</v>
      </c>
      <c r="D407" t="s">
        <v>723</v>
      </c>
      <c r="E407" t="s">
        <v>99</v>
      </c>
      <c r="F407">
        <v>40</v>
      </c>
      <c r="G407" t="s">
        <v>125</v>
      </c>
      <c r="H407" t="s">
        <v>125</v>
      </c>
      <c r="I407" t="s">
        <v>99</v>
      </c>
      <c r="J407" t="s">
        <v>125</v>
      </c>
      <c r="K407" t="s">
        <v>125</v>
      </c>
      <c r="L407" t="s">
        <v>125</v>
      </c>
      <c r="M407" t="s">
        <v>1059</v>
      </c>
      <c r="N407" t="b">
        <v>0</v>
      </c>
    </row>
    <row r="408" spans="1:14">
      <c r="A408">
        <v>18</v>
      </c>
      <c r="B408">
        <v>11</v>
      </c>
      <c r="C408" t="s">
        <v>221</v>
      </c>
      <c r="D408" t="s">
        <v>723</v>
      </c>
      <c r="E408" t="s">
        <v>101</v>
      </c>
      <c r="F408">
        <v>50</v>
      </c>
      <c r="G408" t="s">
        <v>125</v>
      </c>
      <c r="H408" t="s">
        <v>125</v>
      </c>
      <c r="I408" t="s">
        <v>101</v>
      </c>
      <c r="J408" t="s">
        <v>125</v>
      </c>
      <c r="K408" t="s">
        <v>125</v>
      </c>
      <c r="L408" t="s">
        <v>125</v>
      </c>
      <c r="M408" t="s">
        <v>1060</v>
      </c>
      <c r="N408" t="b">
        <v>0</v>
      </c>
    </row>
    <row r="409" spans="1:14">
      <c r="A409">
        <v>18</v>
      </c>
      <c r="B409">
        <v>12</v>
      </c>
      <c r="C409" t="s">
        <v>231</v>
      </c>
      <c r="D409" t="s">
        <v>723</v>
      </c>
      <c r="E409" t="s">
        <v>107</v>
      </c>
      <c r="F409">
        <v>50</v>
      </c>
      <c r="G409" t="s">
        <v>125</v>
      </c>
      <c r="H409" t="s">
        <v>125</v>
      </c>
      <c r="I409" t="s">
        <v>107</v>
      </c>
      <c r="J409" t="s">
        <v>125</v>
      </c>
      <c r="K409" t="s">
        <v>125</v>
      </c>
      <c r="L409" t="s">
        <v>125</v>
      </c>
      <c r="M409" t="s">
        <v>1061</v>
      </c>
      <c r="N409" t="b">
        <v>0</v>
      </c>
    </row>
    <row r="410" spans="1:14">
      <c r="A410">
        <v>18</v>
      </c>
      <c r="B410">
        <v>13</v>
      </c>
      <c r="C410" t="s">
        <v>125</v>
      </c>
      <c r="D410" t="s">
        <v>723</v>
      </c>
      <c r="E410" t="s">
        <v>125</v>
      </c>
      <c r="F410">
        <v>0</v>
      </c>
      <c r="G410" t="s">
        <v>125</v>
      </c>
      <c r="H410" t="s">
        <v>125</v>
      </c>
      <c r="I410" t="s">
        <v>125</v>
      </c>
      <c r="J410" t="s">
        <v>125</v>
      </c>
      <c r="K410" t="s">
        <v>125</v>
      </c>
      <c r="L410" t="s">
        <v>125</v>
      </c>
      <c r="M410" t="s">
        <v>1062</v>
      </c>
      <c r="N410" t="b">
        <v>0</v>
      </c>
    </row>
    <row r="411" spans="1:14">
      <c r="A411">
        <v>18</v>
      </c>
      <c r="B411">
        <v>14</v>
      </c>
      <c r="C411" t="s">
        <v>125</v>
      </c>
      <c r="D411" t="s">
        <v>723</v>
      </c>
      <c r="E411" t="s">
        <v>125</v>
      </c>
      <c r="F411">
        <v>0</v>
      </c>
      <c r="G411" t="s">
        <v>125</v>
      </c>
      <c r="H411" t="s">
        <v>125</v>
      </c>
      <c r="I411" t="s">
        <v>125</v>
      </c>
      <c r="J411" t="s">
        <v>125</v>
      </c>
      <c r="K411" t="s">
        <v>125</v>
      </c>
      <c r="L411" t="s">
        <v>125</v>
      </c>
      <c r="M411" t="s">
        <v>1063</v>
      </c>
      <c r="N411" t="b">
        <v>0</v>
      </c>
    </row>
    <row r="412" spans="1:14">
      <c r="A412">
        <v>18</v>
      </c>
      <c r="B412">
        <v>15</v>
      </c>
      <c r="C412" t="s">
        <v>125</v>
      </c>
      <c r="D412" t="s">
        <v>723</v>
      </c>
      <c r="E412" t="s">
        <v>125</v>
      </c>
      <c r="F412">
        <v>0</v>
      </c>
      <c r="G412" t="s">
        <v>125</v>
      </c>
      <c r="H412" t="s">
        <v>125</v>
      </c>
      <c r="I412" t="s">
        <v>125</v>
      </c>
      <c r="J412" t="s">
        <v>125</v>
      </c>
      <c r="K412" t="s">
        <v>125</v>
      </c>
      <c r="L412" t="s">
        <v>125</v>
      </c>
      <c r="M412" t="s">
        <v>1064</v>
      </c>
      <c r="N412" t="b">
        <v>0</v>
      </c>
    </row>
    <row r="413" spans="1:14">
      <c r="A413">
        <v>18</v>
      </c>
      <c r="B413">
        <v>16</v>
      </c>
      <c r="C413" t="s">
        <v>125</v>
      </c>
      <c r="D413" t="s">
        <v>740</v>
      </c>
      <c r="E413" t="s">
        <v>125</v>
      </c>
      <c r="F413">
        <v>0</v>
      </c>
      <c r="G413" t="s">
        <v>125</v>
      </c>
      <c r="H413" t="s">
        <v>125</v>
      </c>
      <c r="I413" t="s">
        <v>125</v>
      </c>
      <c r="J413" t="s">
        <v>125</v>
      </c>
      <c r="K413" t="s">
        <v>125</v>
      </c>
      <c r="L413" t="s">
        <v>125</v>
      </c>
      <c r="M413" t="s">
        <v>1065</v>
      </c>
      <c r="N413" t="b">
        <v>0</v>
      </c>
    </row>
    <row r="414" spans="1:14">
      <c r="A414">
        <v>18</v>
      </c>
      <c r="B414">
        <v>17</v>
      </c>
      <c r="C414" t="s">
        <v>125</v>
      </c>
      <c r="D414" t="s">
        <v>740</v>
      </c>
      <c r="E414" t="s">
        <v>125</v>
      </c>
      <c r="F414">
        <v>0</v>
      </c>
      <c r="G414" t="s">
        <v>125</v>
      </c>
      <c r="H414" t="s">
        <v>125</v>
      </c>
      <c r="I414" t="s">
        <v>125</v>
      </c>
      <c r="J414" t="s">
        <v>125</v>
      </c>
      <c r="K414" t="s">
        <v>125</v>
      </c>
      <c r="L414" t="s">
        <v>125</v>
      </c>
      <c r="M414" t="s">
        <v>676</v>
      </c>
      <c r="N414" t="b">
        <v>0</v>
      </c>
    </row>
    <row r="415" spans="1:14">
      <c r="A415">
        <v>18</v>
      </c>
      <c r="B415">
        <v>18</v>
      </c>
      <c r="C415" t="s">
        <v>125</v>
      </c>
      <c r="D415" t="s">
        <v>740</v>
      </c>
      <c r="E415" t="s">
        <v>125</v>
      </c>
      <c r="F415">
        <v>0</v>
      </c>
      <c r="G415" t="s">
        <v>125</v>
      </c>
      <c r="H415" t="s">
        <v>125</v>
      </c>
      <c r="I415" t="s">
        <v>125</v>
      </c>
      <c r="J415" t="s">
        <v>125</v>
      </c>
      <c r="K415" t="s">
        <v>125</v>
      </c>
      <c r="L415" t="s">
        <v>125</v>
      </c>
      <c r="M415" t="s">
        <v>1066</v>
      </c>
      <c r="N415" t="b">
        <v>0</v>
      </c>
    </row>
    <row r="416" spans="1:14">
      <c r="A416">
        <v>18</v>
      </c>
      <c r="B416">
        <v>19</v>
      </c>
      <c r="C416" t="s">
        <v>125</v>
      </c>
      <c r="D416" t="s">
        <v>740</v>
      </c>
      <c r="E416" t="s">
        <v>125</v>
      </c>
      <c r="F416">
        <v>0</v>
      </c>
      <c r="G416" t="s">
        <v>125</v>
      </c>
      <c r="H416" t="s">
        <v>125</v>
      </c>
      <c r="I416" t="s">
        <v>125</v>
      </c>
      <c r="J416" t="s">
        <v>125</v>
      </c>
      <c r="K416" t="s">
        <v>125</v>
      </c>
      <c r="L416" t="s">
        <v>125</v>
      </c>
      <c r="M416" t="s">
        <v>1067</v>
      </c>
      <c r="N416" t="b">
        <v>0</v>
      </c>
    </row>
    <row r="417" spans="1:14">
      <c r="A417">
        <v>18</v>
      </c>
      <c r="B417">
        <v>20</v>
      </c>
      <c r="C417" t="s">
        <v>125</v>
      </c>
      <c r="D417" t="s">
        <v>740</v>
      </c>
      <c r="E417" t="s">
        <v>125</v>
      </c>
      <c r="F417">
        <v>0</v>
      </c>
      <c r="G417" t="s">
        <v>125</v>
      </c>
      <c r="H417" t="s">
        <v>125</v>
      </c>
      <c r="I417" t="s">
        <v>125</v>
      </c>
      <c r="J417" t="s">
        <v>125</v>
      </c>
      <c r="K417" t="s">
        <v>125</v>
      </c>
      <c r="L417" t="s">
        <v>125</v>
      </c>
      <c r="M417" t="s">
        <v>1068</v>
      </c>
      <c r="N417" t="b">
        <v>0</v>
      </c>
    </row>
    <row r="418" spans="1:14">
      <c r="A418">
        <v>18</v>
      </c>
      <c r="B418">
        <v>21</v>
      </c>
      <c r="C418" t="s">
        <v>125</v>
      </c>
      <c r="D418" t="s">
        <v>740</v>
      </c>
      <c r="E418" t="s">
        <v>125</v>
      </c>
      <c r="F418">
        <v>0</v>
      </c>
      <c r="G418" t="s">
        <v>125</v>
      </c>
      <c r="H418" t="s">
        <v>125</v>
      </c>
      <c r="I418" t="s">
        <v>125</v>
      </c>
      <c r="J418" t="s">
        <v>125</v>
      </c>
      <c r="K418" t="s">
        <v>125</v>
      </c>
      <c r="L418" t="s">
        <v>125</v>
      </c>
      <c r="M418" t="s">
        <v>1069</v>
      </c>
      <c r="N418" t="b">
        <v>0</v>
      </c>
    </row>
    <row r="419" spans="1:14">
      <c r="A419">
        <v>18</v>
      </c>
      <c r="B419">
        <v>22</v>
      </c>
      <c r="C419" t="s">
        <v>125</v>
      </c>
      <c r="D419" t="s">
        <v>740</v>
      </c>
      <c r="E419" t="s">
        <v>125</v>
      </c>
      <c r="F419">
        <v>0</v>
      </c>
      <c r="G419" t="s">
        <v>125</v>
      </c>
      <c r="H419" t="s">
        <v>125</v>
      </c>
      <c r="I419" t="s">
        <v>125</v>
      </c>
      <c r="J419" t="s">
        <v>125</v>
      </c>
      <c r="K419" t="s">
        <v>125</v>
      </c>
      <c r="L419" t="s">
        <v>125</v>
      </c>
      <c r="M419" t="s">
        <v>1070</v>
      </c>
      <c r="N419" t="b">
        <v>0</v>
      </c>
    </row>
    <row r="420" spans="1:14">
      <c r="A420">
        <v>18</v>
      </c>
      <c r="B420">
        <v>23</v>
      </c>
      <c r="C420" t="s">
        <v>125</v>
      </c>
      <c r="D420" t="s">
        <v>740</v>
      </c>
      <c r="E420" t="s">
        <v>125</v>
      </c>
      <c r="F420">
        <v>0</v>
      </c>
      <c r="G420" t="s">
        <v>125</v>
      </c>
      <c r="H420" t="s">
        <v>125</v>
      </c>
      <c r="I420" t="s">
        <v>125</v>
      </c>
      <c r="J420" t="s">
        <v>125</v>
      </c>
      <c r="K420" t="s">
        <v>125</v>
      </c>
      <c r="L420" t="s">
        <v>125</v>
      </c>
      <c r="M420" t="s">
        <v>1071</v>
      </c>
      <c r="N420" t="b">
        <v>0</v>
      </c>
    </row>
    <row r="421" spans="1:14">
      <c r="A421">
        <v>18</v>
      </c>
      <c r="B421">
        <v>24</v>
      </c>
      <c r="C421" t="s">
        <v>125</v>
      </c>
      <c r="D421" t="s">
        <v>740</v>
      </c>
      <c r="E421" t="s">
        <v>125</v>
      </c>
      <c r="F421">
        <v>0</v>
      </c>
      <c r="G421" t="s">
        <v>125</v>
      </c>
      <c r="H421" t="s">
        <v>125</v>
      </c>
      <c r="I421" t="s">
        <v>125</v>
      </c>
      <c r="J421" t="s">
        <v>125</v>
      </c>
      <c r="K421" t="s">
        <v>125</v>
      </c>
      <c r="L421" t="s">
        <v>125</v>
      </c>
      <c r="M421" t="s">
        <v>1072</v>
      </c>
      <c r="N421" t="b">
        <v>0</v>
      </c>
    </row>
    <row r="422" spans="1:14">
      <c r="A422">
        <v>18</v>
      </c>
      <c r="B422">
        <v>25</v>
      </c>
      <c r="C422" t="s">
        <v>125</v>
      </c>
      <c r="D422" t="s">
        <v>740</v>
      </c>
      <c r="E422" t="s">
        <v>125</v>
      </c>
      <c r="F422">
        <v>0</v>
      </c>
      <c r="G422" t="s">
        <v>125</v>
      </c>
      <c r="H422" t="s">
        <v>125</v>
      </c>
      <c r="I422" t="s">
        <v>125</v>
      </c>
      <c r="J422" t="s">
        <v>125</v>
      </c>
      <c r="K422" t="s">
        <v>125</v>
      </c>
      <c r="L422" t="s">
        <v>125</v>
      </c>
      <c r="M422" t="s">
        <v>1073</v>
      </c>
      <c r="N422" t="b">
        <v>0</v>
      </c>
    </row>
    <row r="423" spans="1:14">
      <c r="A423">
        <v>18</v>
      </c>
      <c r="B423">
        <v>26</v>
      </c>
      <c r="C423" t="s">
        <v>125</v>
      </c>
      <c r="D423" t="s">
        <v>740</v>
      </c>
      <c r="E423" t="s">
        <v>125</v>
      </c>
      <c r="F423">
        <v>0</v>
      </c>
      <c r="G423" t="s">
        <v>125</v>
      </c>
      <c r="H423" t="s">
        <v>125</v>
      </c>
      <c r="I423" t="s">
        <v>125</v>
      </c>
      <c r="J423" t="s">
        <v>125</v>
      </c>
      <c r="K423" t="s">
        <v>125</v>
      </c>
      <c r="L423" t="s">
        <v>125</v>
      </c>
      <c r="M423" t="s">
        <v>1074</v>
      </c>
      <c r="N423" t="b">
        <v>0</v>
      </c>
    </row>
    <row r="424" spans="1:14">
      <c r="A424">
        <v>19</v>
      </c>
      <c r="B424">
        <v>0</v>
      </c>
      <c r="C424" t="s">
        <v>177</v>
      </c>
      <c r="D424" t="s">
        <v>723</v>
      </c>
      <c r="E424" t="s">
        <v>59</v>
      </c>
      <c r="F424">
        <v>50</v>
      </c>
      <c r="G424" t="s">
        <v>125</v>
      </c>
      <c r="H424" t="s">
        <v>125</v>
      </c>
      <c r="I424" t="s">
        <v>59</v>
      </c>
      <c r="J424" t="s">
        <v>125</v>
      </c>
      <c r="K424" t="s">
        <v>125</v>
      </c>
      <c r="L424" t="s">
        <v>125</v>
      </c>
      <c r="M424" t="s">
        <v>1075</v>
      </c>
      <c r="N424" t="b">
        <v>0</v>
      </c>
    </row>
    <row r="425" spans="1:14">
      <c r="A425">
        <v>19</v>
      </c>
      <c r="B425">
        <v>1</v>
      </c>
      <c r="C425" t="s">
        <v>178</v>
      </c>
      <c r="D425" t="s">
        <v>723</v>
      </c>
      <c r="E425" t="s">
        <v>82</v>
      </c>
      <c r="F425">
        <v>50</v>
      </c>
      <c r="G425" t="s">
        <v>125</v>
      </c>
      <c r="H425" t="s">
        <v>125</v>
      </c>
      <c r="I425" t="s">
        <v>82</v>
      </c>
      <c r="J425" t="s">
        <v>125</v>
      </c>
      <c r="K425" t="s">
        <v>125</v>
      </c>
      <c r="L425" t="s">
        <v>125</v>
      </c>
      <c r="M425" t="s">
        <v>1076</v>
      </c>
      <c r="N425" t="b">
        <v>0</v>
      </c>
    </row>
    <row r="426" spans="1:14">
      <c r="A426">
        <v>19</v>
      </c>
      <c r="B426">
        <v>2</v>
      </c>
      <c r="C426" t="s">
        <v>253</v>
      </c>
      <c r="D426" t="s">
        <v>723</v>
      </c>
      <c r="E426" t="s">
        <v>114</v>
      </c>
      <c r="F426">
        <v>40</v>
      </c>
      <c r="G426" t="s">
        <v>125</v>
      </c>
      <c r="H426" t="s">
        <v>125</v>
      </c>
      <c r="I426" t="s">
        <v>114</v>
      </c>
      <c r="J426" t="s">
        <v>125</v>
      </c>
      <c r="K426" t="s">
        <v>125</v>
      </c>
      <c r="L426" t="s">
        <v>125</v>
      </c>
      <c r="M426" t="s">
        <v>1077</v>
      </c>
      <c r="N426" t="b">
        <v>0</v>
      </c>
    </row>
    <row r="427" spans="1:14">
      <c r="A427">
        <v>19</v>
      </c>
      <c r="B427">
        <v>3</v>
      </c>
      <c r="C427" t="s">
        <v>251</v>
      </c>
      <c r="D427" t="s">
        <v>723</v>
      </c>
      <c r="E427" t="s">
        <v>77</v>
      </c>
      <c r="F427">
        <v>60</v>
      </c>
      <c r="G427" t="s">
        <v>125</v>
      </c>
      <c r="H427" t="s">
        <v>125</v>
      </c>
      <c r="I427" t="s">
        <v>77</v>
      </c>
      <c r="J427" t="s">
        <v>125</v>
      </c>
      <c r="K427" t="s">
        <v>125</v>
      </c>
      <c r="L427" t="s">
        <v>125</v>
      </c>
      <c r="M427" t="s">
        <v>1078</v>
      </c>
      <c r="N427" t="b">
        <v>0</v>
      </c>
    </row>
    <row r="428" spans="1:14">
      <c r="A428">
        <v>19</v>
      </c>
      <c r="B428">
        <v>4</v>
      </c>
      <c r="C428" t="s">
        <v>125</v>
      </c>
      <c r="D428" t="s">
        <v>723</v>
      </c>
      <c r="E428" t="s">
        <v>125</v>
      </c>
      <c r="F428">
        <v>0</v>
      </c>
      <c r="G428" t="s">
        <v>125</v>
      </c>
      <c r="H428" t="s">
        <v>125</v>
      </c>
      <c r="I428" t="s">
        <v>125</v>
      </c>
      <c r="J428" t="s">
        <v>125</v>
      </c>
      <c r="K428" t="s">
        <v>125</v>
      </c>
      <c r="L428" t="s">
        <v>125</v>
      </c>
      <c r="M428" t="s">
        <v>1079</v>
      </c>
      <c r="N428" t="b">
        <v>0</v>
      </c>
    </row>
    <row r="429" spans="1:14">
      <c r="A429">
        <v>19</v>
      </c>
      <c r="B429">
        <v>5</v>
      </c>
      <c r="C429" t="s">
        <v>125</v>
      </c>
      <c r="D429" t="s">
        <v>723</v>
      </c>
      <c r="E429" t="s">
        <v>125</v>
      </c>
      <c r="F429">
        <v>0</v>
      </c>
      <c r="G429" t="s">
        <v>125</v>
      </c>
      <c r="H429" t="s">
        <v>125</v>
      </c>
      <c r="I429" t="s">
        <v>125</v>
      </c>
      <c r="J429" t="s">
        <v>125</v>
      </c>
      <c r="K429" t="s">
        <v>125</v>
      </c>
      <c r="L429" t="s">
        <v>125</v>
      </c>
      <c r="M429" t="s">
        <v>1080</v>
      </c>
      <c r="N429" t="b">
        <v>0</v>
      </c>
    </row>
    <row r="430" spans="1:14">
      <c r="A430">
        <v>19</v>
      </c>
      <c r="B430">
        <v>6</v>
      </c>
      <c r="C430" t="s">
        <v>125</v>
      </c>
      <c r="D430" t="s">
        <v>723</v>
      </c>
      <c r="E430" t="s">
        <v>125</v>
      </c>
      <c r="F430">
        <v>0</v>
      </c>
      <c r="G430" t="s">
        <v>125</v>
      </c>
      <c r="H430" t="s">
        <v>125</v>
      </c>
      <c r="I430" t="s">
        <v>125</v>
      </c>
      <c r="J430" t="s">
        <v>125</v>
      </c>
      <c r="K430" t="s">
        <v>125</v>
      </c>
      <c r="L430" t="s">
        <v>125</v>
      </c>
      <c r="M430" t="s">
        <v>1081</v>
      </c>
      <c r="N430" t="b">
        <v>0</v>
      </c>
    </row>
    <row r="431" spans="1:14">
      <c r="A431">
        <v>19</v>
      </c>
      <c r="B431">
        <v>7</v>
      </c>
      <c r="C431" t="s">
        <v>125</v>
      </c>
      <c r="D431" t="s">
        <v>723</v>
      </c>
      <c r="E431" t="s">
        <v>125</v>
      </c>
      <c r="F431">
        <v>0</v>
      </c>
      <c r="G431" t="s">
        <v>125</v>
      </c>
      <c r="H431" t="s">
        <v>125</v>
      </c>
      <c r="I431" t="s">
        <v>125</v>
      </c>
      <c r="J431" t="s">
        <v>125</v>
      </c>
      <c r="K431" t="s">
        <v>125</v>
      </c>
      <c r="L431" t="s">
        <v>125</v>
      </c>
      <c r="M431" t="s">
        <v>1082</v>
      </c>
      <c r="N431" t="b">
        <v>0</v>
      </c>
    </row>
    <row r="432" spans="1:14">
      <c r="A432">
        <v>19</v>
      </c>
      <c r="B432">
        <v>8</v>
      </c>
      <c r="C432" t="s">
        <v>125</v>
      </c>
      <c r="D432" t="s">
        <v>723</v>
      </c>
      <c r="E432" t="s">
        <v>125</v>
      </c>
      <c r="F432">
        <v>0</v>
      </c>
      <c r="G432" t="s">
        <v>125</v>
      </c>
      <c r="H432" t="s">
        <v>125</v>
      </c>
      <c r="I432" t="s">
        <v>125</v>
      </c>
      <c r="J432" t="s">
        <v>125</v>
      </c>
      <c r="K432" t="s">
        <v>125</v>
      </c>
      <c r="L432" t="s">
        <v>125</v>
      </c>
      <c r="M432" t="s">
        <v>1083</v>
      </c>
      <c r="N432" t="b">
        <v>0</v>
      </c>
    </row>
    <row r="433" spans="1:14">
      <c r="A433">
        <v>19</v>
      </c>
      <c r="B433">
        <v>9</v>
      </c>
      <c r="C433" t="s">
        <v>125</v>
      </c>
      <c r="D433" t="s">
        <v>723</v>
      </c>
      <c r="E433" t="s">
        <v>125</v>
      </c>
      <c r="F433">
        <v>0</v>
      </c>
      <c r="G433" t="s">
        <v>125</v>
      </c>
      <c r="H433" t="s">
        <v>125</v>
      </c>
      <c r="I433" t="s">
        <v>125</v>
      </c>
      <c r="J433" t="s">
        <v>125</v>
      </c>
      <c r="K433" t="s">
        <v>125</v>
      </c>
      <c r="L433" t="s">
        <v>125</v>
      </c>
      <c r="M433" t="s">
        <v>1084</v>
      </c>
      <c r="N433" t="b">
        <v>0</v>
      </c>
    </row>
    <row r="434" spans="1:14">
      <c r="A434">
        <v>19</v>
      </c>
      <c r="B434">
        <v>10</v>
      </c>
      <c r="C434" t="s">
        <v>125</v>
      </c>
      <c r="D434" t="s">
        <v>723</v>
      </c>
      <c r="E434" t="s">
        <v>125</v>
      </c>
      <c r="F434">
        <v>0</v>
      </c>
      <c r="G434" t="s">
        <v>125</v>
      </c>
      <c r="H434" t="s">
        <v>125</v>
      </c>
      <c r="I434" t="s">
        <v>125</v>
      </c>
      <c r="J434" t="s">
        <v>125</v>
      </c>
      <c r="K434" t="s">
        <v>125</v>
      </c>
      <c r="L434" t="s">
        <v>125</v>
      </c>
      <c r="M434" t="s">
        <v>1085</v>
      </c>
      <c r="N434" t="b">
        <v>0</v>
      </c>
    </row>
    <row r="435" spans="1:14">
      <c r="A435">
        <v>19</v>
      </c>
      <c r="B435">
        <v>11</v>
      </c>
      <c r="C435" t="s">
        <v>125</v>
      </c>
      <c r="D435" t="s">
        <v>723</v>
      </c>
      <c r="E435" t="s">
        <v>125</v>
      </c>
      <c r="F435">
        <v>0</v>
      </c>
      <c r="G435" t="s">
        <v>125</v>
      </c>
      <c r="H435" t="s">
        <v>125</v>
      </c>
      <c r="I435" t="s">
        <v>125</v>
      </c>
      <c r="J435" t="s">
        <v>125</v>
      </c>
      <c r="K435" t="s">
        <v>125</v>
      </c>
      <c r="L435" t="s">
        <v>125</v>
      </c>
      <c r="M435" t="s">
        <v>1086</v>
      </c>
      <c r="N435" t="b">
        <v>0</v>
      </c>
    </row>
    <row r="436" spans="1:14">
      <c r="A436">
        <v>19</v>
      </c>
      <c r="B436">
        <v>12</v>
      </c>
      <c r="C436" t="s">
        <v>125</v>
      </c>
      <c r="D436" t="s">
        <v>723</v>
      </c>
      <c r="E436" t="s">
        <v>125</v>
      </c>
      <c r="F436">
        <v>0</v>
      </c>
      <c r="G436" t="s">
        <v>125</v>
      </c>
      <c r="H436" t="s">
        <v>125</v>
      </c>
      <c r="I436" t="s">
        <v>125</v>
      </c>
      <c r="J436" t="s">
        <v>125</v>
      </c>
      <c r="K436" t="s">
        <v>125</v>
      </c>
      <c r="L436" t="s">
        <v>125</v>
      </c>
      <c r="M436" t="s">
        <v>1087</v>
      </c>
      <c r="N436" t="b">
        <v>0</v>
      </c>
    </row>
    <row r="437" spans="1:14">
      <c r="A437">
        <v>19</v>
      </c>
      <c r="B437">
        <v>13</v>
      </c>
      <c r="C437" t="s">
        <v>125</v>
      </c>
      <c r="D437" t="s">
        <v>723</v>
      </c>
      <c r="E437" t="s">
        <v>125</v>
      </c>
      <c r="F437">
        <v>0</v>
      </c>
      <c r="G437" t="s">
        <v>125</v>
      </c>
      <c r="H437" t="s">
        <v>125</v>
      </c>
      <c r="I437" t="s">
        <v>125</v>
      </c>
      <c r="J437" t="s">
        <v>125</v>
      </c>
      <c r="K437" t="s">
        <v>125</v>
      </c>
      <c r="L437" t="s">
        <v>125</v>
      </c>
      <c r="M437" t="s">
        <v>1088</v>
      </c>
      <c r="N437" t="b">
        <v>0</v>
      </c>
    </row>
    <row r="438" spans="1:14">
      <c r="A438">
        <v>19</v>
      </c>
      <c r="B438">
        <v>14</v>
      </c>
      <c r="C438" t="s">
        <v>125</v>
      </c>
      <c r="D438" t="s">
        <v>723</v>
      </c>
      <c r="E438" t="s">
        <v>125</v>
      </c>
      <c r="F438">
        <v>0</v>
      </c>
      <c r="G438" t="s">
        <v>125</v>
      </c>
      <c r="H438" t="s">
        <v>125</v>
      </c>
      <c r="I438" t="s">
        <v>125</v>
      </c>
      <c r="J438" t="s">
        <v>125</v>
      </c>
      <c r="K438" t="s">
        <v>125</v>
      </c>
      <c r="L438" t="s">
        <v>125</v>
      </c>
      <c r="M438" t="s">
        <v>1089</v>
      </c>
      <c r="N438" t="b">
        <v>0</v>
      </c>
    </row>
    <row r="439" spans="1:14">
      <c r="A439">
        <v>19</v>
      </c>
      <c r="B439">
        <v>15</v>
      </c>
      <c r="C439" t="s">
        <v>125</v>
      </c>
      <c r="D439" t="s">
        <v>723</v>
      </c>
      <c r="E439" t="s">
        <v>125</v>
      </c>
      <c r="F439">
        <v>0</v>
      </c>
      <c r="G439" t="s">
        <v>125</v>
      </c>
      <c r="H439" t="s">
        <v>125</v>
      </c>
      <c r="I439" t="s">
        <v>125</v>
      </c>
      <c r="J439" t="s">
        <v>125</v>
      </c>
      <c r="K439" t="s">
        <v>125</v>
      </c>
      <c r="L439" t="s">
        <v>125</v>
      </c>
      <c r="M439" t="s">
        <v>1090</v>
      </c>
      <c r="N439" t="b">
        <v>0</v>
      </c>
    </row>
    <row r="440" spans="1:14">
      <c r="A440">
        <v>19</v>
      </c>
      <c r="B440">
        <v>16</v>
      </c>
      <c r="C440" t="s">
        <v>196</v>
      </c>
      <c r="D440" t="s">
        <v>740</v>
      </c>
      <c r="E440" t="s">
        <v>86</v>
      </c>
      <c r="F440">
        <v>50</v>
      </c>
      <c r="G440" t="s">
        <v>125</v>
      </c>
      <c r="H440" t="s">
        <v>125</v>
      </c>
      <c r="I440" t="s">
        <v>86</v>
      </c>
      <c r="J440" t="s">
        <v>125</v>
      </c>
      <c r="K440" t="s">
        <v>125</v>
      </c>
      <c r="L440" t="s">
        <v>125</v>
      </c>
      <c r="M440" t="s">
        <v>1091</v>
      </c>
      <c r="N440" t="b">
        <v>0</v>
      </c>
    </row>
    <row r="441" spans="1:14">
      <c r="A441">
        <v>19</v>
      </c>
      <c r="B441">
        <v>17</v>
      </c>
      <c r="C441" t="s">
        <v>226</v>
      </c>
      <c r="D441" t="s">
        <v>740</v>
      </c>
      <c r="E441" t="s">
        <v>92</v>
      </c>
      <c r="F441">
        <v>60</v>
      </c>
      <c r="G441" t="s">
        <v>125</v>
      </c>
      <c r="H441" t="s">
        <v>125</v>
      </c>
      <c r="I441" t="s">
        <v>92</v>
      </c>
      <c r="J441" t="s">
        <v>125</v>
      </c>
      <c r="K441" t="s">
        <v>125</v>
      </c>
      <c r="L441" t="s">
        <v>125</v>
      </c>
      <c r="M441" t="s">
        <v>678</v>
      </c>
      <c r="N441" t="b">
        <v>0</v>
      </c>
    </row>
    <row r="442" spans="1:14">
      <c r="A442">
        <v>19</v>
      </c>
      <c r="B442">
        <v>18</v>
      </c>
      <c r="C442" t="s">
        <v>158</v>
      </c>
      <c r="D442" t="s">
        <v>740</v>
      </c>
      <c r="E442" t="s">
        <v>296</v>
      </c>
      <c r="F442">
        <v>50</v>
      </c>
      <c r="G442" t="s">
        <v>759</v>
      </c>
      <c r="H442" t="s">
        <v>125</v>
      </c>
      <c r="I442" t="s">
        <v>125</v>
      </c>
      <c r="J442" t="s">
        <v>760</v>
      </c>
      <c r="K442" t="s">
        <v>761</v>
      </c>
      <c r="L442" t="s">
        <v>762</v>
      </c>
      <c r="M442" t="s">
        <v>1092</v>
      </c>
      <c r="N442" t="b">
        <v>0</v>
      </c>
    </row>
    <row r="443" spans="1:14">
      <c r="A443">
        <v>19</v>
      </c>
      <c r="B443">
        <v>19</v>
      </c>
      <c r="C443" t="s">
        <v>254</v>
      </c>
      <c r="D443" t="s">
        <v>740</v>
      </c>
      <c r="E443" t="s">
        <v>60</v>
      </c>
      <c r="F443">
        <v>50</v>
      </c>
      <c r="G443" t="s">
        <v>125</v>
      </c>
      <c r="H443" t="s">
        <v>125</v>
      </c>
      <c r="I443" t="s">
        <v>60</v>
      </c>
      <c r="J443" t="s">
        <v>125</v>
      </c>
      <c r="K443" t="s">
        <v>125</v>
      </c>
      <c r="L443" t="s">
        <v>125</v>
      </c>
      <c r="M443" t="s">
        <v>1093</v>
      </c>
      <c r="N443" t="b">
        <v>0</v>
      </c>
    </row>
    <row r="444" spans="1:14">
      <c r="A444">
        <v>19</v>
      </c>
      <c r="B444">
        <v>20</v>
      </c>
      <c r="C444" t="s">
        <v>198</v>
      </c>
      <c r="D444" t="s">
        <v>740</v>
      </c>
      <c r="E444" t="s">
        <v>83</v>
      </c>
      <c r="F444">
        <v>50</v>
      </c>
      <c r="G444" t="s">
        <v>125</v>
      </c>
      <c r="H444" t="s">
        <v>125</v>
      </c>
      <c r="I444" t="s">
        <v>83</v>
      </c>
      <c r="J444" t="s">
        <v>125</v>
      </c>
      <c r="K444" t="s">
        <v>125</v>
      </c>
      <c r="L444" t="s">
        <v>125</v>
      </c>
      <c r="M444" t="s">
        <v>1094</v>
      </c>
      <c r="N444" t="b">
        <v>0</v>
      </c>
    </row>
    <row r="445" spans="1:14">
      <c r="A445">
        <v>19</v>
      </c>
      <c r="B445">
        <v>21</v>
      </c>
      <c r="C445" t="s">
        <v>125</v>
      </c>
      <c r="D445" t="s">
        <v>740</v>
      </c>
      <c r="E445" t="s">
        <v>125</v>
      </c>
      <c r="F445">
        <v>0</v>
      </c>
      <c r="G445" t="s">
        <v>125</v>
      </c>
      <c r="H445" t="s">
        <v>125</v>
      </c>
      <c r="I445" t="s">
        <v>125</v>
      </c>
      <c r="J445" t="s">
        <v>125</v>
      </c>
      <c r="K445" t="s">
        <v>125</v>
      </c>
      <c r="L445" t="s">
        <v>125</v>
      </c>
      <c r="M445" t="s">
        <v>1095</v>
      </c>
      <c r="N445" t="b">
        <v>0</v>
      </c>
    </row>
    <row r="446" spans="1:14">
      <c r="A446">
        <v>19</v>
      </c>
      <c r="B446">
        <v>22</v>
      </c>
      <c r="C446" t="s">
        <v>125</v>
      </c>
      <c r="D446" t="s">
        <v>740</v>
      </c>
      <c r="E446" t="s">
        <v>125</v>
      </c>
      <c r="F446">
        <v>0</v>
      </c>
      <c r="G446" t="s">
        <v>125</v>
      </c>
      <c r="H446" t="s">
        <v>125</v>
      </c>
      <c r="I446" t="s">
        <v>125</v>
      </c>
      <c r="J446" t="s">
        <v>125</v>
      </c>
      <c r="K446" t="s">
        <v>125</v>
      </c>
      <c r="L446" t="s">
        <v>125</v>
      </c>
      <c r="M446" t="s">
        <v>1096</v>
      </c>
      <c r="N446" t="b">
        <v>0</v>
      </c>
    </row>
    <row r="447" spans="1:14">
      <c r="A447">
        <v>19</v>
      </c>
      <c r="B447">
        <v>23</v>
      </c>
      <c r="C447" t="s">
        <v>125</v>
      </c>
      <c r="D447" t="s">
        <v>740</v>
      </c>
      <c r="E447" t="s">
        <v>125</v>
      </c>
      <c r="F447">
        <v>0</v>
      </c>
      <c r="G447" t="s">
        <v>125</v>
      </c>
      <c r="H447" t="s">
        <v>125</v>
      </c>
      <c r="I447" t="s">
        <v>125</v>
      </c>
      <c r="J447" t="s">
        <v>125</v>
      </c>
      <c r="K447" t="s">
        <v>125</v>
      </c>
      <c r="L447" t="s">
        <v>125</v>
      </c>
      <c r="M447" t="s">
        <v>1097</v>
      </c>
      <c r="N447" t="b">
        <v>0</v>
      </c>
    </row>
    <row r="448" spans="1:14">
      <c r="A448">
        <v>19</v>
      </c>
      <c r="B448">
        <v>24</v>
      </c>
      <c r="C448" t="s">
        <v>125</v>
      </c>
      <c r="D448" t="s">
        <v>740</v>
      </c>
      <c r="E448" t="s">
        <v>125</v>
      </c>
      <c r="F448">
        <v>0</v>
      </c>
      <c r="G448" t="s">
        <v>125</v>
      </c>
      <c r="H448" t="s">
        <v>125</v>
      </c>
      <c r="I448" t="s">
        <v>125</v>
      </c>
      <c r="J448" t="s">
        <v>125</v>
      </c>
      <c r="K448" t="s">
        <v>125</v>
      </c>
      <c r="L448" t="s">
        <v>125</v>
      </c>
      <c r="M448" t="s">
        <v>1098</v>
      </c>
      <c r="N448" t="b">
        <v>0</v>
      </c>
    </row>
    <row r="449" spans="1:14">
      <c r="A449">
        <v>19</v>
      </c>
      <c r="B449">
        <v>25</v>
      </c>
      <c r="C449" t="s">
        <v>125</v>
      </c>
      <c r="D449" t="s">
        <v>740</v>
      </c>
      <c r="E449" t="s">
        <v>125</v>
      </c>
      <c r="F449">
        <v>0</v>
      </c>
      <c r="G449" t="s">
        <v>125</v>
      </c>
      <c r="H449" t="s">
        <v>125</v>
      </c>
      <c r="I449" t="s">
        <v>125</v>
      </c>
      <c r="J449" t="s">
        <v>125</v>
      </c>
      <c r="K449" t="s">
        <v>125</v>
      </c>
      <c r="L449" t="s">
        <v>125</v>
      </c>
      <c r="M449" t="s">
        <v>1099</v>
      </c>
      <c r="N449" t="b">
        <v>0</v>
      </c>
    </row>
    <row r="450" spans="1:14">
      <c r="A450">
        <v>19</v>
      </c>
      <c r="B450">
        <v>26</v>
      </c>
      <c r="C450" t="s">
        <v>125</v>
      </c>
      <c r="D450" t="s">
        <v>740</v>
      </c>
      <c r="E450" t="s">
        <v>125</v>
      </c>
      <c r="F450">
        <v>0</v>
      </c>
      <c r="G450" t="s">
        <v>125</v>
      </c>
      <c r="H450" t="s">
        <v>125</v>
      </c>
      <c r="I450" t="s">
        <v>125</v>
      </c>
      <c r="J450" t="s">
        <v>125</v>
      </c>
      <c r="K450" t="s">
        <v>125</v>
      </c>
      <c r="L450" t="s">
        <v>125</v>
      </c>
      <c r="M450" t="s">
        <v>1100</v>
      </c>
      <c r="N450" t="b">
        <v>0</v>
      </c>
    </row>
    <row r="451" spans="1:14">
      <c r="A451">
        <v>20</v>
      </c>
      <c r="B451">
        <v>0</v>
      </c>
      <c r="C451" t="s">
        <v>256</v>
      </c>
      <c r="D451" t="s">
        <v>752</v>
      </c>
      <c r="E451" t="s">
        <v>542</v>
      </c>
      <c r="F451">
        <v>60</v>
      </c>
      <c r="G451" t="s">
        <v>759</v>
      </c>
      <c r="H451" t="s">
        <v>125</v>
      </c>
      <c r="I451" t="s">
        <v>125</v>
      </c>
      <c r="J451" t="s">
        <v>1101</v>
      </c>
      <c r="K451" t="s">
        <v>1102</v>
      </c>
      <c r="L451" t="s">
        <v>1055</v>
      </c>
      <c r="M451" t="s">
        <v>1103</v>
      </c>
      <c r="N451" t="b">
        <v>0</v>
      </c>
    </row>
    <row r="452" spans="1:14">
      <c r="A452">
        <v>20</v>
      </c>
      <c r="B452">
        <v>1</v>
      </c>
      <c r="C452" t="s">
        <v>245</v>
      </c>
      <c r="D452" t="s">
        <v>723</v>
      </c>
      <c r="E452" t="s">
        <v>113</v>
      </c>
      <c r="F452">
        <v>40</v>
      </c>
      <c r="G452" t="s">
        <v>125</v>
      </c>
      <c r="H452" t="s">
        <v>125</v>
      </c>
      <c r="I452" t="s">
        <v>113</v>
      </c>
      <c r="J452" t="s">
        <v>125</v>
      </c>
      <c r="K452" t="s">
        <v>125</v>
      </c>
      <c r="L452" t="s">
        <v>125</v>
      </c>
      <c r="M452" t="s">
        <v>1104</v>
      </c>
      <c r="N452" t="b">
        <v>0</v>
      </c>
    </row>
    <row r="453" spans="1:14">
      <c r="A453">
        <v>20</v>
      </c>
      <c r="B453">
        <v>2</v>
      </c>
      <c r="C453" t="s">
        <v>253</v>
      </c>
      <c r="D453" t="s">
        <v>723</v>
      </c>
      <c r="E453" t="s">
        <v>114</v>
      </c>
      <c r="F453">
        <v>40</v>
      </c>
      <c r="G453" t="s">
        <v>125</v>
      </c>
      <c r="H453" t="s">
        <v>125</v>
      </c>
      <c r="I453" t="s">
        <v>114</v>
      </c>
      <c r="J453" t="s">
        <v>125</v>
      </c>
      <c r="K453" t="s">
        <v>125</v>
      </c>
      <c r="L453" t="s">
        <v>125</v>
      </c>
      <c r="M453" t="s">
        <v>1105</v>
      </c>
      <c r="N453" t="b">
        <v>0</v>
      </c>
    </row>
    <row r="454" spans="1:14">
      <c r="A454">
        <v>20</v>
      </c>
      <c r="B454">
        <v>3</v>
      </c>
      <c r="C454" t="s">
        <v>192</v>
      </c>
      <c r="D454" t="s">
        <v>723</v>
      </c>
      <c r="E454" t="s">
        <v>77</v>
      </c>
      <c r="F454">
        <v>50</v>
      </c>
      <c r="G454" t="s">
        <v>125</v>
      </c>
      <c r="H454" t="s">
        <v>125</v>
      </c>
      <c r="I454" t="s">
        <v>77</v>
      </c>
      <c r="J454" t="s">
        <v>125</v>
      </c>
      <c r="K454" t="s">
        <v>125</v>
      </c>
      <c r="L454" t="s">
        <v>125</v>
      </c>
      <c r="M454" t="s">
        <v>1106</v>
      </c>
      <c r="N454" t="b">
        <v>0</v>
      </c>
    </row>
    <row r="455" spans="1:14">
      <c r="A455">
        <v>20</v>
      </c>
      <c r="B455">
        <v>4</v>
      </c>
      <c r="C455" t="s">
        <v>125</v>
      </c>
      <c r="D455" t="s">
        <v>723</v>
      </c>
      <c r="E455" t="s">
        <v>125</v>
      </c>
      <c r="F455">
        <v>0</v>
      </c>
      <c r="G455" t="s">
        <v>125</v>
      </c>
      <c r="H455" t="s">
        <v>125</v>
      </c>
      <c r="I455" t="s">
        <v>125</v>
      </c>
      <c r="J455" t="s">
        <v>125</v>
      </c>
      <c r="K455" t="s">
        <v>125</v>
      </c>
      <c r="L455" t="s">
        <v>125</v>
      </c>
      <c r="M455" t="s">
        <v>1107</v>
      </c>
      <c r="N455" t="b">
        <v>0</v>
      </c>
    </row>
    <row r="456" spans="1:14">
      <c r="A456">
        <v>20</v>
      </c>
      <c r="B456">
        <v>5</v>
      </c>
      <c r="C456" t="s">
        <v>125</v>
      </c>
      <c r="D456" t="s">
        <v>723</v>
      </c>
      <c r="E456" t="s">
        <v>125</v>
      </c>
      <c r="F456">
        <v>0</v>
      </c>
      <c r="G456" t="s">
        <v>125</v>
      </c>
      <c r="H456" t="s">
        <v>125</v>
      </c>
      <c r="I456" t="s">
        <v>125</v>
      </c>
      <c r="J456" t="s">
        <v>125</v>
      </c>
      <c r="K456" t="s">
        <v>125</v>
      </c>
      <c r="L456" t="s">
        <v>125</v>
      </c>
      <c r="M456" t="s">
        <v>1108</v>
      </c>
      <c r="N456" t="b">
        <v>0</v>
      </c>
    </row>
    <row r="457" spans="1:14">
      <c r="A457">
        <v>20</v>
      </c>
      <c r="B457">
        <v>6</v>
      </c>
      <c r="C457" t="s">
        <v>125</v>
      </c>
      <c r="D457" t="s">
        <v>723</v>
      </c>
      <c r="E457" t="s">
        <v>125</v>
      </c>
      <c r="F457">
        <v>0</v>
      </c>
      <c r="G457" t="s">
        <v>125</v>
      </c>
      <c r="H457" t="s">
        <v>125</v>
      </c>
      <c r="I457" t="s">
        <v>125</v>
      </c>
      <c r="J457" t="s">
        <v>125</v>
      </c>
      <c r="K457" t="s">
        <v>125</v>
      </c>
      <c r="L457" t="s">
        <v>125</v>
      </c>
      <c r="M457" t="s">
        <v>1109</v>
      </c>
      <c r="N457" t="b">
        <v>0</v>
      </c>
    </row>
    <row r="458" spans="1:14">
      <c r="A458">
        <v>20</v>
      </c>
      <c r="B458">
        <v>7</v>
      </c>
      <c r="C458" t="s">
        <v>125</v>
      </c>
      <c r="D458" t="s">
        <v>723</v>
      </c>
      <c r="E458" t="s">
        <v>125</v>
      </c>
      <c r="F458">
        <v>0</v>
      </c>
      <c r="G458" t="s">
        <v>125</v>
      </c>
      <c r="H458" t="s">
        <v>125</v>
      </c>
      <c r="I458" t="s">
        <v>125</v>
      </c>
      <c r="J458" t="s">
        <v>125</v>
      </c>
      <c r="K458" t="s">
        <v>125</v>
      </c>
      <c r="L458" t="s">
        <v>125</v>
      </c>
      <c r="M458" t="s">
        <v>1110</v>
      </c>
      <c r="N458" t="b">
        <v>0</v>
      </c>
    </row>
    <row r="459" spans="1:14">
      <c r="A459">
        <v>20</v>
      </c>
      <c r="B459">
        <v>8</v>
      </c>
      <c r="C459" t="s">
        <v>125</v>
      </c>
      <c r="D459" t="s">
        <v>723</v>
      </c>
      <c r="E459" t="s">
        <v>125</v>
      </c>
      <c r="F459">
        <v>0</v>
      </c>
      <c r="G459" t="s">
        <v>125</v>
      </c>
      <c r="H459" t="s">
        <v>125</v>
      </c>
      <c r="I459" t="s">
        <v>125</v>
      </c>
      <c r="J459" t="s">
        <v>125</v>
      </c>
      <c r="K459" t="s">
        <v>125</v>
      </c>
      <c r="L459" t="s">
        <v>125</v>
      </c>
      <c r="M459" t="s">
        <v>1111</v>
      </c>
      <c r="N459" t="b">
        <v>0</v>
      </c>
    </row>
    <row r="460" spans="1:14">
      <c r="A460">
        <v>20</v>
      </c>
      <c r="B460">
        <v>9</v>
      </c>
      <c r="C460" t="s">
        <v>125</v>
      </c>
      <c r="D460" t="s">
        <v>723</v>
      </c>
      <c r="E460" t="s">
        <v>125</v>
      </c>
      <c r="F460">
        <v>0</v>
      </c>
      <c r="G460" t="s">
        <v>125</v>
      </c>
      <c r="H460" t="s">
        <v>125</v>
      </c>
      <c r="I460" t="s">
        <v>125</v>
      </c>
      <c r="J460" t="s">
        <v>125</v>
      </c>
      <c r="K460" t="s">
        <v>125</v>
      </c>
      <c r="L460" t="s">
        <v>125</v>
      </c>
      <c r="M460" t="s">
        <v>1112</v>
      </c>
      <c r="N460" t="b">
        <v>0</v>
      </c>
    </row>
    <row r="461" spans="1:14">
      <c r="A461">
        <v>20</v>
      </c>
      <c r="B461">
        <v>10</v>
      </c>
      <c r="C461" t="s">
        <v>125</v>
      </c>
      <c r="D461" t="s">
        <v>723</v>
      </c>
      <c r="E461" t="s">
        <v>125</v>
      </c>
      <c r="F461">
        <v>0</v>
      </c>
      <c r="G461" t="s">
        <v>125</v>
      </c>
      <c r="H461" t="s">
        <v>125</v>
      </c>
      <c r="I461" t="s">
        <v>125</v>
      </c>
      <c r="J461" t="s">
        <v>125</v>
      </c>
      <c r="K461" t="s">
        <v>125</v>
      </c>
      <c r="L461" t="s">
        <v>125</v>
      </c>
      <c r="M461" t="s">
        <v>1113</v>
      </c>
      <c r="N461" t="b">
        <v>0</v>
      </c>
    </row>
    <row r="462" spans="1:14">
      <c r="A462">
        <v>20</v>
      </c>
      <c r="B462">
        <v>11</v>
      </c>
      <c r="C462" t="s">
        <v>125</v>
      </c>
      <c r="D462" t="s">
        <v>723</v>
      </c>
      <c r="E462" t="s">
        <v>125</v>
      </c>
      <c r="F462">
        <v>0</v>
      </c>
      <c r="G462" t="s">
        <v>125</v>
      </c>
      <c r="H462" t="s">
        <v>125</v>
      </c>
      <c r="I462" t="s">
        <v>125</v>
      </c>
      <c r="J462" t="s">
        <v>125</v>
      </c>
      <c r="K462" t="s">
        <v>125</v>
      </c>
      <c r="L462" t="s">
        <v>125</v>
      </c>
      <c r="M462" t="s">
        <v>1114</v>
      </c>
      <c r="N462" t="b">
        <v>0</v>
      </c>
    </row>
    <row r="463" spans="1:14">
      <c r="A463">
        <v>20</v>
      </c>
      <c r="B463">
        <v>12</v>
      </c>
      <c r="C463" t="s">
        <v>125</v>
      </c>
      <c r="D463" t="s">
        <v>723</v>
      </c>
      <c r="E463" t="s">
        <v>125</v>
      </c>
      <c r="F463">
        <v>0</v>
      </c>
      <c r="G463" t="s">
        <v>125</v>
      </c>
      <c r="H463" t="s">
        <v>125</v>
      </c>
      <c r="I463" t="s">
        <v>125</v>
      </c>
      <c r="J463" t="s">
        <v>125</v>
      </c>
      <c r="K463" t="s">
        <v>125</v>
      </c>
      <c r="L463" t="s">
        <v>125</v>
      </c>
      <c r="M463" t="s">
        <v>1115</v>
      </c>
      <c r="N463" t="b">
        <v>0</v>
      </c>
    </row>
    <row r="464" spans="1:14">
      <c r="A464">
        <v>20</v>
      </c>
      <c r="B464">
        <v>13</v>
      </c>
      <c r="C464" t="s">
        <v>125</v>
      </c>
      <c r="D464" t="s">
        <v>723</v>
      </c>
      <c r="E464" t="s">
        <v>125</v>
      </c>
      <c r="F464">
        <v>0</v>
      </c>
      <c r="G464" t="s">
        <v>125</v>
      </c>
      <c r="H464" t="s">
        <v>125</v>
      </c>
      <c r="I464" t="s">
        <v>125</v>
      </c>
      <c r="J464" t="s">
        <v>125</v>
      </c>
      <c r="K464" t="s">
        <v>125</v>
      </c>
      <c r="L464" t="s">
        <v>125</v>
      </c>
      <c r="M464" t="s">
        <v>1116</v>
      </c>
      <c r="N464" t="b">
        <v>0</v>
      </c>
    </row>
    <row r="465" spans="1:14">
      <c r="A465">
        <v>20</v>
      </c>
      <c r="B465">
        <v>14</v>
      </c>
      <c r="C465" t="s">
        <v>125</v>
      </c>
      <c r="D465" t="s">
        <v>723</v>
      </c>
      <c r="E465" t="s">
        <v>125</v>
      </c>
      <c r="F465">
        <v>0</v>
      </c>
      <c r="G465" t="s">
        <v>125</v>
      </c>
      <c r="H465" t="s">
        <v>125</v>
      </c>
      <c r="I465" t="s">
        <v>125</v>
      </c>
      <c r="J465" t="s">
        <v>125</v>
      </c>
      <c r="K465" t="s">
        <v>125</v>
      </c>
      <c r="L465" t="s">
        <v>125</v>
      </c>
      <c r="M465" t="s">
        <v>1117</v>
      </c>
      <c r="N465" t="b">
        <v>0</v>
      </c>
    </row>
    <row r="466" spans="1:14">
      <c r="A466">
        <v>20</v>
      </c>
      <c r="B466">
        <v>15</v>
      </c>
      <c r="C466" t="s">
        <v>125</v>
      </c>
      <c r="D466" t="s">
        <v>723</v>
      </c>
      <c r="E466" t="s">
        <v>125</v>
      </c>
      <c r="F466">
        <v>0</v>
      </c>
      <c r="G466" t="s">
        <v>125</v>
      </c>
      <c r="H466" t="s">
        <v>125</v>
      </c>
      <c r="I466" t="s">
        <v>125</v>
      </c>
      <c r="J466" t="s">
        <v>125</v>
      </c>
      <c r="K466" t="s">
        <v>125</v>
      </c>
      <c r="L466" t="s">
        <v>125</v>
      </c>
      <c r="M466" t="s">
        <v>1118</v>
      </c>
      <c r="N466" t="b">
        <v>0</v>
      </c>
    </row>
    <row r="467" spans="1:14">
      <c r="A467">
        <v>20</v>
      </c>
      <c r="B467">
        <v>16</v>
      </c>
      <c r="C467" t="s">
        <v>163</v>
      </c>
      <c r="D467" t="s">
        <v>740</v>
      </c>
      <c r="E467" t="s">
        <v>66</v>
      </c>
      <c r="F467">
        <v>40</v>
      </c>
      <c r="G467" t="s">
        <v>125</v>
      </c>
      <c r="H467" t="s">
        <v>125</v>
      </c>
      <c r="I467" t="s">
        <v>66</v>
      </c>
      <c r="J467" t="s">
        <v>125</v>
      </c>
      <c r="K467" t="s">
        <v>125</v>
      </c>
      <c r="L467" t="s">
        <v>125</v>
      </c>
      <c r="M467" t="s">
        <v>1119</v>
      </c>
      <c r="N467" t="b">
        <v>0</v>
      </c>
    </row>
    <row r="468" spans="1:14">
      <c r="A468">
        <v>20</v>
      </c>
      <c r="B468">
        <v>17</v>
      </c>
      <c r="C468" t="s">
        <v>164</v>
      </c>
      <c r="D468" t="s">
        <v>740</v>
      </c>
      <c r="E468" t="s">
        <v>69</v>
      </c>
      <c r="F468">
        <v>40</v>
      </c>
      <c r="G468" t="s">
        <v>125</v>
      </c>
      <c r="H468" t="s">
        <v>125</v>
      </c>
      <c r="I468" t="s">
        <v>69</v>
      </c>
      <c r="J468" t="s">
        <v>125</v>
      </c>
      <c r="K468" t="s">
        <v>125</v>
      </c>
      <c r="L468" t="s">
        <v>125</v>
      </c>
      <c r="M468" t="s">
        <v>680</v>
      </c>
      <c r="N468" t="b">
        <v>0</v>
      </c>
    </row>
    <row r="469" spans="1:14">
      <c r="A469">
        <v>20</v>
      </c>
      <c r="B469">
        <v>18</v>
      </c>
      <c r="C469" t="s">
        <v>257</v>
      </c>
      <c r="D469" t="s">
        <v>740</v>
      </c>
      <c r="E469" t="s">
        <v>542</v>
      </c>
      <c r="F469">
        <v>40</v>
      </c>
      <c r="G469" t="s">
        <v>759</v>
      </c>
      <c r="H469" t="s">
        <v>125</v>
      </c>
      <c r="I469" t="s">
        <v>125</v>
      </c>
      <c r="J469" t="s">
        <v>1101</v>
      </c>
      <c r="K469" t="s">
        <v>1120</v>
      </c>
      <c r="L469" t="s">
        <v>1081</v>
      </c>
      <c r="M469" t="s">
        <v>1121</v>
      </c>
      <c r="N469" t="b">
        <v>0</v>
      </c>
    </row>
    <row r="470" spans="1:14">
      <c r="A470">
        <v>20</v>
      </c>
      <c r="B470">
        <v>19</v>
      </c>
      <c r="C470" t="s">
        <v>178</v>
      </c>
      <c r="D470" t="s">
        <v>740</v>
      </c>
      <c r="E470" t="s">
        <v>82</v>
      </c>
      <c r="F470">
        <v>50</v>
      </c>
      <c r="G470" t="s">
        <v>125</v>
      </c>
      <c r="H470" t="s">
        <v>125</v>
      </c>
      <c r="I470" t="s">
        <v>82</v>
      </c>
      <c r="J470" t="s">
        <v>125</v>
      </c>
      <c r="K470" t="s">
        <v>125</v>
      </c>
      <c r="L470" t="s">
        <v>125</v>
      </c>
      <c r="M470" t="s">
        <v>1122</v>
      </c>
      <c r="N470" t="b">
        <v>0</v>
      </c>
    </row>
    <row r="471" spans="1:14">
      <c r="A471">
        <v>20</v>
      </c>
      <c r="B471">
        <v>20</v>
      </c>
      <c r="C471" t="s">
        <v>209</v>
      </c>
      <c r="D471" t="s">
        <v>740</v>
      </c>
      <c r="E471" t="s">
        <v>86</v>
      </c>
      <c r="F471">
        <v>40</v>
      </c>
      <c r="G471" t="s">
        <v>125</v>
      </c>
      <c r="H471" t="s">
        <v>125</v>
      </c>
      <c r="I471" t="s">
        <v>86</v>
      </c>
      <c r="J471" t="s">
        <v>125</v>
      </c>
      <c r="K471" t="s">
        <v>125</v>
      </c>
      <c r="L471" t="s">
        <v>125</v>
      </c>
      <c r="M471" t="s">
        <v>1123</v>
      </c>
      <c r="N471" t="b">
        <v>0</v>
      </c>
    </row>
    <row r="472" spans="1:14">
      <c r="A472">
        <v>20</v>
      </c>
      <c r="B472">
        <v>21</v>
      </c>
      <c r="C472" t="s">
        <v>186</v>
      </c>
      <c r="D472" t="s">
        <v>740</v>
      </c>
      <c r="E472" t="s">
        <v>92</v>
      </c>
      <c r="F472">
        <v>50</v>
      </c>
      <c r="G472" t="s">
        <v>125</v>
      </c>
      <c r="H472" t="s">
        <v>125</v>
      </c>
      <c r="I472" t="s">
        <v>92</v>
      </c>
      <c r="J472" t="s">
        <v>125</v>
      </c>
      <c r="K472" t="s">
        <v>125</v>
      </c>
      <c r="L472" t="s">
        <v>125</v>
      </c>
      <c r="M472" t="s">
        <v>1124</v>
      </c>
      <c r="N472" t="b">
        <v>0</v>
      </c>
    </row>
    <row r="473" spans="1:14">
      <c r="A473">
        <v>20</v>
      </c>
      <c r="B473">
        <v>22</v>
      </c>
      <c r="C473" t="s">
        <v>159</v>
      </c>
      <c r="D473" t="s">
        <v>740</v>
      </c>
      <c r="E473" t="s">
        <v>296</v>
      </c>
      <c r="F473">
        <v>40</v>
      </c>
      <c r="G473" t="s">
        <v>759</v>
      </c>
      <c r="H473" t="s">
        <v>125</v>
      </c>
      <c r="I473" t="s">
        <v>125</v>
      </c>
      <c r="J473" t="s">
        <v>760</v>
      </c>
      <c r="K473" t="s">
        <v>761</v>
      </c>
      <c r="L473" t="s">
        <v>762</v>
      </c>
      <c r="M473" t="s">
        <v>1125</v>
      </c>
      <c r="N473" t="b">
        <v>0</v>
      </c>
    </row>
    <row r="474" spans="1:14">
      <c r="A474">
        <v>20</v>
      </c>
      <c r="B474">
        <v>23</v>
      </c>
      <c r="C474" t="s">
        <v>181</v>
      </c>
      <c r="D474" t="s">
        <v>740</v>
      </c>
      <c r="E474" t="s">
        <v>60</v>
      </c>
      <c r="F474">
        <v>40</v>
      </c>
      <c r="G474" t="s">
        <v>125</v>
      </c>
      <c r="H474" t="s">
        <v>125</v>
      </c>
      <c r="I474" t="s">
        <v>60</v>
      </c>
      <c r="J474" t="s">
        <v>125</v>
      </c>
      <c r="K474" t="s">
        <v>125</v>
      </c>
      <c r="L474" t="s">
        <v>125</v>
      </c>
      <c r="M474" t="s">
        <v>1126</v>
      </c>
      <c r="N474" t="b">
        <v>0</v>
      </c>
    </row>
    <row r="475" spans="1:14">
      <c r="A475">
        <v>20</v>
      </c>
      <c r="B475">
        <v>24</v>
      </c>
      <c r="C475" t="s">
        <v>258</v>
      </c>
      <c r="D475" t="s">
        <v>740</v>
      </c>
      <c r="E475" t="s">
        <v>330</v>
      </c>
      <c r="F475">
        <v>40</v>
      </c>
      <c r="G475" t="s">
        <v>759</v>
      </c>
      <c r="H475" t="s">
        <v>125</v>
      </c>
      <c r="I475" t="s">
        <v>125</v>
      </c>
      <c r="J475" t="s">
        <v>1127</v>
      </c>
      <c r="K475" t="s">
        <v>920</v>
      </c>
      <c r="L475" t="s">
        <v>921</v>
      </c>
      <c r="M475" t="s">
        <v>1128</v>
      </c>
      <c r="N475" t="b">
        <v>0</v>
      </c>
    </row>
    <row r="476" spans="1:14">
      <c r="A476">
        <v>20</v>
      </c>
      <c r="B476">
        <v>25</v>
      </c>
      <c r="C476" t="s">
        <v>234</v>
      </c>
      <c r="D476" t="s">
        <v>740</v>
      </c>
      <c r="E476" t="s">
        <v>75</v>
      </c>
      <c r="F476">
        <v>50</v>
      </c>
      <c r="G476" t="s">
        <v>125</v>
      </c>
      <c r="H476" t="s">
        <v>125</v>
      </c>
      <c r="I476" t="s">
        <v>75</v>
      </c>
      <c r="J476" t="s">
        <v>125</v>
      </c>
      <c r="K476" t="s">
        <v>125</v>
      </c>
      <c r="L476" t="s">
        <v>125</v>
      </c>
      <c r="M476" t="s">
        <v>1129</v>
      </c>
      <c r="N476" t="b">
        <v>0</v>
      </c>
    </row>
    <row r="477" spans="1:14">
      <c r="A477">
        <v>20</v>
      </c>
      <c r="B477">
        <v>26</v>
      </c>
      <c r="C477" t="s">
        <v>182</v>
      </c>
      <c r="D477" t="s">
        <v>740</v>
      </c>
      <c r="E477" t="s">
        <v>544</v>
      </c>
      <c r="F477">
        <v>40</v>
      </c>
      <c r="G477" t="s">
        <v>759</v>
      </c>
      <c r="H477" t="s">
        <v>125</v>
      </c>
      <c r="I477" t="s">
        <v>125</v>
      </c>
      <c r="J477" t="s">
        <v>823</v>
      </c>
      <c r="K477" t="s">
        <v>800</v>
      </c>
      <c r="L477" t="s">
        <v>801</v>
      </c>
      <c r="M477" t="s">
        <v>1130</v>
      </c>
      <c r="N477" t="b">
        <v>0</v>
      </c>
    </row>
    <row r="478" spans="1:14">
      <c r="A478">
        <v>21</v>
      </c>
      <c r="B478">
        <v>0</v>
      </c>
      <c r="C478" t="s">
        <v>260</v>
      </c>
      <c r="D478" t="s">
        <v>723</v>
      </c>
      <c r="E478" t="s">
        <v>64</v>
      </c>
      <c r="F478">
        <v>40</v>
      </c>
      <c r="G478" t="s">
        <v>125</v>
      </c>
      <c r="H478" t="s">
        <v>125</v>
      </c>
      <c r="I478" t="s">
        <v>64</v>
      </c>
      <c r="J478" t="s">
        <v>125</v>
      </c>
      <c r="K478" t="s">
        <v>125</v>
      </c>
      <c r="L478" t="s">
        <v>125</v>
      </c>
      <c r="M478" t="s">
        <v>1131</v>
      </c>
      <c r="N478" t="b">
        <v>0</v>
      </c>
    </row>
    <row r="479" spans="1:14">
      <c r="A479">
        <v>21</v>
      </c>
      <c r="B479">
        <v>1</v>
      </c>
      <c r="C479" t="s">
        <v>157</v>
      </c>
      <c r="D479" t="s">
        <v>723</v>
      </c>
      <c r="E479" t="s">
        <v>82</v>
      </c>
      <c r="F479">
        <v>40</v>
      </c>
      <c r="G479" t="s">
        <v>125</v>
      </c>
      <c r="H479" t="s">
        <v>125</v>
      </c>
      <c r="I479" t="s">
        <v>82</v>
      </c>
      <c r="J479" t="s">
        <v>125</v>
      </c>
      <c r="K479" t="s">
        <v>125</v>
      </c>
      <c r="L479" t="s">
        <v>125</v>
      </c>
      <c r="M479" t="s">
        <v>1132</v>
      </c>
      <c r="N479" t="b">
        <v>0</v>
      </c>
    </row>
    <row r="480" spans="1:14">
      <c r="A480">
        <v>21</v>
      </c>
      <c r="B480">
        <v>2</v>
      </c>
      <c r="C480" t="s">
        <v>201</v>
      </c>
      <c r="D480" t="s">
        <v>723</v>
      </c>
      <c r="E480" t="s">
        <v>102</v>
      </c>
      <c r="F480">
        <v>60</v>
      </c>
      <c r="G480" t="s">
        <v>125</v>
      </c>
      <c r="H480" t="s">
        <v>125</v>
      </c>
      <c r="I480" t="s">
        <v>102</v>
      </c>
      <c r="J480" t="s">
        <v>125</v>
      </c>
      <c r="K480" t="s">
        <v>125</v>
      </c>
      <c r="L480" t="s">
        <v>125</v>
      </c>
      <c r="M480" t="s">
        <v>1133</v>
      </c>
      <c r="N480" t="b">
        <v>0</v>
      </c>
    </row>
    <row r="481" spans="1:14">
      <c r="A481">
        <v>21</v>
      </c>
      <c r="B481">
        <v>3</v>
      </c>
      <c r="C481" t="s">
        <v>253</v>
      </c>
      <c r="D481" t="s">
        <v>723</v>
      </c>
      <c r="E481" t="s">
        <v>114</v>
      </c>
      <c r="F481">
        <v>40</v>
      </c>
      <c r="G481" t="s">
        <v>125</v>
      </c>
      <c r="H481" t="s">
        <v>125</v>
      </c>
      <c r="I481" t="s">
        <v>114</v>
      </c>
      <c r="J481" t="s">
        <v>125</v>
      </c>
      <c r="K481" t="s">
        <v>125</v>
      </c>
      <c r="L481" t="s">
        <v>125</v>
      </c>
      <c r="M481" t="s">
        <v>1134</v>
      </c>
      <c r="N481" t="b">
        <v>0</v>
      </c>
    </row>
    <row r="482" spans="1:14">
      <c r="A482">
        <v>21</v>
      </c>
      <c r="B482">
        <v>4</v>
      </c>
      <c r="C482" t="s">
        <v>261</v>
      </c>
      <c r="D482" t="s">
        <v>723</v>
      </c>
      <c r="E482" t="s">
        <v>65</v>
      </c>
      <c r="F482">
        <v>40</v>
      </c>
      <c r="G482" t="s">
        <v>125</v>
      </c>
      <c r="H482" t="s">
        <v>125</v>
      </c>
      <c r="I482" t="s">
        <v>65</v>
      </c>
      <c r="J482" t="s">
        <v>125</v>
      </c>
      <c r="K482" t="s">
        <v>125</v>
      </c>
      <c r="L482" t="s">
        <v>125</v>
      </c>
      <c r="M482" t="s">
        <v>1135</v>
      </c>
      <c r="N482" t="b">
        <v>0</v>
      </c>
    </row>
    <row r="483" spans="1:14">
      <c r="A483">
        <v>21</v>
      </c>
      <c r="B483">
        <v>5</v>
      </c>
      <c r="C483" t="s">
        <v>162</v>
      </c>
      <c r="D483" t="s">
        <v>723</v>
      </c>
      <c r="E483" t="s">
        <v>77</v>
      </c>
      <c r="F483">
        <v>40</v>
      </c>
      <c r="G483" t="s">
        <v>125</v>
      </c>
      <c r="H483" t="s">
        <v>125</v>
      </c>
      <c r="I483" t="s">
        <v>77</v>
      </c>
      <c r="J483" t="s">
        <v>125</v>
      </c>
      <c r="K483" t="s">
        <v>125</v>
      </c>
      <c r="L483" t="s">
        <v>125</v>
      </c>
      <c r="M483" t="s">
        <v>1136</v>
      </c>
      <c r="N483" t="b">
        <v>0</v>
      </c>
    </row>
    <row r="484" spans="1:14">
      <c r="A484">
        <v>21</v>
      </c>
      <c r="B484">
        <v>6</v>
      </c>
      <c r="C484" t="s">
        <v>212</v>
      </c>
      <c r="D484" t="s">
        <v>723</v>
      </c>
      <c r="E484" t="s">
        <v>83</v>
      </c>
      <c r="F484">
        <v>40</v>
      </c>
      <c r="G484" t="s">
        <v>125</v>
      </c>
      <c r="H484" t="s">
        <v>125</v>
      </c>
      <c r="I484" t="s">
        <v>83</v>
      </c>
      <c r="J484" t="s">
        <v>125</v>
      </c>
      <c r="K484" t="s">
        <v>125</v>
      </c>
      <c r="L484" t="s">
        <v>125</v>
      </c>
      <c r="M484" t="s">
        <v>1137</v>
      </c>
      <c r="N484" t="b">
        <v>0</v>
      </c>
    </row>
    <row r="485" spans="1:14">
      <c r="A485">
        <v>21</v>
      </c>
      <c r="B485">
        <v>7</v>
      </c>
      <c r="C485" t="s">
        <v>262</v>
      </c>
      <c r="D485" t="s">
        <v>723</v>
      </c>
      <c r="E485" t="s">
        <v>544</v>
      </c>
      <c r="F485">
        <v>40</v>
      </c>
      <c r="G485" t="s">
        <v>125</v>
      </c>
      <c r="H485" t="s">
        <v>554</v>
      </c>
      <c r="I485" t="s">
        <v>331</v>
      </c>
      <c r="J485" t="s">
        <v>125</v>
      </c>
      <c r="K485" t="s">
        <v>800</v>
      </c>
      <c r="L485" t="s">
        <v>801</v>
      </c>
      <c r="M485" t="s">
        <v>1138</v>
      </c>
      <c r="N485" t="b">
        <v>0</v>
      </c>
    </row>
    <row r="486" spans="1:14">
      <c r="A486">
        <v>21</v>
      </c>
      <c r="B486">
        <v>8</v>
      </c>
      <c r="C486" t="s">
        <v>125</v>
      </c>
      <c r="D486" t="s">
        <v>723</v>
      </c>
      <c r="E486" t="s">
        <v>125</v>
      </c>
      <c r="F486">
        <v>0</v>
      </c>
      <c r="G486" t="s">
        <v>125</v>
      </c>
      <c r="H486" t="s">
        <v>125</v>
      </c>
      <c r="I486" t="s">
        <v>125</v>
      </c>
      <c r="J486" t="s">
        <v>125</v>
      </c>
      <c r="K486" t="s">
        <v>125</v>
      </c>
      <c r="L486" t="s">
        <v>125</v>
      </c>
      <c r="M486" t="s">
        <v>1139</v>
      </c>
      <c r="N486" t="b">
        <v>0</v>
      </c>
    </row>
    <row r="487" spans="1:14">
      <c r="A487">
        <v>21</v>
      </c>
      <c r="B487">
        <v>9</v>
      </c>
      <c r="C487" t="s">
        <v>125</v>
      </c>
      <c r="D487" t="s">
        <v>723</v>
      </c>
      <c r="E487" t="s">
        <v>125</v>
      </c>
      <c r="F487">
        <v>0</v>
      </c>
      <c r="G487" t="s">
        <v>125</v>
      </c>
      <c r="H487" t="s">
        <v>125</v>
      </c>
      <c r="I487" t="s">
        <v>125</v>
      </c>
      <c r="J487" t="s">
        <v>125</v>
      </c>
      <c r="K487" t="s">
        <v>125</v>
      </c>
      <c r="L487" t="s">
        <v>125</v>
      </c>
      <c r="M487" t="s">
        <v>1140</v>
      </c>
      <c r="N487" t="b">
        <v>0</v>
      </c>
    </row>
    <row r="488" spans="1:14">
      <c r="A488">
        <v>21</v>
      </c>
      <c r="B488">
        <v>10</v>
      </c>
      <c r="C488" t="s">
        <v>125</v>
      </c>
      <c r="D488" t="s">
        <v>723</v>
      </c>
      <c r="E488" t="s">
        <v>125</v>
      </c>
      <c r="F488">
        <v>0</v>
      </c>
      <c r="G488" t="s">
        <v>125</v>
      </c>
      <c r="H488" t="s">
        <v>125</v>
      </c>
      <c r="I488" t="s">
        <v>125</v>
      </c>
      <c r="J488" t="s">
        <v>125</v>
      </c>
      <c r="K488" t="s">
        <v>125</v>
      </c>
      <c r="L488" t="s">
        <v>125</v>
      </c>
      <c r="M488" t="s">
        <v>1141</v>
      </c>
      <c r="N488" t="b">
        <v>0</v>
      </c>
    </row>
    <row r="489" spans="1:14">
      <c r="A489">
        <v>21</v>
      </c>
      <c r="B489">
        <v>11</v>
      </c>
      <c r="C489" t="s">
        <v>125</v>
      </c>
      <c r="D489" t="s">
        <v>723</v>
      </c>
      <c r="E489" t="s">
        <v>125</v>
      </c>
      <c r="F489">
        <v>0</v>
      </c>
      <c r="G489" t="s">
        <v>125</v>
      </c>
      <c r="H489" t="s">
        <v>125</v>
      </c>
      <c r="I489" t="s">
        <v>125</v>
      </c>
      <c r="J489" t="s">
        <v>125</v>
      </c>
      <c r="K489" t="s">
        <v>125</v>
      </c>
      <c r="L489" t="s">
        <v>125</v>
      </c>
      <c r="M489" t="s">
        <v>1142</v>
      </c>
      <c r="N489" t="b">
        <v>0</v>
      </c>
    </row>
    <row r="490" spans="1:14">
      <c r="A490">
        <v>21</v>
      </c>
      <c r="B490">
        <v>12</v>
      </c>
      <c r="C490" t="s">
        <v>125</v>
      </c>
      <c r="D490" t="s">
        <v>723</v>
      </c>
      <c r="E490" t="s">
        <v>125</v>
      </c>
      <c r="F490">
        <v>0</v>
      </c>
      <c r="G490" t="s">
        <v>125</v>
      </c>
      <c r="H490" t="s">
        <v>125</v>
      </c>
      <c r="I490" t="s">
        <v>125</v>
      </c>
      <c r="J490" t="s">
        <v>125</v>
      </c>
      <c r="K490" t="s">
        <v>125</v>
      </c>
      <c r="L490" t="s">
        <v>125</v>
      </c>
      <c r="M490" t="s">
        <v>1143</v>
      </c>
      <c r="N490" t="b">
        <v>0</v>
      </c>
    </row>
    <row r="491" spans="1:14">
      <c r="A491">
        <v>21</v>
      </c>
      <c r="B491">
        <v>13</v>
      </c>
      <c r="C491" t="s">
        <v>125</v>
      </c>
      <c r="D491" t="s">
        <v>723</v>
      </c>
      <c r="E491" t="s">
        <v>125</v>
      </c>
      <c r="F491">
        <v>0</v>
      </c>
      <c r="G491" t="s">
        <v>125</v>
      </c>
      <c r="H491" t="s">
        <v>125</v>
      </c>
      <c r="I491" t="s">
        <v>125</v>
      </c>
      <c r="J491" t="s">
        <v>125</v>
      </c>
      <c r="K491" t="s">
        <v>125</v>
      </c>
      <c r="L491" t="s">
        <v>125</v>
      </c>
      <c r="M491" t="s">
        <v>1144</v>
      </c>
      <c r="N491" t="b">
        <v>0</v>
      </c>
    </row>
    <row r="492" spans="1:14">
      <c r="A492">
        <v>21</v>
      </c>
      <c r="B492">
        <v>14</v>
      </c>
      <c r="C492" t="s">
        <v>125</v>
      </c>
      <c r="D492" t="s">
        <v>723</v>
      </c>
      <c r="E492" t="s">
        <v>125</v>
      </c>
      <c r="F492">
        <v>0</v>
      </c>
      <c r="G492" t="s">
        <v>125</v>
      </c>
      <c r="H492" t="s">
        <v>125</v>
      </c>
      <c r="I492" t="s">
        <v>125</v>
      </c>
      <c r="J492" t="s">
        <v>125</v>
      </c>
      <c r="K492" t="s">
        <v>125</v>
      </c>
      <c r="L492" t="s">
        <v>125</v>
      </c>
      <c r="M492" t="s">
        <v>1145</v>
      </c>
      <c r="N492" t="b">
        <v>0</v>
      </c>
    </row>
    <row r="493" spans="1:14">
      <c r="A493">
        <v>21</v>
      </c>
      <c r="B493">
        <v>15</v>
      </c>
      <c r="C493" t="s">
        <v>125</v>
      </c>
      <c r="D493" t="s">
        <v>723</v>
      </c>
      <c r="E493" t="s">
        <v>125</v>
      </c>
      <c r="F493">
        <v>0</v>
      </c>
      <c r="G493" t="s">
        <v>125</v>
      </c>
      <c r="H493" t="s">
        <v>125</v>
      </c>
      <c r="I493" t="s">
        <v>125</v>
      </c>
      <c r="J493" t="s">
        <v>125</v>
      </c>
      <c r="K493" t="s">
        <v>125</v>
      </c>
      <c r="L493" t="s">
        <v>125</v>
      </c>
      <c r="M493" t="s">
        <v>1146</v>
      </c>
      <c r="N493" t="b">
        <v>0</v>
      </c>
    </row>
    <row r="494" spans="1:14">
      <c r="A494">
        <v>21</v>
      </c>
      <c r="B494">
        <v>16</v>
      </c>
      <c r="C494" t="s">
        <v>263</v>
      </c>
      <c r="D494" t="s">
        <v>740</v>
      </c>
      <c r="E494" t="s">
        <v>98</v>
      </c>
      <c r="F494">
        <v>60</v>
      </c>
      <c r="G494" t="s">
        <v>125</v>
      </c>
      <c r="H494" t="s">
        <v>125</v>
      </c>
      <c r="I494" t="s">
        <v>98</v>
      </c>
      <c r="J494" t="s">
        <v>125</v>
      </c>
      <c r="K494" t="s">
        <v>125</v>
      </c>
      <c r="L494" t="s">
        <v>125</v>
      </c>
      <c r="M494" t="s">
        <v>1147</v>
      </c>
      <c r="N494" t="b">
        <v>0</v>
      </c>
    </row>
    <row r="495" spans="1:14">
      <c r="A495">
        <v>21</v>
      </c>
      <c r="B495">
        <v>17</v>
      </c>
      <c r="C495" t="s">
        <v>211</v>
      </c>
      <c r="D495" t="s">
        <v>740</v>
      </c>
      <c r="E495" t="s">
        <v>108</v>
      </c>
      <c r="F495">
        <v>40</v>
      </c>
      <c r="G495" t="s">
        <v>125</v>
      </c>
      <c r="H495" t="s">
        <v>125</v>
      </c>
      <c r="I495" t="s">
        <v>108</v>
      </c>
      <c r="J495" t="s">
        <v>125</v>
      </c>
      <c r="K495" t="s">
        <v>125</v>
      </c>
      <c r="L495" t="s">
        <v>125</v>
      </c>
      <c r="M495" t="s">
        <v>682</v>
      </c>
      <c r="N495" t="b">
        <v>0</v>
      </c>
    </row>
    <row r="496" spans="1:14">
      <c r="A496">
        <v>21</v>
      </c>
      <c r="B496">
        <v>18</v>
      </c>
      <c r="C496" t="s">
        <v>166</v>
      </c>
      <c r="D496" t="s">
        <v>740</v>
      </c>
      <c r="E496" t="s">
        <v>73</v>
      </c>
      <c r="F496">
        <v>50</v>
      </c>
      <c r="G496" t="s">
        <v>125</v>
      </c>
      <c r="H496" t="s">
        <v>125</v>
      </c>
      <c r="I496" t="s">
        <v>73</v>
      </c>
      <c r="J496" t="s">
        <v>125</v>
      </c>
      <c r="K496" t="s">
        <v>125</v>
      </c>
      <c r="L496" t="s">
        <v>125</v>
      </c>
      <c r="M496" t="s">
        <v>1148</v>
      </c>
      <c r="N496" t="b">
        <v>0</v>
      </c>
    </row>
    <row r="497" spans="1:14">
      <c r="A497">
        <v>21</v>
      </c>
      <c r="B497">
        <v>19</v>
      </c>
      <c r="C497" t="s">
        <v>264</v>
      </c>
      <c r="D497" t="s">
        <v>740</v>
      </c>
      <c r="E497" t="s">
        <v>90</v>
      </c>
      <c r="F497">
        <v>50</v>
      </c>
      <c r="G497" t="s">
        <v>125</v>
      </c>
      <c r="H497" t="s">
        <v>125</v>
      </c>
      <c r="I497" t="s">
        <v>90</v>
      </c>
      <c r="J497" t="s">
        <v>125</v>
      </c>
      <c r="K497" t="s">
        <v>125</v>
      </c>
      <c r="L497" t="s">
        <v>125</v>
      </c>
      <c r="M497" t="s">
        <v>1149</v>
      </c>
      <c r="N497" t="b">
        <v>0</v>
      </c>
    </row>
    <row r="498" spans="1:14">
      <c r="A498">
        <v>21</v>
      </c>
      <c r="B498">
        <v>20</v>
      </c>
      <c r="C498" t="s">
        <v>168</v>
      </c>
      <c r="D498" t="s">
        <v>740</v>
      </c>
      <c r="E498" t="s">
        <v>97</v>
      </c>
      <c r="F498">
        <v>60</v>
      </c>
      <c r="G498" t="s">
        <v>125</v>
      </c>
      <c r="H498" t="s">
        <v>125</v>
      </c>
      <c r="I498" t="s">
        <v>97</v>
      </c>
      <c r="J498" t="s">
        <v>125</v>
      </c>
      <c r="K498" t="s">
        <v>125</v>
      </c>
      <c r="L498" t="s">
        <v>125</v>
      </c>
      <c r="M498" t="s">
        <v>1150</v>
      </c>
      <c r="N498" t="b">
        <v>0</v>
      </c>
    </row>
    <row r="499" spans="1:14">
      <c r="A499">
        <v>21</v>
      </c>
      <c r="B499">
        <v>21</v>
      </c>
      <c r="C499" t="s">
        <v>125</v>
      </c>
      <c r="D499" t="s">
        <v>740</v>
      </c>
      <c r="E499" t="s">
        <v>125</v>
      </c>
      <c r="F499">
        <v>0</v>
      </c>
      <c r="G499" t="s">
        <v>125</v>
      </c>
      <c r="H499" t="s">
        <v>125</v>
      </c>
      <c r="I499" t="s">
        <v>125</v>
      </c>
      <c r="J499" t="s">
        <v>125</v>
      </c>
      <c r="K499" t="s">
        <v>125</v>
      </c>
      <c r="L499" t="s">
        <v>125</v>
      </c>
      <c r="M499" t="s">
        <v>1151</v>
      </c>
      <c r="N499" t="b">
        <v>0</v>
      </c>
    </row>
    <row r="500" spans="1:14">
      <c r="A500">
        <v>21</v>
      </c>
      <c r="B500">
        <v>22</v>
      </c>
      <c r="C500" t="s">
        <v>125</v>
      </c>
      <c r="D500" t="s">
        <v>740</v>
      </c>
      <c r="E500" t="s">
        <v>125</v>
      </c>
      <c r="F500">
        <v>0</v>
      </c>
      <c r="G500" t="s">
        <v>125</v>
      </c>
      <c r="H500" t="s">
        <v>125</v>
      </c>
      <c r="I500" t="s">
        <v>125</v>
      </c>
      <c r="J500" t="s">
        <v>125</v>
      </c>
      <c r="K500" t="s">
        <v>125</v>
      </c>
      <c r="L500" t="s">
        <v>125</v>
      </c>
      <c r="M500" t="s">
        <v>1152</v>
      </c>
      <c r="N500" t="b">
        <v>0</v>
      </c>
    </row>
    <row r="501" spans="1:14">
      <c r="A501">
        <v>21</v>
      </c>
      <c r="B501">
        <v>23</v>
      </c>
      <c r="C501" t="s">
        <v>125</v>
      </c>
      <c r="D501" t="s">
        <v>740</v>
      </c>
      <c r="E501" t="s">
        <v>125</v>
      </c>
      <c r="F501">
        <v>0</v>
      </c>
      <c r="G501" t="s">
        <v>125</v>
      </c>
      <c r="H501" t="s">
        <v>125</v>
      </c>
      <c r="I501" t="s">
        <v>125</v>
      </c>
      <c r="J501" t="s">
        <v>125</v>
      </c>
      <c r="K501" t="s">
        <v>125</v>
      </c>
      <c r="L501" t="s">
        <v>125</v>
      </c>
      <c r="M501" t="s">
        <v>1153</v>
      </c>
      <c r="N501" t="b">
        <v>0</v>
      </c>
    </row>
    <row r="502" spans="1:14">
      <c r="A502">
        <v>21</v>
      </c>
      <c r="B502">
        <v>24</v>
      </c>
      <c r="C502" t="s">
        <v>125</v>
      </c>
      <c r="D502" t="s">
        <v>740</v>
      </c>
      <c r="E502" t="s">
        <v>125</v>
      </c>
      <c r="F502">
        <v>0</v>
      </c>
      <c r="G502" t="s">
        <v>125</v>
      </c>
      <c r="H502" t="s">
        <v>125</v>
      </c>
      <c r="I502" t="s">
        <v>125</v>
      </c>
      <c r="J502" t="s">
        <v>125</v>
      </c>
      <c r="K502" t="s">
        <v>125</v>
      </c>
      <c r="L502" t="s">
        <v>125</v>
      </c>
      <c r="M502" t="s">
        <v>1154</v>
      </c>
      <c r="N502" t="b">
        <v>0</v>
      </c>
    </row>
    <row r="503" spans="1:14">
      <c r="A503">
        <v>21</v>
      </c>
      <c r="B503">
        <v>25</v>
      </c>
      <c r="C503" t="s">
        <v>125</v>
      </c>
      <c r="D503" t="s">
        <v>740</v>
      </c>
      <c r="E503" t="s">
        <v>125</v>
      </c>
      <c r="F503">
        <v>0</v>
      </c>
      <c r="G503" t="s">
        <v>125</v>
      </c>
      <c r="H503" t="s">
        <v>125</v>
      </c>
      <c r="I503" t="s">
        <v>125</v>
      </c>
      <c r="J503" t="s">
        <v>125</v>
      </c>
      <c r="K503" t="s">
        <v>125</v>
      </c>
      <c r="L503" t="s">
        <v>125</v>
      </c>
      <c r="M503" t="s">
        <v>1155</v>
      </c>
      <c r="N503" t="b">
        <v>0</v>
      </c>
    </row>
    <row r="504" spans="1:14">
      <c r="A504">
        <v>21</v>
      </c>
      <c r="B504">
        <v>26</v>
      </c>
      <c r="C504" t="s">
        <v>125</v>
      </c>
      <c r="D504" t="s">
        <v>740</v>
      </c>
      <c r="E504" t="s">
        <v>125</v>
      </c>
      <c r="F504">
        <v>0</v>
      </c>
      <c r="G504" t="s">
        <v>125</v>
      </c>
      <c r="H504" t="s">
        <v>125</v>
      </c>
      <c r="I504" t="s">
        <v>125</v>
      </c>
      <c r="J504" t="s">
        <v>125</v>
      </c>
      <c r="K504" t="s">
        <v>125</v>
      </c>
      <c r="L504" t="s">
        <v>125</v>
      </c>
      <c r="M504" t="s">
        <v>1156</v>
      </c>
      <c r="N504" t="b">
        <v>0</v>
      </c>
    </row>
    <row r="505" spans="1:14">
      <c r="A505">
        <v>22</v>
      </c>
      <c r="B505">
        <v>0</v>
      </c>
      <c r="C505" t="s">
        <v>215</v>
      </c>
      <c r="D505" t="s">
        <v>723</v>
      </c>
      <c r="E505" t="s">
        <v>64</v>
      </c>
      <c r="F505">
        <v>60</v>
      </c>
      <c r="G505" t="s">
        <v>125</v>
      </c>
      <c r="H505" t="s">
        <v>125</v>
      </c>
      <c r="I505" t="s">
        <v>64</v>
      </c>
      <c r="J505" t="s">
        <v>125</v>
      </c>
      <c r="K505" t="s">
        <v>125</v>
      </c>
      <c r="L505" t="s">
        <v>125</v>
      </c>
      <c r="M505" t="s">
        <v>1157</v>
      </c>
      <c r="N505" t="b">
        <v>0</v>
      </c>
    </row>
    <row r="506" spans="1:14">
      <c r="A506">
        <v>22</v>
      </c>
      <c r="B506">
        <v>1</v>
      </c>
      <c r="C506" t="s">
        <v>267</v>
      </c>
      <c r="D506" t="s">
        <v>723</v>
      </c>
      <c r="E506" t="s">
        <v>82</v>
      </c>
      <c r="F506">
        <v>30</v>
      </c>
      <c r="G506" t="s">
        <v>125</v>
      </c>
      <c r="H506" t="s">
        <v>125</v>
      </c>
      <c r="I506" t="s">
        <v>82</v>
      </c>
      <c r="J506" t="s">
        <v>125</v>
      </c>
      <c r="K506" t="s">
        <v>125</v>
      </c>
      <c r="L506" t="s">
        <v>125</v>
      </c>
      <c r="M506" t="s">
        <v>1158</v>
      </c>
      <c r="N506" t="b">
        <v>0</v>
      </c>
    </row>
    <row r="507" spans="1:14">
      <c r="A507">
        <v>22</v>
      </c>
      <c r="B507">
        <v>2</v>
      </c>
      <c r="C507" t="s">
        <v>237</v>
      </c>
      <c r="D507" t="s">
        <v>723</v>
      </c>
      <c r="E507" t="s">
        <v>543</v>
      </c>
      <c r="F507">
        <v>40</v>
      </c>
      <c r="G507" t="s">
        <v>125</v>
      </c>
      <c r="H507" t="s">
        <v>546</v>
      </c>
      <c r="I507" t="s">
        <v>507</v>
      </c>
      <c r="J507" t="s">
        <v>125</v>
      </c>
      <c r="K507" t="s">
        <v>791</v>
      </c>
      <c r="L507" t="s">
        <v>792</v>
      </c>
      <c r="M507" t="s">
        <v>1159</v>
      </c>
      <c r="N507" t="b">
        <v>0</v>
      </c>
    </row>
    <row r="508" spans="1:14">
      <c r="A508">
        <v>22</v>
      </c>
      <c r="B508">
        <v>3</v>
      </c>
      <c r="C508" t="s">
        <v>238</v>
      </c>
      <c r="D508" t="s">
        <v>723</v>
      </c>
      <c r="E508" t="s">
        <v>543</v>
      </c>
      <c r="F508">
        <v>40</v>
      </c>
      <c r="G508" t="s">
        <v>125</v>
      </c>
      <c r="H508" t="s">
        <v>556</v>
      </c>
      <c r="I508" t="s">
        <v>485</v>
      </c>
      <c r="J508" t="s">
        <v>125</v>
      </c>
      <c r="K508" t="s">
        <v>794</v>
      </c>
      <c r="L508" t="s">
        <v>795</v>
      </c>
      <c r="M508" t="s">
        <v>1160</v>
      </c>
      <c r="N508" t="b">
        <v>0</v>
      </c>
    </row>
    <row r="509" spans="1:14">
      <c r="A509">
        <v>22</v>
      </c>
      <c r="B509">
        <v>4</v>
      </c>
      <c r="C509" t="s">
        <v>166</v>
      </c>
      <c r="D509" t="s">
        <v>723</v>
      </c>
      <c r="E509" t="s">
        <v>73</v>
      </c>
      <c r="F509">
        <v>50</v>
      </c>
      <c r="G509" t="s">
        <v>125</v>
      </c>
      <c r="H509" t="s">
        <v>125</v>
      </c>
      <c r="I509" t="s">
        <v>73</v>
      </c>
      <c r="J509" t="s">
        <v>125</v>
      </c>
      <c r="K509" t="s">
        <v>125</v>
      </c>
      <c r="L509" t="s">
        <v>125</v>
      </c>
      <c r="M509" t="s">
        <v>1161</v>
      </c>
      <c r="N509" t="b">
        <v>0</v>
      </c>
    </row>
    <row r="510" spans="1:14">
      <c r="A510">
        <v>22</v>
      </c>
      <c r="B510">
        <v>5</v>
      </c>
      <c r="C510" t="s">
        <v>268</v>
      </c>
      <c r="D510" t="s">
        <v>752</v>
      </c>
      <c r="E510" t="s">
        <v>357</v>
      </c>
      <c r="F510">
        <v>60</v>
      </c>
      <c r="G510" t="s">
        <v>759</v>
      </c>
      <c r="H510" t="s">
        <v>125</v>
      </c>
      <c r="I510" t="s">
        <v>125</v>
      </c>
      <c r="J510" t="s">
        <v>1162</v>
      </c>
      <c r="K510" t="s">
        <v>1163</v>
      </c>
      <c r="L510" t="s">
        <v>1164</v>
      </c>
      <c r="M510" t="s">
        <v>1165</v>
      </c>
      <c r="N510" t="b">
        <v>0</v>
      </c>
    </row>
    <row r="511" spans="1:14">
      <c r="A511">
        <v>22</v>
      </c>
      <c r="B511">
        <v>6</v>
      </c>
      <c r="C511" t="s">
        <v>269</v>
      </c>
      <c r="D511" t="s">
        <v>723</v>
      </c>
      <c r="E511" t="s">
        <v>544</v>
      </c>
      <c r="F511">
        <v>40</v>
      </c>
      <c r="G511" t="s">
        <v>125</v>
      </c>
      <c r="H511" t="s">
        <v>582</v>
      </c>
      <c r="I511" t="s">
        <v>495</v>
      </c>
      <c r="J511" t="s">
        <v>125</v>
      </c>
      <c r="K511" t="s">
        <v>800</v>
      </c>
      <c r="L511" t="s">
        <v>801</v>
      </c>
      <c r="M511" t="s">
        <v>1166</v>
      </c>
      <c r="N511" t="b">
        <v>0</v>
      </c>
    </row>
    <row r="512" spans="1:14">
      <c r="A512">
        <v>22</v>
      </c>
      <c r="B512">
        <v>7</v>
      </c>
      <c r="C512" t="s">
        <v>270</v>
      </c>
      <c r="D512" t="s">
        <v>723</v>
      </c>
      <c r="E512" t="s">
        <v>106</v>
      </c>
      <c r="F512">
        <v>40</v>
      </c>
      <c r="G512" t="s">
        <v>125</v>
      </c>
      <c r="H512" t="s">
        <v>125</v>
      </c>
      <c r="I512" t="s">
        <v>106</v>
      </c>
      <c r="J512" t="s">
        <v>125</v>
      </c>
      <c r="K512" t="s">
        <v>125</v>
      </c>
      <c r="L512" t="s">
        <v>125</v>
      </c>
      <c r="M512" t="s">
        <v>1167</v>
      </c>
      <c r="N512" t="b">
        <v>0</v>
      </c>
    </row>
    <row r="513" spans="1:14">
      <c r="A513">
        <v>22</v>
      </c>
      <c r="B513">
        <v>8</v>
      </c>
      <c r="C513" t="s">
        <v>125</v>
      </c>
      <c r="D513" t="s">
        <v>723</v>
      </c>
      <c r="E513" t="s">
        <v>125</v>
      </c>
      <c r="F513">
        <v>0</v>
      </c>
      <c r="G513" t="s">
        <v>125</v>
      </c>
      <c r="H513" t="s">
        <v>125</v>
      </c>
      <c r="I513" t="s">
        <v>125</v>
      </c>
      <c r="J513" t="s">
        <v>125</v>
      </c>
      <c r="K513" t="s">
        <v>125</v>
      </c>
      <c r="L513" t="s">
        <v>125</v>
      </c>
      <c r="M513" t="s">
        <v>1168</v>
      </c>
      <c r="N513" t="b">
        <v>0</v>
      </c>
    </row>
    <row r="514" spans="1:14">
      <c r="A514">
        <v>22</v>
      </c>
      <c r="B514">
        <v>9</v>
      </c>
      <c r="C514" t="s">
        <v>125</v>
      </c>
      <c r="D514" t="s">
        <v>723</v>
      </c>
      <c r="E514" t="s">
        <v>125</v>
      </c>
      <c r="F514">
        <v>0</v>
      </c>
      <c r="G514" t="s">
        <v>125</v>
      </c>
      <c r="H514" t="s">
        <v>125</v>
      </c>
      <c r="I514" t="s">
        <v>125</v>
      </c>
      <c r="J514" t="s">
        <v>125</v>
      </c>
      <c r="K514" t="s">
        <v>125</v>
      </c>
      <c r="L514" t="s">
        <v>125</v>
      </c>
      <c r="M514" t="s">
        <v>1169</v>
      </c>
      <c r="N514" t="b">
        <v>0</v>
      </c>
    </row>
    <row r="515" spans="1:14">
      <c r="A515">
        <v>22</v>
      </c>
      <c r="B515">
        <v>10</v>
      </c>
      <c r="C515" t="s">
        <v>125</v>
      </c>
      <c r="D515" t="s">
        <v>723</v>
      </c>
      <c r="E515" t="s">
        <v>125</v>
      </c>
      <c r="F515">
        <v>0</v>
      </c>
      <c r="G515" t="s">
        <v>125</v>
      </c>
      <c r="H515" t="s">
        <v>125</v>
      </c>
      <c r="I515" t="s">
        <v>125</v>
      </c>
      <c r="J515" t="s">
        <v>125</v>
      </c>
      <c r="K515" t="s">
        <v>125</v>
      </c>
      <c r="L515" t="s">
        <v>125</v>
      </c>
      <c r="M515" t="s">
        <v>1170</v>
      </c>
      <c r="N515" t="b">
        <v>0</v>
      </c>
    </row>
    <row r="516" spans="1:14">
      <c r="A516">
        <v>22</v>
      </c>
      <c r="B516">
        <v>11</v>
      </c>
      <c r="C516" t="s">
        <v>125</v>
      </c>
      <c r="D516" t="s">
        <v>723</v>
      </c>
      <c r="E516" t="s">
        <v>125</v>
      </c>
      <c r="F516">
        <v>0</v>
      </c>
      <c r="G516" t="s">
        <v>125</v>
      </c>
      <c r="H516" t="s">
        <v>125</v>
      </c>
      <c r="I516" t="s">
        <v>125</v>
      </c>
      <c r="J516" t="s">
        <v>125</v>
      </c>
      <c r="K516" t="s">
        <v>125</v>
      </c>
      <c r="L516" t="s">
        <v>125</v>
      </c>
      <c r="M516" t="s">
        <v>1171</v>
      </c>
      <c r="N516" t="b">
        <v>0</v>
      </c>
    </row>
    <row r="517" spans="1:14">
      <c r="A517">
        <v>22</v>
      </c>
      <c r="B517">
        <v>12</v>
      </c>
      <c r="C517" t="s">
        <v>125</v>
      </c>
      <c r="D517" t="s">
        <v>723</v>
      </c>
      <c r="E517" t="s">
        <v>125</v>
      </c>
      <c r="F517">
        <v>0</v>
      </c>
      <c r="G517" t="s">
        <v>125</v>
      </c>
      <c r="H517" t="s">
        <v>125</v>
      </c>
      <c r="I517" t="s">
        <v>125</v>
      </c>
      <c r="J517" t="s">
        <v>125</v>
      </c>
      <c r="K517" t="s">
        <v>125</v>
      </c>
      <c r="L517" t="s">
        <v>125</v>
      </c>
      <c r="M517" t="s">
        <v>1172</v>
      </c>
      <c r="N517" t="b">
        <v>0</v>
      </c>
    </row>
    <row r="518" spans="1:14">
      <c r="A518">
        <v>22</v>
      </c>
      <c r="B518">
        <v>13</v>
      </c>
      <c r="C518" t="s">
        <v>125</v>
      </c>
      <c r="D518" t="s">
        <v>723</v>
      </c>
      <c r="E518" t="s">
        <v>125</v>
      </c>
      <c r="F518">
        <v>0</v>
      </c>
      <c r="G518" t="s">
        <v>125</v>
      </c>
      <c r="H518" t="s">
        <v>125</v>
      </c>
      <c r="I518" t="s">
        <v>125</v>
      </c>
      <c r="J518" t="s">
        <v>125</v>
      </c>
      <c r="K518" t="s">
        <v>125</v>
      </c>
      <c r="L518" t="s">
        <v>125</v>
      </c>
      <c r="M518" t="s">
        <v>1173</v>
      </c>
      <c r="N518" t="b">
        <v>0</v>
      </c>
    </row>
    <row r="519" spans="1:14">
      <c r="A519">
        <v>22</v>
      </c>
      <c r="B519">
        <v>14</v>
      </c>
      <c r="C519" t="s">
        <v>125</v>
      </c>
      <c r="D519" t="s">
        <v>723</v>
      </c>
      <c r="E519" t="s">
        <v>125</v>
      </c>
      <c r="F519">
        <v>0</v>
      </c>
      <c r="G519" t="s">
        <v>125</v>
      </c>
      <c r="H519" t="s">
        <v>125</v>
      </c>
      <c r="I519" t="s">
        <v>125</v>
      </c>
      <c r="J519" t="s">
        <v>125</v>
      </c>
      <c r="K519" t="s">
        <v>125</v>
      </c>
      <c r="L519" t="s">
        <v>125</v>
      </c>
      <c r="M519" t="s">
        <v>1174</v>
      </c>
      <c r="N519" t="b">
        <v>0</v>
      </c>
    </row>
    <row r="520" spans="1:14">
      <c r="A520">
        <v>22</v>
      </c>
      <c r="B520">
        <v>15</v>
      </c>
      <c r="C520" t="s">
        <v>125</v>
      </c>
      <c r="D520" t="s">
        <v>723</v>
      </c>
      <c r="E520" t="s">
        <v>125</v>
      </c>
      <c r="F520">
        <v>0</v>
      </c>
      <c r="G520" t="s">
        <v>125</v>
      </c>
      <c r="H520" t="s">
        <v>125</v>
      </c>
      <c r="I520" t="s">
        <v>125</v>
      </c>
      <c r="J520" t="s">
        <v>125</v>
      </c>
      <c r="K520" t="s">
        <v>125</v>
      </c>
      <c r="L520" t="s">
        <v>125</v>
      </c>
      <c r="M520" t="s">
        <v>1175</v>
      </c>
      <c r="N520" t="b">
        <v>0</v>
      </c>
    </row>
    <row r="521" spans="1:14">
      <c r="A521">
        <v>22</v>
      </c>
      <c r="B521">
        <v>16</v>
      </c>
      <c r="C521" t="s">
        <v>158</v>
      </c>
      <c r="D521" t="s">
        <v>740</v>
      </c>
      <c r="E521" t="s">
        <v>296</v>
      </c>
      <c r="F521">
        <v>50</v>
      </c>
      <c r="G521" t="s">
        <v>759</v>
      </c>
      <c r="H521" t="s">
        <v>125</v>
      </c>
      <c r="I521" t="s">
        <v>125</v>
      </c>
      <c r="J521" t="s">
        <v>760</v>
      </c>
      <c r="K521" t="s">
        <v>761</v>
      </c>
      <c r="L521" t="s">
        <v>762</v>
      </c>
      <c r="M521" t="s">
        <v>1176</v>
      </c>
      <c r="N521" t="b">
        <v>0</v>
      </c>
    </row>
    <row r="522" spans="1:14">
      <c r="A522">
        <v>22</v>
      </c>
      <c r="B522">
        <v>17</v>
      </c>
      <c r="C522" t="s">
        <v>271</v>
      </c>
      <c r="D522" t="s">
        <v>740</v>
      </c>
      <c r="E522" t="s">
        <v>357</v>
      </c>
      <c r="F522">
        <v>50</v>
      </c>
      <c r="G522" t="s">
        <v>759</v>
      </c>
      <c r="H522" t="s">
        <v>125</v>
      </c>
      <c r="I522" t="s">
        <v>125</v>
      </c>
      <c r="J522" t="s">
        <v>1162</v>
      </c>
      <c r="K522" t="s">
        <v>1177</v>
      </c>
      <c r="L522" t="s">
        <v>1178</v>
      </c>
      <c r="M522" t="s">
        <v>684</v>
      </c>
      <c r="N522" t="b">
        <v>0</v>
      </c>
    </row>
    <row r="523" spans="1:14">
      <c r="A523">
        <v>22</v>
      </c>
      <c r="B523">
        <v>18</v>
      </c>
      <c r="C523" t="s">
        <v>197</v>
      </c>
      <c r="D523" t="s">
        <v>740</v>
      </c>
      <c r="E523" t="s">
        <v>112</v>
      </c>
      <c r="F523">
        <v>50</v>
      </c>
      <c r="G523" t="s">
        <v>125</v>
      </c>
      <c r="H523" t="s">
        <v>125</v>
      </c>
      <c r="I523" t="s">
        <v>112</v>
      </c>
      <c r="J523" t="s">
        <v>125</v>
      </c>
      <c r="K523" t="s">
        <v>125</v>
      </c>
      <c r="L523" t="s">
        <v>125</v>
      </c>
      <c r="M523" t="s">
        <v>1179</v>
      </c>
      <c r="N523" t="b">
        <v>0</v>
      </c>
    </row>
    <row r="524" spans="1:14">
      <c r="A524">
        <v>22</v>
      </c>
      <c r="B524">
        <v>19</v>
      </c>
      <c r="C524" t="s">
        <v>272</v>
      </c>
      <c r="D524" t="s">
        <v>740</v>
      </c>
      <c r="E524" t="s">
        <v>330</v>
      </c>
      <c r="F524">
        <v>50</v>
      </c>
      <c r="G524" t="s">
        <v>759</v>
      </c>
      <c r="H524" t="s">
        <v>125</v>
      </c>
      <c r="I524" t="s">
        <v>125</v>
      </c>
      <c r="J524" t="s">
        <v>1127</v>
      </c>
      <c r="K524" t="s">
        <v>920</v>
      </c>
      <c r="L524" t="s">
        <v>921</v>
      </c>
      <c r="M524" t="s">
        <v>1180</v>
      </c>
      <c r="N524" t="b">
        <v>0</v>
      </c>
    </row>
    <row r="525" spans="1:14">
      <c r="A525">
        <v>22</v>
      </c>
      <c r="B525">
        <v>20</v>
      </c>
      <c r="C525" t="s">
        <v>125</v>
      </c>
      <c r="D525" t="s">
        <v>740</v>
      </c>
      <c r="E525" t="s">
        <v>125</v>
      </c>
      <c r="F525">
        <v>0</v>
      </c>
      <c r="G525" t="s">
        <v>125</v>
      </c>
      <c r="H525" t="s">
        <v>125</v>
      </c>
      <c r="I525" t="s">
        <v>125</v>
      </c>
      <c r="J525" t="s">
        <v>125</v>
      </c>
      <c r="K525" t="s">
        <v>125</v>
      </c>
      <c r="L525" t="s">
        <v>125</v>
      </c>
      <c r="M525" t="s">
        <v>1181</v>
      </c>
      <c r="N525" t="b">
        <v>0</v>
      </c>
    </row>
    <row r="526" spans="1:14">
      <c r="A526">
        <v>22</v>
      </c>
      <c r="B526">
        <v>21</v>
      </c>
      <c r="C526" t="s">
        <v>125</v>
      </c>
      <c r="D526" t="s">
        <v>740</v>
      </c>
      <c r="E526" t="s">
        <v>125</v>
      </c>
      <c r="F526">
        <v>0</v>
      </c>
      <c r="G526" t="s">
        <v>125</v>
      </c>
      <c r="H526" t="s">
        <v>125</v>
      </c>
      <c r="I526" t="s">
        <v>125</v>
      </c>
      <c r="J526" t="s">
        <v>125</v>
      </c>
      <c r="K526" t="s">
        <v>125</v>
      </c>
      <c r="L526" t="s">
        <v>125</v>
      </c>
      <c r="M526" t="s">
        <v>1182</v>
      </c>
      <c r="N526" t="b">
        <v>0</v>
      </c>
    </row>
    <row r="527" spans="1:14">
      <c r="A527">
        <v>22</v>
      </c>
      <c r="B527">
        <v>22</v>
      </c>
      <c r="C527" t="s">
        <v>125</v>
      </c>
      <c r="D527" t="s">
        <v>740</v>
      </c>
      <c r="E527" t="s">
        <v>125</v>
      </c>
      <c r="F527">
        <v>0</v>
      </c>
      <c r="G527" t="s">
        <v>125</v>
      </c>
      <c r="H527" t="s">
        <v>125</v>
      </c>
      <c r="I527" t="s">
        <v>125</v>
      </c>
      <c r="J527" t="s">
        <v>125</v>
      </c>
      <c r="K527" t="s">
        <v>125</v>
      </c>
      <c r="L527" t="s">
        <v>125</v>
      </c>
      <c r="M527" t="s">
        <v>1183</v>
      </c>
      <c r="N527" t="b">
        <v>0</v>
      </c>
    </row>
    <row r="528" spans="1:14">
      <c r="A528">
        <v>22</v>
      </c>
      <c r="B528">
        <v>23</v>
      </c>
      <c r="C528" t="s">
        <v>125</v>
      </c>
      <c r="D528" t="s">
        <v>740</v>
      </c>
      <c r="E528" t="s">
        <v>125</v>
      </c>
      <c r="F528">
        <v>0</v>
      </c>
      <c r="G528" t="s">
        <v>125</v>
      </c>
      <c r="H528" t="s">
        <v>125</v>
      </c>
      <c r="I528" t="s">
        <v>125</v>
      </c>
      <c r="J528" t="s">
        <v>125</v>
      </c>
      <c r="K528" t="s">
        <v>125</v>
      </c>
      <c r="L528" t="s">
        <v>125</v>
      </c>
      <c r="M528" t="s">
        <v>1184</v>
      </c>
      <c r="N528" t="b">
        <v>0</v>
      </c>
    </row>
    <row r="529" spans="1:14">
      <c r="A529">
        <v>22</v>
      </c>
      <c r="B529">
        <v>24</v>
      </c>
      <c r="C529" t="s">
        <v>125</v>
      </c>
      <c r="D529" t="s">
        <v>740</v>
      </c>
      <c r="E529" t="s">
        <v>125</v>
      </c>
      <c r="F529">
        <v>0</v>
      </c>
      <c r="G529" t="s">
        <v>125</v>
      </c>
      <c r="H529" t="s">
        <v>125</v>
      </c>
      <c r="I529" t="s">
        <v>125</v>
      </c>
      <c r="J529" t="s">
        <v>125</v>
      </c>
      <c r="K529" t="s">
        <v>125</v>
      </c>
      <c r="L529" t="s">
        <v>125</v>
      </c>
      <c r="M529" t="s">
        <v>1185</v>
      </c>
      <c r="N529" t="b">
        <v>0</v>
      </c>
    </row>
    <row r="530" spans="1:14">
      <c r="A530">
        <v>22</v>
      </c>
      <c r="B530">
        <v>25</v>
      </c>
      <c r="C530" t="s">
        <v>125</v>
      </c>
      <c r="D530" t="s">
        <v>740</v>
      </c>
      <c r="E530" t="s">
        <v>125</v>
      </c>
      <c r="F530">
        <v>0</v>
      </c>
      <c r="G530" t="s">
        <v>125</v>
      </c>
      <c r="H530" t="s">
        <v>125</v>
      </c>
      <c r="I530" t="s">
        <v>125</v>
      </c>
      <c r="J530" t="s">
        <v>125</v>
      </c>
      <c r="K530" t="s">
        <v>125</v>
      </c>
      <c r="L530" t="s">
        <v>125</v>
      </c>
      <c r="M530" t="s">
        <v>1186</v>
      </c>
      <c r="N530" t="b">
        <v>0</v>
      </c>
    </row>
    <row r="531" spans="1:14">
      <c r="A531">
        <v>22</v>
      </c>
      <c r="B531">
        <v>26</v>
      </c>
      <c r="C531" t="s">
        <v>125</v>
      </c>
      <c r="D531" t="s">
        <v>740</v>
      </c>
      <c r="E531" t="s">
        <v>125</v>
      </c>
      <c r="F531">
        <v>0</v>
      </c>
      <c r="G531" t="s">
        <v>125</v>
      </c>
      <c r="H531" t="s">
        <v>125</v>
      </c>
      <c r="I531" t="s">
        <v>125</v>
      </c>
      <c r="J531" t="s">
        <v>125</v>
      </c>
      <c r="K531" t="s">
        <v>125</v>
      </c>
      <c r="L531" t="s">
        <v>125</v>
      </c>
      <c r="M531" t="s">
        <v>1187</v>
      </c>
      <c r="N531" t="b">
        <v>0</v>
      </c>
    </row>
    <row r="532" spans="1:14">
      <c r="A532">
        <v>23</v>
      </c>
      <c r="B532">
        <v>0</v>
      </c>
      <c r="C532" t="s">
        <v>215</v>
      </c>
      <c r="D532" t="s">
        <v>723</v>
      </c>
      <c r="E532" t="s">
        <v>64</v>
      </c>
      <c r="F532">
        <v>60</v>
      </c>
      <c r="G532" t="s">
        <v>125</v>
      </c>
      <c r="H532" t="s">
        <v>125</v>
      </c>
      <c r="I532" t="s">
        <v>64</v>
      </c>
      <c r="J532" t="s">
        <v>125</v>
      </c>
      <c r="K532" t="s">
        <v>125</v>
      </c>
      <c r="L532" t="s">
        <v>125</v>
      </c>
      <c r="M532" t="s">
        <v>1188</v>
      </c>
      <c r="N532" t="b">
        <v>0</v>
      </c>
    </row>
    <row r="533" spans="1:14">
      <c r="A533">
        <v>23</v>
      </c>
      <c r="B533">
        <v>1</v>
      </c>
      <c r="C533" t="s">
        <v>157</v>
      </c>
      <c r="D533" t="s">
        <v>723</v>
      </c>
      <c r="E533" t="s">
        <v>82</v>
      </c>
      <c r="F533">
        <v>40</v>
      </c>
      <c r="G533" t="s">
        <v>125</v>
      </c>
      <c r="H533" t="s">
        <v>125</v>
      </c>
      <c r="I533" t="s">
        <v>82</v>
      </c>
      <c r="J533" t="s">
        <v>125</v>
      </c>
      <c r="K533" t="s">
        <v>125</v>
      </c>
      <c r="L533" t="s">
        <v>125</v>
      </c>
      <c r="M533" t="s">
        <v>1189</v>
      </c>
      <c r="N533" t="b">
        <v>0</v>
      </c>
    </row>
    <row r="534" spans="1:14">
      <c r="A534">
        <v>23</v>
      </c>
      <c r="B534">
        <v>2</v>
      </c>
      <c r="C534" t="s">
        <v>247</v>
      </c>
      <c r="D534" t="s">
        <v>723</v>
      </c>
      <c r="E534" t="s">
        <v>92</v>
      </c>
      <c r="F534">
        <v>40</v>
      </c>
      <c r="G534" t="s">
        <v>125</v>
      </c>
      <c r="H534" t="s">
        <v>125</v>
      </c>
      <c r="I534" t="s">
        <v>92</v>
      </c>
      <c r="J534" t="s">
        <v>125</v>
      </c>
      <c r="K534" t="s">
        <v>125</v>
      </c>
      <c r="L534" t="s">
        <v>125</v>
      </c>
      <c r="M534" t="s">
        <v>1190</v>
      </c>
      <c r="N534" t="b">
        <v>0</v>
      </c>
    </row>
    <row r="535" spans="1:14">
      <c r="A535">
        <v>23</v>
      </c>
      <c r="B535">
        <v>3</v>
      </c>
      <c r="C535" t="s">
        <v>187</v>
      </c>
      <c r="D535" t="s">
        <v>723</v>
      </c>
      <c r="E535" t="s">
        <v>98</v>
      </c>
      <c r="F535">
        <v>50</v>
      </c>
      <c r="G535" t="s">
        <v>125</v>
      </c>
      <c r="H535" t="s">
        <v>125</v>
      </c>
      <c r="I535" t="s">
        <v>98</v>
      </c>
      <c r="J535" t="s">
        <v>125</v>
      </c>
      <c r="K535" t="s">
        <v>125</v>
      </c>
      <c r="L535" t="s">
        <v>125</v>
      </c>
      <c r="M535" t="s">
        <v>1191</v>
      </c>
      <c r="N535" t="b">
        <v>0</v>
      </c>
    </row>
    <row r="536" spans="1:14">
      <c r="A536">
        <v>23</v>
      </c>
      <c r="B536">
        <v>4</v>
      </c>
      <c r="C536" t="s">
        <v>228</v>
      </c>
      <c r="D536" t="s">
        <v>723</v>
      </c>
      <c r="E536" t="s">
        <v>100</v>
      </c>
      <c r="F536">
        <v>40</v>
      </c>
      <c r="G536" t="s">
        <v>125</v>
      </c>
      <c r="H536" t="s">
        <v>125</v>
      </c>
      <c r="I536" t="s">
        <v>100</v>
      </c>
      <c r="J536" t="s">
        <v>125</v>
      </c>
      <c r="K536" t="s">
        <v>125</v>
      </c>
      <c r="L536" t="s">
        <v>125</v>
      </c>
      <c r="M536" t="s">
        <v>1192</v>
      </c>
      <c r="N536" t="b">
        <v>0</v>
      </c>
    </row>
    <row r="537" spans="1:14">
      <c r="A537">
        <v>23</v>
      </c>
      <c r="B537">
        <v>5</v>
      </c>
      <c r="C537" t="s">
        <v>274</v>
      </c>
      <c r="D537" t="s">
        <v>723</v>
      </c>
      <c r="E537" t="s">
        <v>102</v>
      </c>
      <c r="F537">
        <v>30</v>
      </c>
      <c r="G537" t="s">
        <v>125</v>
      </c>
      <c r="H537" t="s">
        <v>125</v>
      </c>
      <c r="I537" t="s">
        <v>102</v>
      </c>
      <c r="J537" t="s">
        <v>125</v>
      </c>
      <c r="K537" t="s">
        <v>125</v>
      </c>
      <c r="L537" t="s">
        <v>125</v>
      </c>
      <c r="M537" t="s">
        <v>1193</v>
      </c>
      <c r="N537" t="b">
        <v>0</v>
      </c>
    </row>
    <row r="538" spans="1:14">
      <c r="A538">
        <v>23</v>
      </c>
      <c r="B538">
        <v>6</v>
      </c>
      <c r="C538" t="s">
        <v>165</v>
      </c>
      <c r="D538" t="s">
        <v>723</v>
      </c>
      <c r="E538" t="s">
        <v>114</v>
      </c>
      <c r="F538">
        <v>50</v>
      </c>
      <c r="G538" t="s">
        <v>125</v>
      </c>
      <c r="H538" t="s">
        <v>125</v>
      </c>
      <c r="I538" t="s">
        <v>114</v>
      </c>
      <c r="J538" t="s">
        <v>125</v>
      </c>
      <c r="K538" t="s">
        <v>125</v>
      </c>
      <c r="L538" t="s">
        <v>125</v>
      </c>
      <c r="M538" t="s">
        <v>1194</v>
      </c>
      <c r="N538" t="b">
        <v>0</v>
      </c>
    </row>
    <row r="539" spans="1:14">
      <c r="A539">
        <v>23</v>
      </c>
      <c r="B539">
        <v>7</v>
      </c>
      <c r="C539" t="s">
        <v>191</v>
      </c>
      <c r="D539" t="s">
        <v>723</v>
      </c>
      <c r="E539" t="s">
        <v>60</v>
      </c>
      <c r="F539">
        <v>30</v>
      </c>
      <c r="G539" t="s">
        <v>125</v>
      </c>
      <c r="H539" t="s">
        <v>125</v>
      </c>
      <c r="I539" t="s">
        <v>60</v>
      </c>
      <c r="J539" t="s">
        <v>125</v>
      </c>
      <c r="K539" t="s">
        <v>125</v>
      </c>
      <c r="L539" t="s">
        <v>125</v>
      </c>
      <c r="M539" t="s">
        <v>1195</v>
      </c>
      <c r="N539" t="b">
        <v>0</v>
      </c>
    </row>
    <row r="540" spans="1:14">
      <c r="A540">
        <v>23</v>
      </c>
      <c r="B540">
        <v>8</v>
      </c>
      <c r="C540" t="s">
        <v>219</v>
      </c>
      <c r="D540" t="s">
        <v>723</v>
      </c>
      <c r="E540" t="s">
        <v>67</v>
      </c>
      <c r="F540">
        <v>50</v>
      </c>
      <c r="G540" t="s">
        <v>125</v>
      </c>
      <c r="H540" t="s">
        <v>125</v>
      </c>
      <c r="I540" t="s">
        <v>67</v>
      </c>
      <c r="J540" t="s">
        <v>125</v>
      </c>
      <c r="K540" t="s">
        <v>125</v>
      </c>
      <c r="L540" t="s">
        <v>125</v>
      </c>
      <c r="M540" t="s">
        <v>1196</v>
      </c>
      <c r="N540" t="b">
        <v>0</v>
      </c>
    </row>
    <row r="541" spans="1:14">
      <c r="A541">
        <v>23</v>
      </c>
      <c r="B541">
        <v>9</v>
      </c>
      <c r="C541" t="s">
        <v>275</v>
      </c>
      <c r="D541" t="s">
        <v>723</v>
      </c>
      <c r="E541" t="s">
        <v>73</v>
      </c>
      <c r="F541">
        <v>40</v>
      </c>
      <c r="G541" t="s">
        <v>125</v>
      </c>
      <c r="H541" t="s">
        <v>125</v>
      </c>
      <c r="I541" t="s">
        <v>73</v>
      </c>
      <c r="J541" t="s">
        <v>125</v>
      </c>
      <c r="K541" t="s">
        <v>125</v>
      </c>
      <c r="L541" t="s">
        <v>125</v>
      </c>
      <c r="M541" t="s">
        <v>1197</v>
      </c>
      <c r="N541" t="b">
        <v>0</v>
      </c>
    </row>
    <row r="542" spans="1:14">
      <c r="A542">
        <v>23</v>
      </c>
      <c r="B542">
        <v>10</v>
      </c>
      <c r="C542" t="s">
        <v>162</v>
      </c>
      <c r="D542" t="s">
        <v>723</v>
      </c>
      <c r="E542" t="s">
        <v>77</v>
      </c>
      <c r="F542">
        <v>40</v>
      </c>
      <c r="G542" t="s">
        <v>125</v>
      </c>
      <c r="H542" t="s">
        <v>125</v>
      </c>
      <c r="I542" t="s">
        <v>77</v>
      </c>
      <c r="J542" t="s">
        <v>125</v>
      </c>
      <c r="K542" t="s">
        <v>125</v>
      </c>
      <c r="L542" t="s">
        <v>125</v>
      </c>
      <c r="M542" t="s">
        <v>1198</v>
      </c>
      <c r="N542" t="b">
        <v>0</v>
      </c>
    </row>
    <row r="543" spans="1:14">
      <c r="A543">
        <v>23</v>
      </c>
      <c r="B543">
        <v>11</v>
      </c>
      <c r="C543" t="s">
        <v>204</v>
      </c>
      <c r="D543" t="s">
        <v>723</v>
      </c>
      <c r="E543" t="s">
        <v>97</v>
      </c>
      <c r="F543">
        <v>40</v>
      </c>
      <c r="G543" t="s">
        <v>125</v>
      </c>
      <c r="H543" t="s">
        <v>125</v>
      </c>
      <c r="I543" t="s">
        <v>97</v>
      </c>
      <c r="J543" t="s">
        <v>125</v>
      </c>
      <c r="K543" t="s">
        <v>125</v>
      </c>
      <c r="L543" t="s">
        <v>125</v>
      </c>
      <c r="M543" t="s">
        <v>1199</v>
      </c>
      <c r="N543" t="b">
        <v>0</v>
      </c>
    </row>
    <row r="544" spans="1:14">
      <c r="A544">
        <v>23</v>
      </c>
      <c r="B544">
        <v>12</v>
      </c>
      <c r="C544" t="s">
        <v>194</v>
      </c>
      <c r="D544" t="s">
        <v>723</v>
      </c>
      <c r="E544" t="s">
        <v>107</v>
      </c>
      <c r="F544">
        <v>60</v>
      </c>
      <c r="G544" t="s">
        <v>125</v>
      </c>
      <c r="H544" t="s">
        <v>125</v>
      </c>
      <c r="I544" t="s">
        <v>107</v>
      </c>
      <c r="J544" t="s">
        <v>125</v>
      </c>
      <c r="K544" t="s">
        <v>125</v>
      </c>
      <c r="L544" t="s">
        <v>125</v>
      </c>
      <c r="M544" t="s">
        <v>1200</v>
      </c>
      <c r="N544" t="b">
        <v>0</v>
      </c>
    </row>
    <row r="545" spans="1:14">
      <c r="A545">
        <v>23</v>
      </c>
      <c r="B545">
        <v>13</v>
      </c>
      <c r="C545" t="s">
        <v>125</v>
      </c>
      <c r="D545" t="s">
        <v>723</v>
      </c>
      <c r="E545" t="s">
        <v>125</v>
      </c>
      <c r="F545">
        <v>0</v>
      </c>
      <c r="G545" t="s">
        <v>125</v>
      </c>
      <c r="H545" t="s">
        <v>125</v>
      </c>
      <c r="I545" t="s">
        <v>125</v>
      </c>
      <c r="J545" t="s">
        <v>125</v>
      </c>
      <c r="K545" t="s">
        <v>125</v>
      </c>
      <c r="L545" t="s">
        <v>125</v>
      </c>
      <c r="M545" t="s">
        <v>1201</v>
      </c>
      <c r="N545" t="b">
        <v>0</v>
      </c>
    </row>
    <row r="546" spans="1:14">
      <c r="A546">
        <v>23</v>
      </c>
      <c r="B546">
        <v>14</v>
      </c>
      <c r="C546" t="s">
        <v>125</v>
      </c>
      <c r="D546" t="s">
        <v>723</v>
      </c>
      <c r="E546" t="s">
        <v>125</v>
      </c>
      <c r="F546">
        <v>0</v>
      </c>
      <c r="G546" t="s">
        <v>125</v>
      </c>
      <c r="H546" t="s">
        <v>125</v>
      </c>
      <c r="I546" t="s">
        <v>125</v>
      </c>
      <c r="J546" t="s">
        <v>125</v>
      </c>
      <c r="K546" t="s">
        <v>125</v>
      </c>
      <c r="L546" t="s">
        <v>125</v>
      </c>
      <c r="M546" t="s">
        <v>1202</v>
      </c>
      <c r="N546" t="b">
        <v>0</v>
      </c>
    </row>
    <row r="547" spans="1:14">
      <c r="A547">
        <v>23</v>
      </c>
      <c r="B547">
        <v>15</v>
      </c>
      <c r="C547" t="s">
        <v>125</v>
      </c>
      <c r="D547" t="s">
        <v>723</v>
      </c>
      <c r="E547" t="s">
        <v>125</v>
      </c>
      <c r="F547">
        <v>0</v>
      </c>
      <c r="G547" t="s">
        <v>125</v>
      </c>
      <c r="H547" t="s">
        <v>125</v>
      </c>
      <c r="I547" t="s">
        <v>125</v>
      </c>
      <c r="J547" t="s">
        <v>125</v>
      </c>
      <c r="K547" t="s">
        <v>125</v>
      </c>
      <c r="L547" t="s">
        <v>125</v>
      </c>
      <c r="M547" t="s">
        <v>1203</v>
      </c>
      <c r="N547" t="b">
        <v>0</v>
      </c>
    </row>
    <row r="548" spans="1:14">
      <c r="A548">
        <v>23</v>
      </c>
      <c r="B548">
        <v>16</v>
      </c>
      <c r="C548" t="s">
        <v>205</v>
      </c>
      <c r="D548" t="s">
        <v>740</v>
      </c>
      <c r="E548" t="s">
        <v>108</v>
      </c>
      <c r="F548">
        <v>50</v>
      </c>
      <c r="G548" t="s">
        <v>125</v>
      </c>
      <c r="H548" t="s">
        <v>125</v>
      </c>
      <c r="I548" t="s">
        <v>108</v>
      </c>
      <c r="J548" t="s">
        <v>125</v>
      </c>
      <c r="K548" t="s">
        <v>125</v>
      </c>
      <c r="L548" t="s">
        <v>125</v>
      </c>
      <c r="M548" t="s">
        <v>1204</v>
      </c>
      <c r="N548" t="b">
        <v>0</v>
      </c>
    </row>
    <row r="549" spans="1:14">
      <c r="A549">
        <v>23</v>
      </c>
      <c r="B549">
        <v>17</v>
      </c>
      <c r="C549" t="s">
        <v>276</v>
      </c>
      <c r="D549" t="s">
        <v>740</v>
      </c>
      <c r="E549" t="s">
        <v>111</v>
      </c>
      <c r="F549">
        <v>60</v>
      </c>
      <c r="G549" t="s">
        <v>125</v>
      </c>
      <c r="H549" t="s">
        <v>125</v>
      </c>
      <c r="I549" t="s">
        <v>111</v>
      </c>
      <c r="J549" t="s">
        <v>125</v>
      </c>
      <c r="K549" t="s">
        <v>125</v>
      </c>
      <c r="L549" t="s">
        <v>125</v>
      </c>
      <c r="M549" t="s">
        <v>686</v>
      </c>
      <c r="N549" t="b">
        <v>0</v>
      </c>
    </row>
    <row r="550" spans="1:14">
      <c r="A550">
        <v>23</v>
      </c>
      <c r="B550">
        <v>18</v>
      </c>
      <c r="C550" t="s">
        <v>197</v>
      </c>
      <c r="D550" t="s">
        <v>740</v>
      </c>
      <c r="E550" t="s">
        <v>112</v>
      </c>
      <c r="F550">
        <v>50</v>
      </c>
      <c r="G550" t="s">
        <v>125</v>
      </c>
      <c r="H550" t="s">
        <v>125</v>
      </c>
      <c r="I550" t="s">
        <v>112</v>
      </c>
      <c r="J550" t="s">
        <v>125</v>
      </c>
      <c r="K550" t="s">
        <v>125</v>
      </c>
      <c r="L550" t="s">
        <v>125</v>
      </c>
      <c r="M550" t="s">
        <v>1205</v>
      </c>
      <c r="N550" t="b">
        <v>0</v>
      </c>
    </row>
    <row r="551" spans="1:14">
      <c r="A551">
        <v>23</v>
      </c>
      <c r="B551">
        <v>19</v>
      </c>
      <c r="C551" t="s">
        <v>277</v>
      </c>
      <c r="D551" t="s">
        <v>740</v>
      </c>
      <c r="E551" t="s">
        <v>91</v>
      </c>
      <c r="F551">
        <v>60</v>
      </c>
      <c r="G551" t="s">
        <v>125</v>
      </c>
      <c r="H551" t="s">
        <v>125</v>
      </c>
      <c r="I551" t="s">
        <v>91</v>
      </c>
      <c r="J551" t="s">
        <v>125</v>
      </c>
      <c r="K551" t="s">
        <v>125</v>
      </c>
      <c r="L551" t="s">
        <v>125</v>
      </c>
      <c r="M551" t="s">
        <v>1206</v>
      </c>
      <c r="N551" t="b">
        <v>0</v>
      </c>
    </row>
    <row r="552" spans="1:14">
      <c r="A552">
        <v>23</v>
      </c>
      <c r="B552">
        <v>20</v>
      </c>
      <c r="C552" t="s">
        <v>125</v>
      </c>
      <c r="D552" t="s">
        <v>740</v>
      </c>
      <c r="E552" t="s">
        <v>125</v>
      </c>
      <c r="F552">
        <v>0</v>
      </c>
      <c r="G552" t="s">
        <v>125</v>
      </c>
      <c r="H552" t="s">
        <v>125</v>
      </c>
      <c r="I552" t="s">
        <v>125</v>
      </c>
      <c r="J552" t="s">
        <v>125</v>
      </c>
      <c r="K552" t="s">
        <v>125</v>
      </c>
      <c r="L552" t="s">
        <v>125</v>
      </c>
      <c r="M552" t="s">
        <v>1207</v>
      </c>
      <c r="N552" t="b">
        <v>0</v>
      </c>
    </row>
    <row r="553" spans="1:14">
      <c r="A553">
        <v>23</v>
      </c>
      <c r="B553">
        <v>21</v>
      </c>
      <c r="C553" t="s">
        <v>125</v>
      </c>
      <c r="D553" t="s">
        <v>740</v>
      </c>
      <c r="E553" t="s">
        <v>125</v>
      </c>
      <c r="F553">
        <v>0</v>
      </c>
      <c r="G553" t="s">
        <v>125</v>
      </c>
      <c r="H553" t="s">
        <v>125</v>
      </c>
      <c r="I553" t="s">
        <v>125</v>
      </c>
      <c r="J553" t="s">
        <v>125</v>
      </c>
      <c r="K553" t="s">
        <v>125</v>
      </c>
      <c r="L553" t="s">
        <v>125</v>
      </c>
      <c r="M553" t="s">
        <v>1208</v>
      </c>
      <c r="N553" t="b">
        <v>0</v>
      </c>
    </row>
    <row r="554" spans="1:14">
      <c r="A554">
        <v>23</v>
      </c>
      <c r="B554">
        <v>22</v>
      </c>
      <c r="C554" t="s">
        <v>125</v>
      </c>
      <c r="D554" t="s">
        <v>740</v>
      </c>
      <c r="E554" t="s">
        <v>125</v>
      </c>
      <c r="F554">
        <v>0</v>
      </c>
      <c r="G554" t="s">
        <v>125</v>
      </c>
      <c r="H554" t="s">
        <v>125</v>
      </c>
      <c r="I554" t="s">
        <v>125</v>
      </c>
      <c r="J554" t="s">
        <v>125</v>
      </c>
      <c r="K554" t="s">
        <v>125</v>
      </c>
      <c r="L554" t="s">
        <v>125</v>
      </c>
      <c r="M554" t="s">
        <v>1209</v>
      </c>
      <c r="N554" t="b">
        <v>0</v>
      </c>
    </row>
    <row r="555" spans="1:14">
      <c r="A555">
        <v>23</v>
      </c>
      <c r="B555">
        <v>23</v>
      </c>
      <c r="C555" t="s">
        <v>125</v>
      </c>
      <c r="D555" t="s">
        <v>740</v>
      </c>
      <c r="E555" t="s">
        <v>125</v>
      </c>
      <c r="F555">
        <v>0</v>
      </c>
      <c r="G555" t="s">
        <v>125</v>
      </c>
      <c r="H555" t="s">
        <v>125</v>
      </c>
      <c r="I555" t="s">
        <v>125</v>
      </c>
      <c r="J555" t="s">
        <v>125</v>
      </c>
      <c r="K555" t="s">
        <v>125</v>
      </c>
      <c r="L555" t="s">
        <v>125</v>
      </c>
      <c r="M555" t="s">
        <v>1210</v>
      </c>
      <c r="N555" t="b">
        <v>0</v>
      </c>
    </row>
    <row r="556" spans="1:14">
      <c r="A556">
        <v>23</v>
      </c>
      <c r="B556">
        <v>24</v>
      </c>
      <c r="C556" t="s">
        <v>125</v>
      </c>
      <c r="D556" t="s">
        <v>740</v>
      </c>
      <c r="E556" t="s">
        <v>125</v>
      </c>
      <c r="F556">
        <v>0</v>
      </c>
      <c r="G556" t="s">
        <v>125</v>
      </c>
      <c r="H556" t="s">
        <v>125</v>
      </c>
      <c r="I556" t="s">
        <v>125</v>
      </c>
      <c r="J556" t="s">
        <v>125</v>
      </c>
      <c r="K556" t="s">
        <v>125</v>
      </c>
      <c r="L556" t="s">
        <v>125</v>
      </c>
      <c r="M556" t="s">
        <v>1211</v>
      </c>
      <c r="N556" t="b">
        <v>0</v>
      </c>
    </row>
    <row r="557" spans="1:14">
      <c r="A557">
        <v>23</v>
      </c>
      <c r="B557">
        <v>25</v>
      </c>
      <c r="C557" t="s">
        <v>125</v>
      </c>
      <c r="D557" t="s">
        <v>740</v>
      </c>
      <c r="E557" t="s">
        <v>125</v>
      </c>
      <c r="F557">
        <v>0</v>
      </c>
      <c r="G557" t="s">
        <v>125</v>
      </c>
      <c r="H557" t="s">
        <v>125</v>
      </c>
      <c r="I557" t="s">
        <v>125</v>
      </c>
      <c r="J557" t="s">
        <v>125</v>
      </c>
      <c r="K557" t="s">
        <v>125</v>
      </c>
      <c r="L557" t="s">
        <v>125</v>
      </c>
      <c r="M557" t="s">
        <v>1212</v>
      </c>
      <c r="N557" t="b">
        <v>0</v>
      </c>
    </row>
    <row r="558" spans="1:14">
      <c r="A558">
        <v>23</v>
      </c>
      <c r="B558">
        <v>26</v>
      </c>
      <c r="C558" t="s">
        <v>125</v>
      </c>
      <c r="D558" t="s">
        <v>740</v>
      </c>
      <c r="E558" t="s">
        <v>125</v>
      </c>
      <c r="F558">
        <v>0</v>
      </c>
      <c r="G558" t="s">
        <v>125</v>
      </c>
      <c r="H558" t="s">
        <v>125</v>
      </c>
      <c r="I558" t="s">
        <v>125</v>
      </c>
      <c r="J558" t="s">
        <v>125</v>
      </c>
      <c r="K558" t="s">
        <v>125</v>
      </c>
      <c r="L558" t="s">
        <v>125</v>
      </c>
      <c r="M558" t="s">
        <v>1213</v>
      </c>
      <c r="N558" t="b">
        <v>0</v>
      </c>
    </row>
    <row r="559" spans="1:14">
      <c r="A559">
        <v>24</v>
      </c>
      <c r="B559">
        <v>0</v>
      </c>
      <c r="C559" t="s">
        <v>195</v>
      </c>
      <c r="D559" t="s">
        <v>723</v>
      </c>
      <c r="E559" t="s">
        <v>59</v>
      </c>
      <c r="F559">
        <v>60</v>
      </c>
      <c r="G559" t="s">
        <v>125</v>
      </c>
      <c r="H559" t="s">
        <v>125</v>
      </c>
      <c r="I559" t="s">
        <v>59</v>
      </c>
      <c r="J559" t="s">
        <v>125</v>
      </c>
      <c r="K559" t="s">
        <v>125</v>
      </c>
      <c r="L559" t="s">
        <v>125</v>
      </c>
      <c r="M559" t="s">
        <v>1214</v>
      </c>
      <c r="N559" t="b">
        <v>0</v>
      </c>
    </row>
    <row r="560" spans="1:14">
      <c r="A560">
        <v>24</v>
      </c>
      <c r="B560">
        <v>1</v>
      </c>
      <c r="C560" t="s">
        <v>244</v>
      </c>
      <c r="D560" t="s">
        <v>723</v>
      </c>
      <c r="E560" t="s">
        <v>82</v>
      </c>
      <c r="F560">
        <v>60</v>
      </c>
      <c r="G560" t="s">
        <v>125</v>
      </c>
      <c r="H560" t="s">
        <v>125</v>
      </c>
      <c r="I560" t="s">
        <v>82</v>
      </c>
      <c r="J560" t="s">
        <v>125</v>
      </c>
      <c r="K560" t="s">
        <v>125</v>
      </c>
      <c r="L560" t="s">
        <v>125</v>
      </c>
      <c r="M560" t="s">
        <v>1215</v>
      </c>
      <c r="N560" t="b">
        <v>0</v>
      </c>
    </row>
    <row r="561" spans="1:14">
      <c r="A561">
        <v>24</v>
      </c>
      <c r="B561">
        <v>2</v>
      </c>
      <c r="C561" t="s">
        <v>196</v>
      </c>
      <c r="D561" t="s">
        <v>723</v>
      </c>
      <c r="E561" t="s">
        <v>86</v>
      </c>
      <c r="F561">
        <v>50</v>
      </c>
      <c r="G561" t="s">
        <v>125</v>
      </c>
      <c r="H561" t="s">
        <v>125</v>
      </c>
      <c r="I561" t="s">
        <v>86</v>
      </c>
      <c r="J561" t="s">
        <v>125</v>
      </c>
      <c r="K561" t="s">
        <v>125</v>
      </c>
      <c r="L561" t="s">
        <v>125</v>
      </c>
      <c r="M561" t="s">
        <v>1216</v>
      </c>
      <c r="N561" t="b">
        <v>0</v>
      </c>
    </row>
    <row r="562" spans="1:14">
      <c r="A562">
        <v>24</v>
      </c>
      <c r="B562">
        <v>3</v>
      </c>
      <c r="C562" t="s">
        <v>279</v>
      </c>
      <c r="D562" t="s">
        <v>723</v>
      </c>
      <c r="E562" t="s">
        <v>92</v>
      </c>
      <c r="F562">
        <v>30</v>
      </c>
      <c r="G562" t="s">
        <v>125</v>
      </c>
      <c r="H562" t="s">
        <v>125</v>
      </c>
      <c r="I562" t="s">
        <v>92</v>
      </c>
      <c r="J562" t="s">
        <v>125</v>
      </c>
      <c r="K562" t="s">
        <v>125</v>
      </c>
      <c r="L562" t="s">
        <v>125</v>
      </c>
      <c r="M562" t="s">
        <v>1217</v>
      </c>
      <c r="N562" t="b">
        <v>0</v>
      </c>
    </row>
    <row r="563" spans="1:14">
      <c r="A563">
        <v>24</v>
      </c>
      <c r="B563">
        <v>4</v>
      </c>
      <c r="C563" t="s">
        <v>158</v>
      </c>
      <c r="D563" t="s">
        <v>752</v>
      </c>
      <c r="E563" t="s">
        <v>296</v>
      </c>
      <c r="F563">
        <v>50</v>
      </c>
      <c r="G563" t="s">
        <v>759</v>
      </c>
      <c r="H563" t="s">
        <v>125</v>
      </c>
      <c r="I563" t="s">
        <v>125</v>
      </c>
      <c r="J563" t="s">
        <v>760</v>
      </c>
      <c r="K563" t="s">
        <v>761</v>
      </c>
      <c r="L563" t="s">
        <v>762</v>
      </c>
      <c r="M563" t="s">
        <v>1218</v>
      </c>
      <c r="N563" t="b">
        <v>0</v>
      </c>
    </row>
    <row r="564" spans="1:14">
      <c r="A564">
        <v>24</v>
      </c>
      <c r="B564">
        <v>5</v>
      </c>
      <c r="C564" t="s">
        <v>245</v>
      </c>
      <c r="D564" t="s">
        <v>723</v>
      </c>
      <c r="E564" t="s">
        <v>113</v>
      </c>
      <c r="F564">
        <v>40</v>
      </c>
      <c r="G564" t="s">
        <v>125</v>
      </c>
      <c r="H564" t="s">
        <v>125</v>
      </c>
      <c r="I564" t="s">
        <v>113</v>
      </c>
      <c r="J564" t="s">
        <v>125</v>
      </c>
      <c r="K564" t="s">
        <v>125</v>
      </c>
      <c r="L564" t="s">
        <v>125</v>
      </c>
      <c r="M564" t="s">
        <v>1219</v>
      </c>
      <c r="N564" t="b">
        <v>0</v>
      </c>
    </row>
    <row r="565" spans="1:14">
      <c r="A565">
        <v>24</v>
      </c>
      <c r="B565">
        <v>6</v>
      </c>
      <c r="C565" t="s">
        <v>181</v>
      </c>
      <c r="D565" t="s">
        <v>723</v>
      </c>
      <c r="E565" t="s">
        <v>60</v>
      </c>
      <c r="F565">
        <v>40</v>
      </c>
      <c r="G565" t="s">
        <v>125</v>
      </c>
      <c r="H565" t="s">
        <v>125</v>
      </c>
      <c r="I565" t="s">
        <v>60</v>
      </c>
      <c r="J565" t="s">
        <v>125</v>
      </c>
      <c r="K565" t="s">
        <v>125</v>
      </c>
      <c r="L565" t="s">
        <v>125</v>
      </c>
      <c r="M565" t="s">
        <v>1220</v>
      </c>
      <c r="N565" t="b">
        <v>0</v>
      </c>
    </row>
    <row r="566" spans="1:14">
      <c r="A566">
        <v>24</v>
      </c>
      <c r="B566">
        <v>7</v>
      </c>
      <c r="C566" t="s">
        <v>192</v>
      </c>
      <c r="D566" t="s">
        <v>723</v>
      </c>
      <c r="E566" t="s">
        <v>77</v>
      </c>
      <c r="F566">
        <v>50</v>
      </c>
      <c r="G566" t="s">
        <v>125</v>
      </c>
      <c r="H566" t="s">
        <v>125</v>
      </c>
      <c r="I566" t="s">
        <v>77</v>
      </c>
      <c r="J566" t="s">
        <v>125</v>
      </c>
      <c r="K566" t="s">
        <v>125</v>
      </c>
      <c r="L566" t="s">
        <v>125</v>
      </c>
      <c r="M566" t="s">
        <v>1221</v>
      </c>
      <c r="N566" t="b">
        <v>0</v>
      </c>
    </row>
    <row r="567" spans="1:14">
      <c r="A567">
        <v>24</v>
      </c>
      <c r="B567">
        <v>8</v>
      </c>
      <c r="C567" t="s">
        <v>125</v>
      </c>
      <c r="D567" t="s">
        <v>723</v>
      </c>
      <c r="E567" t="s">
        <v>125</v>
      </c>
      <c r="F567">
        <v>0</v>
      </c>
      <c r="G567" t="s">
        <v>125</v>
      </c>
      <c r="H567" t="s">
        <v>125</v>
      </c>
      <c r="I567" t="s">
        <v>125</v>
      </c>
      <c r="J567" t="s">
        <v>125</v>
      </c>
      <c r="K567" t="s">
        <v>125</v>
      </c>
      <c r="L567" t="s">
        <v>125</v>
      </c>
      <c r="M567" t="s">
        <v>1222</v>
      </c>
      <c r="N567" t="b">
        <v>0</v>
      </c>
    </row>
    <row r="568" spans="1:14">
      <c r="A568">
        <v>24</v>
      </c>
      <c r="B568">
        <v>9</v>
      </c>
      <c r="C568" t="s">
        <v>125</v>
      </c>
      <c r="D568" t="s">
        <v>723</v>
      </c>
      <c r="E568" t="s">
        <v>125</v>
      </c>
      <c r="F568">
        <v>0</v>
      </c>
      <c r="G568" t="s">
        <v>125</v>
      </c>
      <c r="H568" t="s">
        <v>125</v>
      </c>
      <c r="I568" t="s">
        <v>125</v>
      </c>
      <c r="J568" t="s">
        <v>125</v>
      </c>
      <c r="K568" t="s">
        <v>125</v>
      </c>
      <c r="L568" t="s">
        <v>125</v>
      </c>
      <c r="M568" t="s">
        <v>1223</v>
      </c>
      <c r="N568" t="b">
        <v>0</v>
      </c>
    </row>
    <row r="569" spans="1:14">
      <c r="A569">
        <v>24</v>
      </c>
      <c r="B569">
        <v>10</v>
      </c>
      <c r="C569" t="s">
        <v>125</v>
      </c>
      <c r="D569" t="s">
        <v>723</v>
      </c>
      <c r="E569" t="s">
        <v>125</v>
      </c>
      <c r="F569">
        <v>0</v>
      </c>
      <c r="G569" t="s">
        <v>125</v>
      </c>
      <c r="H569" t="s">
        <v>125</v>
      </c>
      <c r="I569" t="s">
        <v>125</v>
      </c>
      <c r="J569" t="s">
        <v>125</v>
      </c>
      <c r="K569" t="s">
        <v>125</v>
      </c>
      <c r="L569" t="s">
        <v>125</v>
      </c>
      <c r="M569" t="s">
        <v>1224</v>
      </c>
      <c r="N569" t="b">
        <v>0</v>
      </c>
    </row>
    <row r="570" spans="1:14">
      <c r="A570">
        <v>24</v>
      </c>
      <c r="B570">
        <v>11</v>
      </c>
      <c r="C570" t="s">
        <v>125</v>
      </c>
      <c r="D570" t="s">
        <v>723</v>
      </c>
      <c r="E570" t="s">
        <v>125</v>
      </c>
      <c r="F570">
        <v>0</v>
      </c>
      <c r="G570" t="s">
        <v>125</v>
      </c>
      <c r="H570" t="s">
        <v>125</v>
      </c>
      <c r="I570" t="s">
        <v>125</v>
      </c>
      <c r="J570" t="s">
        <v>125</v>
      </c>
      <c r="K570" t="s">
        <v>125</v>
      </c>
      <c r="L570" t="s">
        <v>125</v>
      </c>
      <c r="M570" t="s">
        <v>1225</v>
      </c>
      <c r="N570" t="b">
        <v>0</v>
      </c>
    </row>
    <row r="571" spans="1:14">
      <c r="A571">
        <v>24</v>
      </c>
      <c r="B571">
        <v>12</v>
      </c>
      <c r="C571" t="s">
        <v>125</v>
      </c>
      <c r="D571" t="s">
        <v>723</v>
      </c>
      <c r="E571" t="s">
        <v>125</v>
      </c>
      <c r="F571">
        <v>0</v>
      </c>
      <c r="G571" t="s">
        <v>125</v>
      </c>
      <c r="H571" t="s">
        <v>125</v>
      </c>
      <c r="I571" t="s">
        <v>125</v>
      </c>
      <c r="J571" t="s">
        <v>125</v>
      </c>
      <c r="K571" t="s">
        <v>125</v>
      </c>
      <c r="L571" t="s">
        <v>125</v>
      </c>
      <c r="M571" t="s">
        <v>1226</v>
      </c>
      <c r="N571" t="b">
        <v>0</v>
      </c>
    </row>
    <row r="572" spans="1:14">
      <c r="A572">
        <v>24</v>
      </c>
      <c r="B572">
        <v>13</v>
      </c>
      <c r="C572" t="s">
        <v>125</v>
      </c>
      <c r="D572" t="s">
        <v>723</v>
      </c>
      <c r="E572" t="s">
        <v>125</v>
      </c>
      <c r="F572">
        <v>0</v>
      </c>
      <c r="G572" t="s">
        <v>125</v>
      </c>
      <c r="H572" t="s">
        <v>125</v>
      </c>
      <c r="I572" t="s">
        <v>125</v>
      </c>
      <c r="J572" t="s">
        <v>125</v>
      </c>
      <c r="K572" t="s">
        <v>125</v>
      </c>
      <c r="L572" t="s">
        <v>125</v>
      </c>
      <c r="M572" t="s">
        <v>1227</v>
      </c>
      <c r="N572" t="b">
        <v>0</v>
      </c>
    </row>
    <row r="573" spans="1:14">
      <c r="A573">
        <v>24</v>
      </c>
      <c r="B573">
        <v>14</v>
      </c>
      <c r="C573" t="s">
        <v>125</v>
      </c>
      <c r="D573" t="s">
        <v>723</v>
      </c>
      <c r="E573" t="s">
        <v>125</v>
      </c>
      <c r="F573">
        <v>0</v>
      </c>
      <c r="G573" t="s">
        <v>125</v>
      </c>
      <c r="H573" t="s">
        <v>125</v>
      </c>
      <c r="I573" t="s">
        <v>125</v>
      </c>
      <c r="J573" t="s">
        <v>125</v>
      </c>
      <c r="K573" t="s">
        <v>125</v>
      </c>
      <c r="L573" t="s">
        <v>125</v>
      </c>
      <c r="M573" t="s">
        <v>1228</v>
      </c>
      <c r="N573" t="b">
        <v>0</v>
      </c>
    </row>
    <row r="574" spans="1:14">
      <c r="A574">
        <v>24</v>
      </c>
      <c r="B574">
        <v>15</v>
      </c>
      <c r="C574" t="s">
        <v>125</v>
      </c>
      <c r="D574" t="s">
        <v>723</v>
      </c>
      <c r="E574" t="s">
        <v>125</v>
      </c>
      <c r="F574">
        <v>0</v>
      </c>
      <c r="G574" t="s">
        <v>125</v>
      </c>
      <c r="H574" t="s">
        <v>125</v>
      </c>
      <c r="I574" t="s">
        <v>125</v>
      </c>
      <c r="J574" t="s">
        <v>125</v>
      </c>
      <c r="K574" t="s">
        <v>125</v>
      </c>
      <c r="L574" t="s">
        <v>125</v>
      </c>
      <c r="M574" t="s">
        <v>1229</v>
      </c>
      <c r="N574" t="b">
        <v>0</v>
      </c>
    </row>
    <row r="575" spans="1:14">
      <c r="A575">
        <v>24</v>
      </c>
      <c r="B575">
        <v>16</v>
      </c>
      <c r="C575" t="s">
        <v>280</v>
      </c>
      <c r="D575" t="s">
        <v>740</v>
      </c>
      <c r="E575" t="s">
        <v>66</v>
      </c>
      <c r="F575">
        <v>30</v>
      </c>
      <c r="G575" t="s">
        <v>125</v>
      </c>
      <c r="H575" t="s">
        <v>125</v>
      </c>
      <c r="I575" t="s">
        <v>66</v>
      </c>
      <c r="J575" t="s">
        <v>125</v>
      </c>
      <c r="K575" t="s">
        <v>125</v>
      </c>
      <c r="L575" t="s">
        <v>125</v>
      </c>
      <c r="M575" t="s">
        <v>1230</v>
      </c>
      <c r="N575" t="b">
        <v>0</v>
      </c>
    </row>
    <row r="576" spans="1:14">
      <c r="A576">
        <v>24</v>
      </c>
      <c r="B576">
        <v>17</v>
      </c>
      <c r="C576" t="s">
        <v>281</v>
      </c>
      <c r="D576" t="s">
        <v>740</v>
      </c>
      <c r="E576" t="s">
        <v>542</v>
      </c>
      <c r="F576">
        <v>30</v>
      </c>
      <c r="G576" t="s">
        <v>759</v>
      </c>
      <c r="H576" t="s">
        <v>125</v>
      </c>
      <c r="I576" t="s">
        <v>125</v>
      </c>
      <c r="J576" t="s">
        <v>1101</v>
      </c>
      <c r="K576" t="s">
        <v>1102</v>
      </c>
      <c r="L576" t="s">
        <v>1055</v>
      </c>
      <c r="M576" t="s">
        <v>688</v>
      </c>
      <c r="N576" t="b">
        <v>0</v>
      </c>
    </row>
    <row r="577" spans="1:14">
      <c r="A577">
        <v>24</v>
      </c>
      <c r="B577">
        <v>18</v>
      </c>
      <c r="C577" t="s">
        <v>282</v>
      </c>
      <c r="D577" t="s">
        <v>740</v>
      </c>
      <c r="E577" t="s">
        <v>543</v>
      </c>
      <c r="F577">
        <v>30</v>
      </c>
      <c r="G577" t="s">
        <v>759</v>
      </c>
      <c r="H577" t="s">
        <v>125</v>
      </c>
      <c r="I577" t="s">
        <v>125</v>
      </c>
      <c r="J577" t="s">
        <v>816</v>
      </c>
      <c r="K577" t="s">
        <v>791</v>
      </c>
      <c r="L577" t="s">
        <v>792</v>
      </c>
      <c r="M577" t="s">
        <v>1231</v>
      </c>
      <c r="N577" t="b">
        <v>0</v>
      </c>
    </row>
    <row r="578" spans="1:14">
      <c r="A578">
        <v>24</v>
      </c>
      <c r="B578">
        <v>19</v>
      </c>
      <c r="C578" t="s">
        <v>283</v>
      </c>
      <c r="D578" t="s">
        <v>740</v>
      </c>
      <c r="E578" t="s">
        <v>544</v>
      </c>
      <c r="F578">
        <v>30</v>
      </c>
      <c r="G578" t="s">
        <v>759</v>
      </c>
      <c r="H578" t="s">
        <v>125</v>
      </c>
      <c r="I578" t="s">
        <v>125</v>
      </c>
      <c r="J578" t="s">
        <v>823</v>
      </c>
      <c r="K578" t="s">
        <v>800</v>
      </c>
      <c r="L578" t="s">
        <v>801</v>
      </c>
      <c r="M578" t="s">
        <v>1232</v>
      </c>
      <c r="N578" t="b">
        <v>0</v>
      </c>
    </row>
    <row r="579" spans="1:14">
      <c r="A579">
        <v>24</v>
      </c>
      <c r="B579">
        <v>20</v>
      </c>
      <c r="C579" t="s">
        <v>125</v>
      </c>
      <c r="D579" t="s">
        <v>740</v>
      </c>
      <c r="E579" t="s">
        <v>125</v>
      </c>
      <c r="F579">
        <v>0</v>
      </c>
      <c r="G579" t="s">
        <v>125</v>
      </c>
      <c r="H579" t="s">
        <v>125</v>
      </c>
      <c r="I579" t="s">
        <v>125</v>
      </c>
      <c r="J579" t="s">
        <v>125</v>
      </c>
      <c r="K579" t="s">
        <v>125</v>
      </c>
      <c r="L579" t="s">
        <v>125</v>
      </c>
      <c r="M579" t="s">
        <v>1233</v>
      </c>
      <c r="N579" t="b">
        <v>0</v>
      </c>
    </row>
    <row r="580" spans="1:14">
      <c r="A580">
        <v>24</v>
      </c>
      <c r="B580">
        <v>21</v>
      </c>
      <c r="C580" t="s">
        <v>125</v>
      </c>
      <c r="D580" t="s">
        <v>740</v>
      </c>
      <c r="E580" t="s">
        <v>125</v>
      </c>
      <c r="F580">
        <v>0</v>
      </c>
      <c r="G580" t="s">
        <v>125</v>
      </c>
      <c r="H580" t="s">
        <v>125</v>
      </c>
      <c r="I580" t="s">
        <v>125</v>
      </c>
      <c r="J580" t="s">
        <v>125</v>
      </c>
      <c r="K580" t="s">
        <v>125</v>
      </c>
      <c r="L580" t="s">
        <v>125</v>
      </c>
      <c r="M580" t="s">
        <v>1234</v>
      </c>
      <c r="N580" t="b">
        <v>0</v>
      </c>
    </row>
    <row r="581" spans="1:14">
      <c r="A581">
        <v>24</v>
      </c>
      <c r="B581">
        <v>22</v>
      </c>
      <c r="C581" t="s">
        <v>125</v>
      </c>
      <c r="D581" t="s">
        <v>740</v>
      </c>
      <c r="E581" t="s">
        <v>125</v>
      </c>
      <c r="F581">
        <v>0</v>
      </c>
      <c r="G581" t="s">
        <v>125</v>
      </c>
      <c r="H581" t="s">
        <v>125</v>
      </c>
      <c r="I581" t="s">
        <v>125</v>
      </c>
      <c r="J581" t="s">
        <v>125</v>
      </c>
      <c r="K581" t="s">
        <v>125</v>
      </c>
      <c r="L581" t="s">
        <v>125</v>
      </c>
      <c r="M581" t="s">
        <v>1235</v>
      </c>
      <c r="N581" t="b">
        <v>0</v>
      </c>
    </row>
    <row r="582" spans="1:14">
      <c r="A582">
        <v>24</v>
      </c>
      <c r="B582">
        <v>23</v>
      </c>
      <c r="C582" t="s">
        <v>125</v>
      </c>
      <c r="D582" t="s">
        <v>740</v>
      </c>
      <c r="E582" t="s">
        <v>125</v>
      </c>
      <c r="F582">
        <v>0</v>
      </c>
      <c r="G582" t="s">
        <v>125</v>
      </c>
      <c r="H582" t="s">
        <v>125</v>
      </c>
      <c r="I582" t="s">
        <v>125</v>
      </c>
      <c r="J582" t="s">
        <v>125</v>
      </c>
      <c r="K582" t="s">
        <v>125</v>
      </c>
      <c r="L582" t="s">
        <v>125</v>
      </c>
      <c r="M582" t="s">
        <v>1236</v>
      </c>
      <c r="N582" t="b">
        <v>0</v>
      </c>
    </row>
    <row r="583" spans="1:14">
      <c r="A583">
        <v>24</v>
      </c>
      <c r="B583">
        <v>24</v>
      </c>
      <c r="C583" t="s">
        <v>125</v>
      </c>
      <c r="D583" t="s">
        <v>740</v>
      </c>
      <c r="E583" t="s">
        <v>125</v>
      </c>
      <c r="F583">
        <v>0</v>
      </c>
      <c r="G583" t="s">
        <v>125</v>
      </c>
      <c r="H583" t="s">
        <v>125</v>
      </c>
      <c r="I583" t="s">
        <v>125</v>
      </c>
      <c r="J583" t="s">
        <v>125</v>
      </c>
      <c r="K583" t="s">
        <v>125</v>
      </c>
      <c r="L583" t="s">
        <v>125</v>
      </c>
      <c r="M583" t="s">
        <v>1237</v>
      </c>
      <c r="N583" t="b">
        <v>0</v>
      </c>
    </row>
    <row r="584" spans="1:14">
      <c r="A584">
        <v>24</v>
      </c>
      <c r="B584">
        <v>25</v>
      </c>
      <c r="C584" t="s">
        <v>125</v>
      </c>
      <c r="D584" t="s">
        <v>740</v>
      </c>
      <c r="E584" t="s">
        <v>125</v>
      </c>
      <c r="F584">
        <v>0</v>
      </c>
      <c r="G584" t="s">
        <v>125</v>
      </c>
      <c r="H584" t="s">
        <v>125</v>
      </c>
      <c r="I584" t="s">
        <v>125</v>
      </c>
      <c r="J584" t="s">
        <v>125</v>
      </c>
      <c r="K584" t="s">
        <v>125</v>
      </c>
      <c r="L584" t="s">
        <v>125</v>
      </c>
      <c r="M584" t="s">
        <v>1238</v>
      </c>
      <c r="N584" t="b">
        <v>0</v>
      </c>
    </row>
    <row r="585" spans="1:14">
      <c r="A585">
        <v>24</v>
      </c>
      <c r="B585">
        <v>26</v>
      </c>
      <c r="C585" t="s">
        <v>125</v>
      </c>
      <c r="D585" t="s">
        <v>740</v>
      </c>
      <c r="E585" t="s">
        <v>125</v>
      </c>
      <c r="F585">
        <v>0</v>
      </c>
      <c r="G585" t="s">
        <v>125</v>
      </c>
      <c r="H585" t="s">
        <v>125</v>
      </c>
      <c r="I585" t="s">
        <v>125</v>
      </c>
      <c r="J585" t="s">
        <v>125</v>
      </c>
      <c r="K585" t="s">
        <v>125</v>
      </c>
      <c r="L585" t="s">
        <v>125</v>
      </c>
      <c r="M585" t="s">
        <v>1239</v>
      </c>
      <c r="N585" t="b">
        <v>0</v>
      </c>
    </row>
    <row r="586" spans="1:14">
      <c r="A586">
        <v>25</v>
      </c>
      <c r="B586">
        <v>0</v>
      </c>
      <c r="C586" t="s">
        <v>185</v>
      </c>
      <c r="D586" t="s">
        <v>723</v>
      </c>
      <c r="E586" t="s">
        <v>64</v>
      </c>
      <c r="F586">
        <v>50</v>
      </c>
      <c r="G586" t="s">
        <v>125</v>
      </c>
      <c r="H586" t="s">
        <v>125</v>
      </c>
      <c r="I586" t="s">
        <v>64</v>
      </c>
      <c r="J586" t="s">
        <v>125</v>
      </c>
      <c r="K586" t="s">
        <v>125</v>
      </c>
      <c r="L586" t="s">
        <v>125</v>
      </c>
      <c r="M586" t="s">
        <v>1240</v>
      </c>
      <c r="N586" t="b">
        <v>0</v>
      </c>
    </row>
    <row r="587" spans="1:14">
      <c r="A587">
        <v>25</v>
      </c>
      <c r="B587">
        <v>1</v>
      </c>
      <c r="C587" t="s">
        <v>225</v>
      </c>
      <c r="D587" t="s">
        <v>723</v>
      </c>
      <c r="E587" t="s">
        <v>76</v>
      </c>
      <c r="F587">
        <v>50</v>
      </c>
      <c r="G587" t="s">
        <v>125</v>
      </c>
      <c r="H587" t="s">
        <v>125</v>
      </c>
      <c r="I587" t="s">
        <v>76</v>
      </c>
      <c r="J587" t="s">
        <v>125</v>
      </c>
      <c r="K587" t="s">
        <v>125</v>
      </c>
      <c r="L587" t="s">
        <v>125</v>
      </c>
      <c r="M587" t="s">
        <v>1241</v>
      </c>
      <c r="N587" t="b">
        <v>0</v>
      </c>
    </row>
    <row r="588" spans="1:14">
      <c r="A588">
        <v>25</v>
      </c>
      <c r="B588">
        <v>2</v>
      </c>
      <c r="C588" t="s">
        <v>267</v>
      </c>
      <c r="D588" t="s">
        <v>723</v>
      </c>
      <c r="E588" t="s">
        <v>82</v>
      </c>
      <c r="F588">
        <v>30</v>
      </c>
      <c r="G588" t="s">
        <v>125</v>
      </c>
      <c r="H588" t="s">
        <v>125</v>
      </c>
      <c r="I588" t="s">
        <v>82</v>
      </c>
      <c r="J588" t="s">
        <v>125</v>
      </c>
      <c r="K588" t="s">
        <v>125</v>
      </c>
      <c r="L588" t="s">
        <v>125</v>
      </c>
      <c r="M588" t="s">
        <v>1242</v>
      </c>
      <c r="N588" t="b">
        <v>0</v>
      </c>
    </row>
    <row r="589" spans="1:14">
      <c r="A589">
        <v>25</v>
      </c>
      <c r="B589">
        <v>3</v>
      </c>
      <c r="C589" t="s">
        <v>250</v>
      </c>
      <c r="D589" t="s">
        <v>723</v>
      </c>
      <c r="E589" t="s">
        <v>98</v>
      </c>
      <c r="F589">
        <v>40</v>
      </c>
      <c r="G589" t="s">
        <v>125</v>
      </c>
      <c r="H589" t="s">
        <v>125</v>
      </c>
      <c r="I589" t="s">
        <v>98</v>
      </c>
      <c r="J589" t="s">
        <v>125</v>
      </c>
      <c r="K589" t="s">
        <v>125</v>
      </c>
      <c r="L589" t="s">
        <v>125</v>
      </c>
      <c r="M589" t="s">
        <v>1243</v>
      </c>
      <c r="N589" t="b">
        <v>0</v>
      </c>
    </row>
    <row r="590" spans="1:14">
      <c r="A590">
        <v>25</v>
      </c>
      <c r="B590">
        <v>4</v>
      </c>
      <c r="C590" t="s">
        <v>228</v>
      </c>
      <c r="D590" t="s">
        <v>723</v>
      </c>
      <c r="E590" t="s">
        <v>100</v>
      </c>
      <c r="F590">
        <v>40</v>
      </c>
      <c r="G590" t="s">
        <v>125</v>
      </c>
      <c r="H590" t="s">
        <v>125</v>
      </c>
      <c r="I590" t="s">
        <v>100</v>
      </c>
      <c r="J590" t="s">
        <v>125</v>
      </c>
      <c r="K590" t="s">
        <v>125</v>
      </c>
      <c r="L590" t="s">
        <v>125</v>
      </c>
      <c r="M590" t="s">
        <v>1244</v>
      </c>
      <c r="N590" t="b">
        <v>0</v>
      </c>
    </row>
    <row r="591" spans="1:14">
      <c r="A591">
        <v>25</v>
      </c>
      <c r="B591">
        <v>5</v>
      </c>
      <c r="C591" t="s">
        <v>286</v>
      </c>
      <c r="D591" t="s">
        <v>723</v>
      </c>
      <c r="E591" t="s">
        <v>102</v>
      </c>
      <c r="F591">
        <v>40</v>
      </c>
      <c r="G591" t="s">
        <v>125</v>
      </c>
      <c r="H591" t="s">
        <v>125</v>
      </c>
      <c r="I591" t="s">
        <v>102</v>
      </c>
      <c r="J591" t="s">
        <v>125</v>
      </c>
      <c r="K591" t="s">
        <v>125</v>
      </c>
      <c r="L591" t="s">
        <v>125</v>
      </c>
      <c r="M591" t="s">
        <v>1245</v>
      </c>
      <c r="N591" t="b">
        <v>0</v>
      </c>
    </row>
    <row r="592" spans="1:14">
      <c r="A592">
        <v>25</v>
      </c>
      <c r="B592">
        <v>6</v>
      </c>
      <c r="C592" t="s">
        <v>287</v>
      </c>
      <c r="D592" t="s">
        <v>723</v>
      </c>
      <c r="E592" t="s">
        <v>330</v>
      </c>
      <c r="F592">
        <v>40</v>
      </c>
      <c r="G592" t="s">
        <v>125</v>
      </c>
      <c r="H592" t="s">
        <v>547</v>
      </c>
      <c r="I592" t="s">
        <v>444</v>
      </c>
      <c r="J592" t="s">
        <v>125</v>
      </c>
      <c r="K592" t="s">
        <v>920</v>
      </c>
      <c r="L592" t="s">
        <v>921</v>
      </c>
      <c r="M592" t="s">
        <v>792</v>
      </c>
      <c r="N592" t="b">
        <v>0</v>
      </c>
    </row>
    <row r="593" spans="1:14">
      <c r="A593">
        <v>25</v>
      </c>
      <c r="B593">
        <v>7</v>
      </c>
      <c r="C593" t="s">
        <v>275</v>
      </c>
      <c r="D593" t="s">
        <v>723</v>
      </c>
      <c r="E593" t="s">
        <v>73</v>
      </c>
      <c r="F593">
        <v>40</v>
      </c>
      <c r="G593" t="s">
        <v>125</v>
      </c>
      <c r="H593" t="s">
        <v>125</v>
      </c>
      <c r="I593" t="s">
        <v>73</v>
      </c>
      <c r="J593" t="s">
        <v>125</v>
      </c>
      <c r="K593" t="s">
        <v>125</v>
      </c>
      <c r="L593" t="s">
        <v>125</v>
      </c>
      <c r="M593" t="s">
        <v>1246</v>
      </c>
      <c r="N593" t="b">
        <v>0</v>
      </c>
    </row>
    <row r="594" spans="1:14">
      <c r="A594">
        <v>25</v>
      </c>
      <c r="B594">
        <v>8</v>
      </c>
      <c r="C594" t="s">
        <v>288</v>
      </c>
      <c r="D594" t="s">
        <v>723</v>
      </c>
      <c r="E594" t="s">
        <v>77</v>
      </c>
      <c r="F594">
        <v>30</v>
      </c>
      <c r="G594" t="s">
        <v>125</v>
      </c>
      <c r="H594" t="s">
        <v>125</v>
      </c>
      <c r="I594" t="s">
        <v>77</v>
      </c>
      <c r="J594" t="s">
        <v>125</v>
      </c>
      <c r="K594" t="s">
        <v>125</v>
      </c>
      <c r="L594" t="s">
        <v>125</v>
      </c>
      <c r="M594" t="s">
        <v>1247</v>
      </c>
      <c r="N594" t="b">
        <v>0</v>
      </c>
    </row>
    <row r="595" spans="1:14">
      <c r="A595">
        <v>25</v>
      </c>
      <c r="B595">
        <v>9</v>
      </c>
      <c r="C595" t="s">
        <v>231</v>
      </c>
      <c r="D595" t="s">
        <v>723</v>
      </c>
      <c r="E595" t="s">
        <v>107</v>
      </c>
      <c r="F595">
        <v>50</v>
      </c>
      <c r="G595" t="s">
        <v>125</v>
      </c>
      <c r="H595" t="s">
        <v>125</v>
      </c>
      <c r="I595" t="s">
        <v>107</v>
      </c>
      <c r="J595" t="s">
        <v>125</v>
      </c>
      <c r="K595" t="s">
        <v>125</v>
      </c>
      <c r="L595" t="s">
        <v>125</v>
      </c>
      <c r="M595" t="s">
        <v>1248</v>
      </c>
      <c r="N595" t="b">
        <v>0</v>
      </c>
    </row>
    <row r="596" spans="1:14">
      <c r="A596">
        <v>25</v>
      </c>
      <c r="B596">
        <v>10</v>
      </c>
      <c r="C596" t="s">
        <v>125</v>
      </c>
      <c r="D596" t="s">
        <v>723</v>
      </c>
      <c r="E596" t="s">
        <v>125</v>
      </c>
      <c r="F596">
        <v>0</v>
      </c>
      <c r="G596" t="s">
        <v>125</v>
      </c>
      <c r="H596" t="s">
        <v>125</v>
      </c>
      <c r="I596" t="s">
        <v>125</v>
      </c>
      <c r="J596" t="s">
        <v>125</v>
      </c>
      <c r="K596" t="s">
        <v>125</v>
      </c>
      <c r="L596" t="s">
        <v>125</v>
      </c>
      <c r="M596" t="s">
        <v>1249</v>
      </c>
      <c r="N596" t="b">
        <v>0</v>
      </c>
    </row>
    <row r="597" spans="1:14">
      <c r="A597">
        <v>25</v>
      </c>
      <c r="B597">
        <v>11</v>
      </c>
      <c r="C597" t="s">
        <v>125</v>
      </c>
      <c r="D597" t="s">
        <v>723</v>
      </c>
      <c r="E597" t="s">
        <v>125</v>
      </c>
      <c r="F597">
        <v>0</v>
      </c>
      <c r="G597" t="s">
        <v>125</v>
      </c>
      <c r="H597" t="s">
        <v>125</v>
      </c>
      <c r="I597" t="s">
        <v>125</v>
      </c>
      <c r="J597" t="s">
        <v>125</v>
      </c>
      <c r="K597" t="s">
        <v>125</v>
      </c>
      <c r="L597" t="s">
        <v>125</v>
      </c>
      <c r="M597" t="s">
        <v>1250</v>
      </c>
      <c r="N597" t="b">
        <v>0</v>
      </c>
    </row>
    <row r="598" spans="1:14">
      <c r="A598">
        <v>25</v>
      </c>
      <c r="B598">
        <v>12</v>
      </c>
      <c r="C598" t="s">
        <v>125</v>
      </c>
      <c r="D598" t="s">
        <v>723</v>
      </c>
      <c r="E598" t="s">
        <v>125</v>
      </c>
      <c r="F598">
        <v>0</v>
      </c>
      <c r="G598" t="s">
        <v>125</v>
      </c>
      <c r="H598" t="s">
        <v>125</v>
      </c>
      <c r="I598" t="s">
        <v>125</v>
      </c>
      <c r="J598" t="s">
        <v>125</v>
      </c>
      <c r="K598" t="s">
        <v>125</v>
      </c>
      <c r="L598" t="s">
        <v>125</v>
      </c>
      <c r="M598" t="s">
        <v>1251</v>
      </c>
      <c r="N598" t="b">
        <v>0</v>
      </c>
    </row>
    <row r="599" spans="1:14">
      <c r="A599">
        <v>25</v>
      </c>
      <c r="B599">
        <v>13</v>
      </c>
      <c r="C599" t="s">
        <v>125</v>
      </c>
      <c r="D599" t="s">
        <v>723</v>
      </c>
      <c r="E599" t="s">
        <v>125</v>
      </c>
      <c r="F599">
        <v>0</v>
      </c>
      <c r="G599" t="s">
        <v>125</v>
      </c>
      <c r="H599" t="s">
        <v>125</v>
      </c>
      <c r="I599" t="s">
        <v>125</v>
      </c>
      <c r="J599" t="s">
        <v>125</v>
      </c>
      <c r="K599" t="s">
        <v>125</v>
      </c>
      <c r="L599" t="s">
        <v>125</v>
      </c>
      <c r="M599" t="s">
        <v>1252</v>
      </c>
      <c r="N599" t="b">
        <v>0</v>
      </c>
    </row>
    <row r="600" spans="1:14">
      <c r="A600">
        <v>25</v>
      </c>
      <c r="B600">
        <v>14</v>
      </c>
      <c r="C600" t="s">
        <v>125</v>
      </c>
      <c r="D600" t="s">
        <v>723</v>
      </c>
      <c r="E600" t="s">
        <v>125</v>
      </c>
      <c r="F600">
        <v>0</v>
      </c>
      <c r="G600" t="s">
        <v>125</v>
      </c>
      <c r="H600" t="s">
        <v>125</v>
      </c>
      <c r="I600" t="s">
        <v>125</v>
      </c>
      <c r="J600" t="s">
        <v>125</v>
      </c>
      <c r="K600" t="s">
        <v>125</v>
      </c>
      <c r="L600" t="s">
        <v>125</v>
      </c>
      <c r="M600" t="s">
        <v>1253</v>
      </c>
      <c r="N600" t="b">
        <v>0</v>
      </c>
    </row>
    <row r="601" spans="1:14">
      <c r="A601">
        <v>25</v>
      </c>
      <c r="B601">
        <v>15</v>
      </c>
      <c r="C601" t="s">
        <v>125</v>
      </c>
      <c r="D601" t="s">
        <v>723</v>
      </c>
      <c r="E601" t="s">
        <v>125</v>
      </c>
      <c r="F601">
        <v>0</v>
      </c>
      <c r="G601" t="s">
        <v>125</v>
      </c>
      <c r="H601" t="s">
        <v>125</v>
      </c>
      <c r="I601" t="s">
        <v>125</v>
      </c>
      <c r="J601" t="s">
        <v>125</v>
      </c>
      <c r="K601" t="s">
        <v>125</v>
      </c>
      <c r="L601" t="s">
        <v>125</v>
      </c>
      <c r="M601" t="s">
        <v>1254</v>
      </c>
      <c r="N601" t="b">
        <v>0</v>
      </c>
    </row>
    <row r="602" spans="1:14">
      <c r="A602">
        <v>25</v>
      </c>
      <c r="B602">
        <v>16</v>
      </c>
      <c r="C602" t="s">
        <v>289</v>
      </c>
      <c r="D602" t="s">
        <v>740</v>
      </c>
      <c r="E602" t="s">
        <v>74</v>
      </c>
      <c r="F602">
        <v>40</v>
      </c>
      <c r="G602" t="s">
        <v>125</v>
      </c>
      <c r="H602" t="s">
        <v>125</v>
      </c>
      <c r="I602" t="s">
        <v>74</v>
      </c>
      <c r="J602" t="s">
        <v>125</v>
      </c>
      <c r="K602" t="s">
        <v>125</v>
      </c>
      <c r="L602" t="s">
        <v>125</v>
      </c>
      <c r="M602" t="s">
        <v>1255</v>
      </c>
      <c r="N602" t="b">
        <v>0</v>
      </c>
    </row>
    <row r="603" spans="1:14">
      <c r="A603">
        <v>25</v>
      </c>
      <c r="B603">
        <v>17</v>
      </c>
      <c r="C603" t="s">
        <v>209</v>
      </c>
      <c r="D603" t="s">
        <v>740</v>
      </c>
      <c r="E603" t="s">
        <v>86</v>
      </c>
      <c r="F603">
        <v>40</v>
      </c>
      <c r="G603" t="s">
        <v>125</v>
      </c>
      <c r="H603" t="s">
        <v>125</v>
      </c>
      <c r="I603" t="s">
        <v>86</v>
      </c>
      <c r="J603" t="s">
        <v>125</v>
      </c>
      <c r="K603" t="s">
        <v>125</v>
      </c>
      <c r="L603" t="s">
        <v>125</v>
      </c>
      <c r="M603" t="s">
        <v>690</v>
      </c>
      <c r="N603" t="b">
        <v>0</v>
      </c>
    </row>
    <row r="604" spans="1:14">
      <c r="A604">
        <v>25</v>
      </c>
      <c r="B604">
        <v>18</v>
      </c>
      <c r="C604" t="s">
        <v>179</v>
      </c>
      <c r="D604" t="s">
        <v>740</v>
      </c>
      <c r="E604" t="s">
        <v>543</v>
      </c>
      <c r="F604">
        <v>40</v>
      </c>
      <c r="G604" t="s">
        <v>759</v>
      </c>
      <c r="H604" t="s">
        <v>125</v>
      </c>
      <c r="I604" t="s">
        <v>125</v>
      </c>
      <c r="J604" t="s">
        <v>816</v>
      </c>
      <c r="K604" t="s">
        <v>791</v>
      </c>
      <c r="L604" t="s">
        <v>792</v>
      </c>
      <c r="M604" t="s">
        <v>1256</v>
      </c>
      <c r="N604" t="b">
        <v>0</v>
      </c>
    </row>
    <row r="605" spans="1:14">
      <c r="A605">
        <v>25</v>
      </c>
      <c r="B605">
        <v>19</v>
      </c>
      <c r="C605" t="s">
        <v>217</v>
      </c>
      <c r="D605" t="s">
        <v>740</v>
      </c>
      <c r="E605" t="s">
        <v>94</v>
      </c>
      <c r="F605">
        <v>40</v>
      </c>
      <c r="G605" t="s">
        <v>125</v>
      </c>
      <c r="H605" t="s">
        <v>125</v>
      </c>
      <c r="I605" t="s">
        <v>94</v>
      </c>
      <c r="J605" t="s">
        <v>125</v>
      </c>
      <c r="K605" t="s">
        <v>125</v>
      </c>
      <c r="L605" t="s">
        <v>125</v>
      </c>
      <c r="M605" t="s">
        <v>1257</v>
      </c>
      <c r="N605" t="b">
        <v>0</v>
      </c>
    </row>
    <row r="606" spans="1:14">
      <c r="A606">
        <v>25</v>
      </c>
      <c r="B606">
        <v>20</v>
      </c>
      <c r="C606" t="s">
        <v>159</v>
      </c>
      <c r="D606" t="s">
        <v>740</v>
      </c>
      <c r="E606" t="s">
        <v>296</v>
      </c>
      <c r="F606">
        <v>40</v>
      </c>
      <c r="G606" t="s">
        <v>759</v>
      </c>
      <c r="H606" t="s">
        <v>125</v>
      </c>
      <c r="I606" t="s">
        <v>125</v>
      </c>
      <c r="J606" t="s">
        <v>760</v>
      </c>
      <c r="K606" t="s">
        <v>761</v>
      </c>
      <c r="L606" t="s">
        <v>762</v>
      </c>
      <c r="M606" t="s">
        <v>1258</v>
      </c>
      <c r="N606" t="b">
        <v>0</v>
      </c>
    </row>
    <row r="607" spans="1:14">
      <c r="A607">
        <v>25</v>
      </c>
      <c r="B607">
        <v>21</v>
      </c>
      <c r="C607" t="s">
        <v>180</v>
      </c>
      <c r="D607" t="s">
        <v>740</v>
      </c>
      <c r="E607" t="s">
        <v>111</v>
      </c>
      <c r="F607">
        <v>50</v>
      </c>
      <c r="G607" t="s">
        <v>125</v>
      </c>
      <c r="H607" t="s">
        <v>125</v>
      </c>
      <c r="I607" t="s">
        <v>111</v>
      </c>
      <c r="J607" t="s">
        <v>125</v>
      </c>
      <c r="K607" t="s">
        <v>125</v>
      </c>
      <c r="L607" t="s">
        <v>125</v>
      </c>
      <c r="M607" t="s">
        <v>1259</v>
      </c>
      <c r="N607" t="b">
        <v>0</v>
      </c>
    </row>
    <row r="608" spans="1:14">
      <c r="A608">
        <v>25</v>
      </c>
      <c r="B608">
        <v>22</v>
      </c>
      <c r="C608" t="s">
        <v>290</v>
      </c>
      <c r="D608" t="s">
        <v>740</v>
      </c>
      <c r="E608" t="s">
        <v>112</v>
      </c>
      <c r="F608">
        <v>40</v>
      </c>
      <c r="G608" t="s">
        <v>125</v>
      </c>
      <c r="H608" t="s">
        <v>125</v>
      </c>
      <c r="I608" t="s">
        <v>112</v>
      </c>
      <c r="J608" t="s">
        <v>125</v>
      </c>
      <c r="K608" t="s">
        <v>125</v>
      </c>
      <c r="L608" t="s">
        <v>125</v>
      </c>
      <c r="M608" t="s">
        <v>1260</v>
      </c>
      <c r="N608" t="b">
        <v>0</v>
      </c>
    </row>
    <row r="609" spans="1:14">
      <c r="A609">
        <v>25</v>
      </c>
      <c r="B609">
        <v>23</v>
      </c>
      <c r="C609" t="s">
        <v>168</v>
      </c>
      <c r="D609" t="s">
        <v>740</v>
      </c>
      <c r="E609" t="s">
        <v>97</v>
      </c>
      <c r="F609">
        <v>60</v>
      </c>
      <c r="G609" t="s">
        <v>125</v>
      </c>
      <c r="H609" t="s">
        <v>125</v>
      </c>
      <c r="I609" t="s">
        <v>97</v>
      </c>
      <c r="J609" t="s">
        <v>125</v>
      </c>
      <c r="K609" t="s">
        <v>125</v>
      </c>
      <c r="L609" t="s">
        <v>125</v>
      </c>
      <c r="M609" t="s">
        <v>1261</v>
      </c>
      <c r="N609" t="b">
        <v>0</v>
      </c>
    </row>
    <row r="610" spans="1:14">
      <c r="A610">
        <v>25</v>
      </c>
      <c r="B610">
        <v>24</v>
      </c>
      <c r="C610" t="s">
        <v>176</v>
      </c>
      <c r="D610" t="s">
        <v>740</v>
      </c>
      <c r="E610" t="s">
        <v>99</v>
      </c>
      <c r="F610">
        <v>40</v>
      </c>
      <c r="G610" t="s">
        <v>125</v>
      </c>
      <c r="H610" t="s">
        <v>125</v>
      </c>
      <c r="I610" t="s">
        <v>99</v>
      </c>
      <c r="J610" t="s">
        <v>125</v>
      </c>
      <c r="K610" t="s">
        <v>125</v>
      </c>
      <c r="L610" t="s">
        <v>125</v>
      </c>
      <c r="M610" t="s">
        <v>1262</v>
      </c>
      <c r="N610" t="b">
        <v>0</v>
      </c>
    </row>
    <row r="611" spans="1:14">
      <c r="A611">
        <v>25</v>
      </c>
      <c r="B611">
        <v>25</v>
      </c>
      <c r="C611" t="s">
        <v>291</v>
      </c>
      <c r="D611" t="s">
        <v>740</v>
      </c>
      <c r="E611" t="s">
        <v>106</v>
      </c>
      <c r="F611">
        <v>60</v>
      </c>
      <c r="G611" t="s">
        <v>125</v>
      </c>
      <c r="H611" t="s">
        <v>125</v>
      </c>
      <c r="I611" t="s">
        <v>106</v>
      </c>
      <c r="J611" t="s">
        <v>125</v>
      </c>
      <c r="K611" t="s">
        <v>125</v>
      </c>
      <c r="L611" t="s">
        <v>125</v>
      </c>
      <c r="M611" t="s">
        <v>1263</v>
      </c>
      <c r="N611" t="b">
        <v>0</v>
      </c>
    </row>
    <row r="612" spans="1:14">
      <c r="A612">
        <v>25</v>
      </c>
      <c r="B612">
        <v>26</v>
      </c>
      <c r="C612" t="s">
        <v>125</v>
      </c>
      <c r="D612" t="s">
        <v>740</v>
      </c>
      <c r="E612" t="s">
        <v>125</v>
      </c>
      <c r="F612">
        <v>0</v>
      </c>
      <c r="G612" t="s">
        <v>125</v>
      </c>
      <c r="H612" t="s">
        <v>125</v>
      </c>
      <c r="I612" t="s">
        <v>125</v>
      </c>
      <c r="J612" t="s">
        <v>125</v>
      </c>
      <c r="K612" t="s">
        <v>125</v>
      </c>
      <c r="L612" t="s">
        <v>125</v>
      </c>
      <c r="M612" t="s">
        <v>1264</v>
      </c>
      <c r="N612" t="b">
        <v>0</v>
      </c>
    </row>
    <row r="613" spans="1:14">
      <c r="A613">
        <v>30</v>
      </c>
      <c r="B613">
        <v>0</v>
      </c>
      <c r="C613" t="s">
        <v>215</v>
      </c>
      <c r="D613" t="s">
        <v>723</v>
      </c>
      <c r="E613" t="s">
        <v>64</v>
      </c>
      <c r="F613">
        <v>60</v>
      </c>
      <c r="G613" t="s">
        <v>125</v>
      </c>
      <c r="H613" t="s">
        <v>125</v>
      </c>
      <c r="I613" t="s">
        <v>64</v>
      </c>
      <c r="J613" t="s">
        <v>125</v>
      </c>
      <c r="K613" t="s">
        <v>125</v>
      </c>
      <c r="L613" t="s">
        <v>125</v>
      </c>
      <c r="M613" t="s">
        <v>1265</v>
      </c>
      <c r="N613" t="b">
        <v>0</v>
      </c>
    </row>
    <row r="614" spans="1:14">
      <c r="A614">
        <v>30</v>
      </c>
      <c r="B614">
        <v>1</v>
      </c>
      <c r="C614" t="s">
        <v>216</v>
      </c>
      <c r="D614" t="s">
        <v>723</v>
      </c>
      <c r="E614" t="s">
        <v>76</v>
      </c>
      <c r="F614">
        <v>60</v>
      </c>
      <c r="G614" t="s">
        <v>125</v>
      </c>
      <c r="H614" t="s">
        <v>125</v>
      </c>
      <c r="I614" t="s">
        <v>76</v>
      </c>
      <c r="J614" t="s">
        <v>125</v>
      </c>
      <c r="K614" t="s">
        <v>125</v>
      </c>
      <c r="L614" t="s">
        <v>125</v>
      </c>
      <c r="M614" t="s">
        <v>1266</v>
      </c>
      <c r="N614" t="b">
        <v>0</v>
      </c>
    </row>
    <row r="615" spans="1:14">
      <c r="A615">
        <v>30</v>
      </c>
      <c r="B615">
        <v>2</v>
      </c>
      <c r="C615" t="s">
        <v>217</v>
      </c>
      <c r="D615" t="s">
        <v>723</v>
      </c>
      <c r="E615" t="s">
        <v>94</v>
      </c>
      <c r="F615">
        <v>40</v>
      </c>
      <c r="G615" t="s">
        <v>125</v>
      </c>
      <c r="H615" t="s">
        <v>125</v>
      </c>
      <c r="I615" t="s">
        <v>94</v>
      </c>
      <c r="J615" t="s">
        <v>125</v>
      </c>
      <c r="K615" t="s">
        <v>125</v>
      </c>
      <c r="L615" t="s">
        <v>125</v>
      </c>
      <c r="M615" t="s">
        <v>1267</v>
      </c>
      <c r="N615" t="b">
        <v>0</v>
      </c>
    </row>
    <row r="616" spans="1:14">
      <c r="A616">
        <v>30</v>
      </c>
      <c r="B616">
        <v>3</v>
      </c>
      <c r="C616" t="s">
        <v>304</v>
      </c>
      <c r="D616" t="s">
        <v>723</v>
      </c>
      <c r="E616" t="s">
        <v>96</v>
      </c>
      <c r="F616">
        <v>50</v>
      </c>
      <c r="G616" t="s">
        <v>125</v>
      </c>
      <c r="H616" t="s">
        <v>125</v>
      </c>
      <c r="I616" t="s">
        <v>96</v>
      </c>
      <c r="J616" t="s">
        <v>125</v>
      </c>
      <c r="K616" t="s">
        <v>125</v>
      </c>
      <c r="L616" t="s">
        <v>125</v>
      </c>
      <c r="M616" t="s">
        <v>1268</v>
      </c>
      <c r="N616" t="b">
        <v>0</v>
      </c>
    </row>
    <row r="617" spans="1:14">
      <c r="A617">
        <v>30</v>
      </c>
      <c r="B617">
        <v>4</v>
      </c>
      <c r="C617" t="s">
        <v>218</v>
      </c>
      <c r="D617" t="s">
        <v>723</v>
      </c>
      <c r="E617" t="s">
        <v>100</v>
      </c>
      <c r="F617">
        <v>60</v>
      </c>
      <c r="G617" t="s">
        <v>125</v>
      </c>
      <c r="H617" t="s">
        <v>125</v>
      </c>
      <c r="I617" t="s">
        <v>100</v>
      </c>
      <c r="J617" t="s">
        <v>125</v>
      </c>
      <c r="K617" t="s">
        <v>125</v>
      </c>
      <c r="L617" t="s">
        <v>125</v>
      </c>
      <c r="M617" t="s">
        <v>1269</v>
      </c>
      <c r="N617" t="b">
        <v>0</v>
      </c>
    </row>
    <row r="618" spans="1:14">
      <c r="A618">
        <v>30</v>
      </c>
      <c r="B618">
        <v>5</v>
      </c>
      <c r="C618" t="s">
        <v>189</v>
      </c>
      <c r="D618" t="s">
        <v>723</v>
      </c>
      <c r="E618" t="s">
        <v>108</v>
      </c>
      <c r="F618">
        <v>30</v>
      </c>
      <c r="G618" t="s">
        <v>125</v>
      </c>
      <c r="H618" t="s">
        <v>125</v>
      </c>
      <c r="I618" t="s">
        <v>108</v>
      </c>
      <c r="J618" t="s">
        <v>125</v>
      </c>
      <c r="K618" t="s">
        <v>125</v>
      </c>
      <c r="L618" t="s">
        <v>125</v>
      </c>
      <c r="M618" t="s">
        <v>1270</v>
      </c>
      <c r="N618" t="b">
        <v>0</v>
      </c>
    </row>
    <row r="619" spans="1:14">
      <c r="A619">
        <v>30</v>
      </c>
      <c r="B619">
        <v>6</v>
      </c>
      <c r="C619" t="s">
        <v>197</v>
      </c>
      <c r="D619" t="s">
        <v>723</v>
      </c>
      <c r="E619" t="s">
        <v>112</v>
      </c>
      <c r="F619">
        <v>50</v>
      </c>
      <c r="G619" t="s">
        <v>125</v>
      </c>
      <c r="H619" t="s">
        <v>125</v>
      </c>
      <c r="I619" t="s">
        <v>112</v>
      </c>
      <c r="J619" t="s">
        <v>125</v>
      </c>
      <c r="K619" t="s">
        <v>125</v>
      </c>
      <c r="L619" t="s">
        <v>125</v>
      </c>
      <c r="M619" t="s">
        <v>1271</v>
      </c>
      <c r="N619" t="b">
        <v>0</v>
      </c>
    </row>
    <row r="620" spans="1:14">
      <c r="A620">
        <v>30</v>
      </c>
      <c r="B620">
        <v>7</v>
      </c>
      <c r="C620" t="s">
        <v>219</v>
      </c>
      <c r="D620" t="s">
        <v>723</v>
      </c>
      <c r="E620" t="s">
        <v>67</v>
      </c>
      <c r="F620">
        <v>50</v>
      </c>
      <c r="G620" t="s">
        <v>125</v>
      </c>
      <c r="H620" t="s">
        <v>125</v>
      </c>
      <c r="I620" t="s">
        <v>67</v>
      </c>
      <c r="J620" t="s">
        <v>125</v>
      </c>
      <c r="K620" t="s">
        <v>125</v>
      </c>
      <c r="L620" t="s">
        <v>125</v>
      </c>
      <c r="M620" t="s">
        <v>1272</v>
      </c>
      <c r="N620" t="b">
        <v>0</v>
      </c>
    </row>
    <row r="621" spans="1:14">
      <c r="A621">
        <v>30</v>
      </c>
      <c r="B621">
        <v>8</v>
      </c>
      <c r="C621" t="s">
        <v>220</v>
      </c>
      <c r="D621" t="s">
        <v>723</v>
      </c>
      <c r="E621" t="s">
        <v>330</v>
      </c>
      <c r="F621">
        <v>60</v>
      </c>
      <c r="G621" t="s">
        <v>125</v>
      </c>
      <c r="H621" t="s">
        <v>547</v>
      </c>
      <c r="I621" t="s">
        <v>444</v>
      </c>
      <c r="J621" t="s">
        <v>125</v>
      </c>
      <c r="K621" t="s">
        <v>920</v>
      </c>
      <c r="L621" t="s">
        <v>921</v>
      </c>
      <c r="M621" t="s">
        <v>1273</v>
      </c>
      <c r="N621" t="b">
        <v>0</v>
      </c>
    </row>
    <row r="622" spans="1:14">
      <c r="A622">
        <v>30</v>
      </c>
      <c r="B622">
        <v>9</v>
      </c>
      <c r="C622" t="s">
        <v>166</v>
      </c>
      <c r="D622" t="s">
        <v>723</v>
      </c>
      <c r="E622" t="s">
        <v>73</v>
      </c>
      <c r="F622">
        <v>50</v>
      </c>
      <c r="G622" t="s">
        <v>125</v>
      </c>
      <c r="H622" t="s">
        <v>125</v>
      </c>
      <c r="I622" t="s">
        <v>73</v>
      </c>
      <c r="J622" t="s">
        <v>125</v>
      </c>
      <c r="K622" t="s">
        <v>125</v>
      </c>
      <c r="L622" t="s">
        <v>125</v>
      </c>
      <c r="M622" t="s">
        <v>1274</v>
      </c>
      <c r="N622" t="b">
        <v>0</v>
      </c>
    </row>
    <row r="623" spans="1:14">
      <c r="A623">
        <v>30</v>
      </c>
      <c r="B623">
        <v>10</v>
      </c>
      <c r="C623" t="s">
        <v>221</v>
      </c>
      <c r="D623" t="s">
        <v>723</v>
      </c>
      <c r="E623" t="s">
        <v>101</v>
      </c>
      <c r="F623">
        <v>50</v>
      </c>
      <c r="G623" t="s">
        <v>125</v>
      </c>
      <c r="H623" t="s">
        <v>125</v>
      </c>
      <c r="I623" t="s">
        <v>101</v>
      </c>
      <c r="J623" t="s">
        <v>125</v>
      </c>
      <c r="K623" t="s">
        <v>125</v>
      </c>
      <c r="L623" t="s">
        <v>125</v>
      </c>
      <c r="M623" t="s">
        <v>1275</v>
      </c>
      <c r="N623" t="b">
        <v>0</v>
      </c>
    </row>
    <row r="624" spans="1:14">
      <c r="A624">
        <v>30</v>
      </c>
      <c r="B624">
        <v>11</v>
      </c>
      <c r="C624" t="s">
        <v>169</v>
      </c>
      <c r="D624" t="s">
        <v>723</v>
      </c>
      <c r="E624" t="s">
        <v>105</v>
      </c>
      <c r="F624">
        <v>50</v>
      </c>
      <c r="G624" t="s">
        <v>125</v>
      </c>
      <c r="H624" t="s">
        <v>125</v>
      </c>
      <c r="I624" t="s">
        <v>105</v>
      </c>
      <c r="J624" t="s">
        <v>125</v>
      </c>
      <c r="K624" t="s">
        <v>125</v>
      </c>
      <c r="L624" t="s">
        <v>125</v>
      </c>
      <c r="M624" t="s">
        <v>1276</v>
      </c>
      <c r="N624" t="b">
        <v>0</v>
      </c>
    </row>
    <row r="625" spans="1:14">
      <c r="A625">
        <v>30</v>
      </c>
      <c r="B625">
        <v>12</v>
      </c>
      <c r="C625" t="s">
        <v>222</v>
      </c>
      <c r="D625" t="s">
        <v>723</v>
      </c>
      <c r="E625" t="s">
        <v>106</v>
      </c>
      <c r="F625">
        <v>50</v>
      </c>
      <c r="G625" t="s">
        <v>125</v>
      </c>
      <c r="H625" t="s">
        <v>125</v>
      </c>
      <c r="I625" t="s">
        <v>106</v>
      </c>
      <c r="J625" t="s">
        <v>125</v>
      </c>
      <c r="K625" t="s">
        <v>125</v>
      </c>
      <c r="L625" t="s">
        <v>125</v>
      </c>
      <c r="M625" t="s">
        <v>1277</v>
      </c>
      <c r="N625" t="b">
        <v>0</v>
      </c>
    </row>
    <row r="626" spans="1:14">
      <c r="A626">
        <v>30</v>
      </c>
      <c r="B626">
        <v>13</v>
      </c>
      <c r="C626" t="s">
        <v>194</v>
      </c>
      <c r="D626" t="s">
        <v>723</v>
      </c>
      <c r="E626" t="s">
        <v>107</v>
      </c>
      <c r="F626">
        <v>60</v>
      </c>
      <c r="G626" t="s">
        <v>125</v>
      </c>
      <c r="H626" t="s">
        <v>125</v>
      </c>
      <c r="I626" t="s">
        <v>107</v>
      </c>
      <c r="J626" t="s">
        <v>125</v>
      </c>
      <c r="K626" t="s">
        <v>125</v>
      </c>
      <c r="L626" t="s">
        <v>125</v>
      </c>
      <c r="M626" t="s">
        <v>1278</v>
      </c>
      <c r="N626" t="b">
        <v>0</v>
      </c>
    </row>
    <row r="627" spans="1:14">
      <c r="A627">
        <v>30</v>
      </c>
      <c r="B627">
        <v>14</v>
      </c>
      <c r="C627" t="s">
        <v>125</v>
      </c>
      <c r="D627" t="s">
        <v>723</v>
      </c>
      <c r="E627" t="s">
        <v>125</v>
      </c>
      <c r="F627">
        <v>0</v>
      </c>
      <c r="G627" t="s">
        <v>125</v>
      </c>
      <c r="H627" t="s">
        <v>125</v>
      </c>
      <c r="I627" t="s">
        <v>125</v>
      </c>
      <c r="J627" t="s">
        <v>125</v>
      </c>
      <c r="K627" t="s">
        <v>125</v>
      </c>
      <c r="L627" t="s">
        <v>125</v>
      </c>
      <c r="M627" t="s">
        <v>1279</v>
      </c>
      <c r="N627" t="b">
        <v>0</v>
      </c>
    </row>
    <row r="628" spans="1:14">
      <c r="A628">
        <v>30</v>
      </c>
      <c r="B628">
        <v>15</v>
      </c>
      <c r="C628" t="s">
        <v>125</v>
      </c>
      <c r="D628" t="s">
        <v>723</v>
      </c>
      <c r="E628" t="s">
        <v>125</v>
      </c>
      <c r="F628">
        <v>0</v>
      </c>
      <c r="G628" t="s">
        <v>125</v>
      </c>
      <c r="H628" t="s">
        <v>125</v>
      </c>
      <c r="I628" t="s">
        <v>125</v>
      </c>
      <c r="J628" t="s">
        <v>125</v>
      </c>
      <c r="K628" t="s">
        <v>125</v>
      </c>
      <c r="L628" t="s">
        <v>125</v>
      </c>
      <c r="M628" t="s">
        <v>1280</v>
      </c>
      <c r="N628" t="b">
        <v>0</v>
      </c>
    </row>
    <row r="629" spans="1:14">
      <c r="A629">
        <v>30</v>
      </c>
      <c r="B629">
        <v>16</v>
      </c>
      <c r="C629" t="s">
        <v>125</v>
      </c>
      <c r="D629" t="s">
        <v>740</v>
      </c>
      <c r="E629" t="s">
        <v>125</v>
      </c>
      <c r="F629">
        <v>0</v>
      </c>
      <c r="G629" t="s">
        <v>125</v>
      </c>
      <c r="H629" t="s">
        <v>125</v>
      </c>
      <c r="I629" t="s">
        <v>125</v>
      </c>
      <c r="J629" t="s">
        <v>125</v>
      </c>
      <c r="K629" t="s">
        <v>125</v>
      </c>
      <c r="L629" t="s">
        <v>125</v>
      </c>
      <c r="M629" t="s">
        <v>1281</v>
      </c>
      <c r="N629" t="b">
        <v>0</v>
      </c>
    </row>
    <row r="630" spans="1:14">
      <c r="A630">
        <v>30</v>
      </c>
      <c r="B630">
        <v>17</v>
      </c>
      <c r="C630" t="s">
        <v>125</v>
      </c>
      <c r="D630" t="s">
        <v>740</v>
      </c>
      <c r="E630" t="s">
        <v>125</v>
      </c>
      <c r="F630">
        <v>0</v>
      </c>
      <c r="G630" t="s">
        <v>125</v>
      </c>
      <c r="H630" t="s">
        <v>125</v>
      </c>
      <c r="I630" t="s">
        <v>125</v>
      </c>
      <c r="J630" t="s">
        <v>125</v>
      </c>
      <c r="K630" t="s">
        <v>125</v>
      </c>
      <c r="L630" t="s">
        <v>125</v>
      </c>
      <c r="M630" t="s">
        <v>700</v>
      </c>
      <c r="N630" t="b">
        <v>0</v>
      </c>
    </row>
    <row r="631" spans="1:14">
      <c r="A631">
        <v>30</v>
      </c>
      <c r="B631">
        <v>18</v>
      </c>
      <c r="C631" t="s">
        <v>125</v>
      </c>
      <c r="D631" t="s">
        <v>740</v>
      </c>
      <c r="E631" t="s">
        <v>125</v>
      </c>
      <c r="F631">
        <v>0</v>
      </c>
      <c r="G631" t="s">
        <v>125</v>
      </c>
      <c r="H631" t="s">
        <v>125</v>
      </c>
      <c r="I631" t="s">
        <v>125</v>
      </c>
      <c r="J631" t="s">
        <v>125</v>
      </c>
      <c r="K631" t="s">
        <v>125</v>
      </c>
      <c r="L631" t="s">
        <v>125</v>
      </c>
      <c r="M631" t="s">
        <v>1282</v>
      </c>
      <c r="N631" t="b">
        <v>0</v>
      </c>
    </row>
    <row r="632" spans="1:14">
      <c r="A632">
        <v>30</v>
      </c>
      <c r="B632">
        <v>19</v>
      </c>
      <c r="C632" t="s">
        <v>125</v>
      </c>
      <c r="D632" t="s">
        <v>740</v>
      </c>
      <c r="E632" t="s">
        <v>125</v>
      </c>
      <c r="F632">
        <v>0</v>
      </c>
      <c r="G632" t="s">
        <v>125</v>
      </c>
      <c r="H632" t="s">
        <v>125</v>
      </c>
      <c r="I632" t="s">
        <v>125</v>
      </c>
      <c r="J632" t="s">
        <v>125</v>
      </c>
      <c r="K632" t="s">
        <v>125</v>
      </c>
      <c r="L632" t="s">
        <v>125</v>
      </c>
      <c r="M632" t="s">
        <v>1283</v>
      </c>
      <c r="N632" t="b">
        <v>0</v>
      </c>
    </row>
    <row r="633" spans="1:14">
      <c r="A633">
        <v>30</v>
      </c>
      <c r="B633">
        <v>20</v>
      </c>
      <c r="C633" t="s">
        <v>125</v>
      </c>
      <c r="D633" t="s">
        <v>740</v>
      </c>
      <c r="E633" t="s">
        <v>125</v>
      </c>
      <c r="F633">
        <v>0</v>
      </c>
      <c r="G633" t="s">
        <v>125</v>
      </c>
      <c r="H633" t="s">
        <v>125</v>
      </c>
      <c r="I633" t="s">
        <v>125</v>
      </c>
      <c r="J633" t="s">
        <v>125</v>
      </c>
      <c r="K633" t="s">
        <v>125</v>
      </c>
      <c r="L633" t="s">
        <v>125</v>
      </c>
      <c r="M633" t="s">
        <v>1284</v>
      </c>
      <c r="N633" t="b">
        <v>0</v>
      </c>
    </row>
    <row r="634" spans="1:14">
      <c r="A634">
        <v>30</v>
      </c>
      <c r="B634">
        <v>21</v>
      </c>
      <c r="C634" t="s">
        <v>125</v>
      </c>
      <c r="D634" t="s">
        <v>740</v>
      </c>
      <c r="E634" t="s">
        <v>125</v>
      </c>
      <c r="F634">
        <v>0</v>
      </c>
      <c r="G634" t="s">
        <v>125</v>
      </c>
      <c r="H634" t="s">
        <v>125</v>
      </c>
      <c r="I634" t="s">
        <v>125</v>
      </c>
      <c r="J634" t="s">
        <v>125</v>
      </c>
      <c r="K634" t="s">
        <v>125</v>
      </c>
      <c r="L634" t="s">
        <v>125</v>
      </c>
      <c r="M634" t="s">
        <v>1285</v>
      </c>
      <c r="N634" t="b">
        <v>0</v>
      </c>
    </row>
    <row r="635" spans="1:14">
      <c r="A635">
        <v>30</v>
      </c>
      <c r="B635">
        <v>22</v>
      </c>
      <c r="C635" t="s">
        <v>125</v>
      </c>
      <c r="D635" t="s">
        <v>740</v>
      </c>
      <c r="E635" t="s">
        <v>125</v>
      </c>
      <c r="F635">
        <v>0</v>
      </c>
      <c r="G635" t="s">
        <v>125</v>
      </c>
      <c r="H635" t="s">
        <v>125</v>
      </c>
      <c r="I635" t="s">
        <v>125</v>
      </c>
      <c r="J635" t="s">
        <v>125</v>
      </c>
      <c r="K635" t="s">
        <v>125</v>
      </c>
      <c r="L635" t="s">
        <v>125</v>
      </c>
      <c r="M635" t="s">
        <v>1286</v>
      </c>
      <c r="N635" t="b">
        <v>0</v>
      </c>
    </row>
    <row r="636" spans="1:14">
      <c r="A636">
        <v>30</v>
      </c>
      <c r="B636">
        <v>23</v>
      </c>
      <c r="C636" t="s">
        <v>125</v>
      </c>
      <c r="D636" t="s">
        <v>740</v>
      </c>
      <c r="E636" t="s">
        <v>125</v>
      </c>
      <c r="F636">
        <v>0</v>
      </c>
      <c r="G636" t="s">
        <v>125</v>
      </c>
      <c r="H636" t="s">
        <v>125</v>
      </c>
      <c r="I636" t="s">
        <v>125</v>
      </c>
      <c r="J636" t="s">
        <v>125</v>
      </c>
      <c r="K636" t="s">
        <v>125</v>
      </c>
      <c r="L636" t="s">
        <v>125</v>
      </c>
      <c r="M636" t="s">
        <v>1287</v>
      </c>
      <c r="N636" t="b">
        <v>0</v>
      </c>
    </row>
    <row r="637" spans="1:14">
      <c r="A637">
        <v>30</v>
      </c>
      <c r="B637">
        <v>24</v>
      </c>
      <c r="C637" t="s">
        <v>125</v>
      </c>
      <c r="D637" t="s">
        <v>740</v>
      </c>
      <c r="E637" t="s">
        <v>125</v>
      </c>
      <c r="F637">
        <v>0</v>
      </c>
      <c r="G637" t="s">
        <v>125</v>
      </c>
      <c r="H637" t="s">
        <v>125</v>
      </c>
      <c r="I637" t="s">
        <v>125</v>
      </c>
      <c r="J637" t="s">
        <v>125</v>
      </c>
      <c r="K637" t="s">
        <v>125</v>
      </c>
      <c r="L637" t="s">
        <v>125</v>
      </c>
      <c r="M637" t="s">
        <v>1288</v>
      </c>
      <c r="N637" t="b">
        <v>0</v>
      </c>
    </row>
    <row r="638" spans="1:14">
      <c r="A638">
        <v>30</v>
      </c>
      <c r="B638">
        <v>25</v>
      </c>
      <c r="C638" t="s">
        <v>125</v>
      </c>
      <c r="D638" t="s">
        <v>740</v>
      </c>
      <c r="E638" t="s">
        <v>125</v>
      </c>
      <c r="F638">
        <v>0</v>
      </c>
      <c r="G638" t="s">
        <v>125</v>
      </c>
      <c r="H638" t="s">
        <v>125</v>
      </c>
      <c r="I638" t="s">
        <v>125</v>
      </c>
      <c r="J638" t="s">
        <v>125</v>
      </c>
      <c r="K638" t="s">
        <v>125</v>
      </c>
      <c r="L638" t="s">
        <v>125</v>
      </c>
      <c r="M638" t="s">
        <v>1289</v>
      </c>
      <c r="N638" t="b">
        <v>0</v>
      </c>
    </row>
    <row r="639" spans="1:14">
      <c r="A639">
        <v>30</v>
      </c>
      <c r="B639">
        <v>26</v>
      </c>
      <c r="C639" t="s">
        <v>125</v>
      </c>
      <c r="D639" t="s">
        <v>740</v>
      </c>
      <c r="E639" t="s">
        <v>125</v>
      </c>
      <c r="F639">
        <v>0</v>
      </c>
      <c r="G639" t="s">
        <v>125</v>
      </c>
      <c r="H639" t="s">
        <v>125</v>
      </c>
      <c r="I639" t="s">
        <v>125</v>
      </c>
      <c r="J639" t="s">
        <v>125</v>
      </c>
      <c r="K639" t="s">
        <v>125</v>
      </c>
      <c r="L639" t="s">
        <v>125</v>
      </c>
      <c r="M639" t="s">
        <v>1290</v>
      </c>
      <c r="N639" t="b">
        <v>0</v>
      </c>
    </row>
    <row r="640" spans="1:14">
      <c r="A640">
        <v>34</v>
      </c>
      <c r="B640">
        <v>0</v>
      </c>
      <c r="C640" t="s">
        <v>185</v>
      </c>
      <c r="D640" t="s">
        <v>723</v>
      </c>
      <c r="E640" t="s">
        <v>64</v>
      </c>
      <c r="F640">
        <v>50</v>
      </c>
      <c r="G640" t="s">
        <v>125</v>
      </c>
      <c r="H640" t="s">
        <v>125</v>
      </c>
      <c r="I640" t="s">
        <v>64</v>
      </c>
      <c r="J640" t="s">
        <v>125</v>
      </c>
      <c r="K640" t="s">
        <v>125</v>
      </c>
      <c r="L640" t="s">
        <v>125</v>
      </c>
      <c r="M640" t="s">
        <v>1291</v>
      </c>
      <c r="N640" t="b">
        <v>0</v>
      </c>
    </row>
    <row r="641" spans="1:14">
      <c r="A641">
        <v>34</v>
      </c>
      <c r="B641">
        <v>1</v>
      </c>
      <c r="C641" t="s">
        <v>157</v>
      </c>
      <c r="D641" t="s">
        <v>723</v>
      </c>
      <c r="E641" t="s">
        <v>82</v>
      </c>
      <c r="F641">
        <v>40</v>
      </c>
      <c r="G641" t="s">
        <v>125</v>
      </c>
      <c r="H641" t="s">
        <v>125</v>
      </c>
      <c r="I641" t="s">
        <v>82</v>
      </c>
      <c r="J641" t="s">
        <v>125</v>
      </c>
      <c r="K641" t="s">
        <v>125</v>
      </c>
      <c r="L641" t="s">
        <v>125</v>
      </c>
      <c r="M641" t="s">
        <v>1292</v>
      </c>
      <c r="N641" t="b">
        <v>0</v>
      </c>
    </row>
    <row r="642" spans="1:14">
      <c r="A642">
        <v>34</v>
      </c>
      <c r="B642">
        <v>2</v>
      </c>
      <c r="C642" t="s">
        <v>186</v>
      </c>
      <c r="D642" t="s">
        <v>723</v>
      </c>
      <c r="E642" t="s">
        <v>92</v>
      </c>
      <c r="F642">
        <v>50</v>
      </c>
      <c r="G642" t="s">
        <v>125</v>
      </c>
      <c r="H642" t="s">
        <v>125</v>
      </c>
      <c r="I642" t="s">
        <v>92</v>
      </c>
      <c r="J642" t="s">
        <v>125</v>
      </c>
      <c r="K642" t="s">
        <v>125</v>
      </c>
      <c r="L642" t="s">
        <v>125</v>
      </c>
      <c r="M642" t="s">
        <v>1293</v>
      </c>
      <c r="N642" t="b">
        <v>0</v>
      </c>
    </row>
    <row r="643" spans="1:14">
      <c r="A643">
        <v>34</v>
      </c>
      <c r="B643">
        <v>3</v>
      </c>
      <c r="C643" t="s">
        <v>250</v>
      </c>
      <c r="D643" t="s">
        <v>723</v>
      </c>
      <c r="E643" t="s">
        <v>98</v>
      </c>
      <c r="F643">
        <v>40</v>
      </c>
      <c r="G643" t="s">
        <v>125</v>
      </c>
      <c r="H643" t="s">
        <v>125</v>
      </c>
      <c r="I643" t="s">
        <v>98</v>
      </c>
      <c r="J643" t="s">
        <v>125</v>
      </c>
      <c r="K643" t="s">
        <v>125</v>
      </c>
      <c r="L643" t="s">
        <v>125</v>
      </c>
      <c r="M643" t="s">
        <v>1294</v>
      </c>
      <c r="N643" t="b">
        <v>0</v>
      </c>
    </row>
    <row r="644" spans="1:14">
      <c r="A644">
        <v>34</v>
      </c>
      <c r="B644">
        <v>4</v>
      </c>
      <c r="C644" t="s">
        <v>188</v>
      </c>
      <c r="D644" t="s">
        <v>723</v>
      </c>
      <c r="E644" t="s">
        <v>100</v>
      </c>
      <c r="F644">
        <v>50</v>
      </c>
      <c r="G644" t="s">
        <v>125</v>
      </c>
      <c r="H644" t="s">
        <v>125</v>
      </c>
      <c r="I644" t="s">
        <v>100</v>
      </c>
      <c r="J644" t="s">
        <v>125</v>
      </c>
      <c r="K644" t="s">
        <v>125</v>
      </c>
      <c r="L644" t="s">
        <v>125</v>
      </c>
      <c r="M644" t="s">
        <v>1295</v>
      </c>
      <c r="N644" t="b">
        <v>0</v>
      </c>
    </row>
    <row r="645" spans="1:14">
      <c r="A645">
        <v>34</v>
      </c>
      <c r="B645">
        <v>5</v>
      </c>
      <c r="C645" t="s">
        <v>314</v>
      </c>
      <c r="D645" t="s">
        <v>752</v>
      </c>
      <c r="E645" t="s">
        <v>296</v>
      </c>
      <c r="F645">
        <v>30</v>
      </c>
      <c r="G645" t="s">
        <v>759</v>
      </c>
      <c r="H645" t="s">
        <v>125</v>
      </c>
      <c r="I645" t="s">
        <v>125</v>
      </c>
      <c r="J645" t="s">
        <v>760</v>
      </c>
      <c r="K645" t="s">
        <v>761</v>
      </c>
      <c r="L645" t="s">
        <v>762</v>
      </c>
      <c r="M645" t="s">
        <v>1296</v>
      </c>
      <c r="N645" t="b">
        <v>0</v>
      </c>
    </row>
    <row r="646" spans="1:14">
      <c r="A646">
        <v>34</v>
      </c>
      <c r="B646">
        <v>6</v>
      </c>
      <c r="C646" t="s">
        <v>189</v>
      </c>
      <c r="D646" t="s">
        <v>723</v>
      </c>
      <c r="E646" t="s">
        <v>108</v>
      </c>
      <c r="F646">
        <v>30</v>
      </c>
      <c r="G646" t="s">
        <v>125</v>
      </c>
      <c r="H646" t="s">
        <v>125</v>
      </c>
      <c r="I646" t="s">
        <v>108</v>
      </c>
      <c r="J646" t="s">
        <v>125</v>
      </c>
      <c r="K646" t="s">
        <v>125</v>
      </c>
      <c r="L646" t="s">
        <v>125</v>
      </c>
      <c r="M646" t="s">
        <v>1297</v>
      </c>
      <c r="N646" t="b">
        <v>0</v>
      </c>
    </row>
    <row r="647" spans="1:14">
      <c r="A647">
        <v>34</v>
      </c>
      <c r="B647">
        <v>7</v>
      </c>
      <c r="C647" t="s">
        <v>315</v>
      </c>
      <c r="D647" t="s">
        <v>723</v>
      </c>
      <c r="E647" t="s">
        <v>112</v>
      </c>
      <c r="F647">
        <v>30</v>
      </c>
      <c r="G647" t="s">
        <v>125</v>
      </c>
      <c r="H647" t="s">
        <v>125</v>
      </c>
      <c r="I647" t="s">
        <v>112</v>
      </c>
      <c r="J647" t="s">
        <v>125</v>
      </c>
      <c r="K647" t="s">
        <v>125</v>
      </c>
      <c r="L647" t="s">
        <v>125</v>
      </c>
      <c r="M647" t="s">
        <v>1298</v>
      </c>
      <c r="N647" t="b">
        <v>0</v>
      </c>
    </row>
    <row r="648" spans="1:14">
      <c r="A648">
        <v>34</v>
      </c>
      <c r="B648">
        <v>8</v>
      </c>
      <c r="C648" t="s">
        <v>316</v>
      </c>
      <c r="D648" t="s">
        <v>723</v>
      </c>
      <c r="E648" t="s">
        <v>114</v>
      </c>
      <c r="F648">
        <v>30</v>
      </c>
      <c r="G648" t="s">
        <v>125</v>
      </c>
      <c r="H648" t="s">
        <v>125</v>
      </c>
      <c r="I648" t="s">
        <v>114</v>
      </c>
      <c r="J648" t="s">
        <v>125</v>
      </c>
      <c r="K648" t="s">
        <v>125</v>
      </c>
      <c r="L648" t="s">
        <v>125</v>
      </c>
      <c r="M648" t="s">
        <v>1299</v>
      </c>
      <c r="N648" t="b">
        <v>0</v>
      </c>
    </row>
    <row r="649" spans="1:14">
      <c r="A649">
        <v>34</v>
      </c>
      <c r="B649">
        <v>9</v>
      </c>
      <c r="C649" t="s">
        <v>191</v>
      </c>
      <c r="D649" t="s">
        <v>723</v>
      </c>
      <c r="E649" t="s">
        <v>60</v>
      </c>
      <c r="F649">
        <v>30</v>
      </c>
      <c r="G649" t="s">
        <v>125</v>
      </c>
      <c r="H649" t="s">
        <v>125</v>
      </c>
      <c r="I649" t="s">
        <v>60</v>
      </c>
      <c r="J649" t="s">
        <v>125</v>
      </c>
      <c r="K649" t="s">
        <v>125</v>
      </c>
      <c r="L649" t="s">
        <v>125</v>
      </c>
      <c r="M649" t="s">
        <v>1300</v>
      </c>
      <c r="N649" t="b">
        <v>0</v>
      </c>
    </row>
    <row r="650" spans="1:14">
      <c r="A650">
        <v>34</v>
      </c>
      <c r="B650">
        <v>10</v>
      </c>
      <c r="C650" t="s">
        <v>317</v>
      </c>
      <c r="D650" t="s">
        <v>723</v>
      </c>
      <c r="E650" t="s">
        <v>330</v>
      </c>
      <c r="F650">
        <v>30</v>
      </c>
      <c r="G650" t="s">
        <v>125</v>
      </c>
      <c r="H650" t="s">
        <v>547</v>
      </c>
      <c r="I650" t="s">
        <v>444</v>
      </c>
      <c r="J650" t="s">
        <v>125</v>
      </c>
      <c r="K650" t="s">
        <v>920</v>
      </c>
      <c r="L650" t="s">
        <v>921</v>
      </c>
      <c r="M650" t="s">
        <v>1301</v>
      </c>
      <c r="N650" t="b">
        <v>0</v>
      </c>
    </row>
    <row r="651" spans="1:14">
      <c r="A651">
        <v>34</v>
      </c>
      <c r="B651">
        <v>11</v>
      </c>
      <c r="C651" t="s">
        <v>162</v>
      </c>
      <c r="D651" t="s">
        <v>723</v>
      </c>
      <c r="E651" t="s">
        <v>77</v>
      </c>
      <c r="F651">
        <v>40</v>
      </c>
      <c r="G651" t="s">
        <v>125</v>
      </c>
      <c r="H651" t="s">
        <v>125</v>
      </c>
      <c r="I651" t="s">
        <v>77</v>
      </c>
      <c r="J651" t="s">
        <v>125</v>
      </c>
      <c r="K651" t="s">
        <v>125</v>
      </c>
      <c r="L651" t="s">
        <v>125</v>
      </c>
      <c r="M651" t="s">
        <v>1302</v>
      </c>
      <c r="N651" t="b">
        <v>0</v>
      </c>
    </row>
    <row r="652" spans="1:14">
      <c r="A652">
        <v>34</v>
      </c>
      <c r="B652">
        <v>12</v>
      </c>
      <c r="C652" t="s">
        <v>318</v>
      </c>
      <c r="D652" t="s">
        <v>723</v>
      </c>
      <c r="E652" t="s">
        <v>83</v>
      </c>
      <c r="F652">
        <v>30</v>
      </c>
      <c r="G652" t="s">
        <v>125</v>
      </c>
      <c r="H652" t="s">
        <v>125</v>
      </c>
      <c r="I652" t="s">
        <v>83</v>
      </c>
      <c r="J652" t="s">
        <v>125</v>
      </c>
      <c r="K652" t="s">
        <v>125</v>
      </c>
      <c r="L652" t="s">
        <v>125</v>
      </c>
      <c r="M652" t="s">
        <v>1303</v>
      </c>
      <c r="N652" t="b">
        <v>0</v>
      </c>
    </row>
    <row r="653" spans="1:14">
      <c r="A653">
        <v>34</v>
      </c>
      <c r="B653">
        <v>13</v>
      </c>
      <c r="C653" t="s">
        <v>193</v>
      </c>
      <c r="D653" t="s">
        <v>723</v>
      </c>
      <c r="E653" t="s">
        <v>97</v>
      </c>
      <c r="F653">
        <v>50</v>
      </c>
      <c r="G653" t="s">
        <v>125</v>
      </c>
      <c r="H653" t="s">
        <v>125</v>
      </c>
      <c r="I653" t="s">
        <v>97</v>
      </c>
      <c r="J653" t="s">
        <v>125</v>
      </c>
      <c r="K653" t="s">
        <v>125</v>
      </c>
      <c r="L653" t="s">
        <v>125</v>
      </c>
      <c r="M653" t="s">
        <v>1304</v>
      </c>
      <c r="N653" t="b">
        <v>0</v>
      </c>
    </row>
    <row r="654" spans="1:14">
      <c r="A654">
        <v>34</v>
      </c>
      <c r="B654">
        <v>14</v>
      </c>
      <c r="C654" t="s">
        <v>319</v>
      </c>
      <c r="D654" t="s">
        <v>723</v>
      </c>
      <c r="E654" t="s">
        <v>105</v>
      </c>
      <c r="F654">
        <v>30</v>
      </c>
      <c r="G654" t="s">
        <v>125</v>
      </c>
      <c r="H654" t="s">
        <v>125</v>
      </c>
      <c r="I654" t="s">
        <v>105</v>
      </c>
      <c r="J654" t="s">
        <v>125</v>
      </c>
      <c r="K654" t="s">
        <v>125</v>
      </c>
      <c r="L654" t="s">
        <v>125</v>
      </c>
      <c r="M654" t="s">
        <v>1305</v>
      </c>
      <c r="N654" t="b">
        <v>0</v>
      </c>
    </row>
    <row r="655" spans="1:14">
      <c r="A655">
        <v>34</v>
      </c>
      <c r="B655">
        <v>15</v>
      </c>
      <c r="C655" t="s">
        <v>194</v>
      </c>
      <c r="D655" t="s">
        <v>723</v>
      </c>
      <c r="E655" t="s">
        <v>107</v>
      </c>
      <c r="F655">
        <v>60</v>
      </c>
      <c r="G655" t="s">
        <v>125</v>
      </c>
      <c r="H655" t="s">
        <v>125</v>
      </c>
      <c r="I655" t="s">
        <v>107</v>
      </c>
      <c r="J655" t="s">
        <v>125</v>
      </c>
      <c r="K655" t="s">
        <v>125</v>
      </c>
      <c r="L655" t="s">
        <v>125</v>
      </c>
      <c r="M655" t="s">
        <v>1306</v>
      </c>
      <c r="N655" t="b">
        <v>0</v>
      </c>
    </row>
    <row r="656" spans="1:14">
      <c r="A656">
        <v>34</v>
      </c>
      <c r="B656">
        <v>16</v>
      </c>
      <c r="C656" t="s">
        <v>125</v>
      </c>
      <c r="D656" t="s">
        <v>740</v>
      </c>
      <c r="E656" t="s">
        <v>125</v>
      </c>
      <c r="F656">
        <v>0</v>
      </c>
      <c r="G656" t="s">
        <v>125</v>
      </c>
      <c r="H656" t="s">
        <v>125</v>
      </c>
      <c r="I656" t="s">
        <v>125</v>
      </c>
      <c r="J656" t="s">
        <v>125</v>
      </c>
      <c r="K656" t="s">
        <v>125</v>
      </c>
      <c r="L656" t="s">
        <v>125</v>
      </c>
      <c r="M656" t="s">
        <v>1307</v>
      </c>
      <c r="N656" t="b">
        <v>0</v>
      </c>
    </row>
    <row r="657" spans="1:14">
      <c r="A657">
        <v>34</v>
      </c>
      <c r="B657">
        <v>17</v>
      </c>
      <c r="C657" t="s">
        <v>125</v>
      </c>
      <c r="D657" t="s">
        <v>740</v>
      </c>
      <c r="E657" t="s">
        <v>125</v>
      </c>
      <c r="F657">
        <v>0</v>
      </c>
      <c r="G657" t="s">
        <v>125</v>
      </c>
      <c r="H657" t="s">
        <v>125</v>
      </c>
      <c r="I657" t="s">
        <v>125</v>
      </c>
      <c r="J657" t="s">
        <v>125</v>
      </c>
      <c r="K657" t="s">
        <v>125</v>
      </c>
      <c r="L657" t="s">
        <v>125</v>
      </c>
      <c r="M657" t="s">
        <v>708</v>
      </c>
      <c r="N657" t="b">
        <v>0</v>
      </c>
    </row>
    <row r="658" spans="1:14">
      <c r="A658">
        <v>34</v>
      </c>
      <c r="B658">
        <v>18</v>
      </c>
      <c r="C658" t="s">
        <v>125</v>
      </c>
      <c r="D658" t="s">
        <v>740</v>
      </c>
      <c r="E658" t="s">
        <v>125</v>
      </c>
      <c r="F658">
        <v>0</v>
      </c>
      <c r="G658" t="s">
        <v>125</v>
      </c>
      <c r="H658" t="s">
        <v>125</v>
      </c>
      <c r="I658" t="s">
        <v>125</v>
      </c>
      <c r="J658" t="s">
        <v>125</v>
      </c>
      <c r="K658" t="s">
        <v>125</v>
      </c>
      <c r="L658" t="s">
        <v>125</v>
      </c>
      <c r="M658" t="s">
        <v>1308</v>
      </c>
      <c r="N658" t="b">
        <v>0</v>
      </c>
    </row>
    <row r="659" spans="1:14">
      <c r="A659">
        <v>34</v>
      </c>
      <c r="B659">
        <v>19</v>
      </c>
      <c r="C659" t="s">
        <v>125</v>
      </c>
      <c r="D659" t="s">
        <v>740</v>
      </c>
      <c r="E659" t="s">
        <v>125</v>
      </c>
      <c r="F659">
        <v>0</v>
      </c>
      <c r="G659" t="s">
        <v>125</v>
      </c>
      <c r="H659" t="s">
        <v>125</v>
      </c>
      <c r="I659" t="s">
        <v>125</v>
      </c>
      <c r="J659" t="s">
        <v>125</v>
      </c>
      <c r="K659" t="s">
        <v>125</v>
      </c>
      <c r="L659" t="s">
        <v>125</v>
      </c>
      <c r="M659" t="s">
        <v>1309</v>
      </c>
      <c r="N659" t="b">
        <v>0</v>
      </c>
    </row>
    <row r="660" spans="1:14">
      <c r="A660">
        <v>34</v>
      </c>
      <c r="B660">
        <v>20</v>
      </c>
      <c r="C660" t="s">
        <v>125</v>
      </c>
      <c r="D660" t="s">
        <v>740</v>
      </c>
      <c r="E660" t="s">
        <v>125</v>
      </c>
      <c r="F660">
        <v>0</v>
      </c>
      <c r="G660" t="s">
        <v>125</v>
      </c>
      <c r="H660" t="s">
        <v>125</v>
      </c>
      <c r="I660" t="s">
        <v>125</v>
      </c>
      <c r="J660" t="s">
        <v>125</v>
      </c>
      <c r="K660" t="s">
        <v>125</v>
      </c>
      <c r="L660" t="s">
        <v>125</v>
      </c>
      <c r="M660" t="s">
        <v>1310</v>
      </c>
      <c r="N660" t="b">
        <v>0</v>
      </c>
    </row>
    <row r="661" spans="1:14">
      <c r="A661">
        <v>34</v>
      </c>
      <c r="B661">
        <v>21</v>
      </c>
      <c r="C661" t="s">
        <v>125</v>
      </c>
      <c r="D661" t="s">
        <v>740</v>
      </c>
      <c r="E661" t="s">
        <v>125</v>
      </c>
      <c r="F661">
        <v>0</v>
      </c>
      <c r="G661" t="s">
        <v>125</v>
      </c>
      <c r="H661" t="s">
        <v>125</v>
      </c>
      <c r="I661" t="s">
        <v>125</v>
      </c>
      <c r="J661" t="s">
        <v>125</v>
      </c>
      <c r="K661" t="s">
        <v>125</v>
      </c>
      <c r="L661" t="s">
        <v>125</v>
      </c>
      <c r="M661" t="s">
        <v>1311</v>
      </c>
      <c r="N661" t="b">
        <v>0</v>
      </c>
    </row>
    <row r="662" spans="1:14">
      <c r="A662">
        <v>34</v>
      </c>
      <c r="B662">
        <v>22</v>
      </c>
      <c r="C662" t="s">
        <v>125</v>
      </c>
      <c r="D662" t="s">
        <v>740</v>
      </c>
      <c r="E662" t="s">
        <v>125</v>
      </c>
      <c r="F662">
        <v>0</v>
      </c>
      <c r="G662" t="s">
        <v>125</v>
      </c>
      <c r="H662" t="s">
        <v>125</v>
      </c>
      <c r="I662" t="s">
        <v>125</v>
      </c>
      <c r="J662" t="s">
        <v>125</v>
      </c>
      <c r="K662" t="s">
        <v>125</v>
      </c>
      <c r="L662" t="s">
        <v>125</v>
      </c>
      <c r="M662" t="s">
        <v>1312</v>
      </c>
      <c r="N662" t="b">
        <v>0</v>
      </c>
    </row>
    <row r="663" spans="1:14">
      <c r="A663">
        <v>34</v>
      </c>
      <c r="B663">
        <v>23</v>
      </c>
      <c r="C663" t="s">
        <v>125</v>
      </c>
      <c r="D663" t="s">
        <v>740</v>
      </c>
      <c r="E663" t="s">
        <v>125</v>
      </c>
      <c r="F663">
        <v>0</v>
      </c>
      <c r="G663" t="s">
        <v>125</v>
      </c>
      <c r="H663" t="s">
        <v>125</v>
      </c>
      <c r="I663" t="s">
        <v>125</v>
      </c>
      <c r="J663" t="s">
        <v>125</v>
      </c>
      <c r="K663" t="s">
        <v>125</v>
      </c>
      <c r="L663" t="s">
        <v>125</v>
      </c>
      <c r="M663" t="s">
        <v>1313</v>
      </c>
      <c r="N663" t="b">
        <v>0</v>
      </c>
    </row>
    <row r="664" spans="1:14">
      <c r="A664">
        <v>34</v>
      </c>
      <c r="B664">
        <v>24</v>
      </c>
      <c r="C664" t="s">
        <v>125</v>
      </c>
      <c r="D664" t="s">
        <v>740</v>
      </c>
      <c r="E664" t="s">
        <v>125</v>
      </c>
      <c r="F664">
        <v>0</v>
      </c>
      <c r="G664" t="s">
        <v>125</v>
      </c>
      <c r="H664" t="s">
        <v>125</v>
      </c>
      <c r="I664" t="s">
        <v>125</v>
      </c>
      <c r="J664" t="s">
        <v>125</v>
      </c>
      <c r="K664" t="s">
        <v>125</v>
      </c>
      <c r="L664" t="s">
        <v>125</v>
      </c>
      <c r="M664" t="s">
        <v>1314</v>
      </c>
      <c r="N664" t="b">
        <v>0</v>
      </c>
    </row>
    <row r="665" spans="1:14">
      <c r="A665">
        <v>34</v>
      </c>
      <c r="B665">
        <v>25</v>
      </c>
      <c r="C665" t="s">
        <v>125</v>
      </c>
      <c r="D665" t="s">
        <v>740</v>
      </c>
      <c r="E665" t="s">
        <v>125</v>
      </c>
      <c r="F665">
        <v>0</v>
      </c>
      <c r="G665" t="s">
        <v>125</v>
      </c>
      <c r="H665" t="s">
        <v>125</v>
      </c>
      <c r="I665" t="s">
        <v>125</v>
      </c>
      <c r="J665" t="s">
        <v>125</v>
      </c>
      <c r="K665" t="s">
        <v>125</v>
      </c>
      <c r="L665" t="s">
        <v>125</v>
      </c>
      <c r="M665" t="s">
        <v>1315</v>
      </c>
      <c r="N665" t="b">
        <v>0</v>
      </c>
    </row>
    <row r="666" spans="1:14">
      <c r="A666">
        <v>34</v>
      </c>
      <c r="B666">
        <v>26</v>
      </c>
      <c r="C666" t="s">
        <v>125</v>
      </c>
      <c r="D666" t="s">
        <v>740</v>
      </c>
      <c r="E666" t="s">
        <v>125</v>
      </c>
      <c r="F666">
        <v>0</v>
      </c>
      <c r="G666" t="s">
        <v>125</v>
      </c>
      <c r="H666" t="s">
        <v>125</v>
      </c>
      <c r="I666" t="s">
        <v>125</v>
      </c>
      <c r="J666" t="s">
        <v>125</v>
      </c>
      <c r="K666" t="s">
        <v>125</v>
      </c>
      <c r="L666" t="s">
        <v>125</v>
      </c>
      <c r="M666" t="s">
        <v>1316</v>
      </c>
      <c r="N666" t="b">
        <v>0</v>
      </c>
    </row>
    <row r="667" spans="1:14">
      <c r="A667">
        <v>37</v>
      </c>
      <c r="B667">
        <v>0</v>
      </c>
      <c r="C667" t="s">
        <v>185</v>
      </c>
      <c r="D667" t="s">
        <v>723</v>
      </c>
      <c r="E667" t="s">
        <v>64</v>
      </c>
      <c r="F667">
        <v>50</v>
      </c>
      <c r="G667" t="s">
        <v>125</v>
      </c>
      <c r="H667" t="s">
        <v>125</v>
      </c>
      <c r="I667" t="s">
        <v>64</v>
      </c>
      <c r="J667" t="s">
        <v>125</v>
      </c>
      <c r="K667" t="s">
        <v>125</v>
      </c>
      <c r="L667" t="s">
        <v>125</v>
      </c>
      <c r="M667" t="s">
        <v>1317</v>
      </c>
      <c r="N667" t="b">
        <v>0</v>
      </c>
    </row>
    <row r="668" spans="1:14">
      <c r="A668">
        <v>37</v>
      </c>
      <c r="B668">
        <v>1</v>
      </c>
      <c r="C668" t="s">
        <v>157</v>
      </c>
      <c r="D668" t="s">
        <v>723</v>
      </c>
      <c r="E668" t="s">
        <v>82</v>
      </c>
      <c r="F668">
        <v>40</v>
      </c>
      <c r="G668" t="s">
        <v>125</v>
      </c>
      <c r="H668" t="s">
        <v>125</v>
      </c>
      <c r="I668" t="s">
        <v>82</v>
      </c>
      <c r="J668" t="s">
        <v>125</v>
      </c>
      <c r="K668" t="s">
        <v>125</v>
      </c>
      <c r="L668" t="s">
        <v>125</v>
      </c>
      <c r="M668" t="s">
        <v>1318</v>
      </c>
      <c r="N668" t="b">
        <v>0</v>
      </c>
    </row>
    <row r="669" spans="1:14">
      <c r="A669">
        <v>37</v>
      </c>
      <c r="B669">
        <v>2</v>
      </c>
      <c r="C669" t="s">
        <v>186</v>
      </c>
      <c r="D669" t="s">
        <v>723</v>
      </c>
      <c r="E669" t="s">
        <v>92</v>
      </c>
      <c r="F669">
        <v>50</v>
      </c>
      <c r="G669" t="s">
        <v>125</v>
      </c>
      <c r="H669" t="s">
        <v>125</v>
      </c>
      <c r="I669" t="s">
        <v>92</v>
      </c>
      <c r="J669" t="s">
        <v>125</v>
      </c>
      <c r="K669" t="s">
        <v>125</v>
      </c>
      <c r="L669" t="s">
        <v>125</v>
      </c>
      <c r="M669" t="s">
        <v>1319</v>
      </c>
      <c r="N669" t="b">
        <v>0</v>
      </c>
    </row>
    <row r="670" spans="1:14">
      <c r="A670">
        <v>37</v>
      </c>
      <c r="B670">
        <v>3</v>
      </c>
      <c r="C670" t="s">
        <v>304</v>
      </c>
      <c r="D670" t="s">
        <v>723</v>
      </c>
      <c r="E670" t="s">
        <v>96</v>
      </c>
      <c r="F670">
        <v>50</v>
      </c>
      <c r="G670" t="s">
        <v>125</v>
      </c>
      <c r="H670" t="s">
        <v>125</v>
      </c>
      <c r="I670" t="s">
        <v>96</v>
      </c>
      <c r="J670" t="s">
        <v>125</v>
      </c>
      <c r="K670" t="s">
        <v>125</v>
      </c>
      <c r="L670" t="s">
        <v>125</v>
      </c>
      <c r="M670" t="s">
        <v>1320</v>
      </c>
      <c r="N670" t="b">
        <v>0</v>
      </c>
    </row>
    <row r="671" spans="1:14">
      <c r="A671">
        <v>37</v>
      </c>
      <c r="B671">
        <v>4</v>
      </c>
      <c r="C671" t="s">
        <v>187</v>
      </c>
      <c r="D671" t="s">
        <v>723</v>
      </c>
      <c r="E671" t="s">
        <v>98</v>
      </c>
      <c r="F671">
        <v>50</v>
      </c>
      <c r="G671" t="s">
        <v>125</v>
      </c>
      <c r="H671" t="s">
        <v>125</v>
      </c>
      <c r="I671" t="s">
        <v>98</v>
      </c>
      <c r="J671" t="s">
        <v>125</v>
      </c>
      <c r="K671" t="s">
        <v>125</v>
      </c>
      <c r="L671" t="s">
        <v>125</v>
      </c>
      <c r="M671" t="s">
        <v>1321</v>
      </c>
      <c r="N671" t="b">
        <v>0</v>
      </c>
    </row>
    <row r="672" spans="1:14">
      <c r="A672">
        <v>37</v>
      </c>
      <c r="B672">
        <v>5</v>
      </c>
      <c r="C672" t="s">
        <v>188</v>
      </c>
      <c r="D672" t="s">
        <v>723</v>
      </c>
      <c r="E672" t="s">
        <v>100</v>
      </c>
      <c r="F672">
        <v>50</v>
      </c>
      <c r="G672" t="s">
        <v>125</v>
      </c>
      <c r="H672" t="s">
        <v>125</v>
      </c>
      <c r="I672" t="s">
        <v>100</v>
      </c>
      <c r="J672" t="s">
        <v>125</v>
      </c>
      <c r="K672" t="s">
        <v>125</v>
      </c>
      <c r="L672" t="s">
        <v>125</v>
      </c>
      <c r="M672" t="s">
        <v>1322</v>
      </c>
      <c r="N672" t="b">
        <v>0</v>
      </c>
    </row>
    <row r="673" spans="1:14">
      <c r="A673">
        <v>37</v>
      </c>
      <c r="B673">
        <v>6</v>
      </c>
      <c r="C673" t="s">
        <v>189</v>
      </c>
      <c r="D673" t="s">
        <v>723</v>
      </c>
      <c r="E673" t="s">
        <v>108</v>
      </c>
      <c r="F673">
        <v>30</v>
      </c>
      <c r="G673" t="s">
        <v>125</v>
      </c>
      <c r="H673" t="s">
        <v>125</v>
      </c>
      <c r="I673" t="s">
        <v>108</v>
      </c>
      <c r="J673" t="s">
        <v>125</v>
      </c>
      <c r="K673" t="s">
        <v>125</v>
      </c>
      <c r="L673" t="s">
        <v>125</v>
      </c>
      <c r="M673" t="s">
        <v>765</v>
      </c>
      <c r="N673" t="b">
        <v>0</v>
      </c>
    </row>
    <row r="674" spans="1:14">
      <c r="A674">
        <v>37</v>
      </c>
      <c r="B674">
        <v>7</v>
      </c>
      <c r="C674" t="s">
        <v>197</v>
      </c>
      <c r="D674" t="s">
        <v>723</v>
      </c>
      <c r="E674" t="s">
        <v>112</v>
      </c>
      <c r="F674">
        <v>50</v>
      </c>
      <c r="G674" t="s">
        <v>125</v>
      </c>
      <c r="H674" t="s">
        <v>125</v>
      </c>
      <c r="I674" t="s">
        <v>112</v>
      </c>
      <c r="J674" t="s">
        <v>125</v>
      </c>
      <c r="K674" t="s">
        <v>125</v>
      </c>
      <c r="L674" t="s">
        <v>125</v>
      </c>
      <c r="M674" t="s">
        <v>1323</v>
      </c>
      <c r="N674" t="b">
        <v>0</v>
      </c>
    </row>
    <row r="675" spans="1:14">
      <c r="A675">
        <v>37</v>
      </c>
      <c r="B675">
        <v>8</v>
      </c>
      <c r="C675" t="s">
        <v>190</v>
      </c>
      <c r="D675" t="s">
        <v>723</v>
      </c>
      <c r="E675" t="s">
        <v>114</v>
      </c>
      <c r="F675">
        <v>60</v>
      </c>
      <c r="G675" t="s">
        <v>125</v>
      </c>
      <c r="H675" t="s">
        <v>125</v>
      </c>
      <c r="I675" t="s">
        <v>114</v>
      </c>
      <c r="J675" t="s">
        <v>125</v>
      </c>
      <c r="K675" t="s">
        <v>125</v>
      </c>
      <c r="L675" t="s">
        <v>125</v>
      </c>
      <c r="M675" t="s">
        <v>1324</v>
      </c>
      <c r="N675" t="b">
        <v>0</v>
      </c>
    </row>
    <row r="676" spans="1:14">
      <c r="A676">
        <v>37</v>
      </c>
      <c r="B676">
        <v>9</v>
      </c>
      <c r="C676" t="s">
        <v>191</v>
      </c>
      <c r="D676" t="s">
        <v>723</v>
      </c>
      <c r="E676" t="s">
        <v>60</v>
      </c>
      <c r="F676">
        <v>30</v>
      </c>
      <c r="G676" t="s">
        <v>125</v>
      </c>
      <c r="H676" t="s">
        <v>125</v>
      </c>
      <c r="I676" t="s">
        <v>60</v>
      </c>
      <c r="J676" t="s">
        <v>125</v>
      </c>
      <c r="K676" t="s">
        <v>125</v>
      </c>
      <c r="L676" t="s">
        <v>125</v>
      </c>
      <c r="M676" t="s">
        <v>1325</v>
      </c>
      <c r="N676" t="b">
        <v>0</v>
      </c>
    </row>
    <row r="677" spans="1:14">
      <c r="A677">
        <v>37</v>
      </c>
      <c r="B677">
        <v>10</v>
      </c>
      <c r="C677" t="s">
        <v>192</v>
      </c>
      <c r="D677" t="s">
        <v>723</v>
      </c>
      <c r="E677" t="s">
        <v>77</v>
      </c>
      <c r="F677">
        <v>50</v>
      </c>
      <c r="G677" t="s">
        <v>125</v>
      </c>
      <c r="H677" t="s">
        <v>125</v>
      </c>
      <c r="I677" t="s">
        <v>77</v>
      </c>
      <c r="J677" t="s">
        <v>125</v>
      </c>
      <c r="K677" t="s">
        <v>125</v>
      </c>
      <c r="L677" t="s">
        <v>125</v>
      </c>
      <c r="M677" t="s">
        <v>1326</v>
      </c>
      <c r="N677" t="b">
        <v>0</v>
      </c>
    </row>
    <row r="678" spans="1:14">
      <c r="A678">
        <v>37</v>
      </c>
      <c r="B678">
        <v>11</v>
      </c>
      <c r="C678" t="s">
        <v>193</v>
      </c>
      <c r="D678" t="s">
        <v>723</v>
      </c>
      <c r="E678" t="s">
        <v>97</v>
      </c>
      <c r="F678">
        <v>50</v>
      </c>
      <c r="G678" t="s">
        <v>125</v>
      </c>
      <c r="H678" t="s">
        <v>125</v>
      </c>
      <c r="I678" t="s">
        <v>97</v>
      </c>
      <c r="J678" t="s">
        <v>125</v>
      </c>
      <c r="K678" t="s">
        <v>125</v>
      </c>
      <c r="L678" t="s">
        <v>125</v>
      </c>
      <c r="M678" t="s">
        <v>1327</v>
      </c>
      <c r="N678" t="b">
        <v>0</v>
      </c>
    </row>
    <row r="679" spans="1:14">
      <c r="A679">
        <v>37</v>
      </c>
      <c r="B679">
        <v>12</v>
      </c>
      <c r="C679" t="s">
        <v>324</v>
      </c>
      <c r="D679" t="s">
        <v>723</v>
      </c>
      <c r="E679" t="s">
        <v>101</v>
      </c>
      <c r="F679">
        <v>40</v>
      </c>
      <c r="G679" t="s">
        <v>125</v>
      </c>
      <c r="H679" t="s">
        <v>125</v>
      </c>
      <c r="I679" t="s">
        <v>101</v>
      </c>
      <c r="J679" t="s">
        <v>125</v>
      </c>
      <c r="K679" t="s">
        <v>125</v>
      </c>
      <c r="L679" t="s">
        <v>125</v>
      </c>
      <c r="M679" t="s">
        <v>1328</v>
      </c>
      <c r="N679" t="b">
        <v>0</v>
      </c>
    </row>
    <row r="680" spans="1:14">
      <c r="A680">
        <v>37</v>
      </c>
      <c r="B680">
        <v>13</v>
      </c>
      <c r="C680" t="s">
        <v>194</v>
      </c>
      <c r="D680" t="s">
        <v>723</v>
      </c>
      <c r="E680" t="s">
        <v>107</v>
      </c>
      <c r="F680">
        <v>60</v>
      </c>
      <c r="G680" t="s">
        <v>125</v>
      </c>
      <c r="H680" t="s">
        <v>125</v>
      </c>
      <c r="I680" t="s">
        <v>107</v>
      </c>
      <c r="J680" t="s">
        <v>125</v>
      </c>
      <c r="K680" t="s">
        <v>125</v>
      </c>
      <c r="L680" t="s">
        <v>125</v>
      </c>
      <c r="M680" t="s">
        <v>1329</v>
      </c>
      <c r="N680" t="b">
        <v>0</v>
      </c>
    </row>
    <row r="681" spans="1:14">
      <c r="A681">
        <v>37</v>
      </c>
      <c r="B681">
        <v>14</v>
      </c>
      <c r="C681" t="s">
        <v>125</v>
      </c>
      <c r="D681" t="s">
        <v>723</v>
      </c>
      <c r="E681" t="s">
        <v>125</v>
      </c>
      <c r="F681">
        <v>0</v>
      </c>
      <c r="G681" t="s">
        <v>125</v>
      </c>
      <c r="H681" t="s">
        <v>125</v>
      </c>
      <c r="I681" t="s">
        <v>125</v>
      </c>
      <c r="J681" t="s">
        <v>125</v>
      </c>
      <c r="K681" t="s">
        <v>125</v>
      </c>
      <c r="L681" t="s">
        <v>125</v>
      </c>
      <c r="M681" t="s">
        <v>1330</v>
      </c>
      <c r="N681" t="b">
        <v>0</v>
      </c>
    </row>
    <row r="682" spans="1:14">
      <c r="A682">
        <v>37</v>
      </c>
      <c r="B682">
        <v>15</v>
      </c>
      <c r="C682" t="s">
        <v>125</v>
      </c>
      <c r="D682" t="s">
        <v>723</v>
      </c>
      <c r="E682" t="s">
        <v>125</v>
      </c>
      <c r="F682">
        <v>0</v>
      </c>
      <c r="G682" t="s">
        <v>125</v>
      </c>
      <c r="H682" t="s">
        <v>125</v>
      </c>
      <c r="I682" t="s">
        <v>125</v>
      </c>
      <c r="J682" t="s">
        <v>125</v>
      </c>
      <c r="K682" t="s">
        <v>125</v>
      </c>
      <c r="L682" t="s">
        <v>125</v>
      </c>
      <c r="M682" t="s">
        <v>1331</v>
      </c>
      <c r="N682" t="b">
        <v>0</v>
      </c>
    </row>
    <row r="683" spans="1:14">
      <c r="A683">
        <v>37</v>
      </c>
      <c r="B683">
        <v>16</v>
      </c>
      <c r="C683" t="s">
        <v>125</v>
      </c>
      <c r="D683" t="s">
        <v>740</v>
      </c>
      <c r="E683" t="s">
        <v>125</v>
      </c>
      <c r="F683">
        <v>0</v>
      </c>
      <c r="G683" t="s">
        <v>125</v>
      </c>
      <c r="H683" t="s">
        <v>125</v>
      </c>
      <c r="I683" t="s">
        <v>125</v>
      </c>
      <c r="J683" t="s">
        <v>125</v>
      </c>
      <c r="K683" t="s">
        <v>125</v>
      </c>
      <c r="L683" t="s">
        <v>125</v>
      </c>
      <c r="M683" t="s">
        <v>1332</v>
      </c>
      <c r="N683" t="b">
        <v>0</v>
      </c>
    </row>
    <row r="684" spans="1:14">
      <c r="A684">
        <v>37</v>
      </c>
      <c r="B684">
        <v>17</v>
      </c>
      <c r="C684" t="s">
        <v>125</v>
      </c>
      <c r="D684" t="s">
        <v>740</v>
      </c>
      <c r="E684" t="s">
        <v>125</v>
      </c>
      <c r="F684">
        <v>0</v>
      </c>
      <c r="G684" t="s">
        <v>125</v>
      </c>
      <c r="H684" t="s">
        <v>125</v>
      </c>
      <c r="I684" t="s">
        <v>125</v>
      </c>
      <c r="J684" t="s">
        <v>125</v>
      </c>
      <c r="K684" t="s">
        <v>125</v>
      </c>
      <c r="L684" t="s">
        <v>125</v>
      </c>
      <c r="M684" t="s">
        <v>714</v>
      </c>
      <c r="N684" t="b">
        <v>0</v>
      </c>
    </row>
    <row r="685" spans="1:14">
      <c r="A685">
        <v>37</v>
      </c>
      <c r="B685">
        <v>18</v>
      </c>
      <c r="C685" t="s">
        <v>125</v>
      </c>
      <c r="D685" t="s">
        <v>740</v>
      </c>
      <c r="E685" t="s">
        <v>125</v>
      </c>
      <c r="F685">
        <v>0</v>
      </c>
      <c r="G685" t="s">
        <v>125</v>
      </c>
      <c r="H685" t="s">
        <v>125</v>
      </c>
      <c r="I685" t="s">
        <v>125</v>
      </c>
      <c r="J685" t="s">
        <v>125</v>
      </c>
      <c r="K685" t="s">
        <v>125</v>
      </c>
      <c r="L685" t="s">
        <v>125</v>
      </c>
      <c r="M685" t="s">
        <v>1333</v>
      </c>
      <c r="N685" t="b">
        <v>0</v>
      </c>
    </row>
    <row r="686" spans="1:14">
      <c r="A686">
        <v>37</v>
      </c>
      <c r="B686">
        <v>19</v>
      </c>
      <c r="C686" t="s">
        <v>125</v>
      </c>
      <c r="D686" t="s">
        <v>740</v>
      </c>
      <c r="E686" t="s">
        <v>125</v>
      </c>
      <c r="F686">
        <v>0</v>
      </c>
      <c r="G686" t="s">
        <v>125</v>
      </c>
      <c r="H686" t="s">
        <v>125</v>
      </c>
      <c r="I686" t="s">
        <v>125</v>
      </c>
      <c r="J686" t="s">
        <v>125</v>
      </c>
      <c r="K686" t="s">
        <v>125</v>
      </c>
      <c r="L686" t="s">
        <v>125</v>
      </c>
      <c r="M686" t="s">
        <v>1334</v>
      </c>
      <c r="N686" t="b">
        <v>0</v>
      </c>
    </row>
    <row r="687" spans="1:14">
      <c r="A687">
        <v>37</v>
      </c>
      <c r="B687">
        <v>20</v>
      </c>
      <c r="C687" t="s">
        <v>125</v>
      </c>
      <c r="D687" t="s">
        <v>740</v>
      </c>
      <c r="E687" t="s">
        <v>125</v>
      </c>
      <c r="F687">
        <v>0</v>
      </c>
      <c r="G687" t="s">
        <v>125</v>
      </c>
      <c r="H687" t="s">
        <v>125</v>
      </c>
      <c r="I687" t="s">
        <v>125</v>
      </c>
      <c r="J687" t="s">
        <v>125</v>
      </c>
      <c r="K687" t="s">
        <v>125</v>
      </c>
      <c r="L687" t="s">
        <v>125</v>
      </c>
      <c r="M687" t="s">
        <v>1335</v>
      </c>
      <c r="N687" t="b">
        <v>0</v>
      </c>
    </row>
    <row r="688" spans="1:14">
      <c r="A688">
        <v>37</v>
      </c>
      <c r="B688">
        <v>21</v>
      </c>
      <c r="C688" t="s">
        <v>125</v>
      </c>
      <c r="D688" t="s">
        <v>740</v>
      </c>
      <c r="E688" t="s">
        <v>125</v>
      </c>
      <c r="F688">
        <v>0</v>
      </c>
      <c r="G688" t="s">
        <v>125</v>
      </c>
      <c r="H688" t="s">
        <v>125</v>
      </c>
      <c r="I688" t="s">
        <v>125</v>
      </c>
      <c r="J688" t="s">
        <v>125</v>
      </c>
      <c r="K688" t="s">
        <v>125</v>
      </c>
      <c r="L688" t="s">
        <v>125</v>
      </c>
      <c r="M688" t="s">
        <v>1336</v>
      </c>
      <c r="N688" t="b">
        <v>0</v>
      </c>
    </row>
    <row r="689" spans="1:14">
      <c r="A689">
        <v>37</v>
      </c>
      <c r="B689">
        <v>22</v>
      </c>
      <c r="C689" t="s">
        <v>125</v>
      </c>
      <c r="D689" t="s">
        <v>740</v>
      </c>
      <c r="E689" t="s">
        <v>125</v>
      </c>
      <c r="F689">
        <v>0</v>
      </c>
      <c r="G689" t="s">
        <v>125</v>
      </c>
      <c r="H689" t="s">
        <v>125</v>
      </c>
      <c r="I689" t="s">
        <v>125</v>
      </c>
      <c r="J689" t="s">
        <v>125</v>
      </c>
      <c r="K689" t="s">
        <v>125</v>
      </c>
      <c r="L689" t="s">
        <v>125</v>
      </c>
      <c r="M689" t="s">
        <v>1337</v>
      </c>
      <c r="N689" t="b">
        <v>0</v>
      </c>
    </row>
    <row r="690" spans="1:14">
      <c r="A690">
        <v>37</v>
      </c>
      <c r="B690">
        <v>23</v>
      </c>
      <c r="C690" t="s">
        <v>125</v>
      </c>
      <c r="D690" t="s">
        <v>740</v>
      </c>
      <c r="E690" t="s">
        <v>125</v>
      </c>
      <c r="F690">
        <v>0</v>
      </c>
      <c r="G690" t="s">
        <v>125</v>
      </c>
      <c r="H690" t="s">
        <v>125</v>
      </c>
      <c r="I690" t="s">
        <v>125</v>
      </c>
      <c r="J690" t="s">
        <v>125</v>
      </c>
      <c r="K690" t="s">
        <v>125</v>
      </c>
      <c r="L690" t="s">
        <v>125</v>
      </c>
      <c r="M690" t="s">
        <v>1338</v>
      </c>
      <c r="N690" t="b">
        <v>0</v>
      </c>
    </row>
    <row r="691" spans="1:14">
      <c r="A691">
        <v>37</v>
      </c>
      <c r="B691">
        <v>24</v>
      </c>
      <c r="C691" t="s">
        <v>125</v>
      </c>
      <c r="D691" t="s">
        <v>740</v>
      </c>
      <c r="E691" t="s">
        <v>125</v>
      </c>
      <c r="F691">
        <v>0</v>
      </c>
      <c r="G691" t="s">
        <v>125</v>
      </c>
      <c r="H691" t="s">
        <v>125</v>
      </c>
      <c r="I691" t="s">
        <v>125</v>
      </c>
      <c r="J691" t="s">
        <v>125</v>
      </c>
      <c r="K691" t="s">
        <v>125</v>
      </c>
      <c r="L691" t="s">
        <v>125</v>
      </c>
      <c r="M691" t="s">
        <v>1339</v>
      </c>
      <c r="N691" t="b">
        <v>0</v>
      </c>
    </row>
    <row r="692" spans="1:14">
      <c r="A692">
        <v>37</v>
      </c>
      <c r="B692">
        <v>25</v>
      </c>
      <c r="C692" t="s">
        <v>125</v>
      </c>
      <c r="D692" t="s">
        <v>740</v>
      </c>
      <c r="E692" t="s">
        <v>125</v>
      </c>
      <c r="F692">
        <v>0</v>
      </c>
      <c r="G692" t="s">
        <v>125</v>
      </c>
      <c r="H692" t="s">
        <v>125</v>
      </c>
      <c r="I692" t="s">
        <v>125</v>
      </c>
      <c r="J692" t="s">
        <v>125</v>
      </c>
      <c r="K692" t="s">
        <v>125</v>
      </c>
      <c r="L692" t="s">
        <v>125</v>
      </c>
      <c r="M692" t="s">
        <v>1340</v>
      </c>
      <c r="N692" t="b">
        <v>0</v>
      </c>
    </row>
    <row r="693" spans="1:14">
      <c r="A693">
        <v>37</v>
      </c>
      <c r="B693">
        <v>26</v>
      </c>
      <c r="C693" t="s">
        <v>125</v>
      </c>
      <c r="D693" t="s">
        <v>740</v>
      </c>
      <c r="E693" t="s">
        <v>125</v>
      </c>
      <c r="F693">
        <v>0</v>
      </c>
      <c r="G693" t="s">
        <v>125</v>
      </c>
      <c r="H693" t="s">
        <v>125</v>
      </c>
      <c r="I693" t="s">
        <v>125</v>
      </c>
      <c r="J693" t="s">
        <v>125</v>
      </c>
      <c r="K693" t="s">
        <v>125</v>
      </c>
      <c r="L693" t="s">
        <v>125</v>
      </c>
      <c r="M693" t="s">
        <v>1341</v>
      </c>
      <c r="N693" t="b">
        <v>0</v>
      </c>
    </row>
    <row r="694" spans="1:14">
      <c r="A694">
        <v>40</v>
      </c>
      <c r="B694">
        <v>0</v>
      </c>
      <c r="C694" t="s">
        <v>185</v>
      </c>
      <c r="D694" t="s">
        <v>723</v>
      </c>
      <c r="E694" t="s">
        <v>64</v>
      </c>
      <c r="F694">
        <v>50</v>
      </c>
      <c r="G694" t="s">
        <v>125</v>
      </c>
      <c r="H694" t="s">
        <v>125</v>
      </c>
      <c r="I694" t="s">
        <v>64</v>
      </c>
      <c r="J694" t="s">
        <v>125</v>
      </c>
      <c r="K694" t="s">
        <v>125</v>
      </c>
      <c r="L694" t="s">
        <v>125</v>
      </c>
      <c r="M694" t="s">
        <v>1342</v>
      </c>
      <c r="N694" t="b">
        <v>0</v>
      </c>
    </row>
    <row r="695" spans="1:14">
      <c r="A695">
        <v>40</v>
      </c>
      <c r="B695">
        <v>1</v>
      </c>
      <c r="C695" t="s">
        <v>328</v>
      </c>
      <c r="D695" t="s">
        <v>723</v>
      </c>
      <c r="E695" t="s">
        <v>76</v>
      </c>
      <c r="F695">
        <v>40</v>
      </c>
      <c r="G695" t="s">
        <v>125</v>
      </c>
      <c r="H695" t="s">
        <v>125</v>
      </c>
      <c r="I695" t="s">
        <v>76</v>
      </c>
      <c r="J695" t="s">
        <v>125</v>
      </c>
      <c r="K695" t="s">
        <v>125</v>
      </c>
      <c r="L695" t="s">
        <v>125</v>
      </c>
      <c r="M695" t="s">
        <v>1343</v>
      </c>
      <c r="N695" t="b">
        <v>0</v>
      </c>
    </row>
    <row r="696" spans="1:14">
      <c r="A696">
        <v>40</v>
      </c>
      <c r="B696">
        <v>2</v>
      </c>
      <c r="C696" t="s">
        <v>157</v>
      </c>
      <c r="D696" t="s">
        <v>723</v>
      </c>
      <c r="E696" t="s">
        <v>82</v>
      </c>
      <c r="F696">
        <v>40</v>
      </c>
      <c r="G696" t="s">
        <v>125</v>
      </c>
      <c r="H696" t="s">
        <v>125</v>
      </c>
      <c r="I696" t="s">
        <v>82</v>
      </c>
      <c r="J696" t="s">
        <v>125</v>
      </c>
      <c r="K696" t="s">
        <v>125</v>
      </c>
      <c r="L696" t="s">
        <v>125</v>
      </c>
      <c r="M696" t="s">
        <v>1344</v>
      </c>
      <c r="N696" t="b">
        <v>0</v>
      </c>
    </row>
    <row r="697" spans="1:14">
      <c r="A697">
        <v>40</v>
      </c>
      <c r="B697">
        <v>3</v>
      </c>
      <c r="C697" t="s">
        <v>186</v>
      </c>
      <c r="D697" t="s">
        <v>723</v>
      </c>
      <c r="E697" t="s">
        <v>92</v>
      </c>
      <c r="F697">
        <v>50</v>
      </c>
      <c r="G697" t="s">
        <v>125</v>
      </c>
      <c r="H697" t="s">
        <v>125</v>
      </c>
      <c r="I697" t="s">
        <v>92</v>
      </c>
      <c r="J697" t="s">
        <v>125</v>
      </c>
      <c r="K697" t="s">
        <v>125</v>
      </c>
      <c r="L697" t="s">
        <v>125</v>
      </c>
      <c r="M697" t="s">
        <v>1345</v>
      </c>
      <c r="N697" t="b">
        <v>0</v>
      </c>
    </row>
    <row r="698" spans="1:14">
      <c r="A698">
        <v>40</v>
      </c>
      <c r="B698">
        <v>4</v>
      </c>
      <c r="C698" t="s">
        <v>227</v>
      </c>
      <c r="D698" t="s">
        <v>723</v>
      </c>
      <c r="E698" t="s">
        <v>96</v>
      </c>
      <c r="F698">
        <v>40</v>
      </c>
      <c r="G698" t="s">
        <v>125</v>
      </c>
      <c r="H698" t="s">
        <v>125</v>
      </c>
      <c r="I698" t="s">
        <v>96</v>
      </c>
      <c r="J698" t="s">
        <v>125</v>
      </c>
      <c r="K698" t="s">
        <v>125</v>
      </c>
      <c r="L698" t="s">
        <v>125</v>
      </c>
      <c r="M698" t="s">
        <v>1346</v>
      </c>
      <c r="N698" t="b">
        <v>0</v>
      </c>
    </row>
    <row r="699" spans="1:14">
      <c r="A699">
        <v>40</v>
      </c>
      <c r="B699">
        <v>5</v>
      </c>
      <c r="C699" t="s">
        <v>187</v>
      </c>
      <c r="D699" t="s">
        <v>723</v>
      </c>
      <c r="E699" t="s">
        <v>98</v>
      </c>
      <c r="F699">
        <v>50</v>
      </c>
      <c r="G699" t="s">
        <v>125</v>
      </c>
      <c r="H699" t="s">
        <v>125</v>
      </c>
      <c r="I699" t="s">
        <v>98</v>
      </c>
      <c r="J699" t="s">
        <v>125</v>
      </c>
      <c r="K699" t="s">
        <v>125</v>
      </c>
      <c r="L699" t="s">
        <v>125</v>
      </c>
      <c r="M699" t="s">
        <v>1347</v>
      </c>
      <c r="N699" t="b">
        <v>0</v>
      </c>
    </row>
    <row r="700" spans="1:14">
      <c r="A700">
        <v>40</v>
      </c>
      <c r="B700">
        <v>6</v>
      </c>
      <c r="C700" t="s">
        <v>188</v>
      </c>
      <c r="D700" t="s">
        <v>723</v>
      </c>
      <c r="E700" t="s">
        <v>100</v>
      </c>
      <c r="F700">
        <v>50</v>
      </c>
      <c r="G700" t="s">
        <v>125</v>
      </c>
      <c r="H700" t="s">
        <v>125</v>
      </c>
      <c r="I700" t="s">
        <v>100</v>
      </c>
      <c r="J700" t="s">
        <v>125</v>
      </c>
      <c r="K700" t="s">
        <v>125</v>
      </c>
      <c r="L700" t="s">
        <v>125</v>
      </c>
      <c r="M700" t="s">
        <v>1348</v>
      </c>
      <c r="N700" t="b">
        <v>0</v>
      </c>
    </row>
    <row r="701" spans="1:14">
      <c r="A701">
        <v>40</v>
      </c>
      <c r="B701">
        <v>7</v>
      </c>
      <c r="C701" t="s">
        <v>189</v>
      </c>
      <c r="D701" t="s">
        <v>723</v>
      </c>
      <c r="E701" t="s">
        <v>108</v>
      </c>
      <c r="F701">
        <v>30</v>
      </c>
      <c r="G701" t="s">
        <v>125</v>
      </c>
      <c r="H701" t="s">
        <v>125</v>
      </c>
      <c r="I701" t="s">
        <v>108</v>
      </c>
      <c r="J701" t="s">
        <v>125</v>
      </c>
      <c r="K701" t="s">
        <v>125</v>
      </c>
      <c r="L701" t="s">
        <v>125</v>
      </c>
      <c r="M701" t="s">
        <v>1349</v>
      </c>
      <c r="N701" t="b">
        <v>0</v>
      </c>
    </row>
    <row r="702" spans="1:14">
      <c r="A702">
        <v>40</v>
      </c>
      <c r="B702">
        <v>8</v>
      </c>
      <c r="C702" t="s">
        <v>197</v>
      </c>
      <c r="D702" t="s">
        <v>723</v>
      </c>
      <c r="E702" t="s">
        <v>112</v>
      </c>
      <c r="F702">
        <v>50</v>
      </c>
      <c r="G702" t="s">
        <v>125</v>
      </c>
      <c r="H702" t="s">
        <v>125</v>
      </c>
      <c r="I702" t="s">
        <v>112</v>
      </c>
      <c r="J702" t="s">
        <v>125</v>
      </c>
      <c r="K702" t="s">
        <v>125</v>
      </c>
      <c r="L702" t="s">
        <v>125</v>
      </c>
      <c r="M702" t="s">
        <v>1350</v>
      </c>
      <c r="N702" t="b">
        <v>0</v>
      </c>
    </row>
    <row r="703" spans="1:14">
      <c r="A703">
        <v>40</v>
      </c>
      <c r="B703">
        <v>9</v>
      </c>
      <c r="C703" t="s">
        <v>190</v>
      </c>
      <c r="D703" t="s">
        <v>723</v>
      </c>
      <c r="E703" t="s">
        <v>114</v>
      </c>
      <c r="F703">
        <v>60</v>
      </c>
      <c r="G703" t="s">
        <v>125</v>
      </c>
      <c r="H703" t="s">
        <v>125</v>
      </c>
      <c r="I703" t="s">
        <v>114</v>
      </c>
      <c r="J703" t="s">
        <v>125</v>
      </c>
      <c r="K703" t="s">
        <v>125</v>
      </c>
      <c r="L703" t="s">
        <v>125</v>
      </c>
      <c r="M703" t="s">
        <v>1351</v>
      </c>
      <c r="N703" t="b">
        <v>0</v>
      </c>
    </row>
    <row r="704" spans="1:14">
      <c r="A704">
        <v>40</v>
      </c>
      <c r="B704">
        <v>10</v>
      </c>
      <c r="C704" t="s">
        <v>191</v>
      </c>
      <c r="D704" t="s">
        <v>723</v>
      </c>
      <c r="E704" t="s">
        <v>60</v>
      </c>
      <c r="F704">
        <v>30</v>
      </c>
      <c r="G704" t="s">
        <v>125</v>
      </c>
      <c r="H704" t="s">
        <v>125</v>
      </c>
      <c r="I704" t="s">
        <v>60</v>
      </c>
      <c r="J704" t="s">
        <v>125</v>
      </c>
      <c r="K704" t="s">
        <v>125</v>
      </c>
      <c r="L704" t="s">
        <v>125</v>
      </c>
      <c r="M704" t="s">
        <v>1352</v>
      </c>
      <c r="N704" t="b">
        <v>0</v>
      </c>
    </row>
    <row r="705" spans="1:14">
      <c r="A705">
        <v>40</v>
      </c>
      <c r="B705">
        <v>11</v>
      </c>
      <c r="C705" t="s">
        <v>192</v>
      </c>
      <c r="D705" t="s">
        <v>723</v>
      </c>
      <c r="E705" t="s">
        <v>77</v>
      </c>
      <c r="F705">
        <v>50</v>
      </c>
      <c r="G705" t="s">
        <v>125</v>
      </c>
      <c r="H705" t="s">
        <v>125</v>
      </c>
      <c r="I705" t="s">
        <v>77</v>
      </c>
      <c r="J705" t="s">
        <v>125</v>
      </c>
      <c r="K705" t="s">
        <v>125</v>
      </c>
      <c r="L705" t="s">
        <v>125</v>
      </c>
      <c r="M705" t="s">
        <v>1353</v>
      </c>
      <c r="N705" t="b">
        <v>0</v>
      </c>
    </row>
    <row r="706" spans="1:14">
      <c r="A706">
        <v>40</v>
      </c>
      <c r="B706">
        <v>12</v>
      </c>
      <c r="C706" t="s">
        <v>193</v>
      </c>
      <c r="D706" t="s">
        <v>723</v>
      </c>
      <c r="E706" t="s">
        <v>97</v>
      </c>
      <c r="F706">
        <v>50</v>
      </c>
      <c r="G706" t="s">
        <v>125</v>
      </c>
      <c r="H706" t="s">
        <v>125</v>
      </c>
      <c r="I706" t="s">
        <v>97</v>
      </c>
      <c r="J706" t="s">
        <v>125</v>
      </c>
      <c r="K706" t="s">
        <v>125</v>
      </c>
      <c r="L706" t="s">
        <v>125</v>
      </c>
      <c r="M706" t="s">
        <v>1354</v>
      </c>
      <c r="N706" t="b">
        <v>0</v>
      </c>
    </row>
    <row r="707" spans="1:14">
      <c r="A707">
        <v>40</v>
      </c>
      <c r="B707">
        <v>13</v>
      </c>
      <c r="C707" t="s">
        <v>324</v>
      </c>
      <c r="D707" t="s">
        <v>723</v>
      </c>
      <c r="E707" t="s">
        <v>101</v>
      </c>
      <c r="F707">
        <v>40</v>
      </c>
      <c r="G707" t="s">
        <v>125</v>
      </c>
      <c r="H707" t="s">
        <v>125</v>
      </c>
      <c r="I707" t="s">
        <v>101</v>
      </c>
      <c r="J707" t="s">
        <v>125</v>
      </c>
      <c r="K707" t="s">
        <v>125</v>
      </c>
      <c r="L707" t="s">
        <v>125</v>
      </c>
      <c r="M707" t="s">
        <v>1355</v>
      </c>
      <c r="N707" t="b">
        <v>0</v>
      </c>
    </row>
    <row r="708" spans="1:14">
      <c r="A708">
        <v>40</v>
      </c>
      <c r="B708">
        <v>14</v>
      </c>
      <c r="C708" t="s">
        <v>194</v>
      </c>
      <c r="D708" t="s">
        <v>723</v>
      </c>
      <c r="E708" t="s">
        <v>107</v>
      </c>
      <c r="F708">
        <v>60</v>
      </c>
      <c r="G708" t="s">
        <v>125</v>
      </c>
      <c r="H708" t="s">
        <v>125</v>
      </c>
      <c r="I708" t="s">
        <v>107</v>
      </c>
      <c r="J708" t="s">
        <v>125</v>
      </c>
      <c r="K708" t="s">
        <v>125</v>
      </c>
      <c r="L708" t="s">
        <v>125</v>
      </c>
      <c r="M708" t="s">
        <v>1356</v>
      </c>
      <c r="N708" t="b">
        <v>0</v>
      </c>
    </row>
    <row r="709" spans="1:14">
      <c r="A709">
        <v>40</v>
      </c>
      <c r="B709">
        <v>15</v>
      </c>
      <c r="C709" t="s">
        <v>125</v>
      </c>
      <c r="D709" t="s">
        <v>723</v>
      </c>
      <c r="E709" t="s">
        <v>125</v>
      </c>
      <c r="F709">
        <v>0</v>
      </c>
      <c r="G709" t="s">
        <v>125</v>
      </c>
      <c r="H709" t="s">
        <v>125</v>
      </c>
      <c r="I709" t="s">
        <v>125</v>
      </c>
      <c r="J709" t="s">
        <v>125</v>
      </c>
      <c r="K709" t="s">
        <v>125</v>
      </c>
      <c r="L709" t="s">
        <v>125</v>
      </c>
      <c r="M709" t="s">
        <v>1357</v>
      </c>
      <c r="N709" t="b">
        <v>0</v>
      </c>
    </row>
    <row r="710" spans="1:14">
      <c r="A710">
        <v>40</v>
      </c>
      <c r="B710">
        <v>16</v>
      </c>
      <c r="C710" t="s">
        <v>125</v>
      </c>
      <c r="D710" t="s">
        <v>740</v>
      </c>
      <c r="E710" t="s">
        <v>125</v>
      </c>
      <c r="F710">
        <v>0</v>
      </c>
      <c r="G710" t="s">
        <v>125</v>
      </c>
      <c r="H710" t="s">
        <v>125</v>
      </c>
      <c r="I710" t="s">
        <v>125</v>
      </c>
      <c r="J710" t="s">
        <v>125</v>
      </c>
      <c r="K710" t="s">
        <v>125</v>
      </c>
      <c r="L710" t="s">
        <v>125</v>
      </c>
      <c r="M710" t="s">
        <v>1358</v>
      </c>
      <c r="N710" t="b">
        <v>0</v>
      </c>
    </row>
    <row r="711" spans="1:14">
      <c r="A711">
        <v>40</v>
      </c>
      <c r="B711">
        <v>17</v>
      </c>
      <c r="C711" t="s">
        <v>125</v>
      </c>
      <c r="D711" t="s">
        <v>740</v>
      </c>
      <c r="E711" t="s">
        <v>125</v>
      </c>
      <c r="F711">
        <v>0</v>
      </c>
      <c r="G711" t="s">
        <v>125</v>
      </c>
      <c r="H711" t="s">
        <v>125</v>
      </c>
      <c r="I711" t="s">
        <v>125</v>
      </c>
      <c r="J711" t="s">
        <v>125</v>
      </c>
      <c r="K711" t="s">
        <v>125</v>
      </c>
      <c r="L711" t="s">
        <v>125</v>
      </c>
      <c r="M711" t="s">
        <v>719</v>
      </c>
      <c r="N711" t="b">
        <v>0</v>
      </c>
    </row>
    <row r="712" spans="1:14">
      <c r="A712">
        <v>40</v>
      </c>
      <c r="B712">
        <v>18</v>
      </c>
      <c r="C712" t="s">
        <v>125</v>
      </c>
      <c r="D712" t="s">
        <v>740</v>
      </c>
      <c r="E712" t="s">
        <v>125</v>
      </c>
      <c r="F712">
        <v>0</v>
      </c>
      <c r="G712" t="s">
        <v>125</v>
      </c>
      <c r="H712" t="s">
        <v>125</v>
      </c>
      <c r="I712" t="s">
        <v>125</v>
      </c>
      <c r="J712" t="s">
        <v>125</v>
      </c>
      <c r="K712" t="s">
        <v>125</v>
      </c>
      <c r="L712" t="s">
        <v>125</v>
      </c>
      <c r="M712" t="s">
        <v>1359</v>
      </c>
      <c r="N712" t="b">
        <v>0</v>
      </c>
    </row>
    <row r="713" spans="1:14">
      <c r="A713">
        <v>40</v>
      </c>
      <c r="B713">
        <v>19</v>
      </c>
      <c r="C713" t="s">
        <v>125</v>
      </c>
      <c r="D713" t="s">
        <v>740</v>
      </c>
      <c r="E713" t="s">
        <v>125</v>
      </c>
      <c r="F713">
        <v>0</v>
      </c>
      <c r="G713" t="s">
        <v>125</v>
      </c>
      <c r="H713" t="s">
        <v>125</v>
      </c>
      <c r="I713" t="s">
        <v>125</v>
      </c>
      <c r="J713" t="s">
        <v>125</v>
      </c>
      <c r="K713" t="s">
        <v>125</v>
      </c>
      <c r="L713" t="s">
        <v>125</v>
      </c>
      <c r="M713" t="s">
        <v>1360</v>
      </c>
      <c r="N713" t="b">
        <v>0</v>
      </c>
    </row>
    <row r="714" spans="1:14">
      <c r="A714">
        <v>40</v>
      </c>
      <c r="B714">
        <v>20</v>
      </c>
      <c r="C714" t="s">
        <v>125</v>
      </c>
      <c r="D714" t="s">
        <v>740</v>
      </c>
      <c r="E714" t="s">
        <v>125</v>
      </c>
      <c r="F714">
        <v>0</v>
      </c>
      <c r="G714" t="s">
        <v>125</v>
      </c>
      <c r="H714" t="s">
        <v>125</v>
      </c>
      <c r="I714" t="s">
        <v>125</v>
      </c>
      <c r="J714" t="s">
        <v>125</v>
      </c>
      <c r="K714" t="s">
        <v>125</v>
      </c>
      <c r="L714" t="s">
        <v>125</v>
      </c>
      <c r="M714" t="s">
        <v>1361</v>
      </c>
      <c r="N714" t="b">
        <v>0</v>
      </c>
    </row>
    <row r="715" spans="1:14">
      <c r="A715">
        <v>40</v>
      </c>
      <c r="B715">
        <v>21</v>
      </c>
      <c r="C715" t="s">
        <v>125</v>
      </c>
      <c r="D715" t="s">
        <v>740</v>
      </c>
      <c r="E715" t="s">
        <v>125</v>
      </c>
      <c r="F715">
        <v>0</v>
      </c>
      <c r="G715" t="s">
        <v>125</v>
      </c>
      <c r="H715" t="s">
        <v>125</v>
      </c>
      <c r="I715" t="s">
        <v>125</v>
      </c>
      <c r="J715" t="s">
        <v>125</v>
      </c>
      <c r="K715" t="s">
        <v>125</v>
      </c>
      <c r="L715" t="s">
        <v>125</v>
      </c>
      <c r="M715" t="s">
        <v>1362</v>
      </c>
      <c r="N715" t="b">
        <v>0</v>
      </c>
    </row>
    <row r="716" spans="1:14">
      <c r="A716">
        <v>40</v>
      </c>
      <c r="B716">
        <v>22</v>
      </c>
      <c r="C716" t="s">
        <v>125</v>
      </c>
      <c r="D716" t="s">
        <v>740</v>
      </c>
      <c r="E716" t="s">
        <v>125</v>
      </c>
      <c r="F716">
        <v>0</v>
      </c>
      <c r="G716" t="s">
        <v>125</v>
      </c>
      <c r="H716" t="s">
        <v>125</v>
      </c>
      <c r="I716" t="s">
        <v>125</v>
      </c>
      <c r="J716" t="s">
        <v>125</v>
      </c>
      <c r="K716" t="s">
        <v>125</v>
      </c>
      <c r="L716" t="s">
        <v>125</v>
      </c>
      <c r="M716" t="s">
        <v>1363</v>
      </c>
      <c r="N716" t="b">
        <v>0</v>
      </c>
    </row>
    <row r="717" spans="1:14">
      <c r="A717">
        <v>40</v>
      </c>
      <c r="B717">
        <v>23</v>
      </c>
      <c r="C717" t="s">
        <v>125</v>
      </c>
      <c r="D717" t="s">
        <v>740</v>
      </c>
      <c r="E717" t="s">
        <v>125</v>
      </c>
      <c r="F717">
        <v>0</v>
      </c>
      <c r="G717" t="s">
        <v>125</v>
      </c>
      <c r="H717" t="s">
        <v>125</v>
      </c>
      <c r="I717" t="s">
        <v>125</v>
      </c>
      <c r="J717" t="s">
        <v>125</v>
      </c>
      <c r="K717" t="s">
        <v>125</v>
      </c>
      <c r="L717" t="s">
        <v>125</v>
      </c>
      <c r="M717" t="s">
        <v>1364</v>
      </c>
      <c r="N717" t="b">
        <v>0</v>
      </c>
    </row>
    <row r="718" spans="1:14">
      <c r="A718">
        <v>40</v>
      </c>
      <c r="B718">
        <v>24</v>
      </c>
      <c r="C718" t="s">
        <v>125</v>
      </c>
      <c r="D718" t="s">
        <v>740</v>
      </c>
      <c r="E718" t="s">
        <v>125</v>
      </c>
      <c r="F718">
        <v>0</v>
      </c>
      <c r="G718" t="s">
        <v>125</v>
      </c>
      <c r="H718" t="s">
        <v>125</v>
      </c>
      <c r="I718" t="s">
        <v>125</v>
      </c>
      <c r="J718" t="s">
        <v>125</v>
      </c>
      <c r="K718" t="s">
        <v>125</v>
      </c>
      <c r="L718" t="s">
        <v>125</v>
      </c>
      <c r="M718" t="s">
        <v>1365</v>
      </c>
      <c r="N718" t="b">
        <v>0</v>
      </c>
    </row>
    <row r="719" spans="1:14">
      <c r="A719">
        <v>40</v>
      </c>
      <c r="B719">
        <v>25</v>
      </c>
      <c r="C719" t="s">
        <v>125</v>
      </c>
      <c r="D719" t="s">
        <v>740</v>
      </c>
      <c r="E719" t="s">
        <v>125</v>
      </c>
      <c r="F719">
        <v>0</v>
      </c>
      <c r="G719" t="s">
        <v>125</v>
      </c>
      <c r="H719" t="s">
        <v>125</v>
      </c>
      <c r="I719" t="s">
        <v>125</v>
      </c>
      <c r="J719" t="s">
        <v>125</v>
      </c>
      <c r="K719" t="s">
        <v>125</v>
      </c>
      <c r="L719" t="s">
        <v>125</v>
      </c>
      <c r="M719" t="s">
        <v>1366</v>
      </c>
      <c r="N719" t="b">
        <v>0</v>
      </c>
    </row>
    <row r="720" spans="1:14">
      <c r="A720">
        <v>40</v>
      </c>
      <c r="B720">
        <v>26</v>
      </c>
      <c r="C720" t="s">
        <v>125</v>
      </c>
      <c r="D720" t="s">
        <v>740</v>
      </c>
      <c r="E720" t="s">
        <v>125</v>
      </c>
      <c r="F720">
        <v>0</v>
      </c>
      <c r="G720" t="s">
        <v>125</v>
      </c>
      <c r="H720" t="s">
        <v>125</v>
      </c>
      <c r="I720" t="s">
        <v>125</v>
      </c>
      <c r="J720" t="s">
        <v>125</v>
      </c>
      <c r="K720" t="s">
        <v>125</v>
      </c>
      <c r="L720" t="s">
        <v>125</v>
      </c>
      <c r="M720" t="s">
        <v>1367</v>
      </c>
      <c r="N720" t="b">
        <v>0</v>
      </c>
    </row>
    <row r="721" spans="1:14">
      <c r="A721">
        <v>43</v>
      </c>
      <c r="B721">
        <v>0</v>
      </c>
      <c r="C721" t="s">
        <v>185</v>
      </c>
      <c r="D721" t="s">
        <v>723</v>
      </c>
      <c r="E721" t="s">
        <v>64</v>
      </c>
      <c r="F721">
        <v>50</v>
      </c>
      <c r="G721" t="s">
        <v>125</v>
      </c>
      <c r="H721" t="s">
        <v>125</v>
      </c>
      <c r="I721" t="s">
        <v>64</v>
      </c>
      <c r="J721" t="s">
        <v>125</v>
      </c>
      <c r="K721" t="s">
        <v>125</v>
      </c>
      <c r="L721" t="s">
        <v>125</v>
      </c>
      <c r="M721" t="s">
        <v>1368</v>
      </c>
      <c r="N721" t="b">
        <v>0</v>
      </c>
    </row>
    <row r="722" spans="1:14">
      <c r="A722">
        <v>43</v>
      </c>
      <c r="B722">
        <v>1</v>
      </c>
      <c r="C722" t="s">
        <v>216</v>
      </c>
      <c r="D722" t="s">
        <v>723</v>
      </c>
      <c r="E722" t="s">
        <v>76</v>
      </c>
      <c r="F722">
        <v>60</v>
      </c>
      <c r="G722" t="s">
        <v>125</v>
      </c>
      <c r="H722" t="s">
        <v>125</v>
      </c>
      <c r="I722" t="s">
        <v>76</v>
      </c>
      <c r="J722" t="s">
        <v>125</v>
      </c>
      <c r="K722" t="s">
        <v>125</v>
      </c>
      <c r="L722" t="s">
        <v>125</v>
      </c>
      <c r="M722" t="s">
        <v>1369</v>
      </c>
      <c r="N722" t="b">
        <v>0</v>
      </c>
    </row>
    <row r="723" spans="1:14">
      <c r="A723">
        <v>43</v>
      </c>
      <c r="B723">
        <v>2</v>
      </c>
      <c r="C723" t="s">
        <v>267</v>
      </c>
      <c r="D723" t="s">
        <v>723</v>
      </c>
      <c r="E723" t="s">
        <v>82</v>
      </c>
      <c r="F723">
        <v>30</v>
      </c>
      <c r="G723" t="s">
        <v>125</v>
      </c>
      <c r="H723" t="s">
        <v>125</v>
      </c>
      <c r="I723" t="s">
        <v>82</v>
      </c>
      <c r="J723" t="s">
        <v>125</v>
      </c>
      <c r="K723" t="s">
        <v>125</v>
      </c>
      <c r="L723" t="s">
        <v>125</v>
      </c>
      <c r="M723" t="s">
        <v>1370</v>
      </c>
      <c r="N723" t="b">
        <v>0</v>
      </c>
    </row>
    <row r="724" spans="1:14">
      <c r="A724">
        <v>43</v>
      </c>
      <c r="B724">
        <v>3</v>
      </c>
      <c r="C724" t="s">
        <v>250</v>
      </c>
      <c r="D724" t="s">
        <v>723</v>
      </c>
      <c r="E724" t="s">
        <v>98</v>
      </c>
      <c r="F724">
        <v>40</v>
      </c>
      <c r="G724" t="s">
        <v>125</v>
      </c>
      <c r="H724" t="s">
        <v>125</v>
      </c>
      <c r="I724" t="s">
        <v>98</v>
      </c>
      <c r="J724" t="s">
        <v>125</v>
      </c>
      <c r="K724" t="s">
        <v>125</v>
      </c>
      <c r="L724" t="s">
        <v>125</v>
      </c>
      <c r="M724" t="s">
        <v>1371</v>
      </c>
      <c r="N724" t="b">
        <v>0</v>
      </c>
    </row>
    <row r="725" spans="1:14">
      <c r="A725">
        <v>43</v>
      </c>
      <c r="B725">
        <v>4</v>
      </c>
      <c r="C725" t="s">
        <v>228</v>
      </c>
      <c r="D725" t="s">
        <v>723</v>
      </c>
      <c r="E725" t="s">
        <v>100</v>
      </c>
      <c r="F725">
        <v>40</v>
      </c>
      <c r="G725" t="s">
        <v>125</v>
      </c>
      <c r="H725" t="s">
        <v>125</v>
      </c>
      <c r="I725" t="s">
        <v>100</v>
      </c>
      <c r="J725" t="s">
        <v>125</v>
      </c>
      <c r="K725" t="s">
        <v>125</v>
      </c>
      <c r="L725" t="s">
        <v>125</v>
      </c>
      <c r="M725" t="s">
        <v>1372</v>
      </c>
      <c r="N725" t="b">
        <v>0</v>
      </c>
    </row>
    <row r="726" spans="1:14">
      <c r="A726">
        <v>43</v>
      </c>
      <c r="B726">
        <v>5</v>
      </c>
      <c r="C726" t="s">
        <v>274</v>
      </c>
      <c r="D726" t="s">
        <v>723</v>
      </c>
      <c r="E726" t="s">
        <v>102</v>
      </c>
      <c r="F726">
        <v>30</v>
      </c>
      <c r="G726" t="s">
        <v>125</v>
      </c>
      <c r="H726" t="s">
        <v>125</v>
      </c>
      <c r="I726" t="s">
        <v>102</v>
      </c>
      <c r="J726" t="s">
        <v>125</v>
      </c>
      <c r="K726" t="s">
        <v>125</v>
      </c>
      <c r="L726" t="s">
        <v>125</v>
      </c>
      <c r="M726" t="s">
        <v>1373</v>
      </c>
      <c r="N726" t="b">
        <v>0</v>
      </c>
    </row>
    <row r="727" spans="1:14">
      <c r="A727">
        <v>43</v>
      </c>
      <c r="B727">
        <v>6</v>
      </c>
      <c r="C727" t="s">
        <v>287</v>
      </c>
      <c r="D727" t="s">
        <v>723</v>
      </c>
      <c r="E727" t="s">
        <v>330</v>
      </c>
      <c r="F727">
        <v>40</v>
      </c>
      <c r="G727" t="s">
        <v>125</v>
      </c>
      <c r="H727" t="s">
        <v>547</v>
      </c>
      <c r="I727" t="s">
        <v>444</v>
      </c>
      <c r="J727" t="s">
        <v>125</v>
      </c>
      <c r="K727" t="s">
        <v>920</v>
      </c>
      <c r="L727" t="s">
        <v>921</v>
      </c>
      <c r="M727" t="s">
        <v>1374</v>
      </c>
      <c r="N727" t="b">
        <v>0</v>
      </c>
    </row>
    <row r="728" spans="1:14">
      <c r="A728">
        <v>43</v>
      </c>
      <c r="B728">
        <v>7</v>
      </c>
      <c r="C728" t="s">
        <v>166</v>
      </c>
      <c r="D728" t="s">
        <v>723</v>
      </c>
      <c r="E728" t="s">
        <v>73</v>
      </c>
      <c r="F728">
        <v>50</v>
      </c>
      <c r="G728" t="s">
        <v>125</v>
      </c>
      <c r="H728" t="s">
        <v>125</v>
      </c>
      <c r="I728" t="s">
        <v>73</v>
      </c>
      <c r="J728" t="s">
        <v>125</v>
      </c>
      <c r="K728" t="s">
        <v>125</v>
      </c>
      <c r="L728" t="s">
        <v>125</v>
      </c>
      <c r="M728" t="s">
        <v>1375</v>
      </c>
      <c r="N728" t="b">
        <v>0</v>
      </c>
    </row>
    <row r="729" spans="1:14">
      <c r="A729">
        <v>43</v>
      </c>
      <c r="B729">
        <v>8</v>
      </c>
      <c r="C729" t="s">
        <v>288</v>
      </c>
      <c r="D729" t="s">
        <v>723</v>
      </c>
      <c r="E729" t="s">
        <v>77</v>
      </c>
      <c r="F729">
        <v>30</v>
      </c>
      <c r="G729" t="s">
        <v>125</v>
      </c>
      <c r="H729" t="s">
        <v>125</v>
      </c>
      <c r="I729" t="s">
        <v>77</v>
      </c>
      <c r="J729" t="s">
        <v>125</v>
      </c>
      <c r="K729" t="s">
        <v>125</v>
      </c>
      <c r="L729" t="s">
        <v>125</v>
      </c>
      <c r="M729" t="s">
        <v>1376</v>
      </c>
      <c r="N729" t="b">
        <v>0</v>
      </c>
    </row>
    <row r="730" spans="1:14">
      <c r="A730">
        <v>43</v>
      </c>
      <c r="B730">
        <v>9</v>
      </c>
      <c r="C730" t="s">
        <v>169</v>
      </c>
      <c r="D730" t="s">
        <v>723</v>
      </c>
      <c r="E730" t="s">
        <v>105</v>
      </c>
      <c r="F730">
        <v>50</v>
      </c>
      <c r="G730" t="s">
        <v>125</v>
      </c>
      <c r="H730" t="s">
        <v>125</v>
      </c>
      <c r="I730" t="s">
        <v>105</v>
      </c>
      <c r="J730" t="s">
        <v>125</v>
      </c>
      <c r="K730" t="s">
        <v>125</v>
      </c>
      <c r="L730" t="s">
        <v>125</v>
      </c>
      <c r="M730" t="s">
        <v>1377</v>
      </c>
      <c r="N730" t="b">
        <v>0</v>
      </c>
    </row>
    <row r="731" spans="1:14">
      <c r="A731">
        <v>43</v>
      </c>
      <c r="B731">
        <v>10</v>
      </c>
      <c r="C731" t="s">
        <v>231</v>
      </c>
      <c r="D731" t="s">
        <v>723</v>
      </c>
      <c r="E731" t="s">
        <v>107</v>
      </c>
      <c r="F731">
        <v>50</v>
      </c>
      <c r="G731" t="s">
        <v>125</v>
      </c>
      <c r="H731" t="s">
        <v>125</v>
      </c>
      <c r="I731" t="s">
        <v>107</v>
      </c>
      <c r="J731" t="s">
        <v>125</v>
      </c>
      <c r="K731" t="s">
        <v>125</v>
      </c>
      <c r="L731" t="s">
        <v>125</v>
      </c>
      <c r="M731" t="s">
        <v>1378</v>
      </c>
      <c r="N731" t="b">
        <v>0</v>
      </c>
    </row>
    <row r="732" spans="1:14">
      <c r="A732">
        <v>43</v>
      </c>
      <c r="B732">
        <v>11</v>
      </c>
      <c r="C732" t="s">
        <v>125</v>
      </c>
      <c r="D732" t="s">
        <v>723</v>
      </c>
      <c r="E732" t="s">
        <v>125</v>
      </c>
      <c r="F732">
        <v>0</v>
      </c>
      <c r="G732" t="s">
        <v>125</v>
      </c>
      <c r="H732" t="s">
        <v>125</v>
      </c>
      <c r="I732" t="s">
        <v>125</v>
      </c>
      <c r="J732" t="s">
        <v>125</v>
      </c>
      <c r="K732" t="s">
        <v>125</v>
      </c>
      <c r="L732" t="s">
        <v>125</v>
      </c>
      <c r="M732" t="s">
        <v>1379</v>
      </c>
      <c r="N732" t="b">
        <v>0</v>
      </c>
    </row>
    <row r="733" spans="1:14">
      <c r="A733">
        <v>43</v>
      </c>
      <c r="B733">
        <v>12</v>
      </c>
      <c r="C733" t="s">
        <v>125</v>
      </c>
      <c r="D733" t="s">
        <v>723</v>
      </c>
      <c r="E733" t="s">
        <v>125</v>
      </c>
      <c r="F733">
        <v>0</v>
      </c>
      <c r="G733" t="s">
        <v>125</v>
      </c>
      <c r="H733" t="s">
        <v>125</v>
      </c>
      <c r="I733" t="s">
        <v>125</v>
      </c>
      <c r="J733" t="s">
        <v>125</v>
      </c>
      <c r="K733" t="s">
        <v>125</v>
      </c>
      <c r="L733" t="s">
        <v>125</v>
      </c>
      <c r="M733" t="s">
        <v>1380</v>
      </c>
      <c r="N733" t="b">
        <v>0</v>
      </c>
    </row>
    <row r="734" spans="1:14">
      <c r="A734">
        <v>43</v>
      </c>
      <c r="B734">
        <v>13</v>
      </c>
      <c r="C734" t="s">
        <v>125</v>
      </c>
      <c r="D734" t="s">
        <v>723</v>
      </c>
      <c r="E734" t="s">
        <v>125</v>
      </c>
      <c r="F734">
        <v>0</v>
      </c>
      <c r="G734" t="s">
        <v>125</v>
      </c>
      <c r="H734" t="s">
        <v>125</v>
      </c>
      <c r="I734" t="s">
        <v>125</v>
      </c>
      <c r="J734" t="s">
        <v>125</v>
      </c>
      <c r="K734" t="s">
        <v>125</v>
      </c>
      <c r="L734" t="s">
        <v>125</v>
      </c>
      <c r="M734" t="s">
        <v>1381</v>
      </c>
      <c r="N734" t="b">
        <v>0</v>
      </c>
    </row>
    <row r="735" spans="1:14">
      <c r="A735">
        <v>43</v>
      </c>
      <c r="B735">
        <v>14</v>
      </c>
      <c r="C735" t="s">
        <v>125</v>
      </c>
      <c r="D735" t="s">
        <v>723</v>
      </c>
      <c r="E735" t="s">
        <v>125</v>
      </c>
      <c r="F735">
        <v>0</v>
      </c>
      <c r="G735" t="s">
        <v>125</v>
      </c>
      <c r="H735" t="s">
        <v>125</v>
      </c>
      <c r="I735" t="s">
        <v>125</v>
      </c>
      <c r="J735" t="s">
        <v>125</v>
      </c>
      <c r="K735" t="s">
        <v>125</v>
      </c>
      <c r="L735" t="s">
        <v>125</v>
      </c>
      <c r="M735" t="s">
        <v>1382</v>
      </c>
      <c r="N735" t="b">
        <v>0</v>
      </c>
    </row>
    <row r="736" spans="1:14">
      <c r="A736">
        <v>43</v>
      </c>
      <c r="B736">
        <v>15</v>
      </c>
      <c r="C736" t="s">
        <v>125</v>
      </c>
      <c r="D736" t="s">
        <v>723</v>
      </c>
      <c r="E736" t="s">
        <v>125</v>
      </c>
      <c r="F736">
        <v>0</v>
      </c>
      <c r="G736" t="s">
        <v>125</v>
      </c>
      <c r="H736" t="s">
        <v>125</v>
      </c>
      <c r="I736" t="s">
        <v>125</v>
      </c>
      <c r="J736" t="s">
        <v>125</v>
      </c>
      <c r="K736" t="s">
        <v>125</v>
      </c>
      <c r="L736" t="s">
        <v>125</v>
      </c>
      <c r="M736" t="s">
        <v>1383</v>
      </c>
      <c r="N736" t="b">
        <v>0</v>
      </c>
    </row>
    <row r="737" spans="1:14">
      <c r="A737">
        <v>43</v>
      </c>
      <c r="B737">
        <v>16</v>
      </c>
      <c r="C737" t="s">
        <v>209</v>
      </c>
      <c r="D737" t="s">
        <v>740</v>
      </c>
      <c r="E737" t="s">
        <v>86</v>
      </c>
      <c r="F737">
        <v>40</v>
      </c>
      <c r="G737" t="s">
        <v>125</v>
      </c>
      <c r="H737" t="s">
        <v>125</v>
      </c>
      <c r="I737" t="s">
        <v>86</v>
      </c>
      <c r="J737" t="s">
        <v>125</v>
      </c>
      <c r="K737" t="s">
        <v>125</v>
      </c>
      <c r="L737" t="s">
        <v>125</v>
      </c>
      <c r="M737" t="s">
        <v>1384</v>
      </c>
      <c r="N737" t="b">
        <v>0</v>
      </c>
    </row>
    <row r="738" spans="1:14">
      <c r="A738">
        <v>43</v>
      </c>
      <c r="B738">
        <v>17</v>
      </c>
      <c r="C738" t="s">
        <v>179</v>
      </c>
      <c r="D738" t="s">
        <v>740</v>
      </c>
      <c r="E738" t="s">
        <v>543</v>
      </c>
      <c r="F738">
        <v>40</v>
      </c>
      <c r="G738" t="s">
        <v>759</v>
      </c>
      <c r="H738" t="s">
        <v>125</v>
      </c>
      <c r="I738" t="s">
        <v>125</v>
      </c>
      <c r="J738" t="s">
        <v>816</v>
      </c>
      <c r="K738" t="s">
        <v>791</v>
      </c>
      <c r="L738" t="s">
        <v>792</v>
      </c>
      <c r="M738" t="s">
        <v>722</v>
      </c>
      <c r="N738" t="b">
        <v>0</v>
      </c>
    </row>
    <row r="739" spans="1:14">
      <c r="A739">
        <v>43</v>
      </c>
      <c r="B739">
        <v>18</v>
      </c>
      <c r="C739" t="s">
        <v>217</v>
      </c>
      <c r="D739" t="s">
        <v>740</v>
      </c>
      <c r="E739" t="s">
        <v>94</v>
      </c>
      <c r="F739">
        <v>40</v>
      </c>
      <c r="G739" t="s">
        <v>125</v>
      </c>
      <c r="H739" t="s">
        <v>125</v>
      </c>
      <c r="I739" t="s">
        <v>94</v>
      </c>
      <c r="J739" t="s">
        <v>125</v>
      </c>
      <c r="K739" t="s">
        <v>125</v>
      </c>
      <c r="L739" t="s">
        <v>125</v>
      </c>
      <c r="M739" t="s">
        <v>1385</v>
      </c>
      <c r="N739" t="b">
        <v>0</v>
      </c>
    </row>
    <row r="740" spans="1:14">
      <c r="A740">
        <v>43</v>
      </c>
      <c r="B740">
        <v>19</v>
      </c>
      <c r="C740" t="s">
        <v>159</v>
      </c>
      <c r="D740" t="s">
        <v>740</v>
      </c>
      <c r="E740" t="s">
        <v>296</v>
      </c>
      <c r="F740">
        <v>40</v>
      </c>
      <c r="G740" t="s">
        <v>759</v>
      </c>
      <c r="H740" t="s">
        <v>125</v>
      </c>
      <c r="I740" t="s">
        <v>125</v>
      </c>
      <c r="J740" t="s">
        <v>760</v>
      </c>
      <c r="K740" t="s">
        <v>761</v>
      </c>
      <c r="L740" t="s">
        <v>762</v>
      </c>
      <c r="M740" t="s">
        <v>1386</v>
      </c>
      <c r="N740" t="b">
        <v>0</v>
      </c>
    </row>
    <row r="741" spans="1:14">
      <c r="A741">
        <v>43</v>
      </c>
      <c r="B741">
        <v>20</v>
      </c>
      <c r="C741" t="s">
        <v>180</v>
      </c>
      <c r="D741" t="s">
        <v>740</v>
      </c>
      <c r="E741" t="s">
        <v>111</v>
      </c>
      <c r="F741">
        <v>50</v>
      </c>
      <c r="G741" t="s">
        <v>125</v>
      </c>
      <c r="H741" t="s">
        <v>125</v>
      </c>
      <c r="I741" t="s">
        <v>111</v>
      </c>
      <c r="J741" t="s">
        <v>125</v>
      </c>
      <c r="K741" t="s">
        <v>125</v>
      </c>
      <c r="L741" t="s">
        <v>125</v>
      </c>
      <c r="M741" t="s">
        <v>1387</v>
      </c>
      <c r="N741" t="b">
        <v>0</v>
      </c>
    </row>
    <row r="742" spans="1:14">
      <c r="A742">
        <v>43</v>
      </c>
      <c r="B742">
        <v>21</v>
      </c>
      <c r="C742" t="s">
        <v>290</v>
      </c>
      <c r="D742" t="s">
        <v>740</v>
      </c>
      <c r="E742" t="s">
        <v>112</v>
      </c>
      <c r="F742">
        <v>40</v>
      </c>
      <c r="G742" t="s">
        <v>125</v>
      </c>
      <c r="H742" t="s">
        <v>125</v>
      </c>
      <c r="I742" t="s">
        <v>112</v>
      </c>
      <c r="J742" t="s">
        <v>125</v>
      </c>
      <c r="K742" t="s">
        <v>125</v>
      </c>
      <c r="L742" t="s">
        <v>125</v>
      </c>
      <c r="M742" t="s">
        <v>1388</v>
      </c>
      <c r="N742" t="b">
        <v>0</v>
      </c>
    </row>
    <row r="743" spans="1:14">
      <c r="A743">
        <v>43</v>
      </c>
      <c r="B743">
        <v>22</v>
      </c>
      <c r="C743" t="s">
        <v>168</v>
      </c>
      <c r="D743" t="s">
        <v>740</v>
      </c>
      <c r="E743" t="s">
        <v>97</v>
      </c>
      <c r="F743">
        <v>60</v>
      </c>
      <c r="G743" t="s">
        <v>125</v>
      </c>
      <c r="H743" t="s">
        <v>125</v>
      </c>
      <c r="I743" t="s">
        <v>97</v>
      </c>
      <c r="J743" t="s">
        <v>125</v>
      </c>
      <c r="K743" t="s">
        <v>125</v>
      </c>
      <c r="L743" t="s">
        <v>125</v>
      </c>
      <c r="M743" t="s">
        <v>1389</v>
      </c>
      <c r="N743" t="b">
        <v>0</v>
      </c>
    </row>
    <row r="744" spans="1:14">
      <c r="A744">
        <v>43</v>
      </c>
      <c r="B744">
        <v>23</v>
      </c>
      <c r="C744" t="s">
        <v>176</v>
      </c>
      <c r="D744" t="s">
        <v>740</v>
      </c>
      <c r="E744" t="s">
        <v>99</v>
      </c>
      <c r="F744">
        <v>40</v>
      </c>
      <c r="G744" t="s">
        <v>125</v>
      </c>
      <c r="H744" t="s">
        <v>125</v>
      </c>
      <c r="I744" t="s">
        <v>99</v>
      </c>
      <c r="J744" t="s">
        <v>125</v>
      </c>
      <c r="K744" t="s">
        <v>125</v>
      </c>
      <c r="L744" t="s">
        <v>125</v>
      </c>
      <c r="M744" t="s">
        <v>1390</v>
      </c>
      <c r="N744" t="b">
        <v>0</v>
      </c>
    </row>
    <row r="745" spans="1:14">
      <c r="A745">
        <v>43</v>
      </c>
      <c r="B745">
        <v>24</v>
      </c>
      <c r="C745" t="s">
        <v>291</v>
      </c>
      <c r="D745" t="s">
        <v>740</v>
      </c>
      <c r="E745" t="s">
        <v>106</v>
      </c>
      <c r="F745">
        <v>60</v>
      </c>
      <c r="G745" t="s">
        <v>125</v>
      </c>
      <c r="H745" t="s">
        <v>125</v>
      </c>
      <c r="I745" t="s">
        <v>106</v>
      </c>
      <c r="J745" t="s">
        <v>125</v>
      </c>
      <c r="K745" t="s">
        <v>125</v>
      </c>
      <c r="L745" t="s">
        <v>125</v>
      </c>
      <c r="M745" t="s">
        <v>1391</v>
      </c>
      <c r="N745" t="b">
        <v>0</v>
      </c>
    </row>
    <row r="746" spans="1:14">
      <c r="A746">
        <v>43</v>
      </c>
      <c r="B746">
        <v>25</v>
      </c>
      <c r="C746" t="s">
        <v>125</v>
      </c>
      <c r="D746" t="s">
        <v>740</v>
      </c>
      <c r="E746" t="s">
        <v>125</v>
      </c>
      <c r="F746">
        <v>0</v>
      </c>
      <c r="G746" t="s">
        <v>125</v>
      </c>
      <c r="H746" t="s">
        <v>125</v>
      </c>
      <c r="I746" t="s">
        <v>125</v>
      </c>
      <c r="J746" t="s">
        <v>125</v>
      </c>
      <c r="K746" t="s">
        <v>125</v>
      </c>
      <c r="L746" t="s">
        <v>125</v>
      </c>
      <c r="M746" t="s">
        <v>1392</v>
      </c>
      <c r="N746" t="b">
        <v>0</v>
      </c>
    </row>
    <row r="747" spans="1:14">
      <c r="A747">
        <v>43</v>
      </c>
      <c r="B747">
        <v>26</v>
      </c>
      <c r="C747" t="s">
        <v>125</v>
      </c>
      <c r="D747" t="s">
        <v>740</v>
      </c>
      <c r="E747" t="s">
        <v>125</v>
      </c>
      <c r="F747">
        <v>0</v>
      </c>
      <c r="G747" t="s">
        <v>125</v>
      </c>
      <c r="H747" t="s">
        <v>125</v>
      </c>
      <c r="I747" t="s">
        <v>125</v>
      </c>
      <c r="J747" t="s">
        <v>125</v>
      </c>
      <c r="K747" t="s">
        <v>125</v>
      </c>
      <c r="L747" t="s">
        <v>125</v>
      </c>
      <c r="M747" t="s">
        <v>1393</v>
      </c>
      <c r="N747" t="b">
        <v>0</v>
      </c>
    </row>
    <row r="748" spans="1:14">
      <c r="A748">
        <v>44</v>
      </c>
      <c r="B748">
        <v>0</v>
      </c>
      <c r="C748" t="s">
        <v>185</v>
      </c>
      <c r="D748" t="s">
        <v>723</v>
      </c>
      <c r="E748" t="s">
        <v>64</v>
      </c>
      <c r="F748">
        <v>50</v>
      </c>
      <c r="G748" t="s">
        <v>125</v>
      </c>
      <c r="H748" t="s">
        <v>125</v>
      </c>
      <c r="I748" t="s">
        <v>64</v>
      </c>
      <c r="J748" t="s">
        <v>125</v>
      </c>
      <c r="K748" t="s">
        <v>125</v>
      </c>
      <c r="L748" t="s">
        <v>125</v>
      </c>
      <c r="M748" t="s">
        <v>1394</v>
      </c>
      <c r="N748" t="b">
        <v>0</v>
      </c>
    </row>
    <row r="749" spans="1:14">
      <c r="A749">
        <v>44</v>
      </c>
      <c r="B749">
        <v>1</v>
      </c>
      <c r="C749" t="s">
        <v>225</v>
      </c>
      <c r="D749" t="s">
        <v>723</v>
      </c>
      <c r="E749" t="s">
        <v>76</v>
      </c>
      <c r="F749">
        <v>50</v>
      </c>
      <c r="G749" t="s">
        <v>125</v>
      </c>
      <c r="H749" t="s">
        <v>125</v>
      </c>
      <c r="I749" t="s">
        <v>76</v>
      </c>
      <c r="J749" t="s">
        <v>125</v>
      </c>
      <c r="K749" t="s">
        <v>125</v>
      </c>
      <c r="L749" t="s">
        <v>125</v>
      </c>
      <c r="M749" t="s">
        <v>1395</v>
      </c>
      <c r="N749" t="b">
        <v>0</v>
      </c>
    </row>
    <row r="750" spans="1:14">
      <c r="A750">
        <v>44</v>
      </c>
      <c r="B750">
        <v>2</v>
      </c>
      <c r="C750" t="s">
        <v>267</v>
      </c>
      <c r="D750" t="s">
        <v>723</v>
      </c>
      <c r="E750" t="s">
        <v>82</v>
      </c>
      <c r="F750">
        <v>30</v>
      </c>
      <c r="G750" t="s">
        <v>125</v>
      </c>
      <c r="H750" t="s">
        <v>125</v>
      </c>
      <c r="I750" t="s">
        <v>82</v>
      </c>
      <c r="J750" t="s">
        <v>125</v>
      </c>
      <c r="K750" t="s">
        <v>125</v>
      </c>
      <c r="L750" t="s">
        <v>125</v>
      </c>
      <c r="M750" t="s">
        <v>1396</v>
      </c>
      <c r="N750" t="b">
        <v>0</v>
      </c>
    </row>
    <row r="751" spans="1:14">
      <c r="A751">
        <v>44</v>
      </c>
      <c r="B751">
        <v>3</v>
      </c>
      <c r="C751" t="s">
        <v>187</v>
      </c>
      <c r="D751" t="s">
        <v>723</v>
      </c>
      <c r="E751" t="s">
        <v>98</v>
      </c>
      <c r="F751">
        <v>50</v>
      </c>
      <c r="G751" t="s">
        <v>125</v>
      </c>
      <c r="H751" t="s">
        <v>125</v>
      </c>
      <c r="I751" t="s">
        <v>98</v>
      </c>
      <c r="J751" t="s">
        <v>125</v>
      </c>
      <c r="K751" t="s">
        <v>125</v>
      </c>
      <c r="L751" t="s">
        <v>125</v>
      </c>
      <c r="M751" t="s">
        <v>1397</v>
      </c>
      <c r="N751" t="b">
        <v>0</v>
      </c>
    </row>
    <row r="752" spans="1:14">
      <c r="A752">
        <v>44</v>
      </c>
      <c r="B752">
        <v>4</v>
      </c>
      <c r="C752" t="s">
        <v>228</v>
      </c>
      <c r="D752" t="s">
        <v>723</v>
      </c>
      <c r="E752" t="s">
        <v>100</v>
      </c>
      <c r="F752">
        <v>40</v>
      </c>
      <c r="G752" t="s">
        <v>125</v>
      </c>
      <c r="H752" t="s">
        <v>125</v>
      </c>
      <c r="I752" t="s">
        <v>100</v>
      </c>
      <c r="J752" t="s">
        <v>125</v>
      </c>
      <c r="K752" t="s">
        <v>125</v>
      </c>
      <c r="L752" t="s">
        <v>125</v>
      </c>
      <c r="M752" t="s">
        <v>1398</v>
      </c>
      <c r="N752" t="b">
        <v>0</v>
      </c>
    </row>
    <row r="753" spans="1:14">
      <c r="A753">
        <v>44</v>
      </c>
      <c r="B753">
        <v>5</v>
      </c>
      <c r="C753" t="s">
        <v>274</v>
      </c>
      <c r="D753" t="s">
        <v>723</v>
      </c>
      <c r="E753" t="s">
        <v>102</v>
      </c>
      <c r="F753">
        <v>30</v>
      </c>
      <c r="G753" t="s">
        <v>125</v>
      </c>
      <c r="H753" t="s">
        <v>125</v>
      </c>
      <c r="I753" t="s">
        <v>102</v>
      </c>
      <c r="J753" t="s">
        <v>125</v>
      </c>
      <c r="K753" t="s">
        <v>125</v>
      </c>
      <c r="L753" t="s">
        <v>125</v>
      </c>
      <c r="M753" t="s">
        <v>1399</v>
      </c>
      <c r="N753" t="b">
        <v>0</v>
      </c>
    </row>
    <row r="754" spans="1:14">
      <c r="A754">
        <v>44</v>
      </c>
      <c r="B754">
        <v>6</v>
      </c>
      <c r="C754" t="s">
        <v>338</v>
      </c>
      <c r="D754" t="s">
        <v>723</v>
      </c>
      <c r="E754" t="s">
        <v>111</v>
      </c>
      <c r="F754">
        <v>40</v>
      </c>
      <c r="G754" t="s">
        <v>125</v>
      </c>
      <c r="H754" t="s">
        <v>125</v>
      </c>
      <c r="I754" t="s">
        <v>111</v>
      </c>
      <c r="J754" t="s">
        <v>125</v>
      </c>
      <c r="K754" t="s">
        <v>125</v>
      </c>
      <c r="L754" t="s">
        <v>125</v>
      </c>
      <c r="M754" t="s">
        <v>1400</v>
      </c>
      <c r="N754" t="b">
        <v>0</v>
      </c>
    </row>
    <row r="755" spans="1:14">
      <c r="A755">
        <v>44</v>
      </c>
      <c r="B755">
        <v>7</v>
      </c>
      <c r="C755" t="s">
        <v>290</v>
      </c>
      <c r="D755" t="s">
        <v>723</v>
      </c>
      <c r="E755" t="s">
        <v>112</v>
      </c>
      <c r="F755">
        <v>40</v>
      </c>
      <c r="G755" t="s">
        <v>125</v>
      </c>
      <c r="H755" t="s">
        <v>125</v>
      </c>
      <c r="I755" t="s">
        <v>112</v>
      </c>
      <c r="J755" t="s">
        <v>125</v>
      </c>
      <c r="K755" t="s">
        <v>125</v>
      </c>
      <c r="L755" t="s">
        <v>125</v>
      </c>
      <c r="M755" t="s">
        <v>1401</v>
      </c>
      <c r="N755" t="b">
        <v>0</v>
      </c>
    </row>
    <row r="756" spans="1:14">
      <c r="A756">
        <v>44</v>
      </c>
      <c r="B756">
        <v>8</v>
      </c>
      <c r="C756" t="s">
        <v>339</v>
      </c>
      <c r="D756" t="s">
        <v>723</v>
      </c>
      <c r="E756" t="s">
        <v>547</v>
      </c>
      <c r="F756">
        <v>40</v>
      </c>
      <c r="G756" t="s">
        <v>1402</v>
      </c>
      <c r="H756" t="s">
        <v>547</v>
      </c>
      <c r="I756" t="s">
        <v>125</v>
      </c>
      <c r="J756" t="s">
        <v>125</v>
      </c>
      <c r="K756" t="s">
        <v>125</v>
      </c>
      <c r="L756" t="s">
        <v>125</v>
      </c>
      <c r="M756" t="s">
        <v>1403</v>
      </c>
      <c r="N756" t="b">
        <v>0</v>
      </c>
    </row>
    <row r="757" spans="1:14">
      <c r="A757">
        <v>44</v>
      </c>
      <c r="B757">
        <v>9</v>
      </c>
      <c r="C757" t="s">
        <v>166</v>
      </c>
      <c r="D757" t="s">
        <v>723</v>
      </c>
      <c r="E757" t="s">
        <v>73</v>
      </c>
      <c r="F757">
        <v>50</v>
      </c>
      <c r="G757" t="s">
        <v>125</v>
      </c>
      <c r="H757" t="s">
        <v>125</v>
      </c>
      <c r="I757" t="s">
        <v>73</v>
      </c>
      <c r="J757" t="s">
        <v>125</v>
      </c>
      <c r="K757" t="s">
        <v>125</v>
      </c>
      <c r="L757" t="s">
        <v>125</v>
      </c>
      <c r="M757" t="s">
        <v>1404</v>
      </c>
      <c r="N757" t="b">
        <v>0</v>
      </c>
    </row>
    <row r="758" spans="1:14">
      <c r="A758">
        <v>44</v>
      </c>
      <c r="B758">
        <v>10</v>
      </c>
      <c r="C758" t="s">
        <v>340</v>
      </c>
      <c r="D758" t="s">
        <v>723</v>
      </c>
      <c r="E758" t="s">
        <v>101</v>
      </c>
      <c r="F758">
        <v>30</v>
      </c>
      <c r="G758" t="s">
        <v>125</v>
      </c>
      <c r="H758" t="s">
        <v>125</v>
      </c>
      <c r="I758" t="s">
        <v>101</v>
      </c>
      <c r="J758" t="s">
        <v>125</v>
      </c>
      <c r="K758" t="s">
        <v>125</v>
      </c>
      <c r="L758" t="s">
        <v>125</v>
      </c>
      <c r="M758" t="s">
        <v>1405</v>
      </c>
      <c r="N758" t="b">
        <v>0</v>
      </c>
    </row>
    <row r="759" spans="1:14">
      <c r="A759">
        <v>44</v>
      </c>
      <c r="B759">
        <v>11</v>
      </c>
      <c r="C759" t="s">
        <v>169</v>
      </c>
      <c r="D759" t="s">
        <v>723</v>
      </c>
      <c r="E759" t="s">
        <v>105</v>
      </c>
      <c r="F759">
        <v>50</v>
      </c>
      <c r="G759" t="s">
        <v>125</v>
      </c>
      <c r="H759" t="s">
        <v>125</v>
      </c>
      <c r="I759" t="s">
        <v>105</v>
      </c>
      <c r="J759" t="s">
        <v>125</v>
      </c>
      <c r="K759" t="s">
        <v>125</v>
      </c>
      <c r="L759" t="s">
        <v>125</v>
      </c>
      <c r="M759" t="s">
        <v>1406</v>
      </c>
      <c r="N759" t="b">
        <v>0</v>
      </c>
    </row>
    <row r="760" spans="1:14">
      <c r="A760">
        <v>44</v>
      </c>
      <c r="B760">
        <v>12</v>
      </c>
      <c r="C760" t="s">
        <v>231</v>
      </c>
      <c r="D760" t="s">
        <v>723</v>
      </c>
      <c r="E760" t="s">
        <v>107</v>
      </c>
      <c r="F760">
        <v>50</v>
      </c>
      <c r="G760" t="s">
        <v>125</v>
      </c>
      <c r="H760" t="s">
        <v>125</v>
      </c>
      <c r="I760" t="s">
        <v>107</v>
      </c>
      <c r="J760" t="s">
        <v>125</v>
      </c>
      <c r="K760" t="s">
        <v>125</v>
      </c>
      <c r="L760" t="s">
        <v>125</v>
      </c>
      <c r="M760" t="s">
        <v>1407</v>
      </c>
      <c r="N760" t="b">
        <v>0</v>
      </c>
    </row>
    <row r="761" spans="1:14">
      <c r="A761">
        <v>44</v>
      </c>
      <c r="B761">
        <v>13</v>
      </c>
      <c r="C761" t="s">
        <v>125</v>
      </c>
      <c r="D761" t="s">
        <v>723</v>
      </c>
      <c r="E761" t="s">
        <v>125</v>
      </c>
      <c r="F761">
        <v>0</v>
      </c>
      <c r="G761" t="s">
        <v>125</v>
      </c>
      <c r="H761" t="s">
        <v>125</v>
      </c>
      <c r="I761" t="s">
        <v>125</v>
      </c>
      <c r="J761" t="s">
        <v>125</v>
      </c>
      <c r="K761" t="s">
        <v>125</v>
      </c>
      <c r="L761" t="s">
        <v>125</v>
      </c>
      <c r="M761" t="s">
        <v>1408</v>
      </c>
      <c r="N761" t="b">
        <v>0</v>
      </c>
    </row>
    <row r="762" spans="1:14">
      <c r="A762">
        <v>44</v>
      </c>
      <c r="B762">
        <v>14</v>
      </c>
      <c r="C762" t="s">
        <v>125</v>
      </c>
      <c r="D762" t="s">
        <v>723</v>
      </c>
      <c r="E762" t="s">
        <v>125</v>
      </c>
      <c r="F762">
        <v>0</v>
      </c>
      <c r="G762" t="s">
        <v>125</v>
      </c>
      <c r="H762" t="s">
        <v>125</v>
      </c>
      <c r="I762" t="s">
        <v>125</v>
      </c>
      <c r="J762" t="s">
        <v>125</v>
      </c>
      <c r="K762" t="s">
        <v>125</v>
      </c>
      <c r="L762" t="s">
        <v>125</v>
      </c>
      <c r="M762" t="s">
        <v>1409</v>
      </c>
      <c r="N762" t="b">
        <v>0</v>
      </c>
    </row>
    <row r="763" spans="1:14">
      <c r="A763">
        <v>44</v>
      </c>
      <c r="B763">
        <v>15</v>
      </c>
      <c r="C763" t="s">
        <v>125</v>
      </c>
      <c r="D763" t="s">
        <v>723</v>
      </c>
      <c r="E763" t="s">
        <v>125</v>
      </c>
      <c r="F763">
        <v>0</v>
      </c>
      <c r="G763" t="s">
        <v>125</v>
      </c>
      <c r="H763" t="s">
        <v>125</v>
      </c>
      <c r="I763" t="s">
        <v>125</v>
      </c>
      <c r="J763" t="s">
        <v>125</v>
      </c>
      <c r="K763" t="s">
        <v>125</v>
      </c>
      <c r="L763" t="s">
        <v>125</v>
      </c>
      <c r="M763" t="s">
        <v>1410</v>
      </c>
      <c r="N763" t="b">
        <v>0</v>
      </c>
    </row>
    <row r="764" spans="1:14">
      <c r="A764">
        <v>44</v>
      </c>
      <c r="B764">
        <v>16</v>
      </c>
      <c r="C764" t="s">
        <v>289</v>
      </c>
      <c r="D764" t="s">
        <v>740</v>
      </c>
      <c r="E764" t="s">
        <v>74</v>
      </c>
      <c r="F764">
        <v>40</v>
      </c>
      <c r="G764" t="s">
        <v>125</v>
      </c>
      <c r="H764" t="s">
        <v>125</v>
      </c>
      <c r="I764" t="s">
        <v>74</v>
      </c>
      <c r="J764" t="s">
        <v>125</v>
      </c>
      <c r="K764" t="s">
        <v>125</v>
      </c>
      <c r="L764" t="s">
        <v>125</v>
      </c>
      <c r="M764" t="s">
        <v>1411</v>
      </c>
      <c r="N764" t="b">
        <v>0</v>
      </c>
    </row>
    <row r="765" spans="1:14">
      <c r="A765">
        <v>44</v>
      </c>
      <c r="B765">
        <v>17</v>
      </c>
      <c r="C765" t="s">
        <v>209</v>
      </c>
      <c r="D765" t="s">
        <v>740</v>
      </c>
      <c r="E765" t="s">
        <v>86</v>
      </c>
      <c r="F765">
        <v>40</v>
      </c>
      <c r="G765" t="s">
        <v>125</v>
      </c>
      <c r="H765" t="s">
        <v>125</v>
      </c>
      <c r="I765" t="s">
        <v>86</v>
      </c>
      <c r="J765" t="s">
        <v>125</v>
      </c>
      <c r="K765" t="s">
        <v>125</v>
      </c>
      <c r="L765" t="s">
        <v>125</v>
      </c>
      <c r="M765" t="s">
        <v>1412</v>
      </c>
      <c r="N765" t="b">
        <v>0</v>
      </c>
    </row>
    <row r="766" spans="1:14">
      <c r="A766">
        <v>44</v>
      </c>
      <c r="B766">
        <v>18</v>
      </c>
      <c r="C766" t="s">
        <v>179</v>
      </c>
      <c r="D766" t="s">
        <v>740</v>
      </c>
      <c r="E766" t="s">
        <v>543</v>
      </c>
      <c r="F766">
        <v>40</v>
      </c>
      <c r="G766" t="s">
        <v>759</v>
      </c>
      <c r="H766" t="s">
        <v>125</v>
      </c>
      <c r="I766" t="s">
        <v>125</v>
      </c>
      <c r="J766" t="s">
        <v>816</v>
      </c>
      <c r="K766" t="s">
        <v>791</v>
      </c>
      <c r="L766" t="s">
        <v>792</v>
      </c>
      <c r="M766" t="s">
        <v>1413</v>
      </c>
      <c r="N766" t="b">
        <v>0</v>
      </c>
    </row>
    <row r="767" spans="1:14">
      <c r="A767">
        <v>44</v>
      </c>
      <c r="B767">
        <v>19</v>
      </c>
      <c r="C767" t="s">
        <v>217</v>
      </c>
      <c r="D767" t="s">
        <v>740</v>
      </c>
      <c r="E767" t="s">
        <v>94</v>
      </c>
      <c r="F767">
        <v>40</v>
      </c>
      <c r="G767" t="s">
        <v>125</v>
      </c>
      <c r="H767" t="s">
        <v>125</v>
      </c>
      <c r="I767" t="s">
        <v>94</v>
      </c>
      <c r="J767" t="s">
        <v>125</v>
      </c>
      <c r="K767" t="s">
        <v>125</v>
      </c>
      <c r="L767" t="s">
        <v>125</v>
      </c>
      <c r="M767" t="s">
        <v>1414</v>
      </c>
      <c r="N767" t="b">
        <v>0</v>
      </c>
    </row>
    <row r="768" spans="1:14">
      <c r="A768">
        <v>44</v>
      </c>
      <c r="B768">
        <v>20</v>
      </c>
      <c r="C768" t="s">
        <v>159</v>
      </c>
      <c r="D768" t="s">
        <v>740</v>
      </c>
      <c r="E768" t="s">
        <v>296</v>
      </c>
      <c r="F768">
        <v>40</v>
      </c>
      <c r="G768" t="s">
        <v>759</v>
      </c>
      <c r="H768" t="s">
        <v>125</v>
      </c>
      <c r="I768" t="s">
        <v>125</v>
      </c>
      <c r="J768" t="s">
        <v>760</v>
      </c>
      <c r="K768" t="s">
        <v>761</v>
      </c>
      <c r="L768" t="s">
        <v>762</v>
      </c>
      <c r="M768" t="s">
        <v>1415</v>
      </c>
      <c r="N768" t="b">
        <v>0</v>
      </c>
    </row>
    <row r="769" spans="1:14">
      <c r="A769">
        <v>44</v>
      </c>
      <c r="B769">
        <v>21</v>
      </c>
      <c r="C769" t="s">
        <v>176</v>
      </c>
      <c r="D769" t="s">
        <v>740</v>
      </c>
      <c r="E769" t="s">
        <v>99</v>
      </c>
      <c r="F769">
        <v>40</v>
      </c>
      <c r="G769" t="s">
        <v>125</v>
      </c>
      <c r="H769" t="s">
        <v>125</v>
      </c>
      <c r="I769" t="s">
        <v>99</v>
      </c>
      <c r="J769" t="s">
        <v>125</v>
      </c>
      <c r="K769" t="s">
        <v>125</v>
      </c>
      <c r="L769" t="s">
        <v>125</v>
      </c>
      <c r="M769" t="s">
        <v>1416</v>
      </c>
      <c r="N769" t="b">
        <v>0</v>
      </c>
    </row>
    <row r="770" spans="1:14">
      <c r="A770">
        <v>44</v>
      </c>
      <c r="B770">
        <v>22</v>
      </c>
      <c r="C770" t="s">
        <v>125</v>
      </c>
      <c r="D770" t="s">
        <v>740</v>
      </c>
      <c r="E770" t="s">
        <v>125</v>
      </c>
      <c r="F770">
        <v>0</v>
      </c>
      <c r="G770" t="s">
        <v>125</v>
      </c>
      <c r="H770" t="s">
        <v>125</v>
      </c>
      <c r="I770" t="s">
        <v>125</v>
      </c>
      <c r="J770" t="s">
        <v>125</v>
      </c>
      <c r="K770" t="s">
        <v>125</v>
      </c>
      <c r="L770" t="s">
        <v>125</v>
      </c>
      <c r="M770" t="s">
        <v>1417</v>
      </c>
      <c r="N770" t="b">
        <v>0</v>
      </c>
    </row>
    <row r="771" spans="1:14">
      <c r="A771">
        <v>44</v>
      </c>
      <c r="B771">
        <v>23</v>
      </c>
      <c r="C771" t="s">
        <v>125</v>
      </c>
      <c r="D771" t="s">
        <v>740</v>
      </c>
      <c r="E771" t="s">
        <v>125</v>
      </c>
      <c r="F771">
        <v>0</v>
      </c>
      <c r="G771" t="s">
        <v>125</v>
      </c>
      <c r="H771" t="s">
        <v>125</v>
      </c>
      <c r="I771" t="s">
        <v>125</v>
      </c>
      <c r="J771" t="s">
        <v>125</v>
      </c>
      <c r="K771" t="s">
        <v>125</v>
      </c>
      <c r="L771" t="s">
        <v>125</v>
      </c>
      <c r="M771" t="s">
        <v>1418</v>
      </c>
      <c r="N771" t="b">
        <v>0</v>
      </c>
    </row>
    <row r="772" spans="1:14">
      <c r="A772">
        <v>44</v>
      </c>
      <c r="B772">
        <v>24</v>
      </c>
      <c r="C772" t="s">
        <v>125</v>
      </c>
      <c r="D772" t="s">
        <v>740</v>
      </c>
      <c r="E772" t="s">
        <v>125</v>
      </c>
      <c r="F772">
        <v>0</v>
      </c>
      <c r="G772" t="s">
        <v>125</v>
      </c>
      <c r="H772" t="s">
        <v>125</v>
      </c>
      <c r="I772" t="s">
        <v>125</v>
      </c>
      <c r="J772" t="s">
        <v>125</v>
      </c>
      <c r="K772" t="s">
        <v>125</v>
      </c>
      <c r="L772" t="s">
        <v>125</v>
      </c>
      <c r="M772" t="s">
        <v>1419</v>
      </c>
      <c r="N772" t="b">
        <v>0</v>
      </c>
    </row>
    <row r="773" spans="1:14">
      <c r="A773">
        <v>44</v>
      </c>
      <c r="B773">
        <v>25</v>
      </c>
      <c r="C773" t="s">
        <v>125</v>
      </c>
      <c r="D773" t="s">
        <v>740</v>
      </c>
      <c r="E773" t="s">
        <v>125</v>
      </c>
      <c r="F773">
        <v>0</v>
      </c>
      <c r="G773" t="s">
        <v>125</v>
      </c>
      <c r="H773" t="s">
        <v>125</v>
      </c>
      <c r="I773" t="s">
        <v>125</v>
      </c>
      <c r="J773" t="s">
        <v>125</v>
      </c>
      <c r="K773" t="s">
        <v>125</v>
      </c>
      <c r="L773" t="s">
        <v>125</v>
      </c>
      <c r="M773" t="s">
        <v>1420</v>
      </c>
      <c r="N773" t="b">
        <v>0</v>
      </c>
    </row>
    <row r="774" spans="1:14">
      <c r="A774">
        <v>44</v>
      </c>
      <c r="B774">
        <v>26</v>
      </c>
      <c r="C774" t="s">
        <v>125</v>
      </c>
      <c r="D774" t="s">
        <v>740</v>
      </c>
      <c r="E774" t="s">
        <v>125</v>
      </c>
      <c r="F774">
        <v>0</v>
      </c>
      <c r="G774" t="s">
        <v>125</v>
      </c>
      <c r="H774" t="s">
        <v>125</v>
      </c>
      <c r="I774" t="s">
        <v>125</v>
      </c>
      <c r="J774" t="s">
        <v>125</v>
      </c>
      <c r="K774" t="s">
        <v>125</v>
      </c>
      <c r="L774" t="s">
        <v>125</v>
      </c>
      <c r="M774" t="s">
        <v>1421</v>
      </c>
      <c r="N774" t="b">
        <v>0</v>
      </c>
    </row>
    <row r="775" spans="1:14">
      <c r="A775">
        <v>46</v>
      </c>
      <c r="B775">
        <v>0</v>
      </c>
      <c r="C775" t="s">
        <v>185</v>
      </c>
      <c r="D775" t="s">
        <v>723</v>
      </c>
      <c r="E775" t="s">
        <v>64</v>
      </c>
      <c r="F775">
        <v>50</v>
      </c>
      <c r="G775" t="s">
        <v>125</v>
      </c>
      <c r="H775" t="s">
        <v>125</v>
      </c>
      <c r="I775" t="s">
        <v>64</v>
      </c>
      <c r="J775" t="s">
        <v>125</v>
      </c>
      <c r="K775" t="s">
        <v>125</v>
      </c>
      <c r="L775" t="s">
        <v>125</v>
      </c>
      <c r="M775" t="s">
        <v>1422</v>
      </c>
      <c r="N775" t="b">
        <v>0</v>
      </c>
    </row>
    <row r="776" spans="1:14">
      <c r="A776">
        <v>46</v>
      </c>
      <c r="B776">
        <v>1</v>
      </c>
      <c r="C776" t="s">
        <v>216</v>
      </c>
      <c r="D776" t="s">
        <v>723</v>
      </c>
      <c r="E776" t="s">
        <v>76</v>
      </c>
      <c r="F776">
        <v>60</v>
      </c>
      <c r="G776" t="s">
        <v>125</v>
      </c>
      <c r="H776" t="s">
        <v>125</v>
      </c>
      <c r="I776" t="s">
        <v>76</v>
      </c>
      <c r="J776" t="s">
        <v>125</v>
      </c>
      <c r="K776" t="s">
        <v>125</v>
      </c>
      <c r="L776" t="s">
        <v>125</v>
      </c>
      <c r="M776" t="s">
        <v>1423</v>
      </c>
      <c r="N776" t="b">
        <v>0</v>
      </c>
    </row>
    <row r="777" spans="1:14">
      <c r="A777">
        <v>46</v>
      </c>
      <c r="B777">
        <v>2</v>
      </c>
      <c r="C777" t="s">
        <v>217</v>
      </c>
      <c r="D777" t="s">
        <v>723</v>
      </c>
      <c r="E777" t="s">
        <v>94</v>
      </c>
      <c r="F777">
        <v>40</v>
      </c>
      <c r="G777" t="s">
        <v>125</v>
      </c>
      <c r="H777" t="s">
        <v>125</v>
      </c>
      <c r="I777" t="s">
        <v>94</v>
      </c>
      <c r="J777" t="s">
        <v>125</v>
      </c>
      <c r="K777" t="s">
        <v>125</v>
      </c>
      <c r="L777" t="s">
        <v>125</v>
      </c>
      <c r="M777" t="s">
        <v>1424</v>
      </c>
      <c r="N777" t="b">
        <v>0</v>
      </c>
    </row>
    <row r="778" spans="1:14">
      <c r="A778">
        <v>46</v>
      </c>
      <c r="B778">
        <v>3</v>
      </c>
      <c r="C778" t="s">
        <v>218</v>
      </c>
      <c r="D778" t="s">
        <v>723</v>
      </c>
      <c r="E778" t="s">
        <v>100</v>
      </c>
      <c r="F778">
        <v>60</v>
      </c>
      <c r="G778" t="s">
        <v>125</v>
      </c>
      <c r="H778" t="s">
        <v>125</v>
      </c>
      <c r="I778" t="s">
        <v>100</v>
      </c>
      <c r="J778" t="s">
        <v>125</v>
      </c>
      <c r="K778" t="s">
        <v>125</v>
      </c>
      <c r="L778" t="s">
        <v>125</v>
      </c>
      <c r="M778" t="s">
        <v>1425</v>
      </c>
      <c r="N778" t="b">
        <v>0</v>
      </c>
    </row>
    <row r="779" spans="1:14">
      <c r="A779">
        <v>46</v>
      </c>
      <c r="B779">
        <v>4</v>
      </c>
      <c r="C779" t="s">
        <v>344</v>
      </c>
      <c r="D779" t="s">
        <v>752</v>
      </c>
      <c r="E779" t="s">
        <v>296</v>
      </c>
      <c r="F779">
        <v>20</v>
      </c>
      <c r="G779" t="s">
        <v>759</v>
      </c>
      <c r="H779" t="s">
        <v>125</v>
      </c>
      <c r="I779" t="s">
        <v>125</v>
      </c>
      <c r="J779" t="s">
        <v>760</v>
      </c>
      <c r="K779" t="s">
        <v>761</v>
      </c>
      <c r="L779" t="s">
        <v>762</v>
      </c>
      <c r="M779" t="s">
        <v>1426</v>
      </c>
      <c r="N779" t="b">
        <v>0</v>
      </c>
    </row>
    <row r="780" spans="1:14">
      <c r="A780">
        <v>46</v>
      </c>
      <c r="B780">
        <v>5</v>
      </c>
      <c r="C780" t="s">
        <v>197</v>
      </c>
      <c r="D780" t="s">
        <v>723</v>
      </c>
      <c r="E780" t="s">
        <v>112</v>
      </c>
      <c r="F780">
        <v>50</v>
      </c>
      <c r="G780" t="s">
        <v>125</v>
      </c>
      <c r="H780" t="s">
        <v>125</v>
      </c>
      <c r="I780" t="s">
        <v>112</v>
      </c>
      <c r="J780" t="s">
        <v>125</v>
      </c>
      <c r="K780" t="s">
        <v>125</v>
      </c>
      <c r="L780" t="s">
        <v>125</v>
      </c>
      <c r="M780" t="s">
        <v>1427</v>
      </c>
      <c r="N780" t="b">
        <v>0</v>
      </c>
    </row>
    <row r="781" spans="1:14">
      <c r="A781">
        <v>46</v>
      </c>
      <c r="B781">
        <v>6</v>
      </c>
      <c r="C781" t="s">
        <v>253</v>
      </c>
      <c r="D781" t="s">
        <v>723</v>
      </c>
      <c r="E781" t="s">
        <v>114</v>
      </c>
      <c r="F781">
        <v>40</v>
      </c>
      <c r="G781" t="s">
        <v>125</v>
      </c>
      <c r="H781" t="s">
        <v>125</v>
      </c>
      <c r="I781" t="s">
        <v>114</v>
      </c>
      <c r="J781" t="s">
        <v>125</v>
      </c>
      <c r="K781" t="s">
        <v>125</v>
      </c>
      <c r="L781" t="s">
        <v>125</v>
      </c>
      <c r="M781" t="s">
        <v>1428</v>
      </c>
      <c r="N781" t="b">
        <v>0</v>
      </c>
    </row>
    <row r="782" spans="1:14">
      <c r="A782">
        <v>46</v>
      </c>
      <c r="B782">
        <v>7</v>
      </c>
      <c r="C782" t="s">
        <v>219</v>
      </c>
      <c r="D782" t="s">
        <v>723</v>
      </c>
      <c r="E782" t="s">
        <v>67</v>
      </c>
      <c r="F782">
        <v>50</v>
      </c>
      <c r="G782" t="s">
        <v>125</v>
      </c>
      <c r="H782" t="s">
        <v>125</v>
      </c>
      <c r="I782" t="s">
        <v>67</v>
      </c>
      <c r="J782" t="s">
        <v>125</v>
      </c>
      <c r="K782" t="s">
        <v>125</v>
      </c>
      <c r="L782" t="s">
        <v>125</v>
      </c>
      <c r="M782" t="s">
        <v>1429</v>
      </c>
      <c r="N782" t="b">
        <v>0</v>
      </c>
    </row>
    <row r="783" spans="1:14">
      <c r="A783">
        <v>46</v>
      </c>
      <c r="B783">
        <v>8</v>
      </c>
      <c r="C783" t="s">
        <v>220</v>
      </c>
      <c r="D783" t="s">
        <v>723</v>
      </c>
      <c r="E783" t="s">
        <v>330</v>
      </c>
      <c r="F783">
        <v>60</v>
      </c>
      <c r="G783" t="s">
        <v>125</v>
      </c>
      <c r="H783" t="s">
        <v>547</v>
      </c>
      <c r="I783" t="s">
        <v>444</v>
      </c>
      <c r="J783" t="s">
        <v>125</v>
      </c>
      <c r="K783" t="s">
        <v>920</v>
      </c>
      <c r="L783" t="s">
        <v>921</v>
      </c>
      <c r="M783" t="s">
        <v>1430</v>
      </c>
      <c r="N783" t="b">
        <v>0</v>
      </c>
    </row>
    <row r="784" spans="1:14">
      <c r="A784">
        <v>46</v>
      </c>
      <c r="B784">
        <v>9</v>
      </c>
      <c r="C784" t="s">
        <v>166</v>
      </c>
      <c r="D784" t="s">
        <v>723</v>
      </c>
      <c r="E784" t="s">
        <v>73</v>
      </c>
      <c r="F784">
        <v>50</v>
      </c>
      <c r="G784" t="s">
        <v>125</v>
      </c>
      <c r="H784" t="s">
        <v>125</v>
      </c>
      <c r="I784" t="s">
        <v>73</v>
      </c>
      <c r="J784" t="s">
        <v>125</v>
      </c>
      <c r="K784" t="s">
        <v>125</v>
      </c>
      <c r="L784" t="s">
        <v>125</v>
      </c>
      <c r="M784" t="s">
        <v>1431</v>
      </c>
      <c r="N784" t="b">
        <v>0</v>
      </c>
    </row>
    <row r="785" spans="1:14">
      <c r="A785">
        <v>46</v>
      </c>
      <c r="B785">
        <v>10</v>
      </c>
      <c r="C785" t="s">
        <v>162</v>
      </c>
      <c r="D785" t="s">
        <v>723</v>
      </c>
      <c r="E785" t="s">
        <v>77</v>
      </c>
      <c r="F785">
        <v>40</v>
      </c>
      <c r="G785" t="s">
        <v>125</v>
      </c>
      <c r="H785" t="s">
        <v>125</v>
      </c>
      <c r="I785" t="s">
        <v>77</v>
      </c>
      <c r="J785" t="s">
        <v>125</v>
      </c>
      <c r="K785" t="s">
        <v>125</v>
      </c>
      <c r="L785" t="s">
        <v>125</v>
      </c>
      <c r="M785" t="s">
        <v>1432</v>
      </c>
      <c r="N785" t="b">
        <v>0</v>
      </c>
    </row>
    <row r="786" spans="1:14">
      <c r="A786">
        <v>46</v>
      </c>
      <c r="B786">
        <v>11</v>
      </c>
      <c r="C786" t="s">
        <v>221</v>
      </c>
      <c r="D786" t="s">
        <v>723</v>
      </c>
      <c r="E786" t="s">
        <v>101</v>
      </c>
      <c r="F786">
        <v>50</v>
      </c>
      <c r="G786" t="s">
        <v>125</v>
      </c>
      <c r="H786" t="s">
        <v>125</v>
      </c>
      <c r="I786" t="s">
        <v>101</v>
      </c>
      <c r="J786" t="s">
        <v>125</v>
      </c>
      <c r="K786" t="s">
        <v>125</v>
      </c>
      <c r="L786" t="s">
        <v>125</v>
      </c>
      <c r="M786" t="s">
        <v>1433</v>
      </c>
      <c r="N786" t="b">
        <v>0</v>
      </c>
    </row>
    <row r="787" spans="1:14">
      <c r="A787">
        <v>46</v>
      </c>
      <c r="B787">
        <v>12</v>
      </c>
      <c r="C787" t="s">
        <v>169</v>
      </c>
      <c r="D787" t="s">
        <v>723</v>
      </c>
      <c r="E787" t="s">
        <v>105</v>
      </c>
      <c r="F787">
        <v>50</v>
      </c>
      <c r="G787" t="s">
        <v>125</v>
      </c>
      <c r="H787" t="s">
        <v>125</v>
      </c>
      <c r="I787" t="s">
        <v>105</v>
      </c>
      <c r="J787" t="s">
        <v>125</v>
      </c>
      <c r="K787" t="s">
        <v>125</v>
      </c>
      <c r="L787" t="s">
        <v>125</v>
      </c>
      <c r="M787" t="s">
        <v>1434</v>
      </c>
      <c r="N787" t="b">
        <v>0</v>
      </c>
    </row>
    <row r="788" spans="1:14">
      <c r="A788">
        <v>46</v>
      </c>
      <c r="B788">
        <v>13</v>
      </c>
      <c r="C788" t="s">
        <v>222</v>
      </c>
      <c r="D788" t="s">
        <v>723</v>
      </c>
      <c r="E788" t="s">
        <v>106</v>
      </c>
      <c r="F788">
        <v>50</v>
      </c>
      <c r="G788" t="s">
        <v>125</v>
      </c>
      <c r="H788" t="s">
        <v>125</v>
      </c>
      <c r="I788" t="s">
        <v>106</v>
      </c>
      <c r="J788" t="s">
        <v>125</v>
      </c>
      <c r="K788" t="s">
        <v>125</v>
      </c>
      <c r="L788" t="s">
        <v>125</v>
      </c>
      <c r="M788" t="s">
        <v>1435</v>
      </c>
      <c r="N788" t="b">
        <v>0</v>
      </c>
    </row>
    <row r="789" spans="1:14">
      <c r="A789">
        <v>46</v>
      </c>
      <c r="B789">
        <v>14</v>
      </c>
      <c r="C789" t="s">
        <v>194</v>
      </c>
      <c r="D789" t="s">
        <v>723</v>
      </c>
      <c r="E789" t="s">
        <v>107</v>
      </c>
      <c r="F789">
        <v>60</v>
      </c>
      <c r="G789" t="s">
        <v>125</v>
      </c>
      <c r="H789" t="s">
        <v>125</v>
      </c>
      <c r="I789" t="s">
        <v>107</v>
      </c>
      <c r="J789" t="s">
        <v>125</v>
      </c>
      <c r="K789" t="s">
        <v>125</v>
      </c>
      <c r="L789" t="s">
        <v>125</v>
      </c>
      <c r="M789" t="s">
        <v>1436</v>
      </c>
      <c r="N789" t="b">
        <v>0</v>
      </c>
    </row>
    <row r="790" spans="1:14">
      <c r="A790">
        <v>46</v>
      </c>
      <c r="B790">
        <v>15</v>
      </c>
      <c r="C790" t="s">
        <v>125</v>
      </c>
      <c r="D790" t="s">
        <v>723</v>
      </c>
      <c r="E790" t="s">
        <v>125</v>
      </c>
      <c r="F790">
        <v>0</v>
      </c>
      <c r="G790" t="s">
        <v>125</v>
      </c>
      <c r="H790" t="s">
        <v>125</v>
      </c>
      <c r="I790" t="s">
        <v>125</v>
      </c>
      <c r="J790" t="s">
        <v>125</v>
      </c>
      <c r="K790" t="s">
        <v>125</v>
      </c>
      <c r="L790" t="s">
        <v>125</v>
      </c>
      <c r="M790" t="s">
        <v>1437</v>
      </c>
      <c r="N790" t="b">
        <v>0</v>
      </c>
    </row>
    <row r="791" spans="1:14">
      <c r="A791">
        <v>46</v>
      </c>
      <c r="B791">
        <v>16</v>
      </c>
      <c r="C791" t="s">
        <v>125</v>
      </c>
      <c r="D791" t="s">
        <v>740</v>
      </c>
      <c r="E791" t="s">
        <v>125</v>
      </c>
      <c r="F791">
        <v>0</v>
      </c>
      <c r="G791" t="s">
        <v>125</v>
      </c>
      <c r="H791" t="s">
        <v>125</v>
      </c>
      <c r="I791" t="s">
        <v>125</v>
      </c>
      <c r="J791" t="s">
        <v>125</v>
      </c>
      <c r="K791" t="s">
        <v>125</v>
      </c>
      <c r="L791" t="s">
        <v>125</v>
      </c>
      <c r="M791" t="s">
        <v>1438</v>
      </c>
      <c r="N791" t="b">
        <v>0</v>
      </c>
    </row>
    <row r="792" spans="1:14">
      <c r="A792">
        <v>46</v>
      </c>
      <c r="B792">
        <v>17</v>
      </c>
      <c r="C792" t="s">
        <v>125</v>
      </c>
      <c r="D792" t="s">
        <v>740</v>
      </c>
      <c r="E792" t="s">
        <v>125</v>
      </c>
      <c r="F792">
        <v>0</v>
      </c>
      <c r="G792" t="s">
        <v>125</v>
      </c>
      <c r="H792" t="s">
        <v>125</v>
      </c>
      <c r="I792" t="s">
        <v>125</v>
      </c>
      <c r="J792" t="s">
        <v>125</v>
      </c>
      <c r="K792" t="s">
        <v>125</v>
      </c>
      <c r="L792" t="s">
        <v>125</v>
      </c>
      <c r="M792" t="s">
        <v>1439</v>
      </c>
      <c r="N792" t="b">
        <v>0</v>
      </c>
    </row>
    <row r="793" spans="1:14">
      <c r="A793">
        <v>46</v>
      </c>
      <c r="B793">
        <v>18</v>
      </c>
      <c r="C793" t="s">
        <v>125</v>
      </c>
      <c r="D793" t="s">
        <v>740</v>
      </c>
      <c r="E793" t="s">
        <v>125</v>
      </c>
      <c r="F793">
        <v>0</v>
      </c>
      <c r="G793" t="s">
        <v>125</v>
      </c>
      <c r="H793" t="s">
        <v>125</v>
      </c>
      <c r="I793" t="s">
        <v>125</v>
      </c>
      <c r="J793" t="s">
        <v>125</v>
      </c>
      <c r="K793" t="s">
        <v>125</v>
      </c>
      <c r="L793" t="s">
        <v>125</v>
      </c>
      <c r="M793" t="s">
        <v>1440</v>
      </c>
      <c r="N793" t="b">
        <v>0</v>
      </c>
    </row>
    <row r="794" spans="1:14">
      <c r="A794">
        <v>46</v>
      </c>
      <c r="B794">
        <v>19</v>
      </c>
      <c r="C794" t="s">
        <v>125</v>
      </c>
      <c r="D794" t="s">
        <v>740</v>
      </c>
      <c r="E794" t="s">
        <v>125</v>
      </c>
      <c r="F794">
        <v>0</v>
      </c>
      <c r="G794" t="s">
        <v>125</v>
      </c>
      <c r="H794" t="s">
        <v>125</v>
      </c>
      <c r="I794" t="s">
        <v>125</v>
      </c>
      <c r="J794" t="s">
        <v>125</v>
      </c>
      <c r="K794" t="s">
        <v>125</v>
      </c>
      <c r="L794" t="s">
        <v>125</v>
      </c>
      <c r="M794" t="s">
        <v>1441</v>
      </c>
      <c r="N794" t="b">
        <v>0</v>
      </c>
    </row>
    <row r="795" spans="1:14">
      <c r="A795">
        <v>46</v>
      </c>
      <c r="B795">
        <v>20</v>
      </c>
      <c r="C795" t="s">
        <v>125</v>
      </c>
      <c r="D795" t="s">
        <v>740</v>
      </c>
      <c r="E795" t="s">
        <v>125</v>
      </c>
      <c r="F795">
        <v>0</v>
      </c>
      <c r="G795" t="s">
        <v>125</v>
      </c>
      <c r="H795" t="s">
        <v>125</v>
      </c>
      <c r="I795" t="s">
        <v>125</v>
      </c>
      <c r="J795" t="s">
        <v>125</v>
      </c>
      <c r="K795" t="s">
        <v>125</v>
      </c>
      <c r="L795" t="s">
        <v>125</v>
      </c>
      <c r="M795" t="s">
        <v>1442</v>
      </c>
      <c r="N795" t="b">
        <v>0</v>
      </c>
    </row>
    <row r="796" spans="1:14">
      <c r="A796">
        <v>46</v>
      </c>
      <c r="B796">
        <v>21</v>
      </c>
      <c r="C796" t="s">
        <v>125</v>
      </c>
      <c r="D796" t="s">
        <v>740</v>
      </c>
      <c r="E796" t="s">
        <v>125</v>
      </c>
      <c r="F796">
        <v>0</v>
      </c>
      <c r="G796" t="s">
        <v>125</v>
      </c>
      <c r="H796" t="s">
        <v>125</v>
      </c>
      <c r="I796" t="s">
        <v>125</v>
      </c>
      <c r="J796" t="s">
        <v>125</v>
      </c>
      <c r="K796" t="s">
        <v>125</v>
      </c>
      <c r="L796" t="s">
        <v>125</v>
      </c>
      <c r="M796" t="s">
        <v>1443</v>
      </c>
      <c r="N796" t="b">
        <v>0</v>
      </c>
    </row>
    <row r="797" spans="1:14">
      <c r="A797">
        <v>46</v>
      </c>
      <c r="B797">
        <v>22</v>
      </c>
      <c r="C797" t="s">
        <v>125</v>
      </c>
      <c r="D797" t="s">
        <v>740</v>
      </c>
      <c r="E797" t="s">
        <v>125</v>
      </c>
      <c r="F797">
        <v>0</v>
      </c>
      <c r="G797" t="s">
        <v>125</v>
      </c>
      <c r="H797" t="s">
        <v>125</v>
      </c>
      <c r="I797" t="s">
        <v>125</v>
      </c>
      <c r="J797" t="s">
        <v>125</v>
      </c>
      <c r="K797" t="s">
        <v>125</v>
      </c>
      <c r="L797" t="s">
        <v>125</v>
      </c>
      <c r="M797" t="s">
        <v>1444</v>
      </c>
      <c r="N797" t="b">
        <v>0</v>
      </c>
    </row>
    <row r="798" spans="1:14">
      <c r="A798">
        <v>46</v>
      </c>
      <c r="B798">
        <v>23</v>
      </c>
      <c r="C798" t="s">
        <v>125</v>
      </c>
      <c r="D798" t="s">
        <v>740</v>
      </c>
      <c r="E798" t="s">
        <v>125</v>
      </c>
      <c r="F798">
        <v>0</v>
      </c>
      <c r="G798" t="s">
        <v>125</v>
      </c>
      <c r="H798" t="s">
        <v>125</v>
      </c>
      <c r="I798" t="s">
        <v>125</v>
      </c>
      <c r="J798" t="s">
        <v>125</v>
      </c>
      <c r="K798" t="s">
        <v>125</v>
      </c>
      <c r="L798" t="s">
        <v>125</v>
      </c>
      <c r="M798" t="s">
        <v>1445</v>
      </c>
      <c r="N798" t="b">
        <v>0</v>
      </c>
    </row>
    <row r="799" spans="1:14">
      <c r="A799">
        <v>46</v>
      </c>
      <c r="B799">
        <v>24</v>
      </c>
      <c r="C799" t="s">
        <v>125</v>
      </c>
      <c r="D799" t="s">
        <v>740</v>
      </c>
      <c r="E799" t="s">
        <v>125</v>
      </c>
      <c r="F799">
        <v>0</v>
      </c>
      <c r="G799" t="s">
        <v>125</v>
      </c>
      <c r="H799" t="s">
        <v>125</v>
      </c>
      <c r="I799" t="s">
        <v>125</v>
      </c>
      <c r="J799" t="s">
        <v>125</v>
      </c>
      <c r="K799" t="s">
        <v>125</v>
      </c>
      <c r="L799" t="s">
        <v>125</v>
      </c>
      <c r="M799" t="s">
        <v>1446</v>
      </c>
      <c r="N799" t="b">
        <v>0</v>
      </c>
    </row>
    <row r="800" spans="1:14">
      <c r="A800">
        <v>46</v>
      </c>
      <c r="B800">
        <v>25</v>
      </c>
      <c r="C800" t="s">
        <v>125</v>
      </c>
      <c r="D800" t="s">
        <v>740</v>
      </c>
      <c r="E800" t="s">
        <v>125</v>
      </c>
      <c r="F800">
        <v>0</v>
      </c>
      <c r="G800" t="s">
        <v>125</v>
      </c>
      <c r="H800" t="s">
        <v>125</v>
      </c>
      <c r="I800" t="s">
        <v>125</v>
      </c>
      <c r="J800" t="s">
        <v>125</v>
      </c>
      <c r="K800" t="s">
        <v>125</v>
      </c>
      <c r="L800" t="s">
        <v>125</v>
      </c>
      <c r="M800" t="s">
        <v>1447</v>
      </c>
      <c r="N800" t="b">
        <v>0</v>
      </c>
    </row>
    <row r="801" spans="1:14">
      <c r="A801">
        <v>46</v>
      </c>
      <c r="B801">
        <v>26</v>
      </c>
      <c r="C801" t="s">
        <v>125</v>
      </c>
      <c r="D801" t="s">
        <v>740</v>
      </c>
      <c r="E801" t="s">
        <v>125</v>
      </c>
      <c r="F801">
        <v>0</v>
      </c>
      <c r="G801" t="s">
        <v>125</v>
      </c>
      <c r="H801" t="s">
        <v>125</v>
      </c>
      <c r="I801" t="s">
        <v>125</v>
      </c>
      <c r="J801" t="s">
        <v>125</v>
      </c>
      <c r="K801" t="s">
        <v>125</v>
      </c>
      <c r="L801" t="s">
        <v>125</v>
      </c>
      <c r="M801" t="s">
        <v>1448</v>
      </c>
      <c r="N801" t="b">
        <v>0</v>
      </c>
    </row>
    <row r="802" spans="1:14">
      <c r="A802">
        <v>48</v>
      </c>
      <c r="B802">
        <v>0</v>
      </c>
      <c r="C802" t="s">
        <v>185</v>
      </c>
      <c r="D802" t="s">
        <v>723</v>
      </c>
      <c r="E802" t="s">
        <v>64</v>
      </c>
      <c r="F802">
        <v>50</v>
      </c>
      <c r="G802" t="s">
        <v>125</v>
      </c>
      <c r="H802" t="s">
        <v>125</v>
      </c>
      <c r="I802" t="s">
        <v>64</v>
      </c>
      <c r="J802" t="s">
        <v>125</v>
      </c>
      <c r="K802" t="s">
        <v>125</v>
      </c>
      <c r="L802" t="s">
        <v>125</v>
      </c>
      <c r="M802" t="s">
        <v>1449</v>
      </c>
      <c r="N802" t="b">
        <v>0</v>
      </c>
    </row>
    <row r="803" spans="1:14">
      <c r="A803">
        <v>48</v>
      </c>
      <c r="B803">
        <v>1</v>
      </c>
      <c r="C803" t="s">
        <v>225</v>
      </c>
      <c r="D803" t="s">
        <v>723</v>
      </c>
      <c r="E803" t="s">
        <v>76</v>
      </c>
      <c r="F803">
        <v>50</v>
      </c>
      <c r="G803" t="s">
        <v>125</v>
      </c>
      <c r="H803" t="s">
        <v>125</v>
      </c>
      <c r="I803" t="s">
        <v>76</v>
      </c>
      <c r="J803" t="s">
        <v>125</v>
      </c>
      <c r="K803" t="s">
        <v>125</v>
      </c>
      <c r="L803" t="s">
        <v>125</v>
      </c>
      <c r="M803" t="s">
        <v>1450</v>
      </c>
      <c r="N803" t="b">
        <v>0</v>
      </c>
    </row>
    <row r="804" spans="1:14">
      <c r="A804">
        <v>48</v>
      </c>
      <c r="B804">
        <v>2</v>
      </c>
      <c r="C804" t="s">
        <v>267</v>
      </c>
      <c r="D804" t="s">
        <v>723</v>
      </c>
      <c r="E804" t="s">
        <v>82</v>
      </c>
      <c r="F804">
        <v>30</v>
      </c>
      <c r="G804" t="s">
        <v>125</v>
      </c>
      <c r="H804" t="s">
        <v>125</v>
      </c>
      <c r="I804" t="s">
        <v>82</v>
      </c>
      <c r="J804" t="s">
        <v>125</v>
      </c>
      <c r="K804" t="s">
        <v>125</v>
      </c>
      <c r="L804" t="s">
        <v>125</v>
      </c>
      <c r="M804" t="s">
        <v>1451</v>
      </c>
      <c r="N804" t="b">
        <v>0</v>
      </c>
    </row>
    <row r="805" spans="1:14">
      <c r="A805">
        <v>48</v>
      </c>
      <c r="B805">
        <v>3</v>
      </c>
      <c r="C805" t="s">
        <v>250</v>
      </c>
      <c r="D805" t="s">
        <v>723</v>
      </c>
      <c r="E805" t="s">
        <v>98</v>
      </c>
      <c r="F805">
        <v>40</v>
      </c>
      <c r="G805" t="s">
        <v>125</v>
      </c>
      <c r="H805" t="s">
        <v>125</v>
      </c>
      <c r="I805" t="s">
        <v>98</v>
      </c>
      <c r="J805" t="s">
        <v>125</v>
      </c>
      <c r="K805" t="s">
        <v>125</v>
      </c>
      <c r="L805" t="s">
        <v>125</v>
      </c>
      <c r="M805" t="s">
        <v>1452</v>
      </c>
      <c r="N805" t="b">
        <v>0</v>
      </c>
    </row>
    <row r="806" spans="1:14">
      <c r="A806">
        <v>48</v>
      </c>
      <c r="B806">
        <v>4</v>
      </c>
      <c r="C806" t="s">
        <v>228</v>
      </c>
      <c r="D806" t="s">
        <v>723</v>
      </c>
      <c r="E806" t="s">
        <v>100</v>
      </c>
      <c r="F806">
        <v>40</v>
      </c>
      <c r="G806" t="s">
        <v>125</v>
      </c>
      <c r="H806" t="s">
        <v>125</v>
      </c>
      <c r="I806" t="s">
        <v>100</v>
      </c>
      <c r="J806" t="s">
        <v>125</v>
      </c>
      <c r="K806" t="s">
        <v>125</v>
      </c>
      <c r="L806" t="s">
        <v>125</v>
      </c>
      <c r="M806" t="s">
        <v>1453</v>
      </c>
      <c r="N806" t="b">
        <v>0</v>
      </c>
    </row>
    <row r="807" spans="1:14">
      <c r="A807">
        <v>48</v>
      </c>
      <c r="B807">
        <v>5</v>
      </c>
      <c r="C807" t="s">
        <v>274</v>
      </c>
      <c r="D807" t="s">
        <v>723</v>
      </c>
      <c r="E807" t="s">
        <v>102</v>
      </c>
      <c r="F807">
        <v>30</v>
      </c>
      <c r="G807" t="s">
        <v>125</v>
      </c>
      <c r="H807" t="s">
        <v>125</v>
      </c>
      <c r="I807" t="s">
        <v>102</v>
      </c>
      <c r="J807" t="s">
        <v>125</v>
      </c>
      <c r="K807" t="s">
        <v>125</v>
      </c>
      <c r="L807" t="s">
        <v>125</v>
      </c>
      <c r="M807" t="s">
        <v>1454</v>
      </c>
      <c r="N807" t="b">
        <v>0</v>
      </c>
    </row>
    <row r="808" spans="1:14">
      <c r="A808">
        <v>48</v>
      </c>
      <c r="B808">
        <v>6</v>
      </c>
      <c r="C808" t="s">
        <v>159</v>
      </c>
      <c r="D808" t="s">
        <v>752</v>
      </c>
      <c r="E808" t="s">
        <v>296</v>
      </c>
      <c r="F808">
        <v>40</v>
      </c>
      <c r="G808" t="s">
        <v>759</v>
      </c>
      <c r="H808" t="s">
        <v>125</v>
      </c>
      <c r="I808" t="s">
        <v>125</v>
      </c>
      <c r="J808" t="s">
        <v>760</v>
      </c>
      <c r="K808" t="s">
        <v>761</v>
      </c>
      <c r="L808" t="s">
        <v>762</v>
      </c>
      <c r="M808" t="s">
        <v>1455</v>
      </c>
      <c r="N808" t="b">
        <v>0</v>
      </c>
    </row>
    <row r="809" spans="1:14">
      <c r="A809">
        <v>48</v>
      </c>
      <c r="B809">
        <v>7</v>
      </c>
      <c r="C809" t="s">
        <v>165</v>
      </c>
      <c r="D809" t="s">
        <v>723</v>
      </c>
      <c r="E809" t="s">
        <v>114</v>
      </c>
      <c r="F809">
        <v>50</v>
      </c>
      <c r="G809" t="s">
        <v>125</v>
      </c>
      <c r="H809" t="s">
        <v>125</v>
      </c>
      <c r="I809" t="s">
        <v>114</v>
      </c>
      <c r="J809" t="s">
        <v>125</v>
      </c>
      <c r="K809" t="s">
        <v>125</v>
      </c>
      <c r="L809" t="s">
        <v>125</v>
      </c>
      <c r="M809" t="s">
        <v>1456</v>
      </c>
      <c r="N809" t="b">
        <v>0</v>
      </c>
    </row>
    <row r="810" spans="1:14">
      <c r="A810">
        <v>48</v>
      </c>
      <c r="B810">
        <v>8</v>
      </c>
      <c r="C810" t="s">
        <v>287</v>
      </c>
      <c r="D810" t="s">
        <v>723</v>
      </c>
      <c r="E810" t="s">
        <v>330</v>
      </c>
      <c r="F810">
        <v>40</v>
      </c>
      <c r="G810" t="s">
        <v>125</v>
      </c>
      <c r="H810" t="s">
        <v>547</v>
      </c>
      <c r="I810" t="s">
        <v>444</v>
      </c>
      <c r="J810" t="s">
        <v>125</v>
      </c>
      <c r="K810" t="s">
        <v>920</v>
      </c>
      <c r="L810" t="s">
        <v>921</v>
      </c>
      <c r="M810" t="s">
        <v>1457</v>
      </c>
      <c r="N810" t="b">
        <v>0</v>
      </c>
    </row>
    <row r="811" spans="1:14">
      <c r="A811">
        <v>48</v>
      </c>
      <c r="B811">
        <v>9</v>
      </c>
      <c r="C811" t="s">
        <v>275</v>
      </c>
      <c r="D811" t="s">
        <v>723</v>
      </c>
      <c r="E811" t="s">
        <v>73</v>
      </c>
      <c r="F811">
        <v>40</v>
      </c>
      <c r="G811" t="s">
        <v>125</v>
      </c>
      <c r="H811" t="s">
        <v>125</v>
      </c>
      <c r="I811" t="s">
        <v>73</v>
      </c>
      <c r="J811" t="s">
        <v>125</v>
      </c>
      <c r="K811" t="s">
        <v>125</v>
      </c>
      <c r="L811" t="s">
        <v>125</v>
      </c>
      <c r="M811" t="s">
        <v>1458</v>
      </c>
      <c r="N811" t="b">
        <v>0</v>
      </c>
    </row>
    <row r="812" spans="1:14">
      <c r="A812">
        <v>48</v>
      </c>
      <c r="B812">
        <v>10</v>
      </c>
      <c r="C812" t="s">
        <v>192</v>
      </c>
      <c r="D812" t="s">
        <v>723</v>
      </c>
      <c r="E812" t="s">
        <v>77</v>
      </c>
      <c r="F812">
        <v>50</v>
      </c>
      <c r="G812" t="s">
        <v>125</v>
      </c>
      <c r="H812" t="s">
        <v>125</v>
      </c>
      <c r="I812" t="s">
        <v>77</v>
      </c>
      <c r="J812" t="s">
        <v>125</v>
      </c>
      <c r="K812" t="s">
        <v>125</v>
      </c>
      <c r="L812" t="s">
        <v>125</v>
      </c>
      <c r="M812" t="s">
        <v>1459</v>
      </c>
      <c r="N812" t="b">
        <v>0</v>
      </c>
    </row>
    <row r="813" spans="1:14">
      <c r="A813">
        <v>48</v>
      </c>
      <c r="B813">
        <v>11</v>
      </c>
      <c r="C813" t="s">
        <v>176</v>
      </c>
      <c r="D813" t="s">
        <v>723</v>
      </c>
      <c r="E813" t="s">
        <v>99</v>
      </c>
      <c r="F813">
        <v>40</v>
      </c>
      <c r="G813" t="s">
        <v>125</v>
      </c>
      <c r="H813" t="s">
        <v>125</v>
      </c>
      <c r="I813" t="s">
        <v>99</v>
      </c>
      <c r="J813" t="s">
        <v>125</v>
      </c>
      <c r="K813" t="s">
        <v>125</v>
      </c>
      <c r="L813" t="s">
        <v>125</v>
      </c>
      <c r="M813" t="s">
        <v>1460</v>
      </c>
      <c r="N813" t="b">
        <v>0</v>
      </c>
    </row>
    <row r="814" spans="1:14">
      <c r="A814">
        <v>48</v>
      </c>
      <c r="B814">
        <v>12</v>
      </c>
      <c r="C814" t="s">
        <v>231</v>
      </c>
      <c r="D814" t="s">
        <v>723</v>
      </c>
      <c r="E814" t="s">
        <v>107</v>
      </c>
      <c r="F814">
        <v>50</v>
      </c>
      <c r="G814" t="s">
        <v>125</v>
      </c>
      <c r="H814" t="s">
        <v>125</v>
      </c>
      <c r="I814" t="s">
        <v>107</v>
      </c>
      <c r="J814" t="s">
        <v>125</v>
      </c>
      <c r="K814" t="s">
        <v>125</v>
      </c>
      <c r="L814" t="s">
        <v>125</v>
      </c>
      <c r="M814" t="s">
        <v>1461</v>
      </c>
      <c r="N814" t="b">
        <v>0</v>
      </c>
    </row>
    <row r="815" spans="1:14">
      <c r="A815">
        <v>48</v>
      </c>
      <c r="B815">
        <v>13</v>
      </c>
      <c r="C815" t="s">
        <v>125</v>
      </c>
      <c r="D815" t="s">
        <v>723</v>
      </c>
      <c r="E815" t="s">
        <v>125</v>
      </c>
      <c r="F815">
        <v>0</v>
      </c>
      <c r="G815" t="s">
        <v>125</v>
      </c>
      <c r="H815" t="s">
        <v>125</v>
      </c>
      <c r="I815" t="s">
        <v>125</v>
      </c>
      <c r="J815" t="s">
        <v>125</v>
      </c>
      <c r="K815" t="s">
        <v>125</v>
      </c>
      <c r="L815" t="s">
        <v>125</v>
      </c>
      <c r="M815" t="s">
        <v>1462</v>
      </c>
      <c r="N815" t="b">
        <v>0</v>
      </c>
    </row>
    <row r="816" spans="1:14">
      <c r="A816">
        <v>48</v>
      </c>
      <c r="B816">
        <v>14</v>
      </c>
      <c r="C816" t="s">
        <v>125</v>
      </c>
      <c r="D816" t="s">
        <v>723</v>
      </c>
      <c r="E816" t="s">
        <v>125</v>
      </c>
      <c r="F816">
        <v>0</v>
      </c>
      <c r="G816" t="s">
        <v>125</v>
      </c>
      <c r="H816" t="s">
        <v>125</v>
      </c>
      <c r="I816" t="s">
        <v>125</v>
      </c>
      <c r="J816" t="s">
        <v>125</v>
      </c>
      <c r="K816" t="s">
        <v>125</v>
      </c>
      <c r="L816" t="s">
        <v>125</v>
      </c>
      <c r="M816" t="s">
        <v>1463</v>
      </c>
      <c r="N816" t="b">
        <v>0</v>
      </c>
    </row>
    <row r="817" spans="1:14">
      <c r="A817">
        <v>48</v>
      </c>
      <c r="B817">
        <v>15</v>
      </c>
      <c r="C817" t="s">
        <v>125</v>
      </c>
      <c r="D817" t="s">
        <v>723</v>
      </c>
      <c r="E817" t="s">
        <v>125</v>
      </c>
      <c r="F817">
        <v>0</v>
      </c>
      <c r="G817" t="s">
        <v>125</v>
      </c>
      <c r="H817" t="s">
        <v>125</v>
      </c>
      <c r="I817" t="s">
        <v>125</v>
      </c>
      <c r="J817" t="s">
        <v>125</v>
      </c>
      <c r="K817" t="s">
        <v>125</v>
      </c>
      <c r="L817" t="s">
        <v>125</v>
      </c>
      <c r="M817" t="s">
        <v>1464</v>
      </c>
      <c r="N817" t="b">
        <v>0</v>
      </c>
    </row>
    <row r="818" spans="1:14">
      <c r="A818">
        <v>48</v>
      </c>
      <c r="B818">
        <v>16</v>
      </c>
      <c r="C818" t="s">
        <v>347</v>
      </c>
      <c r="D818" t="s">
        <v>740</v>
      </c>
      <c r="E818" t="s">
        <v>542</v>
      </c>
      <c r="F818">
        <v>40</v>
      </c>
      <c r="G818" t="s">
        <v>759</v>
      </c>
      <c r="H818" t="s">
        <v>125</v>
      </c>
      <c r="I818" t="s">
        <v>125</v>
      </c>
      <c r="J818" t="s">
        <v>1101</v>
      </c>
      <c r="K818" t="s">
        <v>1102</v>
      </c>
      <c r="L818" t="s">
        <v>1055</v>
      </c>
      <c r="M818" t="s">
        <v>1465</v>
      </c>
      <c r="N818" t="b">
        <v>0</v>
      </c>
    </row>
    <row r="819" spans="1:14">
      <c r="A819">
        <v>48</v>
      </c>
      <c r="B819">
        <v>17</v>
      </c>
      <c r="C819" t="s">
        <v>348</v>
      </c>
      <c r="D819" t="s">
        <v>740</v>
      </c>
      <c r="E819" t="s">
        <v>86</v>
      </c>
      <c r="F819">
        <v>40</v>
      </c>
      <c r="G819" t="s">
        <v>125</v>
      </c>
      <c r="H819" t="s">
        <v>125</v>
      </c>
      <c r="I819" t="s">
        <v>86</v>
      </c>
      <c r="J819" t="s">
        <v>125</v>
      </c>
      <c r="K819" t="s">
        <v>125</v>
      </c>
      <c r="L819" t="s">
        <v>125</v>
      </c>
      <c r="M819" t="s">
        <v>1466</v>
      </c>
      <c r="N819" t="b">
        <v>0</v>
      </c>
    </row>
    <row r="820" spans="1:14">
      <c r="A820">
        <v>48</v>
      </c>
      <c r="B820">
        <v>18</v>
      </c>
      <c r="C820" t="s">
        <v>349</v>
      </c>
      <c r="D820" t="s">
        <v>740</v>
      </c>
      <c r="E820" t="s">
        <v>543</v>
      </c>
      <c r="F820">
        <v>40</v>
      </c>
      <c r="G820" t="s">
        <v>759</v>
      </c>
      <c r="H820" t="s">
        <v>125</v>
      </c>
      <c r="I820" t="s">
        <v>125</v>
      </c>
      <c r="J820" t="s">
        <v>816</v>
      </c>
      <c r="K820" t="s">
        <v>791</v>
      </c>
      <c r="L820" t="s">
        <v>792</v>
      </c>
      <c r="M820" t="s">
        <v>1467</v>
      </c>
      <c r="N820" t="b">
        <v>0</v>
      </c>
    </row>
    <row r="821" spans="1:14">
      <c r="A821">
        <v>48</v>
      </c>
      <c r="B821">
        <v>19</v>
      </c>
      <c r="C821" t="s">
        <v>350</v>
      </c>
      <c r="D821" t="s">
        <v>740</v>
      </c>
      <c r="E821" t="s">
        <v>296</v>
      </c>
      <c r="F821">
        <v>40</v>
      </c>
      <c r="G821" t="s">
        <v>759</v>
      </c>
      <c r="H821" t="s">
        <v>125</v>
      </c>
      <c r="I821" t="s">
        <v>125</v>
      </c>
      <c r="J821" t="s">
        <v>760</v>
      </c>
      <c r="K821" t="s">
        <v>764</v>
      </c>
      <c r="L821" t="s">
        <v>765</v>
      </c>
      <c r="M821" t="s">
        <v>1468</v>
      </c>
      <c r="N821" t="b">
        <v>0</v>
      </c>
    </row>
    <row r="822" spans="1:14">
      <c r="A822">
        <v>48</v>
      </c>
      <c r="B822">
        <v>20</v>
      </c>
      <c r="C822" t="s">
        <v>125</v>
      </c>
      <c r="D822" t="s">
        <v>740</v>
      </c>
      <c r="E822" t="s">
        <v>125</v>
      </c>
      <c r="F822">
        <v>0</v>
      </c>
      <c r="G822" t="s">
        <v>125</v>
      </c>
      <c r="H822" t="s">
        <v>125</v>
      </c>
      <c r="I822" t="s">
        <v>125</v>
      </c>
      <c r="J822" t="s">
        <v>125</v>
      </c>
      <c r="K822" t="s">
        <v>125</v>
      </c>
      <c r="L822" t="s">
        <v>125</v>
      </c>
      <c r="M822" t="s">
        <v>1469</v>
      </c>
      <c r="N822" t="b">
        <v>0</v>
      </c>
    </row>
    <row r="823" spans="1:14">
      <c r="A823">
        <v>48</v>
      </c>
      <c r="B823">
        <v>21</v>
      </c>
      <c r="C823" t="s">
        <v>125</v>
      </c>
      <c r="D823" t="s">
        <v>740</v>
      </c>
      <c r="E823" t="s">
        <v>125</v>
      </c>
      <c r="F823">
        <v>0</v>
      </c>
      <c r="G823" t="s">
        <v>125</v>
      </c>
      <c r="H823" t="s">
        <v>125</v>
      </c>
      <c r="I823" t="s">
        <v>125</v>
      </c>
      <c r="J823" t="s">
        <v>125</v>
      </c>
      <c r="K823" t="s">
        <v>125</v>
      </c>
      <c r="L823" t="s">
        <v>125</v>
      </c>
      <c r="M823" t="s">
        <v>1470</v>
      </c>
      <c r="N823" t="b">
        <v>0</v>
      </c>
    </row>
    <row r="824" spans="1:14">
      <c r="A824">
        <v>48</v>
      </c>
      <c r="B824">
        <v>22</v>
      </c>
      <c r="C824" t="s">
        <v>125</v>
      </c>
      <c r="D824" t="s">
        <v>740</v>
      </c>
      <c r="E824" t="s">
        <v>125</v>
      </c>
      <c r="F824">
        <v>0</v>
      </c>
      <c r="G824" t="s">
        <v>125</v>
      </c>
      <c r="H824" t="s">
        <v>125</v>
      </c>
      <c r="I824" t="s">
        <v>125</v>
      </c>
      <c r="J824" t="s">
        <v>125</v>
      </c>
      <c r="K824" t="s">
        <v>125</v>
      </c>
      <c r="L824" t="s">
        <v>125</v>
      </c>
      <c r="M824" t="s">
        <v>1471</v>
      </c>
      <c r="N824" t="b">
        <v>0</v>
      </c>
    </row>
    <row r="825" spans="1:14">
      <c r="A825">
        <v>48</v>
      </c>
      <c r="B825">
        <v>23</v>
      </c>
      <c r="C825" t="s">
        <v>125</v>
      </c>
      <c r="D825" t="s">
        <v>740</v>
      </c>
      <c r="E825" t="s">
        <v>125</v>
      </c>
      <c r="F825">
        <v>0</v>
      </c>
      <c r="G825" t="s">
        <v>125</v>
      </c>
      <c r="H825" t="s">
        <v>125</v>
      </c>
      <c r="I825" t="s">
        <v>125</v>
      </c>
      <c r="J825" t="s">
        <v>125</v>
      </c>
      <c r="K825" t="s">
        <v>125</v>
      </c>
      <c r="L825" t="s">
        <v>125</v>
      </c>
      <c r="M825" t="s">
        <v>1472</v>
      </c>
      <c r="N825" t="b">
        <v>0</v>
      </c>
    </row>
    <row r="826" spans="1:14">
      <c r="A826">
        <v>48</v>
      </c>
      <c r="B826">
        <v>24</v>
      </c>
      <c r="C826" t="s">
        <v>125</v>
      </c>
      <c r="D826" t="s">
        <v>740</v>
      </c>
      <c r="E826" t="s">
        <v>125</v>
      </c>
      <c r="F826">
        <v>0</v>
      </c>
      <c r="G826" t="s">
        <v>125</v>
      </c>
      <c r="H826" t="s">
        <v>125</v>
      </c>
      <c r="I826" t="s">
        <v>125</v>
      </c>
      <c r="J826" t="s">
        <v>125</v>
      </c>
      <c r="K826" t="s">
        <v>125</v>
      </c>
      <c r="L826" t="s">
        <v>125</v>
      </c>
      <c r="M826" t="s">
        <v>1473</v>
      </c>
      <c r="N826" t="b">
        <v>0</v>
      </c>
    </row>
    <row r="827" spans="1:14">
      <c r="A827">
        <v>48</v>
      </c>
      <c r="B827">
        <v>25</v>
      </c>
      <c r="C827" t="s">
        <v>125</v>
      </c>
      <c r="D827" t="s">
        <v>740</v>
      </c>
      <c r="E827" t="s">
        <v>125</v>
      </c>
      <c r="F827">
        <v>0</v>
      </c>
      <c r="G827" t="s">
        <v>125</v>
      </c>
      <c r="H827" t="s">
        <v>125</v>
      </c>
      <c r="I827" t="s">
        <v>125</v>
      </c>
      <c r="J827" t="s">
        <v>125</v>
      </c>
      <c r="K827" t="s">
        <v>125</v>
      </c>
      <c r="L827" t="s">
        <v>125</v>
      </c>
      <c r="M827" t="s">
        <v>1474</v>
      </c>
      <c r="N827" t="b">
        <v>0</v>
      </c>
    </row>
    <row r="828" spans="1:14">
      <c r="A828">
        <v>48</v>
      </c>
      <c r="B828">
        <v>26</v>
      </c>
      <c r="C828" t="s">
        <v>125</v>
      </c>
      <c r="D828" t="s">
        <v>740</v>
      </c>
      <c r="E828" t="s">
        <v>125</v>
      </c>
      <c r="F828">
        <v>0</v>
      </c>
      <c r="G828" t="s">
        <v>125</v>
      </c>
      <c r="H828" t="s">
        <v>125</v>
      </c>
      <c r="I828" t="s">
        <v>125</v>
      </c>
      <c r="J828" t="s">
        <v>125</v>
      </c>
      <c r="K828" t="s">
        <v>125</v>
      </c>
      <c r="L828" t="s">
        <v>125</v>
      </c>
      <c r="M828" t="s">
        <v>1475</v>
      </c>
      <c r="N828" t="b">
        <v>0</v>
      </c>
    </row>
    <row r="829" spans="1:14">
      <c r="A829">
        <v>49</v>
      </c>
      <c r="B829">
        <v>0</v>
      </c>
      <c r="C829" t="s">
        <v>215</v>
      </c>
      <c r="D829" t="s">
        <v>723</v>
      </c>
      <c r="E829" t="s">
        <v>64</v>
      </c>
      <c r="F829">
        <v>60</v>
      </c>
      <c r="G829" t="s">
        <v>125</v>
      </c>
      <c r="H829" t="s">
        <v>125</v>
      </c>
      <c r="I829" t="s">
        <v>64</v>
      </c>
      <c r="J829" t="s">
        <v>125</v>
      </c>
      <c r="K829" t="s">
        <v>125</v>
      </c>
      <c r="L829" t="s">
        <v>125</v>
      </c>
      <c r="M829" t="s">
        <v>1476</v>
      </c>
      <c r="N829" t="b">
        <v>0</v>
      </c>
    </row>
    <row r="830" spans="1:14">
      <c r="A830">
        <v>49</v>
      </c>
      <c r="B830">
        <v>1</v>
      </c>
      <c r="C830" t="s">
        <v>225</v>
      </c>
      <c r="D830" t="s">
        <v>723</v>
      </c>
      <c r="E830" t="s">
        <v>76</v>
      </c>
      <c r="F830">
        <v>50</v>
      </c>
      <c r="G830" t="s">
        <v>125</v>
      </c>
      <c r="H830" t="s">
        <v>125</v>
      </c>
      <c r="I830" t="s">
        <v>76</v>
      </c>
      <c r="J830" t="s">
        <v>125</v>
      </c>
      <c r="K830" t="s">
        <v>125</v>
      </c>
      <c r="L830" t="s">
        <v>125</v>
      </c>
      <c r="M830" t="s">
        <v>1477</v>
      </c>
      <c r="N830" t="b">
        <v>0</v>
      </c>
    </row>
    <row r="831" spans="1:14">
      <c r="A831">
        <v>49</v>
      </c>
      <c r="B831">
        <v>2</v>
      </c>
      <c r="C831" t="s">
        <v>267</v>
      </c>
      <c r="D831" t="s">
        <v>723</v>
      </c>
      <c r="E831" t="s">
        <v>82</v>
      </c>
      <c r="F831">
        <v>30</v>
      </c>
      <c r="G831" t="s">
        <v>125</v>
      </c>
      <c r="H831" t="s">
        <v>125</v>
      </c>
      <c r="I831" t="s">
        <v>82</v>
      </c>
      <c r="J831" t="s">
        <v>125</v>
      </c>
      <c r="K831" t="s">
        <v>125</v>
      </c>
      <c r="L831" t="s">
        <v>125</v>
      </c>
      <c r="M831" t="s">
        <v>1478</v>
      </c>
      <c r="N831" t="b">
        <v>0</v>
      </c>
    </row>
    <row r="832" spans="1:14">
      <c r="A832">
        <v>49</v>
      </c>
      <c r="B832">
        <v>3</v>
      </c>
      <c r="C832" t="s">
        <v>237</v>
      </c>
      <c r="D832" t="s">
        <v>723</v>
      </c>
      <c r="E832" t="s">
        <v>543</v>
      </c>
      <c r="F832">
        <v>40</v>
      </c>
      <c r="G832" t="s">
        <v>125</v>
      </c>
      <c r="H832" t="s">
        <v>546</v>
      </c>
      <c r="I832" t="s">
        <v>507</v>
      </c>
      <c r="J832" t="s">
        <v>125</v>
      </c>
      <c r="K832" t="s">
        <v>791</v>
      </c>
      <c r="L832" t="s">
        <v>792</v>
      </c>
      <c r="M832" t="s">
        <v>1479</v>
      </c>
      <c r="N832" t="b">
        <v>0</v>
      </c>
    </row>
    <row r="833" spans="1:14">
      <c r="A833">
        <v>49</v>
      </c>
      <c r="B833">
        <v>4</v>
      </c>
      <c r="C833" t="s">
        <v>238</v>
      </c>
      <c r="D833" t="s">
        <v>723</v>
      </c>
      <c r="E833" t="s">
        <v>543</v>
      </c>
      <c r="F833">
        <v>40</v>
      </c>
      <c r="G833" t="s">
        <v>125</v>
      </c>
      <c r="H833" t="s">
        <v>556</v>
      </c>
      <c r="I833" t="s">
        <v>485</v>
      </c>
      <c r="J833" t="s">
        <v>125</v>
      </c>
      <c r="K833" t="s">
        <v>794</v>
      </c>
      <c r="L833" t="s">
        <v>795</v>
      </c>
      <c r="M833" t="s">
        <v>1480</v>
      </c>
      <c r="N833" t="b">
        <v>0</v>
      </c>
    </row>
    <row r="834" spans="1:14">
      <c r="A834">
        <v>49</v>
      </c>
      <c r="B834">
        <v>5</v>
      </c>
      <c r="C834" t="s">
        <v>228</v>
      </c>
      <c r="D834" t="s">
        <v>723</v>
      </c>
      <c r="E834" t="s">
        <v>100</v>
      </c>
      <c r="F834">
        <v>40</v>
      </c>
      <c r="G834" t="s">
        <v>125</v>
      </c>
      <c r="H834" t="s">
        <v>125</v>
      </c>
      <c r="I834" t="s">
        <v>100</v>
      </c>
      <c r="J834" t="s">
        <v>125</v>
      </c>
      <c r="K834" t="s">
        <v>125</v>
      </c>
      <c r="L834" t="s">
        <v>125</v>
      </c>
      <c r="M834" t="s">
        <v>1481</v>
      </c>
      <c r="N834" t="b">
        <v>0</v>
      </c>
    </row>
    <row r="835" spans="1:14">
      <c r="A835">
        <v>49</v>
      </c>
      <c r="B835">
        <v>6</v>
      </c>
      <c r="C835" t="s">
        <v>197</v>
      </c>
      <c r="D835" t="s">
        <v>723</v>
      </c>
      <c r="E835" t="s">
        <v>112</v>
      </c>
      <c r="F835">
        <v>50</v>
      </c>
      <c r="G835" t="s">
        <v>125</v>
      </c>
      <c r="H835" t="s">
        <v>125</v>
      </c>
      <c r="I835" t="s">
        <v>112</v>
      </c>
      <c r="J835" t="s">
        <v>125</v>
      </c>
      <c r="K835" t="s">
        <v>125</v>
      </c>
      <c r="L835" t="s">
        <v>125</v>
      </c>
      <c r="M835" t="s">
        <v>1482</v>
      </c>
      <c r="N835" t="b">
        <v>0</v>
      </c>
    </row>
    <row r="836" spans="1:14">
      <c r="A836">
        <v>49</v>
      </c>
      <c r="B836">
        <v>7</v>
      </c>
      <c r="C836" t="s">
        <v>352</v>
      </c>
      <c r="D836" t="s">
        <v>723</v>
      </c>
      <c r="E836" t="s">
        <v>330</v>
      </c>
      <c r="F836">
        <v>60</v>
      </c>
      <c r="G836" t="s">
        <v>125</v>
      </c>
      <c r="H836" t="s">
        <v>552</v>
      </c>
      <c r="I836" t="s">
        <v>1483</v>
      </c>
      <c r="J836" t="s">
        <v>125</v>
      </c>
      <c r="K836" t="s">
        <v>920</v>
      </c>
      <c r="L836" t="s">
        <v>921</v>
      </c>
      <c r="M836" t="s">
        <v>1484</v>
      </c>
      <c r="N836" t="b">
        <v>0</v>
      </c>
    </row>
    <row r="837" spans="1:14">
      <c r="A837">
        <v>49</v>
      </c>
      <c r="B837">
        <v>8</v>
      </c>
      <c r="C837" t="s">
        <v>353</v>
      </c>
      <c r="D837" t="s">
        <v>723</v>
      </c>
      <c r="E837" t="s">
        <v>330</v>
      </c>
      <c r="F837">
        <v>20</v>
      </c>
      <c r="G837" t="s">
        <v>125</v>
      </c>
      <c r="H837" t="s">
        <v>547</v>
      </c>
      <c r="I837" t="s">
        <v>444</v>
      </c>
      <c r="J837" t="s">
        <v>125</v>
      </c>
      <c r="K837" t="s">
        <v>1485</v>
      </c>
      <c r="L837" t="s">
        <v>1486</v>
      </c>
      <c r="M837" t="s">
        <v>1487</v>
      </c>
      <c r="N837" t="b">
        <v>0</v>
      </c>
    </row>
    <row r="838" spans="1:14">
      <c r="A838">
        <v>49</v>
      </c>
      <c r="B838">
        <v>9</v>
      </c>
      <c r="C838" t="s">
        <v>354</v>
      </c>
      <c r="D838" t="s">
        <v>723</v>
      </c>
      <c r="E838" t="s">
        <v>73</v>
      </c>
      <c r="F838">
        <v>60</v>
      </c>
      <c r="G838" t="s">
        <v>125</v>
      </c>
      <c r="H838" t="s">
        <v>125</v>
      </c>
      <c r="I838" t="s">
        <v>73</v>
      </c>
      <c r="J838" t="s">
        <v>125</v>
      </c>
      <c r="K838" t="s">
        <v>125</v>
      </c>
      <c r="L838" t="s">
        <v>125</v>
      </c>
      <c r="M838" t="s">
        <v>1488</v>
      </c>
      <c r="N838" t="b">
        <v>0</v>
      </c>
    </row>
    <row r="839" spans="1:14">
      <c r="A839">
        <v>49</v>
      </c>
      <c r="B839">
        <v>10</v>
      </c>
      <c r="C839" t="s">
        <v>355</v>
      </c>
      <c r="D839" t="s">
        <v>723</v>
      </c>
      <c r="E839" t="s">
        <v>357</v>
      </c>
      <c r="F839">
        <v>60</v>
      </c>
      <c r="G839" t="s">
        <v>125</v>
      </c>
      <c r="H839" t="s">
        <v>558</v>
      </c>
      <c r="I839" t="s">
        <v>362</v>
      </c>
      <c r="J839" t="s">
        <v>125</v>
      </c>
      <c r="K839" t="s">
        <v>1163</v>
      </c>
      <c r="L839" t="s">
        <v>1164</v>
      </c>
      <c r="M839" t="s">
        <v>1489</v>
      </c>
      <c r="N839" t="b">
        <v>0</v>
      </c>
    </row>
    <row r="840" spans="1:14">
      <c r="A840">
        <v>49</v>
      </c>
      <c r="B840">
        <v>11</v>
      </c>
      <c r="C840" t="s">
        <v>356</v>
      </c>
      <c r="D840" t="s">
        <v>723</v>
      </c>
      <c r="E840" t="s">
        <v>544</v>
      </c>
      <c r="F840">
        <v>50</v>
      </c>
      <c r="G840" t="s">
        <v>125</v>
      </c>
      <c r="H840" t="s">
        <v>582</v>
      </c>
      <c r="I840" t="s">
        <v>495</v>
      </c>
      <c r="J840" t="s">
        <v>125</v>
      </c>
      <c r="K840" t="s">
        <v>800</v>
      </c>
      <c r="L840" t="s">
        <v>801</v>
      </c>
      <c r="M840" t="s">
        <v>1490</v>
      </c>
      <c r="N840" t="b">
        <v>0</v>
      </c>
    </row>
    <row r="841" spans="1:14">
      <c r="A841">
        <v>49</v>
      </c>
      <c r="B841">
        <v>12</v>
      </c>
      <c r="C841" t="s">
        <v>222</v>
      </c>
      <c r="D841" t="s">
        <v>723</v>
      </c>
      <c r="E841" t="s">
        <v>106</v>
      </c>
      <c r="F841">
        <v>50</v>
      </c>
      <c r="G841" t="s">
        <v>125</v>
      </c>
      <c r="H841" t="s">
        <v>125</v>
      </c>
      <c r="I841" t="s">
        <v>106</v>
      </c>
      <c r="J841" t="s">
        <v>125</v>
      </c>
      <c r="K841" t="s">
        <v>125</v>
      </c>
      <c r="L841" t="s">
        <v>125</v>
      </c>
      <c r="M841" t="s">
        <v>1491</v>
      </c>
      <c r="N841" t="b">
        <v>0</v>
      </c>
    </row>
    <row r="842" spans="1:14">
      <c r="A842">
        <v>49</v>
      </c>
      <c r="B842">
        <v>13</v>
      </c>
      <c r="C842" t="s">
        <v>125</v>
      </c>
      <c r="D842" t="s">
        <v>723</v>
      </c>
      <c r="E842" t="s">
        <v>125</v>
      </c>
      <c r="F842">
        <v>0</v>
      </c>
      <c r="G842" t="s">
        <v>125</v>
      </c>
      <c r="H842" t="s">
        <v>125</v>
      </c>
      <c r="I842" t="s">
        <v>125</v>
      </c>
      <c r="J842" t="s">
        <v>125</v>
      </c>
      <c r="K842" t="s">
        <v>125</v>
      </c>
      <c r="L842" t="s">
        <v>125</v>
      </c>
      <c r="M842" t="s">
        <v>1492</v>
      </c>
      <c r="N842" t="b">
        <v>0</v>
      </c>
    </row>
    <row r="843" spans="1:14">
      <c r="A843">
        <v>49</v>
      </c>
      <c r="B843">
        <v>14</v>
      </c>
      <c r="C843" t="s">
        <v>125</v>
      </c>
      <c r="D843" t="s">
        <v>723</v>
      </c>
      <c r="E843" t="s">
        <v>125</v>
      </c>
      <c r="F843">
        <v>0</v>
      </c>
      <c r="G843" t="s">
        <v>125</v>
      </c>
      <c r="H843" t="s">
        <v>125</v>
      </c>
      <c r="I843" t="s">
        <v>125</v>
      </c>
      <c r="J843" t="s">
        <v>125</v>
      </c>
      <c r="K843" t="s">
        <v>125</v>
      </c>
      <c r="L843" t="s">
        <v>125</v>
      </c>
      <c r="M843" t="s">
        <v>1493</v>
      </c>
      <c r="N843" t="b">
        <v>0</v>
      </c>
    </row>
    <row r="844" spans="1:14">
      <c r="A844">
        <v>49</v>
      </c>
      <c r="B844">
        <v>15</v>
      </c>
      <c r="C844" t="s">
        <v>125</v>
      </c>
      <c r="D844" t="s">
        <v>723</v>
      </c>
      <c r="E844" t="s">
        <v>125</v>
      </c>
      <c r="F844">
        <v>0</v>
      </c>
      <c r="G844" t="s">
        <v>125</v>
      </c>
      <c r="H844" t="s">
        <v>125</v>
      </c>
      <c r="I844" t="s">
        <v>125</v>
      </c>
      <c r="J844" t="s">
        <v>125</v>
      </c>
      <c r="K844" t="s">
        <v>125</v>
      </c>
      <c r="L844" t="s">
        <v>125</v>
      </c>
      <c r="M844" t="s">
        <v>1494</v>
      </c>
      <c r="N844" t="b">
        <v>0</v>
      </c>
    </row>
    <row r="845" spans="1:14">
      <c r="A845">
        <v>49</v>
      </c>
      <c r="B845">
        <v>16</v>
      </c>
      <c r="C845" t="s">
        <v>125</v>
      </c>
      <c r="D845" t="s">
        <v>740</v>
      </c>
      <c r="E845" t="s">
        <v>125</v>
      </c>
      <c r="F845">
        <v>0</v>
      </c>
      <c r="G845" t="s">
        <v>125</v>
      </c>
      <c r="H845" t="s">
        <v>125</v>
      </c>
      <c r="I845" t="s">
        <v>125</v>
      </c>
      <c r="J845" t="s">
        <v>125</v>
      </c>
      <c r="K845" t="s">
        <v>125</v>
      </c>
      <c r="L845" t="s">
        <v>125</v>
      </c>
      <c r="M845" t="s">
        <v>1495</v>
      </c>
      <c r="N845" t="b">
        <v>0</v>
      </c>
    </row>
    <row r="846" spans="1:14">
      <c r="A846">
        <v>49</v>
      </c>
      <c r="B846">
        <v>17</v>
      </c>
      <c r="C846" t="s">
        <v>125</v>
      </c>
      <c r="D846" t="s">
        <v>740</v>
      </c>
      <c r="E846" t="s">
        <v>125</v>
      </c>
      <c r="F846">
        <v>0</v>
      </c>
      <c r="G846" t="s">
        <v>125</v>
      </c>
      <c r="H846" t="s">
        <v>125</v>
      </c>
      <c r="I846" t="s">
        <v>125</v>
      </c>
      <c r="J846" t="s">
        <v>125</v>
      </c>
      <c r="K846" t="s">
        <v>125</v>
      </c>
      <c r="L846" t="s">
        <v>125</v>
      </c>
      <c r="M846" t="s">
        <v>1496</v>
      </c>
      <c r="N846" t="b">
        <v>0</v>
      </c>
    </row>
    <row r="847" spans="1:14">
      <c r="A847">
        <v>49</v>
      </c>
      <c r="B847">
        <v>18</v>
      </c>
      <c r="C847" t="s">
        <v>125</v>
      </c>
      <c r="D847" t="s">
        <v>740</v>
      </c>
      <c r="E847" t="s">
        <v>125</v>
      </c>
      <c r="F847">
        <v>0</v>
      </c>
      <c r="G847" t="s">
        <v>125</v>
      </c>
      <c r="H847" t="s">
        <v>125</v>
      </c>
      <c r="I847" t="s">
        <v>125</v>
      </c>
      <c r="J847" t="s">
        <v>125</v>
      </c>
      <c r="K847" t="s">
        <v>125</v>
      </c>
      <c r="L847" t="s">
        <v>125</v>
      </c>
      <c r="M847" t="s">
        <v>1497</v>
      </c>
      <c r="N847" t="b">
        <v>0</v>
      </c>
    </row>
    <row r="848" spans="1:14">
      <c r="A848">
        <v>49</v>
      </c>
      <c r="B848">
        <v>19</v>
      </c>
      <c r="C848" t="s">
        <v>125</v>
      </c>
      <c r="D848" t="s">
        <v>740</v>
      </c>
      <c r="E848" t="s">
        <v>125</v>
      </c>
      <c r="F848">
        <v>0</v>
      </c>
      <c r="G848" t="s">
        <v>125</v>
      </c>
      <c r="H848" t="s">
        <v>125</v>
      </c>
      <c r="I848" t="s">
        <v>125</v>
      </c>
      <c r="J848" t="s">
        <v>125</v>
      </c>
      <c r="K848" t="s">
        <v>125</v>
      </c>
      <c r="L848" t="s">
        <v>125</v>
      </c>
      <c r="M848" t="s">
        <v>1498</v>
      </c>
      <c r="N848" t="b">
        <v>0</v>
      </c>
    </row>
    <row r="849" spans="1:14">
      <c r="A849">
        <v>49</v>
      </c>
      <c r="B849">
        <v>20</v>
      </c>
      <c r="C849" t="s">
        <v>125</v>
      </c>
      <c r="D849" t="s">
        <v>740</v>
      </c>
      <c r="E849" t="s">
        <v>125</v>
      </c>
      <c r="F849">
        <v>0</v>
      </c>
      <c r="G849" t="s">
        <v>125</v>
      </c>
      <c r="H849" t="s">
        <v>125</v>
      </c>
      <c r="I849" t="s">
        <v>125</v>
      </c>
      <c r="J849" t="s">
        <v>125</v>
      </c>
      <c r="K849" t="s">
        <v>125</v>
      </c>
      <c r="L849" t="s">
        <v>125</v>
      </c>
      <c r="M849" t="s">
        <v>1499</v>
      </c>
      <c r="N849" t="b">
        <v>0</v>
      </c>
    </row>
    <row r="850" spans="1:14">
      <c r="A850">
        <v>49</v>
      </c>
      <c r="B850">
        <v>21</v>
      </c>
      <c r="C850" t="s">
        <v>125</v>
      </c>
      <c r="D850" t="s">
        <v>740</v>
      </c>
      <c r="E850" t="s">
        <v>125</v>
      </c>
      <c r="F850">
        <v>0</v>
      </c>
      <c r="G850" t="s">
        <v>125</v>
      </c>
      <c r="H850" t="s">
        <v>125</v>
      </c>
      <c r="I850" t="s">
        <v>125</v>
      </c>
      <c r="J850" t="s">
        <v>125</v>
      </c>
      <c r="K850" t="s">
        <v>125</v>
      </c>
      <c r="L850" t="s">
        <v>125</v>
      </c>
      <c r="M850" t="s">
        <v>1500</v>
      </c>
      <c r="N850" t="b">
        <v>0</v>
      </c>
    </row>
    <row r="851" spans="1:14">
      <c r="A851">
        <v>49</v>
      </c>
      <c r="B851">
        <v>22</v>
      </c>
      <c r="C851" t="s">
        <v>125</v>
      </c>
      <c r="D851" t="s">
        <v>740</v>
      </c>
      <c r="E851" t="s">
        <v>125</v>
      </c>
      <c r="F851">
        <v>0</v>
      </c>
      <c r="G851" t="s">
        <v>125</v>
      </c>
      <c r="H851" t="s">
        <v>125</v>
      </c>
      <c r="I851" t="s">
        <v>125</v>
      </c>
      <c r="J851" t="s">
        <v>125</v>
      </c>
      <c r="K851" t="s">
        <v>125</v>
      </c>
      <c r="L851" t="s">
        <v>125</v>
      </c>
      <c r="M851" t="s">
        <v>1501</v>
      </c>
      <c r="N851" t="b">
        <v>0</v>
      </c>
    </row>
    <row r="852" spans="1:14">
      <c r="A852">
        <v>49</v>
      </c>
      <c r="B852">
        <v>23</v>
      </c>
      <c r="C852" t="s">
        <v>125</v>
      </c>
      <c r="D852" t="s">
        <v>740</v>
      </c>
      <c r="E852" t="s">
        <v>125</v>
      </c>
      <c r="F852">
        <v>0</v>
      </c>
      <c r="G852" t="s">
        <v>125</v>
      </c>
      <c r="H852" t="s">
        <v>125</v>
      </c>
      <c r="I852" t="s">
        <v>125</v>
      </c>
      <c r="J852" t="s">
        <v>125</v>
      </c>
      <c r="K852" t="s">
        <v>125</v>
      </c>
      <c r="L852" t="s">
        <v>125</v>
      </c>
      <c r="M852" t="s">
        <v>1502</v>
      </c>
      <c r="N852" t="b">
        <v>0</v>
      </c>
    </row>
    <row r="853" spans="1:14">
      <c r="A853">
        <v>49</v>
      </c>
      <c r="B853">
        <v>24</v>
      </c>
      <c r="C853" t="s">
        <v>125</v>
      </c>
      <c r="D853" t="s">
        <v>740</v>
      </c>
      <c r="E853" t="s">
        <v>125</v>
      </c>
      <c r="F853">
        <v>0</v>
      </c>
      <c r="G853" t="s">
        <v>125</v>
      </c>
      <c r="H853" t="s">
        <v>125</v>
      </c>
      <c r="I853" t="s">
        <v>125</v>
      </c>
      <c r="J853" t="s">
        <v>125</v>
      </c>
      <c r="K853" t="s">
        <v>125</v>
      </c>
      <c r="L853" t="s">
        <v>125</v>
      </c>
      <c r="M853" t="s">
        <v>1503</v>
      </c>
      <c r="N853" t="b">
        <v>0</v>
      </c>
    </row>
    <row r="854" spans="1:14">
      <c r="A854">
        <v>49</v>
      </c>
      <c r="B854">
        <v>25</v>
      </c>
      <c r="C854" t="s">
        <v>125</v>
      </c>
      <c r="D854" t="s">
        <v>740</v>
      </c>
      <c r="E854" t="s">
        <v>125</v>
      </c>
      <c r="F854">
        <v>0</v>
      </c>
      <c r="G854" t="s">
        <v>125</v>
      </c>
      <c r="H854" t="s">
        <v>125</v>
      </c>
      <c r="I854" t="s">
        <v>125</v>
      </c>
      <c r="J854" t="s">
        <v>125</v>
      </c>
      <c r="K854" t="s">
        <v>125</v>
      </c>
      <c r="L854" t="s">
        <v>125</v>
      </c>
      <c r="M854" t="s">
        <v>1504</v>
      </c>
      <c r="N854" t="b">
        <v>0</v>
      </c>
    </row>
    <row r="855" spans="1:14">
      <c r="A855">
        <v>49</v>
      </c>
      <c r="B855">
        <v>26</v>
      </c>
      <c r="C855" t="s">
        <v>125</v>
      </c>
      <c r="D855" t="s">
        <v>740</v>
      </c>
      <c r="E855" t="s">
        <v>125</v>
      </c>
      <c r="F855">
        <v>0</v>
      </c>
      <c r="G855" t="s">
        <v>125</v>
      </c>
      <c r="H855" t="s">
        <v>125</v>
      </c>
      <c r="I855" t="s">
        <v>125</v>
      </c>
      <c r="J855" t="s">
        <v>125</v>
      </c>
      <c r="K855" t="s">
        <v>125</v>
      </c>
      <c r="L855" t="s">
        <v>125</v>
      </c>
      <c r="M855" t="s">
        <v>1505</v>
      </c>
      <c r="N855" t="b">
        <v>0</v>
      </c>
    </row>
    <row r="856" spans="1:14">
      <c r="A856">
        <v>50</v>
      </c>
      <c r="B856">
        <v>0</v>
      </c>
      <c r="C856" t="s">
        <v>215</v>
      </c>
      <c r="D856" t="s">
        <v>723</v>
      </c>
      <c r="E856" t="s">
        <v>64</v>
      </c>
      <c r="F856">
        <v>60</v>
      </c>
      <c r="G856" t="s">
        <v>125</v>
      </c>
      <c r="H856" t="s">
        <v>125</v>
      </c>
      <c r="I856" t="s">
        <v>64</v>
      </c>
      <c r="J856" t="s">
        <v>125</v>
      </c>
      <c r="K856" t="s">
        <v>125</v>
      </c>
      <c r="L856" t="s">
        <v>125</v>
      </c>
      <c r="M856" t="s">
        <v>1506</v>
      </c>
      <c r="N856" t="b">
        <v>0</v>
      </c>
    </row>
    <row r="857" spans="1:14">
      <c r="A857">
        <v>50</v>
      </c>
      <c r="B857">
        <v>1</v>
      </c>
      <c r="C857" t="s">
        <v>216</v>
      </c>
      <c r="D857" t="s">
        <v>723</v>
      </c>
      <c r="E857" t="s">
        <v>76</v>
      </c>
      <c r="F857">
        <v>60</v>
      </c>
      <c r="G857" t="s">
        <v>125</v>
      </c>
      <c r="H857" t="s">
        <v>125</v>
      </c>
      <c r="I857" t="s">
        <v>76</v>
      </c>
      <c r="J857" t="s">
        <v>125</v>
      </c>
      <c r="K857" t="s">
        <v>125</v>
      </c>
      <c r="L857" t="s">
        <v>125</v>
      </c>
      <c r="M857" t="s">
        <v>1507</v>
      </c>
      <c r="N857" t="b">
        <v>0</v>
      </c>
    </row>
    <row r="858" spans="1:14">
      <c r="A858">
        <v>50</v>
      </c>
      <c r="B858">
        <v>2</v>
      </c>
      <c r="C858" t="s">
        <v>218</v>
      </c>
      <c r="D858" t="s">
        <v>723</v>
      </c>
      <c r="E858" t="s">
        <v>100</v>
      </c>
      <c r="F858">
        <v>60</v>
      </c>
      <c r="G858" t="s">
        <v>125</v>
      </c>
      <c r="H858" t="s">
        <v>125</v>
      </c>
      <c r="I858" t="s">
        <v>100</v>
      </c>
      <c r="J858" t="s">
        <v>125</v>
      </c>
      <c r="K858" t="s">
        <v>125</v>
      </c>
      <c r="L858" t="s">
        <v>125</v>
      </c>
      <c r="M858" t="s">
        <v>1508</v>
      </c>
      <c r="N858" t="b">
        <v>0</v>
      </c>
    </row>
    <row r="859" spans="1:14">
      <c r="A859">
        <v>50</v>
      </c>
      <c r="B859">
        <v>3</v>
      </c>
      <c r="C859" t="s">
        <v>197</v>
      </c>
      <c r="D859" t="s">
        <v>723</v>
      </c>
      <c r="E859" t="s">
        <v>112</v>
      </c>
      <c r="F859">
        <v>50</v>
      </c>
      <c r="G859" t="s">
        <v>125</v>
      </c>
      <c r="H859" t="s">
        <v>125</v>
      </c>
      <c r="I859" t="s">
        <v>112</v>
      </c>
      <c r="J859" t="s">
        <v>125</v>
      </c>
      <c r="K859" t="s">
        <v>125</v>
      </c>
      <c r="L859" t="s">
        <v>125</v>
      </c>
      <c r="M859" t="s">
        <v>1509</v>
      </c>
      <c r="N859" t="b">
        <v>0</v>
      </c>
    </row>
    <row r="860" spans="1:14">
      <c r="A860">
        <v>50</v>
      </c>
      <c r="B860">
        <v>4</v>
      </c>
      <c r="C860" t="s">
        <v>165</v>
      </c>
      <c r="D860" t="s">
        <v>723</v>
      </c>
      <c r="E860" t="s">
        <v>114</v>
      </c>
      <c r="F860">
        <v>50</v>
      </c>
      <c r="G860" t="s">
        <v>125</v>
      </c>
      <c r="H860" t="s">
        <v>125</v>
      </c>
      <c r="I860" t="s">
        <v>114</v>
      </c>
      <c r="J860" t="s">
        <v>125</v>
      </c>
      <c r="K860" t="s">
        <v>125</v>
      </c>
      <c r="L860" t="s">
        <v>125</v>
      </c>
      <c r="M860" t="s">
        <v>1510</v>
      </c>
      <c r="N860" t="b">
        <v>0</v>
      </c>
    </row>
    <row r="861" spans="1:14">
      <c r="A861">
        <v>50</v>
      </c>
      <c r="B861">
        <v>5</v>
      </c>
      <c r="C861" t="s">
        <v>219</v>
      </c>
      <c r="D861" t="s">
        <v>723</v>
      </c>
      <c r="E861" t="s">
        <v>67</v>
      </c>
      <c r="F861">
        <v>50</v>
      </c>
      <c r="G861" t="s">
        <v>125</v>
      </c>
      <c r="H861" t="s">
        <v>125</v>
      </c>
      <c r="I861" t="s">
        <v>67</v>
      </c>
      <c r="J861" t="s">
        <v>125</v>
      </c>
      <c r="K861" t="s">
        <v>125</v>
      </c>
      <c r="L861" t="s">
        <v>125</v>
      </c>
      <c r="M861" t="s">
        <v>1511</v>
      </c>
      <c r="N861" t="b">
        <v>0</v>
      </c>
    </row>
    <row r="862" spans="1:14">
      <c r="A862">
        <v>50</v>
      </c>
      <c r="B862">
        <v>6</v>
      </c>
      <c r="C862" t="s">
        <v>220</v>
      </c>
      <c r="D862" t="s">
        <v>723</v>
      </c>
      <c r="E862" t="s">
        <v>330</v>
      </c>
      <c r="F862">
        <v>60</v>
      </c>
      <c r="G862" t="s">
        <v>125</v>
      </c>
      <c r="H862" t="s">
        <v>547</v>
      </c>
      <c r="I862" t="s">
        <v>444</v>
      </c>
      <c r="J862" t="s">
        <v>125</v>
      </c>
      <c r="K862" t="s">
        <v>920</v>
      </c>
      <c r="L862" t="s">
        <v>921</v>
      </c>
      <c r="M862" t="s">
        <v>1512</v>
      </c>
      <c r="N862" t="b">
        <v>0</v>
      </c>
    </row>
    <row r="863" spans="1:14">
      <c r="A863">
        <v>50</v>
      </c>
      <c r="B863">
        <v>7</v>
      </c>
      <c r="C863" t="s">
        <v>166</v>
      </c>
      <c r="D863" t="s">
        <v>723</v>
      </c>
      <c r="E863" t="s">
        <v>73</v>
      </c>
      <c r="F863">
        <v>50</v>
      </c>
      <c r="G863" t="s">
        <v>125</v>
      </c>
      <c r="H863" t="s">
        <v>125</v>
      </c>
      <c r="I863" t="s">
        <v>73</v>
      </c>
      <c r="J863" t="s">
        <v>125</v>
      </c>
      <c r="K863" t="s">
        <v>125</v>
      </c>
      <c r="L863" t="s">
        <v>125</v>
      </c>
      <c r="M863" t="s">
        <v>1513</v>
      </c>
      <c r="N863" t="b">
        <v>0</v>
      </c>
    </row>
    <row r="864" spans="1:14">
      <c r="A864">
        <v>50</v>
      </c>
      <c r="B864">
        <v>8</v>
      </c>
      <c r="C864" t="s">
        <v>359</v>
      </c>
      <c r="D864" t="s">
        <v>723</v>
      </c>
      <c r="E864" t="s">
        <v>99</v>
      </c>
      <c r="F864">
        <v>50</v>
      </c>
      <c r="G864" t="s">
        <v>125</v>
      </c>
      <c r="H864" t="s">
        <v>125</v>
      </c>
      <c r="I864" t="s">
        <v>99</v>
      </c>
      <c r="J864" t="s">
        <v>125</v>
      </c>
      <c r="K864" t="s">
        <v>125</v>
      </c>
      <c r="L864" t="s">
        <v>125</v>
      </c>
      <c r="M864" t="s">
        <v>1514</v>
      </c>
      <c r="N864" t="b">
        <v>0</v>
      </c>
    </row>
    <row r="865" spans="1:14">
      <c r="A865">
        <v>50</v>
      </c>
      <c r="B865">
        <v>9</v>
      </c>
      <c r="C865" t="s">
        <v>221</v>
      </c>
      <c r="D865" t="s">
        <v>723</v>
      </c>
      <c r="E865" t="s">
        <v>101</v>
      </c>
      <c r="F865">
        <v>50</v>
      </c>
      <c r="G865" t="s">
        <v>125</v>
      </c>
      <c r="H865" t="s">
        <v>125</v>
      </c>
      <c r="I865" t="s">
        <v>101</v>
      </c>
      <c r="J865" t="s">
        <v>125</v>
      </c>
      <c r="K865" t="s">
        <v>125</v>
      </c>
      <c r="L865" t="s">
        <v>125</v>
      </c>
      <c r="M865" t="s">
        <v>1515</v>
      </c>
      <c r="N865" t="b">
        <v>0</v>
      </c>
    </row>
    <row r="866" spans="1:14">
      <c r="A866">
        <v>50</v>
      </c>
      <c r="B866">
        <v>10</v>
      </c>
      <c r="C866" t="s">
        <v>169</v>
      </c>
      <c r="D866" t="s">
        <v>723</v>
      </c>
      <c r="E866" t="s">
        <v>105</v>
      </c>
      <c r="F866">
        <v>50</v>
      </c>
      <c r="G866" t="s">
        <v>125</v>
      </c>
      <c r="H866" t="s">
        <v>125</v>
      </c>
      <c r="I866" t="s">
        <v>105</v>
      </c>
      <c r="J866" t="s">
        <v>125</v>
      </c>
      <c r="K866" t="s">
        <v>125</v>
      </c>
      <c r="L866" t="s">
        <v>125</v>
      </c>
      <c r="M866" t="s">
        <v>1516</v>
      </c>
      <c r="N866" t="b">
        <v>0</v>
      </c>
    </row>
    <row r="867" spans="1:14">
      <c r="A867">
        <v>50</v>
      </c>
      <c r="B867">
        <v>11</v>
      </c>
      <c r="C867" t="s">
        <v>222</v>
      </c>
      <c r="D867" t="s">
        <v>723</v>
      </c>
      <c r="E867" t="s">
        <v>106</v>
      </c>
      <c r="F867">
        <v>50</v>
      </c>
      <c r="G867" t="s">
        <v>125</v>
      </c>
      <c r="H867" t="s">
        <v>125</v>
      </c>
      <c r="I867" t="s">
        <v>106</v>
      </c>
      <c r="J867" t="s">
        <v>125</v>
      </c>
      <c r="K867" t="s">
        <v>125</v>
      </c>
      <c r="L867" t="s">
        <v>125</v>
      </c>
      <c r="M867" t="s">
        <v>1517</v>
      </c>
      <c r="N867" t="b">
        <v>0</v>
      </c>
    </row>
    <row r="868" spans="1:14">
      <c r="A868">
        <v>50</v>
      </c>
      <c r="B868">
        <v>12</v>
      </c>
      <c r="C868" t="s">
        <v>194</v>
      </c>
      <c r="D868" t="s">
        <v>723</v>
      </c>
      <c r="E868" t="s">
        <v>107</v>
      </c>
      <c r="F868">
        <v>60</v>
      </c>
      <c r="G868" t="s">
        <v>125</v>
      </c>
      <c r="H868" t="s">
        <v>125</v>
      </c>
      <c r="I868" t="s">
        <v>107</v>
      </c>
      <c r="J868" t="s">
        <v>125</v>
      </c>
      <c r="K868" t="s">
        <v>125</v>
      </c>
      <c r="L868" t="s">
        <v>125</v>
      </c>
      <c r="M868" t="s">
        <v>1518</v>
      </c>
      <c r="N868" t="b">
        <v>0</v>
      </c>
    </row>
    <row r="869" spans="1:14">
      <c r="A869">
        <v>50</v>
      </c>
      <c r="B869">
        <v>13</v>
      </c>
      <c r="C869" t="s">
        <v>125</v>
      </c>
      <c r="D869" t="s">
        <v>723</v>
      </c>
      <c r="E869" t="s">
        <v>125</v>
      </c>
      <c r="F869">
        <v>0</v>
      </c>
      <c r="G869" t="s">
        <v>125</v>
      </c>
      <c r="H869" t="s">
        <v>125</v>
      </c>
      <c r="I869" t="s">
        <v>125</v>
      </c>
      <c r="J869" t="s">
        <v>125</v>
      </c>
      <c r="K869" t="s">
        <v>125</v>
      </c>
      <c r="L869" t="s">
        <v>125</v>
      </c>
      <c r="M869" t="s">
        <v>1519</v>
      </c>
      <c r="N869" t="b">
        <v>0</v>
      </c>
    </row>
    <row r="870" spans="1:14">
      <c r="A870">
        <v>50</v>
      </c>
      <c r="B870">
        <v>14</v>
      </c>
      <c r="C870" t="s">
        <v>125</v>
      </c>
      <c r="D870" t="s">
        <v>723</v>
      </c>
      <c r="E870" t="s">
        <v>125</v>
      </c>
      <c r="F870">
        <v>0</v>
      </c>
      <c r="G870" t="s">
        <v>125</v>
      </c>
      <c r="H870" t="s">
        <v>125</v>
      </c>
      <c r="I870" t="s">
        <v>125</v>
      </c>
      <c r="J870" t="s">
        <v>125</v>
      </c>
      <c r="K870" t="s">
        <v>125</v>
      </c>
      <c r="L870" t="s">
        <v>125</v>
      </c>
      <c r="M870" t="s">
        <v>1520</v>
      </c>
      <c r="N870" t="b">
        <v>0</v>
      </c>
    </row>
    <row r="871" spans="1:14">
      <c r="A871">
        <v>50</v>
      </c>
      <c r="B871">
        <v>15</v>
      </c>
      <c r="C871" t="s">
        <v>125</v>
      </c>
      <c r="D871" t="s">
        <v>723</v>
      </c>
      <c r="E871" t="s">
        <v>125</v>
      </c>
      <c r="F871">
        <v>0</v>
      </c>
      <c r="G871" t="s">
        <v>125</v>
      </c>
      <c r="H871" t="s">
        <v>125</v>
      </c>
      <c r="I871" t="s">
        <v>125</v>
      </c>
      <c r="J871" t="s">
        <v>125</v>
      </c>
      <c r="K871" t="s">
        <v>125</v>
      </c>
      <c r="L871" t="s">
        <v>125</v>
      </c>
      <c r="M871" t="s">
        <v>1521</v>
      </c>
      <c r="N871" t="b">
        <v>0</v>
      </c>
    </row>
    <row r="872" spans="1:14">
      <c r="A872">
        <v>50</v>
      </c>
      <c r="B872">
        <v>16</v>
      </c>
      <c r="C872" t="s">
        <v>125</v>
      </c>
      <c r="D872" t="s">
        <v>740</v>
      </c>
      <c r="E872" t="s">
        <v>125</v>
      </c>
      <c r="F872">
        <v>0</v>
      </c>
      <c r="G872" t="s">
        <v>125</v>
      </c>
      <c r="H872" t="s">
        <v>125</v>
      </c>
      <c r="I872" t="s">
        <v>125</v>
      </c>
      <c r="J872" t="s">
        <v>125</v>
      </c>
      <c r="K872" t="s">
        <v>125</v>
      </c>
      <c r="L872" t="s">
        <v>125</v>
      </c>
      <c r="M872" t="s">
        <v>1522</v>
      </c>
      <c r="N872" t="b">
        <v>0</v>
      </c>
    </row>
    <row r="873" spans="1:14">
      <c r="A873">
        <v>50</v>
      </c>
      <c r="B873">
        <v>17</v>
      </c>
      <c r="C873" t="s">
        <v>125</v>
      </c>
      <c r="D873" t="s">
        <v>740</v>
      </c>
      <c r="E873" t="s">
        <v>125</v>
      </c>
      <c r="F873">
        <v>0</v>
      </c>
      <c r="G873" t="s">
        <v>125</v>
      </c>
      <c r="H873" t="s">
        <v>125</v>
      </c>
      <c r="I873" t="s">
        <v>125</v>
      </c>
      <c r="J873" t="s">
        <v>125</v>
      </c>
      <c r="K873" t="s">
        <v>125</v>
      </c>
      <c r="L873" t="s">
        <v>125</v>
      </c>
      <c r="M873" t="s">
        <v>1523</v>
      </c>
      <c r="N873" t="b">
        <v>0</v>
      </c>
    </row>
    <row r="874" spans="1:14">
      <c r="A874">
        <v>50</v>
      </c>
      <c r="B874">
        <v>18</v>
      </c>
      <c r="C874" t="s">
        <v>125</v>
      </c>
      <c r="D874" t="s">
        <v>740</v>
      </c>
      <c r="E874" t="s">
        <v>125</v>
      </c>
      <c r="F874">
        <v>0</v>
      </c>
      <c r="G874" t="s">
        <v>125</v>
      </c>
      <c r="H874" t="s">
        <v>125</v>
      </c>
      <c r="I874" t="s">
        <v>125</v>
      </c>
      <c r="J874" t="s">
        <v>125</v>
      </c>
      <c r="K874" t="s">
        <v>125</v>
      </c>
      <c r="L874" t="s">
        <v>125</v>
      </c>
      <c r="M874" t="s">
        <v>1524</v>
      </c>
      <c r="N874" t="b">
        <v>0</v>
      </c>
    </row>
    <row r="875" spans="1:14">
      <c r="A875">
        <v>50</v>
      </c>
      <c r="B875">
        <v>19</v>
      </c>
      <c r="C875" t="s">
        <v>125</v>
      </c>
      <c r="D875" t="s">
        <v>740</v>
      </c>
      <c r="E875" t="s">
        <v>125</v>
      </c>
      <c r="F875">
        <v>0</v>
      </c>
      <c r="G875" t="s">
        <v>125</v>
      </c>
      <c r="H875" t="s">
        <v>125</v>
      </c>
      <c r="I875" t="s">
        <v>125</v>
      </c>
      <c r="J875" t="s">
        <v>125</v>
      </c>
      <c r="K875" t="s">
        <v>125</v>
      </c>
      <c r="L875" t="s">
        <v>125</v>
      </c>
      <c r="M875" t="s">
        <v>1525</v>
      </c>
      <c r="N875" t="b">
        <v>0</v>
      </c>
    </row>
    <row r="876" spans="1:14">
      <c r="A876">
        <v>50</v>
      </c>
      <c r="B876">
        <v>20</v>
      </c>
      <c r="C876" t="s">
        <v>125</v>
      </c>
      <c r="D876" t="s">
        <v>740</v>
      </c>
      <c r="E876" t="s">
        <v>125</v>
      </c>
      <c r="F876">
        <v>0</v>
      </c>
      <c r="G876" t="s">
        <v>125</v>
      </c>
      <c r="H876" t="s">
        <v>125</v>
      </c>
      <c r="I876" t="s">
        <v>125</v>
      </c>
      <c r="J876" t="s">
        <v>125</v>
      </c>
      <c r="K876" t="s">
        <v>125</v>
      </c>
      <c r="L876" t="s">
        <v>125</v>
      </c>
      <c r="M876" t="s">
        <v>1526</v>
      </c>
      <c r="N876" t="b">
        <v>0</v>
      </c>
    </row>
    <row r="877" spans="1:14">
      <c r="A877">
        <v>50</v>
      </c>
      <c r="B877">
        <v>21</v>
      </c>
      <c r="C877" t="s">
        <v>125</v>
      </c>
      <c r="D877" t="s">
        <v>740</v>
      </c>
      <c r="E877" t="s">
        <v>125</v>
      </c>
      <c r="F877">
        <v>0</v>
      </c>
      <c r="G877" t="s">
        <v>125</v>
      </c>
      <c r="H877" t="s">
        <v>125</v>
      </c>
      <c r="I877" t="s">
        <v>125</v>
      </c>
      <c r="J877" t="s">
        <v>125</v>
      </c>
      <c r="K877" t="s">
        <v>125</v>
      </c>
      <c r="L877" t="s">
        <v>125</v>
      </c>
      <c r="M877" t="s">
        <v>1527</v>
      </c>
      <c r="N877" t="b">
        <v>0</v>
      </c>
    </row>
    <row r="878" spans="1:14">
      <c r="A878">
        <v>50</v>
      </c>
      <c r="B878">
        <v>22</v>
      </c>
      <c r="C878" t="s">
        <v>125</v>
      </c>
      <c r="D878" t="s">
        <v>740</v>
      </c>
      <c r="E878" t="s">
        <v>125</v>
      </c>
      <c r="F878">
        <v>0</v>
      </c>
      <c r="G878" t="s">
        <v>125</v>
      </c>
      <c r="H878" t="s">
        <v>125</v>
      </c>
      <c r="I878" t="s">
        <v>125</v>
      </c>
      <c r="J878" t="s">
        <v>125</v>
      </c>
      <c r="K878" t="s">
        <v>125</v>
      </c>
      <c r="L878" t="s">
        <v>125</v>
      </c>
      <c r="M878" t="s">
        <v>1528</v>
      </c>
      <c r="N878" t="b">
        <v>0</v>
      </c>
    </row>
    <row r="879" spans="1:14">
      <c r="A879">
        <v>50</v>
      </c>
      <c r="B879">
        <v>23</v>
      </c>
      <c r="C879" t="s">
        <v>125</v>
      </c>
      <c r="D879" t="s">
        <v>740</v>
      </c>
      <c r="E879" t="s">
        <v>125</v>
      </c>
      <c r="F879">
        <v>0</v>
      </c>
      <c r="G879" t="s">
        <v>125</v>
      </c>
      <c r="H879" t="s">
        <v>125</v>
      </c>
      <c r="I879" t="s">
        <v>125</v>
      </c>
      <c r="J879" t="s">
        <v>125</v>
      </c>
      <c r="K879" t="s">
        <v>125</v>
      </c>
      <c r="L879" t="s">
        <v>125</v>
      </c>
      <c r="M879" t="s">
        <v>1529</v>
      </c>
      <c r="N879" t="b">
        <v>0</v>
      </c>
    </row>
    <row r="880" spans="1:14">
      <c r="A880">
        <v>50</v>
      </c>
      <c r="B880">
        <v>24</v>
      </c>
      <c r="C880" t="s">
        <v>125</v>
      </c>
      <c r="D880" t="s">
        <v>740</v>
      </c>
      <c r="E880" t="s">
        <v>125</v>
      </c>
      <c r="F880">
        <v>0</v>
      </c>
      <c r="G880" t="s">
        <v>125</v>
      </c>
      <c r="H880" t="s">
        <v>125</v>
      </c>
      <c r="I880" t="s">
        <v>125</v>
      </c>
      <c r="J880" t="s">
        <v>125</v>
      </c>
      <c r="K880" t="s">
        <v>125</v>
      </c>
      <c r="L880" t="s">
        <v>125</v>
      </c>
      <c r="M880" t="s">
        <v>1530</v>
      </c>
      <c r="N880" t="b">
        <v>0</v>
      </c>
    </row>
    <row r="881" spans="1:14">
      <c r="A881">
        <v>50</v>
      </c>
      <c r="B881">
        <v>25</v>
      </c>
      <c r="C881" t="s">
        <v>125</v>
      </c>
      <c r="D881" t="s">
        <v>740</v>
      </c>
      <c r="E881" t="s">
        <v>125</v>
      </c>
      <c r="F881">
        <v>0</v>
      </c>
      <c r="G881" t="s">
        <v>125</v>
      </c>
      <c r="H881" t="s">
        <v>125</v>
      </c>
      <c r="I881" t="s">
        <v>125</v>
      </c>
      <c r="J881" t="s">
        <v>125</v>
      </c>
      <c r="K881" t="s">
        <v>125</v>
      </c>
      <c r="L881" t="s">
        <v>125</v>
      </c>
      <c r="M881" t="s">
        <v>1531</v>
      </c>
      <c r="N881" t="b">
        <v>0</v>
      </c>
    </row>
    <row r="882" spans="1:14">
      <c r="A882">
        <v>50</v>
      </c>
      <c r="B882">
        <v>26</v>
      </c>
      <c r="C882" t="s">
        <v>125</v>
      </c>
      <c r="D882" t="s">
        <v>740</v>
      </c>
      <c r="E882" t="s">
        <v>125</v>
      </c>
      <c r="F882">
        <v>0</v>
      </c>
      <c r="G882" t="s">
        <v>125</v>
      </c>
      <c r="H882" t="s">
        <v>125</v>
      </c>
      <c r="I882" t="s">
        <v>125</v>
      </c>
      <c r="J882" t="s">
        <v>125</v>
      </c>
      <c r="K882" t="s">
        <v>125</v>
      </c>
      <c r="L882" t="s">
        <v>125</v>
      </c>
      <c r="M882" t="s">
        <v>1532</v>
      </c>
      <c r="N882" t="b">
        <v>0</v>
      </c>
    </row>
    <row r="883" spans="1:14">
      <c r="A883">
        <v>57</v>
      </c>
      <c r="B883">
        <v>0</v>
      </c>
      <c r="C883" t="s">
        <v>215</v>
      </c>
      <c r="D883" t="s">
        <v>723</v>
      </c>
      <c r="E883" t="s">
        <v>64</v>
      </c>
      <c r="F883">
        <v>60</v>
      </c>
      <c r="G883" t="s">
        <v>125</v>
      </c>
      <c r="H883" t="s">
        <v>125</v>
      </c>
      <c r="I883" t="s">
        <v>64</v>
      </c>
      <c r="J883" t="s">
        <v>125</v>
      </c>
      <c r="K883" t="s">
        <v>125</v>
      </c>
      <c r="L883" t="s">
        <v>125</v>
      </c>
      <c r="M883" t="s">
        <v>1533</v>
      </c>
      <c r="N883" t="b">
        <v>0</v>
      </c>
    </row>
    <row r="884" spans="1:14">
      <c r="A884">
        <v>57</v>
      </c>
      <c r="B884">
        <v>1</v>
      </c>
      <c r="C884" t="s">
        <v>216</v>
      </c>
      <c r="D884" t="s">
        <v>723</v>
      </c>
      <c r="E884" t="s">
        <v>76</v>
      </c>
      <c r="F884">
        <v>60</v>
      </c>
      <c r="G884" t="s">
        <v>125</v>
      </c>
      <c r="H884" t="s">
        <v>125</v>
      </c>
      <c r="I884" t="s">
        <v>76</v>
      </c>
      <c r="J884" t="s">
        <v>125</v>
      </c>
      <c r="K884" t="s">
        <v>125</v>
      </c>
      <c r="L884" t="s">
        <v>125</v>
      </c>
      <c r="M884" t="s">
        <v>1534</v>
      </c>
      <c r="N884" t="b">
        <v>0</v>
      </c>
    </row>
    <row r="885" spans="1:14">
      <c r="A885">
        <v>57</v>
      </c>
      <c r="B885">
        <v>2</v>
      </c>
      <c r="C885" t="s">
        <v>217</v>
      </c>
      <c r="D885" t="s">
        <v>723</v>
      </c>
      <c r="E885" t="s">
        <v>94</v>
      </c>
      <c r="F885">
        <v>40</v>
      </c>
      <c r="G885" t="s">
        <v>125</v>
      </c>
      <c r="H885" t="s">
        <v>125</v>
      </c>
      <c r="I885" t="s">
        <v>94</v>
      </c>
      <c r="J885" t="s">
        <v>125</v>
      </c>
      <c r="K885" t="s">
        <v>125</v>
      </c>
      <c r="L885" t="s">
        <v>125</v>
      </c>
      <c r="M885" t="s">
        <v>1535</v>
      </c>
      <c r="N885" t="b">
        <v>0</v>
      </c>
    </row>
    <row r="886" spans="1:14">
      <c r="A886">
        <v>57</v>
      </c>
      <c r="B886">
        <v>3</v>
      </c>
      <c r="C886" t="s">
        <v>218</v>
      </c>
      <c r="D886" t="s">
        <v>723</v>
      </c>
      <c r="E886" t="s">
        <v>100</v>
      </c>
      <c r="F886">
        <v>60</v>
      </c>
      <c r="G886" t="s">
        <v>125</v>
      </c>
      <c r="H886" t="s">
        <v>125</v>
      </c>
      <c r="I886" t="s">
        <v>100</v>
      </c>
      <c r="J886" t="s">
        <v>125</v>
      </c>
      <c r="K886" t="s">
        <v>125</v>
      </c>
      <c r="L886" t="s">
        <v>125</v>
      </c>
      <c r="M886" t="s">
        <v>1536</v>
      </c>
      <c r="N886" t="b">
        <v>0</v>
      </c>
    </row>
    <row r="887" spans="1:14">
      <c r="A887">
        <v>57</v>
      </c>
      <c r="B887">
        <v>4</v>
      </c>
      <c r="C887" t="s">
        <v>197</v>
      </c>
      <c r="D887" t="s">
        <v>723</v>
      </c>
      <c r="E887" t="s">
        <v>112</v>
      </c>
      <c r="F887">
        <v>50</v>
      </c>
      <c r="G887" t="s">
        <v>125</v>
      </c>
      <c r="H887" t="s">
        <v>125</v>
      </c>
      <c r="I887" t="s">
        <v>112</v>
      </c>
      <c r="J887" t="s">
        <v>125</v>
      </c>
      <c r="K887" t="s">
        <v>125</v>
      </c>
      <c r="L887" t="s">
        <v>125</v>
      </c>
      <c r="M887" t="s">
        <v>1537</v>
      </c>
      <c r="N887" t="b">
        <v>0</v>
      </c>
    </row>
    <row r="888" spans="1:14">
      <c r="A888">
        <v>57</v>
      </c>
      <c r="B888">
        <v>5</v>
      </c>
      <c r="C888" t="s">
        <v>219</v>
      </c>
      <c r="D888" t="s">
        <v>723</v>
      </c>
      <c r="E888" t="s">
        <v>67</v>
      </c>
      <c r="F888">
        <v>50</v>
      </c>
      <c r="G888" t="s">
        <v>125</v>
      </c>
      <c r="H888" t="s">
        <v>125</v>
      </c>
      <c r="I888" t="s">
        <v>67</v>
      </c>
      <c r="J888" t="s">
        <v>125</v>
      </c>
      <c r="K888" t="s">
        <v>125</v>
      </c>
      <c r="L888" t="s">
        <v>125</v>
      </c>
      <c r="M888" t="s">
        <v>1538</v>
      </c>
      <c r="N888" t="b">
        <v>0</v>
      </c>
    </row>
    <row r="889" spans="1:14">
      <c r="A889">
        <v>57</v>
      </c>
      <c r="B889">
        <v>6</v>
      </c>
      <c r="C889" t="s">
        <v>220</v>
      </c>
      <c r="D889" t="s">
        <v>723</v>
      </c>
      <c r="E889" t="s">
        <v>330</v>
      </c>
      <c r="F889">
        <v>60</v>
      </c>
      <c r="G889" t="s">
        <v>125</v>
      </c>
      <c r="H889" t="s">
        <v>547</v>
      </c>
      <c r="I889" t="s">
        <v>444</v>
      </c>
      <c r="J889" t="s">
        <v>125</v>
      </c>
      <c r="K889" t="s">
        <v>920</v>
      </c>
      <c r="L889" t="s">
        <v>921</v>
      </c>
      <c r="M889" t="s">
        <v>1539</v>
      </c>
      <c r="N889" t="b">
        <v>0</v>
      </c>
    </row>
    <row r="890" spans="1:14">
      <c r="A890">
        <v>57</v>
      </c>
      <c r="B890">
        <v>7</v>
      </c>
      <c r="C890" t="s">
        <v>166</v>
      </c>
      <c r="D890" t="s">
        <v>723</v>
      </c>
      <c r="E890" t="s">
        <v>73</v>
      </c>
      <c r="F890">
        <v>50</v>
      </c>
      <c r="G890" t="s">
        <v>125</v>
      </c>
      <c r="H890" t="s">
        <v>125</v>
      </c>
      <c r="I890" t="s">
        <v>73</v>
      </c>
      <c r="J890" t="s">
        <v>125</v>
      </c>
      <c r="K890" t="s">
        <v>125</v>
      </c>
      <c r="L890" t="s">
        <v>125</v>
      </c>
      <c r="M890" t="s">
        <v>1540</v>
      </c>
      <c r="N890" t="b">
        <v>0</v>
      </c>
    </row>
    <row r="891" spans="1:14">
      <c r="A891">
        <v>57</v>
      </c>
      <c r="B891">
        <v>8</v>
      </c>
      <c r="C891" t="s">
        <v>221</v>
      </c>
      <c r="D891" t="s">
        <v>723</v>
      </c>
      <c r="E891" t="s">
        <v>101</v>
      </c>
      <c r="F891">
        <v>50</v>
      </c>
      <c r="G891" t="s">
        <v>125</v>
      </c>
      <c r="H891" t="s">
        <v>125</v>
      </c>
      <c r="I891" t="s">
        <v>101</v>
      </c>
      <c r="J891" t="s">
        <v>125</v>
      </c>
      <c r="K891" t="s">
        <v>125</v>
      </c>
      <c r="L891" t="s">
        <v>125</v>
      </c>
      <c r="M891" t="s">
        <v>1541</v>
      </c>
      <c r="N891" t="b">
        <v>0</v>
      </c>
    </row>
    <row r="892" spans="1:14">
      <c r="A892">
        <v>57</v>
      </c>
      <c r="B892">
        <v>9</v>
      </c>
      <c r="C892" t="s">
        <v>169</v>
      </c>
      <c r="D892" t="s">
        <v>723</v>
      </c>
      <c r="E892" t="s">
        <v>105</v>
      </c>
      <c r="F892">
        <v>50</v>
      </c>
      <c r="G892" t="s">
        <v>125</v>
      </c>
      <c r="H892" t="s">
        <v>125</v>
      </c>
      <c r="I892" t="s">
        <v>105</v>
      </c>
      <c r="J892" t="s">
        <v>125</v>
      </c>
      <c r="K892" t="s">
        <v>125</v>
      </c>
      <c r="L892" t="s">
        <v>125</v>
      </c>
      <c r="M892" t="s">
        <v>1542</v>
      </c>
      <c r="N892" t="b">
        <v>0</v>
      </c>
    </row>
    <row r="893" spans="1:14">
      <c r="A893">
        <v>57</v>
      </c>
      <c r="B893">
        <v>10</v>
      </c>
      <c r="C893" t="s">
        <v>222</v>
      </c>
      <c r="D893" t="s">
        <v>723</v>
      </c>
      <c r="E893" t="s">
        <v>106</v>
      </c>
      <c r="F893">
        <v>50</v>
      </c>
      <c r="G893" t="s">
        <v>125</v>
      </c>
      <c r="H893" t="s">
        <v>125</v>
      </c>
      <c r="I893" t="s">
        <v>106</v>
      </c>
      <c r="J893" t="s">
        <v>125</v>
      </c>
      <c r="K893" t="s">
        <v>125</v>
      </c>
      <c r="L893" t="s">
        <v>125</v>
      </c>
      <c r="M893" t="s">
        <v>1543</v>
      </c>
      <c r="N893" t="b">
        <v>0</v>
      </c>
    </row>
    <row r="894" spans="1:14">
      <c r="A894">
        <v>57</v>
      </c>
      <c r="B894">
        <v>11</v>
      </c>
      <c r="C894" t="s">
        <v>194</v>
      </c>
      <c r="D894" t="s">
        <v>723</v>
      </c>
      <c r="E894" t="s">
        <v>107</v>
      </c>
      <c r="F894">
        <v>60</v>
      </c>
      <c r="G894" t="s">
        <v>125</v>
      </c>
      <c r="H894" t="s">
        <v>125</v>
      </c>
      <c r="I894" t="s">
        <v>107</v>
      </c>
      <c r="J894" t="s">
        <v>125</v>
      </c>
      <c r="K894" t="s">
        <v>125</v>
      </c>
      <c r="L894" t="s">
        <v>125</v>
      </c>
      <c r="M894" t="s">
        <v>1544</v>
      </c>
      <c r="N894" t="b">
        <v>0</v>
      </c>
    </row>
    <row r="895" spans="1:14">
      <c r="A895">
        <v>57</v>
      </c>
      <c r="B895">
        <v>12</v>
      </c>
      <c r="C895" t="s">
        <v>125</v>
      </c>
      <c r="D895" t="s">
        <v>723</v>
      </c>
      <c r="E895" t="s">
        <v>125</v>
      </c>
      <c r="F895">
        <v>0</v>
      </c>
      <c r="G895" t="s">
        <v>125</v>
      </c>
      <c r="H895" t="s">
        <v>125</v>
      </c>
      <c r="I895" t="s">
        <v>125</v>
      </c>
      <c r="J895" t="s">
        <v>125</v>
      </c>
      <c r="K895" t="s">
        <v>125</v>
      </c>
      <c r="L895" t="s">
        <v>125</v>
      </c>
      <c r="M895" t="s">
        <v>1545</v>
      </c>
      <c r="N895" t="b">
        <v>0</v>
      </c>
    </row>
    <row r="896" spans="1:14">
      <c r="A896">
        <v>57</v>
      </c>
      <c r="B896">
        <v>13</v>
      </c>
      <c r="C896" t="s">
        <v>125</v>
      </c>
      <c r="D896" t="s">
        <v>723</v>
      </c>
      <c r="E896" t="s">
        <v>125</v>
      </c>
      <c r="F896">
        <v>0</v>
      </c>
      <c r="G896" t="s">
        <v>125</v>
      </c>
      <c r="H896" t="s">
        <v>125</v>
      </c>
      <c r="I896" t="s">
        <v>125</v>
      </c>
      <c r="J896" t="s">
        <v>125</v>
      </c>
      <c r="K896" t="s">
        <v>125</v>
      </c>
      <c r="L896" t="s">
        <v>125</v>
      </c>
      <c r="M896" t="s">
        <v>1546</v>
      </c>
      <c r="N896" t="b">
        <v>0</v>
      </c>
    </row>
    <row r="897" spans="1:14">
      <c r="A897">
        <v>57</v>
      </c>
      <c r="B897">
        <v>14</v>
      </c>
      <c r="C897" t="s">
        <v>125</v>
      </c>
      <c r="D897" t="s">
        <v>723</v>
      </c>
      <c r="E897" t="s">
        <v>125</v>
      </c>
      <c r="F897">
        <v>0</v>
      </c>
      <c r="G897" t="s">
        <v>125</v>
      </c>
      <c r="H897" t="s">
        <v>125</v>
      </c>
      <c r="I897" t="s">
        <v>125</v>
      </c>
      <c r="J897" t="s">
        <v>125</v>
      </c>
      <c r="K897" t="s">
        <v>125</v>
      </c>
      <c r="L897" t="s">
        <v>125</v>
      </c>
      <c r="M897" t="s">
        <v>1547</v>
      </c>
      <c r="N897" t="b">
        <v>0</v>
      </c>
    </row>
    <row r="898" spans="1:14">
      <c r="A898">
        <v>57</v>
      </c>
      <c r="B898">
        <v>15</v>
      </c>
      <c r="C898" t="s">
        <v>125</v>
      </c>
      <c r="D898" t="s">
        <v>723</v>
      </c>
      <c r="E898" t="s">
        <v>125</v>
      </c>
      <c r="F898">
        <v>0</v>
      </c>
      <c r="G898" t="s">
        <v>125</v>
      </c>
      <c r="H898" t="s">
        <v>125</v>
      </c>
      <c r="I898" t="s">
        <v>125</v>
      </c>
      <c r="J898" t="s">
        <v>125</v>
      </c>
      <c r="K898" t="s">
        <v>125</v>
      </c>
      <c r="L898" t="s">
        <v>125</v>
      </c>
      <c r="M898" t="s">
        <v>1548</v>
      </c>
      <c r="N898" t="b">
        <v>0</v>
      </c>
    </row>
    <row r="899" spans="1:14">
      <c r="A899">
        <v>57</v>
      </c>
      <c r="B899">
        <v>16</v>
      </c>
      <c r="C899" t="s">
        <v>201</v>
      </c>
      <c r="D899" t="s">
        <v>740</v>
      </c>
      <c r="E899" t="s">
        <v>102</v>
      </c>
      <c r="F899">
        <v>60</v>
      </c>
      <c r="G899" t="s">
        <v>125</v>
      </c>
      <c r="H899" t="s">
        <v>125</v>
      </c>
      <c r="I899" t="s">
        <v>102</v>
      </c>
      <c r="J899" t="s">
        <v>125</v>
      </c>
      <c r="K899" t="s">
        <v>125</v>
      </c>
      <c r="L899" t="s">
        <v>125</v>
      </c>
      <c r="M899" t="s">
        <v>1549</v>
      </c>
      <c r="N899" t="b">
        <v>0</v>
      </c>
    </row>
    <row r="900" spans="1:14">
      <c r="A900">
        <v>57</v>
      </c>
      <c r="B900">
        <v>17</v>
      </c>
      <c r="C900" t="s">
        <v>359</v>
      </c>
      <c r="D900" t="s">
        <v>740</v>
      </c>
      <c r="E900" t="s">
        <v>99</v>
      </c>
      <c r="F900">
        <v>50</v>
      </c>
      <c r="G900" t="s">
        <v>125</v>
      </c>
      <c r="H900" t="s">
        <v>125</v>
      </c>
      <c r="I900" t="s">
        <v>99</v>
      </c>
      <c r="J900" t="s">
        <v>125</v>
      </c>
      <c r="K900" t="s">
        <v>125</v>
      </c>
      <c r="L900" t="s">
        <v>125</v>
      </c>
      <c r="M900" t="s">
        <v>1550</v>
      </c>
      <c r="N900" t="b">
        <v>0</v>
      </c>
    </row>
    <row r="901" spans="1:14">
      <c r="A901">
        <v>57</v>
      </c>
      <c r="B901">
        <v>18</v>
      </c>
      <c r="C901" t="s">
        <v>125</v>
      </c>
      <c r="D901" t="s">
        <v>740</v>
      </c>
      <c r="E901" t="s">
        <v>125</v>
      </c>
      <c r="F901">
        <v>0</v>
      </c>
      <c r="G901" t="s">
        <v>125</v>
      </c>
      <c r="H901" t="s">
        <v>125</v>
      </c>
      <c r="I901" t="s">
        <v>125</v>
      </c>
      <c r="J901" t="s">
        <v>125</v>
      </c>
      <c r="K901" t="s">
        <v>125</v>
      </c>
      <c r="L901" t="s">
        <v>125</v>
      </c>
      <c r="M901" t="s">
        <v>1551</v>
      </c>
      <c r="N901" t="b">
        <v>0</v>
      </c>
    </row>
    <row r="902" spans="1:14">
      <c r="A902">
        <v>57</v>
      </c>
      <c r="B902">
        <v>19</v>
      </c>
      <c r="C902" t="s">
        <v>125</v>
      </c>
      <c r="D902" t="s">
        <v>740</v>
      </c>
      <c r="E902" t="s">
        <v>125</v>
      </c>
      <c r="F902">
        <v>0</v>
      </c>
      <c r="G902" t="s">
        <v>125</v>
      </c>
      <c r="H902" t="s">
        <v>125</v>
      </c>
      <c r="I902" t="s">
        <v>125</v>
      </c>
      <c r="J902" t="s">
        <v>125</v>
      </c>
      <c r="K902" t="s">
        <v>125</v>
      </c>
      <c r="L902" t="s">
        <v>125</v>
      </c>
      <c r="M902" t="s">
        <v>1552</v>
      </c>
      <c r="N902" t="b">
        <v>0</v>
      </c>
    </row>
    <row r="903" spans="1:14">
      <c r="A903">
        <v>57</v>
      </c>
      <c r="B903">
        <v>20</v>
      </c>
      <c r="C903" t="s">
        <v>125</v>
      </c>
      <c r="D903" t="s">
        <v>740</v>
      </c>
      <c r="E903" t="s">
        <v>125</v>
      </c>
      <c r="F903">
        <v>0</v>
      </c>
      <c r="G903" t="s">
        <v>125</v>
      </c>
      <c r="H903" t="s">
        <v>125</v>
      </c>
      <c r="I903" t="s">
        <v>125</v>
      </c>
      <c r="J903" t="s">
        <v>125</v>
      </c>
      <c r="K903" t="s">
        <v>125</v>
      </c>
      <c r="L903" t="s">
        <v>125</v>
      </c>
      <c r="M903" t="s">
        <v>1553</v>
      </c>
      <c r="N903" t="b">
        <v>0</v>
      </c>
    </row>
    <row r="904" spans="1:14">
      <c r="A904">
        <v>57</v>
      </c>
      <c r="B904">
        <v>21</v>
      </c>
      <c r="C904" t="s">
        <v>125</v>
      </c>
      <c r="D904" t="s">
        <v>740</v>
      </c>
      <c r="E904" t="s">
        <v>125</v>
      </c>
      <c r="F904">
        <v>0</v>
      </c>
      <c r="G904" t="s">
        <v>125</v>
      </c>
      <c r="H904" t="s">
        <v>125</v>
      </c>
      <c r="I904" t="s">
        <v>125</v>
      </c>
      <c r="J904" t="s">
        <v>125</v>
      </c>
      <c r="K904" t="s">
        <v>125</v>
      </c>
      <c r="L904" t="s">
        <v>125</v>
      </c>
      <c r="M904" t="s">
        <v>1554</v>
      </c>
      <c r="N904" t="b">
        <v>0</v>
      </c>
    </row>
    <row r="905" spans="1:14">
      <c r="A905">
        <v>57</v>
      </c>
      <c r="B905">
        <v>22</v>
      </c>
      <c r="C905" t="s">
        <v>125</v>
      </c>
      <c r="D905" t="s">
        <v>740</v>
      </c>
      <c r="E905" t="s">
        <v>125</v>
      </c>
      <c r="F905">
        <v>0</v>
      </c>
      <c r="G905" t="s">
        <v>125</v>
      </c>
      <c r="H905" t="s">
        <v>125</v>
      </c>
      <c r="I905" t="s">
        <v>125</v>
      </c>
      <c r="J905" t="s">
        <v>125</v>
      </c>
      <c r="K905" t="s">
        <v>125</v>
      </c>
      <c r="L905" t="s">
        <v>125</v>
      </c>
      <c r="M905" t="s">
        <v>1555</v>
      </c>
      <c r="N905" t="b">
        <v>0</v>
      </c>
    </row>
    <row r="906" spans="1:14">
      <c r="A906">
        <v>57</v>
      </c>
      <c r="B906">
        <v>23</v>
      </c>
      <c r="C906" t="s">
        <v>125</v>
      </c>
      <c r="D906" t="s">
        <v>740</v>
      </c>
      <c r="E906" t="s">
        <v>125</v>
      </c>
      <c r="F906">
        <v>0</v>
      </c>
      <c r="G906" t="s">
        <v>125</v>
      </c>
      <c r="H906" t="s">
        <v>125</v>
      </c>
      <c r="I906" t="s">
        <v>125</v>
      </c>
      <c r="J906" t="s">
        <v>125</v>
      </c>
      <c r="K906" t="s">
        <v>125</v>
      </c>
      <c r="L906" t="s">
        <v>125</v>
      </c>
      <c r="M906" t="s">
        <v>1556</v>
      </c>
      <c r="N906" t="b">
        <v>0</v>
      </c>
    </row>
    <row r="907" spans="1:14">
      <c r="A907">
        <v>57</v>
      </c>
      <c r="B907">
        <v>24</v>
      </c>
      <c r="C907" t="s">
        <v>125</v>
      </c>
      <c r="D907" t="s">
        <v>740</v>
      </c>
      <c r="E907" t="s">
        <v>125</v>
      </c>
      <c r="F907">
        <v>0</v>
      </c>
      <c r="G907" t="s">
        <v>125</v>
      </c>
      <c r="H907" t="s">
        <v>125</v>
      </c>
      <c r="I907" t="s">
        <v>125</v>
      </c>
      <c r="J907" t="s">
        <v>125</v>
      </c>
      <c r="K907" t="s">
        <v>125</v>
      </c>
      <c r="L907" t="s">
        <v>125</v>
      </c>
      <c r="M907" t="s">
        <v>1557</v>
      </c>
      <c r="N907" t="b">
        <v>0</v>
      </c>
    </row>
    <row r="908" spans="1:14">
      <c r="A908">
        <v>57</v>
      </c>
      <c r="B908">
        <v>25</v>
      </c>
      <c r="C908" t="s">
        <v>125</v>
      </c>
      <c r="D908" t="s">
        <v>740</v>
      </c>
      <c r="E908" t="s">
        <v>125</v>
      </c>
      <c r="F908">
        <v>0</v>
      </c>
      <c r="G908" t="s">
        <v>125</v>
      </c>
      <c r="H908" t="s">
        <v>125</v>
      </c>
      <c r="I908" t="s">
        <v>125</v>
      </c>
      <c r="J908" t="s">
        <v>125</v>
      </c>
      <c r="K908" t="s">
        <v>125</v>
      </c>
      <c r="L908" t="s">
        <v>125</v>
      </c>
      <c r="M908" t="s">
        <v>1558</v>
      </c>
      <c r="N908" t="b">
        <v>0</v>
      </c>
    </row>
    <row r="909" spans="1:14">
      <c r="A909">
        <v>57</v>
      </c>
      <c r="B909">
        <v>26</v>
      </c>
      <c r="C909" t="s">
        <v>125</v>
      </c>
      <c r="D909" t="s">
        <v>740</v>
      </c>
      <c r="E909" t="s">
        <v>125</v>
      </c>
      <c r="F909">
        <v>0</v>
      </c>
      <c r="G909" t="s">
        <v>125</v>
      </c>
      <c r="H909" t="s">
        <v>125</v>
      </c>
      <c r="I909" t="s">
        <v>125</v>
      </c>
      <c r="J909" t="s">
        <v>125</v>
      </c>
      <c r="K909" t="s">
        <v>125</v>
      </c>
      <c r="L909" t="s">
        <v>125</v>
      </c>
      <c r="M909" t="s">
        <v>1559</v>
      </c>
      <c r="N909" t="b">
        <v>0</v>
      </c>
    </row>
    <row r="910" spans="1:14">
      <c r="A910">
        <v>59</v>
      </c>
      <c r="B910">
        <v>0</v>
      </c>
      <c r="C910" t="s">
        <v>215</v>
      </c>
      <c r="D910" t="s">
        <v>723</v>
      </c>
      <c r="E910" t="s">
        <v>64</v>
      </c>
      <c r="F910">
        <v>60</v>
      </c>
      <c r="G910" t="s">
        <v>125</v>
      </c>
      <c r="H910" t="s">
        <v>125</v>
      </c>
      <c r="I910" t="s">
        <v>64</v>
      </c>
      <c r="J910" t="s">
        <v>125</v>
      </c>
      <c r="K910" t="s">
        <v>125</v>
      </c>
      <c r="L910" t="s">
        <v>125</v>
      </c>
      <c r="M910" t="s">
        <v>1560</v>
      </c>
      <c r="N910" t="b">
        <v>0</v>
      </c>
    </row>
    <row r="911" spans="1:14">
      <c r="A911">
        <v>59</v>
      </c>
      <c r="B911">
        <v>1</v>
      </c>
      <c r="C911" t="s">
        <v>328</v>
      </c>
      <c r="D911" t="s">
        <v>723</v>
      </c>
      <c r="E911" t="s">
        <v>76</v>
      </c>
      <c r="F911">
        <v>40</v>
      </c>
      <c r="G911" t="s">
        <v>125</v>
      </c>
      <c r="H911" t="s">
        <v>125</v>
      </c>
      <c r="I911" t="s">
        <v>76</v>
      </c>
      <c r="J911" t="s">
        <v>125</v>
      </c>
      <c r="K911" t="s">
        <v>125</v>
      </c>
      <c r="L911" t="s">
        <v>125</v>
      </c>
      <c r="M911" t="s">
        <v>1561</v>
      </c>
      <c r="N911" t="b">
        <v>0</v>
      </c>
    </row>
    <row r="912" spans="1:14">
      <c r="A912">
        <v>59</v>
      </c>
      <c r="B912">
        <v>2</v>
      </c>
      <c r="C912" t="s">
        <v>267</v>
      </c>
      <c r="D912" t="s">
        <v>723</v>
      </c>
      <c r="E912" t="s">
        <v>82</v>
      </c>
      <c r="F912">
        <v>30</v>
      </c>
      <c r="G912" t="s">
        <v>125</v>
      </c>
      <c r="H912" t="s">
        <v>125</v>
      </c>
      <c r="I912" t="s">
        <v>82</v>
      </c>
      <c r="J912" t="s">
        <v>125</v>
      </c>
      <c r="K912" t="s">
        <v>125</v>
      </c>
      <c r="L912" t="s">
        <v>125</v>
      </c>
      <c r="M912" t="s">
        <v>1562</v>
      </c>
      <c r="N912" t="b">
        <v>0</v>
      </c>
    </row>
    <row r="913" spans="1:14">
      <c r="A913">
        <v>59</v>
      </c>
      <c r="B913">
        <v>3</v>
      </c>
      <c r="C913" t="s">
        <v>237</v>
      </c>
      <c r="D913" t="s">
        <v>723</v>
      </c>
      <c r="E913" t="s">
        <v>543</v>
      </c>
      <c r="F913">
        <v>40</v>
      </c>
      <c r="G913" t="s">
        <v>125</v>
      </c>
      <c r="H913" t="s">
        <v>546</v>
      </c>
      <c r="I913" t="s">
        <v>507</v>
      </c>
      <c r="J913" t="s">
        <v>125</v>
      </c>
      <c r="K913" t="s">
        <v>791</v>
      </c>
      <c r="L913" t="s">
        <v>792</v>
      </c>
      <c r="M913" t="s">
        <v>1563</v>
      </c>
      <c r="N913" t="b">
        <v>0</v>
      </c>
    </row>
    <row r="914" spans="1:14">
      <c r="A914">
        <v>59</v>
      </c>
      <c r="B914">
        <v>4</v>
      </c>
      <c r="C914" t="s">
        <v>238</v>
      </c>
      <c r="D914" t="s">
        <v>723</v>
      </c>
      <c r="E914" t="s">
        <v>543</v>
      </c>
      <c r="F914">
        <v>40</v>
      </c>
      <c r="G914" t="s">
        <v>125</v>
      </c>
      <c r="H914" t="s">
        <v>556</v>
      </c>
      <c r="I914" t="s">
        <v>485</v>
      </c>
      <c r="J914" t="s">
        <v>125</v>
      </c>
      <c r="K914" t="s">
        <v>794</v>
      </c>
      <c r="L914" t="s">
        <v>795</v>
      </c>
      <c r="M914" t="s">
        <v>1564</v>
      </c>
      <c r="N914" t="b">
        <v>0</v>
      </c>
    </row>
    <row r="915" spans="1:14">
      <c r="A915">
        <v>59</v>
      </c>
      <c r="B915">
        <v>5</v>
      </c>
      <c r="C915" t="s">
        <v>380</v>
      </c>
      <c r="D915" t="s">
        <v>723</v>
      </c>
      <c r="E915" t="s">
        <v>94</v>
      </c>
      <c r="F915">
        <v>60</v>
      </c>
      <c r="G915" t="s">
        <v>125</v>
      </c>
      <c r="H915" t="s">
        <v>125</v>
      </c>
      <c r="I915" t="s">
        <v>94</v>
      </c>
      <c r="J915" t="s">
        <v>125</v>
      </c>
      <c r="K915" t="s">
        <v>125</v>
      </c>
      <c r="L915" t="s">
        <v>125</v>
      </c>
      <c r="M915" t="s">
        <v>1565</v>
      </c>
      <c r="N915" t="b">
        <v>0</v>
      </c>
    </row>
    <row r="916" spans="1:14">
      <c r="A916">
        <v>59</v>
      </c>
      <c r="B916">
        <v>6</v>
      </c>
      <c r="C916" t="s">
        <v>381</v>
      </c>
      <c r="D916" t="s">
        <v>723</v>
      </c>
      <c r="E916" t="s">
        <v>330</v>
      </c>
      <c r="F916">
        <v>50</v>
      </c>
      <c r="G916" t="s">
        <v>125</v>
      </c>
      <c r="H916" t="s">
        <v>557</v>
      </c>
      <c r="I916" t="s">
        <v>476</v>
      </c>
      <c r="J916" t="s">
        <v>125</v>
      </c>
      <c r="K916" t="s">
        <v>920</v>
      </c>
      <c r="L916" t="s">
        <v>921</v>
      </c>
      <c r="M916" t="s">
        <v>1566</v>
      </c>
      <c r="N916" t="b">
        <v>0</v>
      </c>
    </row>
    <row r="917" spans="1:14">
      <c r="A917">
        <v>59</v>
      </c>
      <c r="B917">
        <v>7</v>
      </c>
      <c r="C917" t="s">
        <v>166</v>
      </c>
      <c r="D917" t="s">
        <v>723</v>
      </c>
      <c r="E917" t="s">
        <v>73</v>
      </c>
      <c r="F917">
        <v>50</v>
      </c>
      <c r="G917" t="s">
        <v>125</v>
      </c>
      <c r="H917" t="s">
        <v>125</v>
      </c>
      <c r="I917" t="s">
        <v>73</v>
      </c>
      <c r="J917" t="s">
        <v>125</v>
      </c>
      <c r="K917" t="s">
        <v>125</v>
      </c>
      <c r="L917" t="s">
        <v>125</v>
      </c>
      <c r="M917" t="s">
        <v>1567</v>
      </c>
      <c r="N917" t="b">
        <v>0</v>
      </c>
    </row>
    <row r="918" spans="1:14">
      <c r="A918">
        <v>59</v>
      </c>
      <c r="B918">
        <v>8</v>
      </c>
      <c r="C918" t="s">
        <v>382</v>
      </c>
      <c r="D918" t="s">
        <v>752</v>
      </c>
      <c r="E918" t="s">
        <v>357</v>
      </c>
      <c r="F918">
        <v>40</v>
      </c>
      <c r="G918" t="s">
        <v>759</v>
      </c>
      <c r="H918" t="s">
        <v>125</v>
      </c>
      <c r="I918" t="s">
        <v>125</v>
      </c>
      <c r="J918" t="s">
        <v>1162</v>
      </c>
      <c r="K918" t="s">
        <v>1163</v>
      </c>
      <c r="L918" t="s">
        <v>1164</v>
      </c>
      <c r="M918" t="s">
        <v>1568</v>
      </c>
      <c r="N918" t="b">
        <v>0</v>
      </c>
    </row>
    <row r="919" spans="1:14">
      <c r="A919">
        <v>59</v>
      </c>
      <c r="B919">
        <v>9</v>
      </c>
      <c r="C919" t="s">
        <v>269</v>
      </c>
      <c r="D919" t="s">
        <v>723</v>
      </c>
      <c r="E919" t="s">
        <v>544</v>
      </c>
      <c r="F919">
        <v>40</v>
      </c>
      <c r="G919" t="s">
        <v>125</v>
      </c>
      <c r="H919" t="s">
        <v>582</v>
      </c>
      <c r="I919" t="s">
        <v>495</v>
      </c>
      <c r="J919" t="s">
        <v>125</v>
      </c>
      <c r="K919" t="s">
        <v>800</v>
      </c>
      <c r="L919" t="s">
        <v>801</v>
      </c>
      <c r="M919" t="s">
        <v>1569</v>
      </c>
      <c r="N919" t="b">
        <v>0</v>
      </c>
    </row>
    <row r="920" spans="1:14">
      <c r="A920">
        <v>59</v>
      </c>
      <c r="B920">
        <v>10</v>
      </c>
      <c r="C920" t="s">
        <v>193</v>
      </c>
      <c r="D920" t="s">
        <v>723</v>
      </c>
      <c r="E920" t="s">
        <v>97</v>
      </c>
      <c r="F920">
        <v>50</v>
      </c>
      <c r="G920" t="s">
        <v>125</v>
      </c>
      <c r="H920" t="s">
        <v>125</v>
      </c>
      <c r="I920" t="s">
        <v>97</v>
      </c>
      <c r="J920" t="s">
        <v>125</v>
      </c>
      <c r="K920" t="s">
        <v>125</v>
      </c>
      <c r="L920" t="s">
        <v>125</v>
      </c>
      <c r="M920" t="s">
        <v>1570</v>
      </c>
      <c r="N920" t="b">
        <v>0</v>
      </c>
    </row>
    <row r="921" spans="1:14">
      <c r="A921">
        <v>59</v>
      </c>
      <c r="B921">
        <v>11</v>
      </c>
      <c r="C921" t="s">
        <v>291</v>
      </c>
      <c r="D921" t="s">
        <v>723</v>
      </c>
      <c r="E921" t="s">
        <v>106</v>
      </c>
      <c r="F921">
        <v>60</v>
      </c>
      <c r="G921" t="s">
        <v>125</v>
      </c>
      <c r="H921" t="s">
        <v>125</v>
      </c>
      <c r="I921" t="s">
        <v>106</v>
      </c>
      <c r="J921" t="s">
        <v>125</v>
      </c>
      <c r="K921" t="s">
        <v>125</v>
      </c>
      <c r="L921" t="s">
        <v>125</v>
      </c>
      <c r="M921" t="s">
        <v>1571</v>
      </c>
      <c r="N921" t="b">
        <v>0</v>
      </c>
    </row>
    <row r="922" spans="1:14">
      <c r="A922">
        <v>59</v>
      </c>
      <c r="B922">
        <v>12</v>
      </c>
      <c r="C922" t="s">
        <v>125</v>
      </c>
      <c r="D922" t="s">
        <v>723</v>
      </c>
      <c r="E922" t="s">
        <v>125</v>
      </c>
      <c r="F922">
        <v>0</v>
      </c>
      <c r="G922" t="s">
        <v>125</v>
      </c>
      <c r="H922" t="s">
        <v>125</v>
      </c>
      <c r="I922" t="s">
        <v>125</v>
      </c>
      <c r="J922" t="s">
        <v>125</v>
      </c>
      <c r="K922" t="s">
        <v>125</v>
      </c>
      <c r="L922" t="s">
        <v>125</v>
      </c>
      <c r="M922" t="s">
        <v>1572</v>
      </c>
      <c r="N922" t="b">
        <v>0</v>
      </c>
    </row>
    <row r="923" spans="1:14">
      <c r="A923">
        <v>59</v>
      </c>
      <c r="B923">
        <v>13</v>
      </c>
      <c r="C923" t="s">
        <v>125</v>
      </c>
      <c r="D923" t="s">
        <v>723</v>
      </c>
      <c r="E923" t="s">
        <v>125</v>
      </c>
      <c r="F923">
        <v>0</v>
      </c>
      <c r="G923" t="s">
        <v>125</v>
      </c>
      <c r="H923" t="s">
        <v>125</v>
      </c>
      <c r="I923" t="s">
        <v>125</v>
      </c>
      <c r="J923" t="s">
        <v>125</v>
      </c>
      <c r="K923" t="s">
        <v>125</v>
      </c>
      <c r="L923" t="s">
        <v>125</v>
      </c>
      <c r="M923" t="s">
        <v>1573</v>
      </c>
      <c r="N923" t="b">
        <v>0</v>
      </c>
    </row>
    <row r="924" spans="1:14">
      <c r="A924">
        <v>59</v>
      </c>
      <c r="B924">
        <v>14</v>
      </c>
      <c r="C924" t="s">
        <v>125</v>
      </c>
      <c r="D924" t="s">
        <v>723</v>
      </c>
      <c r="E924" t="s">
        <v>125</v>
      </c>
      <c r="F924">
        <v>0</v>
      </c>
      <c r="G924" t="s">
        <v>125</v>
      </c>
      <c r="H924" t="s">
        <v>125</v>
      </c>
      <c r="I924" t="s">
        <v>125</v>
      </c>
      <c r="J924" t="s">
        <v>125</v>
      </c>
      <c r="K924" t="s">
        <v>125</v>
      </c>
      <c r="L924" t="s">
        <v>125</v>
      </c>
      <c r="M924" t="s">
        <v>1574</v>
      </c>
      <c r="N924" t="b">
        <v>0</v>
      </c>
    </row>
    <row r="925" spans="1:14">
      <c r="A925">
        <v>59</v>
      </c>
      <c r="B925">
        <v>15</v>
      </c>
      <c r="C925" t="s">
        <v>125</v>
      </c>
      <c r="D925" t="s">
        <v>723</v>
      </c>
      <c r="E925" t="s">
        <v>125</v>
      </c>
      <c r="F925">
        <v>0</v>
      </c>
      <c r="G925" t="s">
        <v>125</v>
      </c>
      <c r="H925" t="s">
        <v>125</v>
      </c>
      <c r="I925" t="s">
        <v>125</v>
      </c>
      <c r="J925" t="s">
        <v>125</v>
      </c>
      <c r="K925" t="s">
        <v>125</v>
      </c>
      <c r="L925" t="s">
        <v>125</v>
      </c>
      <c r="M925" t="s">
        <v>1575</v>
      </c>
      <c r="N925" t="b">
        <v>0</v>
      </c>
    </row>
    <row r="926" spans="1:14">
      <c r="A926">
        <v>59</v>
      </c>
      <c r="B926">
        <v>16</v>
      </c>
      <c r="C926" t="s">
        <v>125</v>
      </c>
      <c r="D926" t="s">
        <v>740</v>
      </c>
      <c r="E926" t="s">
        <v>125</v>
      </c>
      <c r="F926">
        <v>0</v>
      </c>
      <c r="G926" t="s">
        <v>125</v>
      </c>
      <c r="H926" t="s">
        <v>125</v>
      </c>
      <c r="I926" t="s">
        <v>125</v>
      </c>
      <c r="J926" t="s">
        <v>125</v>
      </c>
      <c r="K926" t="s">
        <v>125</v>
      </c>
      <c r="L926" t="s">
        <v>125</v>
      </c>
      <c r="M926" t="s">
        <v>1576</v>
      </c>
      <c r="N926" t="b">
        <v>0</v>
      </c>
    </row>
    <row r="927" spans="1:14">
      <c r="A927">
        <v>59</v>
      </c>
      <c r="B927">
        <v>17</v>
      </c>
      <c r="C927" t="s">
        <v>125</v>
      </c>
      <c r="D927" t="s">
        <v>740</v>
      </c>
      <c r="E927" t="s">
        <v>125</v>
      </c>
      <c r="F927">
        <v>0</v>
      </c>
      <c r="G927" t="s">
        <v>125</v>
      </c>
      <c r="H927" t="s">
        <v>125</v>
      </c>
      <c r="I927" t="s">
        <v>125</v>
      </c>
      <c r="J927" t="s">
        <v>125</v>
      </c>
      <c r="K927" t="s">
        <v>125</v>
      </c>
      <c r="L927" t="s">
        <v>125</v>
      </c>
      <c r="M927" t="s">
        <v>1577</v>
      </c>
      <c r="N927" t="b">
        <v>0</v>
      </c>
    </row>
    <row r="928" spans="1:14">
      <c r="A928">
        <v>59</v>
      </c>
      <c r="B928">
        <v>18</v>
      </c>
      <c r="C928" t="s">
        <v>125</v>
      </c>
      <c r="D928" t="s">
        <v>740</v>
      </c>
      <c r="E928" t="s">
        <v>125</v>
      </c>
      <c r="F928">
        <v>0</v>
      </c>
      <c r="G928" t="s">
        <v>125</v>
      </c>
      <c r="H928" t="s">
        <v>125</v>
      </c>
      <c r="I928" t="s">
        <v>125</v>
      </c>
      <c r="J928" t="s">
        <v>125</v>
      </c>
      <c r="K928" t="s">
        <v>125</v>
      </c>
      <c r="L928" t="s">
        <v>125</v>
      </c>
      <c r="M928" t="s">
        <v>1578</v>
      </c>
      <c r="N928" t="b">
        <v>0</v>
      </c>
    </row>
    <row r="929" spans="1:14">
      <c r="A929">
        <v>59</v>
      </c>
      <c r="B929">
        <v>19</v>
      </c>
      <c r="C929" t="s">
        <v>125</v>
      </c>
      <c r="D929" t="s">
        <v>740</v>
      </c>
      <c r="E929" t="s">
        <v>125</v>
      </c>
      <c r="F929">
        <v>0</v>
      </c>
      <c r="G929" t="s">
        <v>125</v>
      </c>
      <c r="H929" t="s">
        <v>125</v>
      </c>
      <c r="I929" t="s">
        <v>125</v>
      </c>
      <c r="J929" t="s">
        <v>125</v>
      </c>
      <c r="K929" t="s">
        <v>125</v>
      </c>
      <c r="L929" t="s">
        <v>125</v>
      </c>
      <c r="M929" t="s">
        <v>1579</v>
      </c>
      <c r="N929" t="b">
        <v>0</v>
      </c>
    </row>
    <row r="930" spans="1:14">
      <c r="A930">
        <v>59</v>
      </c>
      <c r="B930">
        <v>20</v>
      </c>
      <c r="C930" t="s">
        <v>125</v>
      </c>
      <c r="D930" t="s">
        <v>740</v>
      </c>
      <c r="E930" t="s">
        <v>125</v>
      </c>
      <c r="F930">
        <v>0</v>
      </c>
      <c r="G930" t="s">
        <v>125</v>
      </c>
      <c r="H930" t="s">
        <v>125</v>
      </c>
      <c r="I930" t="s">
        <v>125</v>
      </c>
      <c r="J930" t="s">
        <v>125</v>
      </c>
      <c r="K930" t="s">
        <v>125</v>
      </c>
      <c r="L930" t="s">
        <v>125</v>
      </c>
      <c r="M930" t="s">
        <v>1580</v>
      </c>
      <c r="N930" t="b">
        <v>0</v>
      </c>
    </row>
    <row r="931" spans="1:14">
      <c r="A931">
        <v>59</v>
      </c>
      <c r="B931">
        <v>21</v>
      </c>
      <c r="C931" t="s">
        <v>125</v>
      </c>
      <c r="D931" t="s">
        <v>740</v>
      </c>
      <c r="E931" t="s">
        <v>125</v>
      </c>
      <c r="F931">
        <v>0</v>
      </c>
      <c r="G931" t="s">
        <v>125</v>
      </c>
      <c r="H931" t="s">
        <v>125</v>
      </c>
      <c r="I931" t="s">
        <v>125</v>
      </c>
      <c r="J931" t="s">
        <v>125</v>
      </c>
      <c r="K931" t="s">
        <v>125</v>
      </c>
      <c r="L931" t="s">
        <v>125</v>
      </c>
      <c r="M931" t="s">
        <v>1581</v>
      </c>
      <c r="N931" t="b">
        <v>0</v>
      </c>
    </row>
    <row r="932" spans="1:14">
      <c r="A932">
        <v>59</v>
      </c>
      <c r="B932">
        <v>22</v>
      </c>
      <c r="C932" t="s">
        <v>125</v>
      </c>
      <c r="D932" t="s">
        <v>740</v>
      </c>
      <c r="E932" t="s">
        <v>125</v>
      </c>
      <c r="F932">
        <v>0</v>
      </c>
      <c r="G932" t="s">
        <v>125</v>
      </c>
      <c r="H932" t="s">
        <v>125</v>
      </c>
      <c r="I932" t="s">
        <v>125</v>
      </c>
      <c r="J932" t="s">
        <v>125</v>
      </c>
      <c r="K932" t="s">
        <v>125</v>
      </c>
      <c r="L932" t="s">
        <v>125</v>
      </c>
      <c r="M932" t="s">
        <v>1582</v>
      </c>
      <c r="N932" t="b">
        <v>0</v>
      </c>
    </row>
    <row r="933" spans="1:14">
      <c r="A933">
        <v>59</v>
      </c>
      <c r="B933">
        <v>23</v>
      </c>
      <c r="C933" t="s">
        <v>125</v>
      </c>
      <c r="D933" t="s">
        <v>740</v>
      </c>
      <c r="E933" t="s">
        <v>125</v>
      </c>
      <c r="F933">
        <v>0</v>
      </c>
      <c r="G933" t="s">
        <v>125</v>
      </c>
      <c r="H933" t="s">
        <v>125</v>
      </c>
      <c r="I933" t="s">
        <v>125</v>
      </c>
      <c r="J933" t="s">
        <v>125</v>
      </c>
      <c r="K933" t="s">
        <v>125</v>
      </c>
      <c r="L933" t="s">
        <v>125</v>
      </c>
      <c r="M933" t="s">
        <v>1583</v>
      </c>
      <c r="N933" t="b">
        <v>0</v>
      </c>
    </row>
    <row r="934" spans="1:14">
      <c r="A934">
        <v>59</v>
      </c>
      <c r="B934">
        <v>24</v>
      </c>
      <c r="C934" t="s">
        <v>125</v>
      </c>
      <c r="D934" t="s">
        <v>740</v>
      </c>
      <c r="E934" t="s">
        <v>125</v>
      </c>
      <c r="F934">
        <v>0</v>
      </c>
      <c r="G934" t="s">
        <v>125</v>
      </c>
      <c r="H934" t="s">
        <v>125</v>
      </c>
      <c r="I934" t="s">
        <v>125</v>
      </c>
      <c r="J934" t="s">
        <v>125</v>
      </c>
      <c r="K934" t="s">
        <v>125</v>
      </c>
      <c r="L934" t="s">
        <v>125</v>
      </c>
      <c r="M934" t="s">
        <v>1584</v>
      </c>
      <c r="N934" t="b">
        <v>0</v>
      </c>
    </row>
    <row r="935" spans="1:14">
      <c r="A935">
        <v>59</v>
      </c>
      <c r="B935">
        <v>25</v>
      </c>
      <c r="C935" t="s">
        <v>125</v>
      </c>
      <c r="D935" t="s">
        <v>740</v>
      </c>
      <c r="E935" t="s">
        <v>125</v>
      </c>
      <c r="F935">
        <v>0</v>
      </c>
      <c r="G935" t="s">
        <v>125</v>
      </c>
      <c r="H935" t="s">
        <v>125</v>
      </c>
      <c r="I935" t="s">
        <v>125</v>
      </c>
      <c r="J935" t="s">
        <v>125</v>
      </c>
      <c r="K935" t="s">
        <v>125</v>
      </c>
      <c r="L935" t="s">
        <v>125</v>
      </c>
      <c r="M935" t="s">
        <v>1585</v>
      </c>
      <c r="N935" t="b">
        <v>0</v>
      </c>
    </row>
    <row r="936" spans="1:14">
      <c r="A936">
        <v>59</v>
      </c>
      <c r="B936">
        <v>26</v>
      </c>
      <c r="C936" t="s">
        <v>125</v>
      </c>
      <c r="D936" t="s">
        <v>740</v>
      </c>
      <c r="E936" t="s">
        <v>125</v>
      </c>
      <c r="F936">
        <v>0</v>
      </c>
      <c r="G936" t="s">
        <v>125</v>
      </c>
      <c r="H936" t="s">
        <v>125</v>
      </c>
      <c r="I936" t="s">
        <v>125</v>
      </c>
      <c r="J936" t="s">
        <v>125</v>
      </c>
      <c r="K936" t="s">
        <v>125</v>
      </c>
      <c r="L936" t="s">
        <v>125</v>
      </c>
      <c r="M936" t="s">
        <v>1586</v>
      </c>
      <c r="N936" t="b">
        <v>0</v>
      </c>
    </row>
    <row r="937" spans="1:14">
      <c r="A937">
        <v>60</v>
      </c>
      <c r="B937">
        <v>0</v>
      </c>
      <c r="C937" t="s">
        <v>185</v>
      </c>
      <c r="D937" t="s">
        <v>723</v>
      </c>
      <c r="E937" t="s">
        <v>64</v>
      </c>
      <c r="F937">
        <v>50</v>
      </c>
      <c r="G937" t="s">
        <v>125</v>
      </c>
      <c r="H937" t="s">
        <v>125</v>
      </c>
      <c r="I937" t="s">
        <v>64</v>
      </c>
      <c r="J937" t="s">
        <v>125</v>
      </c>
      <c r="K937" t="s">
        <v>125</v>
      </c>
      <c r="L937" t="s">
        <v>125</v>
      </c>
      <c r="M937" t="s">
        <v>1587</v>
      </c>
      <c r="N937" t="b">
        <v>0</v>
      </c>
    </row>
    <row r="938" spans="1:14">
      <c r="A938">
        <v>60</v>
      </c>
      <c r="B938">
        <v>1</v>
      </c>
      <c r="C938" t="s">
        <v>225</v>
      </c>
      <c r="D938" t="s">
        <v>723</v>
      </c>
      <c r="E938" t="s">
        <v>76</v>
      </c>
      <c r="F938">
        <v>50</v>
      </c>
      <c r="G938" t="s">
        <v>125</v>
      </c>
      <c r="H938" t="s">
        <v>125</v>
      </c>
      <c r="I938" t="s">
        <v>76</v>
      </c>
      <c r="J938" t="s">
        <v>125</v>
      </c>
      <c r="K938" t="s">
        <v>125</v>
      </c>
      <c r="L938" t="s">
        <v>125</v>
      </c>
      <c r="M938" t="s">
        <v>1588</v>
      </c>
      <c r="N938" t="b">
        <v>0</v>
      </c>
    </row>
    <row r="939" spans="1:14">
      <c r="A939">
        <v>60</v>
      </c>
      <c r="B939">
        <v>2</v>
      </c>
      <c r="C939" t="s">
        <v>157</v>
      </c>
      <c r="D939" t="s">
        <v>723</v>
      </c>
      <c r="E939" t="s">
        <v>82</v>
      </c>
      <c r="F939">
        <v>40</v>
      </c>
      <c r="G939" t="s">
        <v>125</v>
      </c>
      <c r="H939" t="s">
        <v>125</v>
      </c>
      <c r="I939" t="s">
        <v>82</v>
      </c>
      <c r="J939" t="s">
        <v>125</v>
      </c>
      <c r="K939" t="s">
        <v>125</v>
      </c>
      <c r="L939" t="s">
        <v>125</v>
      </c>
      <c r="M939" t="s">
        <v>1589</v>
      </c>
      <c r="N939" t="b">
        <v>0</v>
      </c>
    </row>
    <row r="940" spans="1:14">
      <c r="A940">
        <v>60</v>
      </c>
      <c r="B940">
        <v>3</v>
      </c>
      <c r="C940" t="s">
        <v>228</v>
      </c>
      <c r="D940" t="s">
        <v>723</v>
      </c>
      <c r="E940" t="s">
        <v>100</v>
      </c>
      <c r="F940">
        <v>40</v>
      </c>
      <c r="G940" t="s">
        <v>125</v>
      </c>
      <c r="H940" t="s">
        <v>125</v>
      </c>
      <c r="I940" t="s">
        <v>100</v>
      </c>
      <c r="J940" t="s">
        <v>125</v>
      </c>
      <c r="K940" t="s">
        <v>125</v>
      </c>
      <c r="L940" t="s">
        <v>125</v>
      </c>
      <c r="M940" t="s">
        <v>1590</v>
      </c>
      <c r="N940" t="b">
        <v>0</v>
      </c>
    </row>
    <row r="941" spans="1:14">
      <c r="A941">
        <v>60</v>
      </c>
      <c r="B941">
        <v>4</v>
      </c>
      <c r="C941" t="s">
        <v>201</v>
      </c>
      <c r="D941" t="s">
        <v>723</v>
      </c>
      <c r="E941" t="s">
        <v>102</v>
      </c>
      <c r="F941">
        <v>60</v>
      </c>
      <c r="G941" t="s">
        <v>125</v>
      </c>
      <c r="H941" t="s">
        <v>125</v>
      </c>
      <c r="I941" t="s">
        <v>102</v>
      </c>
      <c r="J941" t="s">
        <v>125</v>
      </c>
      <c r="K941" t="s">
        <v>125</v>
      </c>
      <c r="L941" t="s">
        <v>125</v>
      </c>
      <c r="M941" t="s">
        <v>1591</v>
      </c>
      <c r="N941" t="b">
        <v>0</v>
      </c>
    </row>
    <row r="942" spans="1:14">
      <c r="A942">
        <v>60</v>
      </c>
      <c r="B942">
        <v>5</v>
      </c>
      <c r="C942" t="s">
        <v>253</v>
      </c>
      <c r="D942" t="s">
        <v>723</v>
      </c>
      <c r="E942" t="s">
        <v>114</v>
      </c>
      <c r="F942">
        <v>40</v>
      </c>
      <c r="G942" t="s">
        <v>125</v>
      </c>
      <c r="H942" t="s">
        <v>125</v>
      </c>
      <c r="I942" t="s">
        <v>114</v>
      </c>
      <c r="J942" t="s">
        <v>125</v>
      </c>
      <c r="K942" t="s">
        <v>125</v>
      </c>
      <c r="L942" t="s">
        <v>125</v>
      </c>
      <c r="M942" t="s">
        <v>1592</v>
      </c>
      <c r="N942" t="b">
        <v>0</v>
      </c>
    </row>
    <row r="943" spans="1:14">
      <c r="A943">
        <v>60</v>
      </c>
      <c r="B943">
        <v>6</v>
      </c>
      <c r="C943" t="s">
        <v>261</v>
      </c>
      <c r="D943" t="s">
        <v>723</v>
      </c>
      <c r="E943" t="s">
        <v>65</v>
      </c>
      <c r="F943">
        <v>40</v>
      </c>
      <c r="G943" t="s">
        <v>125</v>
      </c>
      <c r="H943" t="s">
        <v>125</v>
      </c>
      <c r="I943" t="s">
        <v>65</v>
      </c>
      <c r="J943" t="s">
        <v>125</v>
      </c>
      <c r="K943" t="s">
        <v>125</v>
      </c>
      <c r="L943" t="s">
        <v>125</v>
      </c>
      <c r="M943" t="s">
        <v>1593</v>
      </c>
      <c r="N943" t="b">
        <v>0</v>
      </c>
    </row>
    <row r="944" spans="1:14">
      <c r="A944">
        <v>60</v>
      </c>
      <c r="B944">
        <v>7</v>
      </c>
      <c r="C944" t="s">
        <v>192</v>
      </c>
      <c r="D944" t="s">
        <v>723</v>
      </c>
      <c r="E944" t="s">
        <v>77</v>
      </c>
      <c r="F944">
        <v>50</v>
      </c>
      <c r="G944" t="s">
        <v>125</v>
      </c>
      <c r="H944" t="s">
        <v>125</v>
      </c>
      <c r="I944" t="s">
        <v>77</v>
      </c>
      <c r="J944" t="s">
        <v>125</v>
      </c>
      <c r="K944" t="s">
        <v>125</v>
      </c>
      <c r="L944" t="s">
        <v>125</v>
      </c>
      <c r="M944" t="s">
        <v>1594</v>
      </c>
      <c r="N944" t="b">
        <v>0</v>
      </c>
    </row>
    <row r="945" spans="1:14">
      <c r="A945">
        <v>60</v>
      </c>
      <c r="B945">
        <v>8</v>
      </c>
      <c r="C945" t="s">
        <v>212</v>
      </c>
      <c r="D945" t="s">
        <v>723</v>
      </c>
      <c r="E945" t="s">
        <v>83</v>
      </c>
      <c r="F945">
        <v>40</v>
      </c>
      <c r="G945" t="s">
        <v>125</v>
      </c>
      <c r="H945" t="s">
        <v>125</v>
      </c>
      <c r="I945" t="s">
        <v>83</v>
      </c>
      <c r="J945" t="s">
        <v>125</v>
      </c>
      <c r="K945" t="s">
        <v>125</v>
      </c>
      <c r="L945" t="s">
        <v>125</v>
      </c>
      <c r="M945" t="s">
        <v>1595</v>
      </c>
      <c r="N945" t="b">
        <v>0</v>
      </c>
    </row>
    <row r="946" spans="1:14">
      <c r="A946">
        <v>60</v>
      </c>
      <c r="B946">
        <v>9</v>
      </c>
      <c r="C946" t="s">
        <v>262</v>
      </c>
      <c r="D946" t="s">
        <v>723</v>
      </c>
      <c r="E946" t="s">
        <v>544</v>
      </c>
      <c r="F946">
        <v>40</v>
      </c>
      <c r="G946" t="s">
        <v>125</v>
      </c>
      <c r="H946" t="s">
        <v>554</v>
      </c>
      <c r="I946" t="s">
        <v>331</v>
      </c>
      <c r="J946" t="s">
        <v>125</v>
      </c>
      <c r="K946" t="s">
        <v>800</v>
      </c>
      <c r="L946" t="s">
        <v>801</v>
      </c>
      <c r="M946" t="s">
        <v>1596</v>
      </c>
      <c r="N946" t="b">
        <v>0</v>
      </c>
    </row>
    <row r="947" spans="1:14">
      <c r="A947">
        <v>60</v>
      </c>
      <c r="B947">
        <v>10</v>
      </c>
      <c r="C947" t="s">
        <v>169</v>
      </c>
      <c r="D947" t="s">
        <v>723</v>
      </c>
      <c r="E947" t="s">
        <v>105</v>
      </c>
      <c r="F947">
        <v>50</v>
      </c>
      <c r="G947" t="s">
        <v>125</v>
      </c>
      <c r="H947" t="s">
        <v>125</v>
      </c>
      <c r="I947" t="s">
        <v>105</v>
      </c>
      <c r="J947" t="s">
        <v>125</v>
      </c>
      <c r="K947" t="s">
        <v>125</v>
      </c>
      <c r="L947" t="s">
        <v>125</v>
      </c>
      <c r="M947" t="s">
        <v>1597</v>
      </c>
      <c r="N947" t="b">
        <v>0</v>
      </c>
    </row>
    <row r="948" spans="1:14">
      <c r="A948">
        <v>60</v>
      </c>
      <c r="B948">
        <v>11</v>
      </c>
      <c r="C948" t="s">
        <v>125</v>
      </c>
      <c r="D948" t="s">
        <v>723</v>
      </c>
      <c r="E948" t="s">
        <v>125</v>
      </c>
      <c r="F948">
        <v>0</v>
      </c>
      <c r="G948" t="s">
        <v>125</v>
      </c>
      <c r="H948" t="s">
        <v>125</v>
      </c>
      <c r="I948" t="s">
        <v>125</v>
      </c>
      <c r="J948" t="s">
        <v>125</v>
      </c>
      <c r="K948" t="s">
        <v>125</v>
      </c>
      <c r="L948" t="s">
        <v>125</v>
      </c>
      <c r="M948" t="s">
        <v>1598</v>
      </c>
      <c r="N948" t="b">
        <v>0</v>
      </c>
    </row>
    <row r="949" spans="1:14">
      <c r="A949">
        <v>60</v>
      </c>
      <c r="B949">
        <v>12</v>
      </c>
      <c r="C949" t="s">
        <v>125</v>
      </c>
      <c r="D949" t="s">
        <v>723</v>
      </c>
      <c r="E949" t="s">
        <v>125</v>
      </c>
      <c r="F949">
        <v>0</v>
      </c>
      <c r="G949" t="s">
        <v>125</v>
      </c>
      <c r="H949" t="s">
        <v>125</v>
      </c>
      <c r="I949" t="s">
        <v>125</v>
      </c>
      <c r="J949" t="s">
        <v>125</v>
      </c>
      <c r="K949" t="s">
        <v>125</v>
      </c>
      <c r="L949" t="s">
        <v>125</v>
      </c>
      <c r="M949" t="s">
        <v>1599</v>
      </c>
      <c r="N949" t="b">
        <v>0</v>
      </c>
    </row>
    <row r="950" spans="1:14">
      <c r="A950">
        <v>60</v>
      </c>
      <c r="B950">
        <v>13</v>
      </c>
      <c r="C950" t="s">
        <v>125</v>
      </c>
      <c r="D950" t="s">
        <v>723</v>
      </c>
      <c r="E950" t="s">
        <v>125</v>
      </c>
      <c r="F950">
        <v>0</v>
      </c>
      <c r="G950" t="s">
        <v>125</v>
      </c>
      <c r="H950" t="s">
        <v>125</v>
      </c>
      <c r="I950" t="s">
        <v>125</v>
      </c>
      <c r="J950" t="s">
        <v>125</v>
      </c>
      <c r="K950" t="s">
        <v>125</v>
      </c>
      <c r="L950" t="s">
        <v>125</v>
      </c>
      <c r="M950" t="s">
        <v>1600</v>
      </c>
      <c r="N950" t="b">
        <v>0</v>
      </c>
    </row>
    <row r="951" spans="1:14">
      <c r="A951">
        <v>60</v>
      </c>
      <c r="B951">
        <v>14</v>
      </c>
      <c r="C951" t="s">
        <v>125</v>
      </c>
      <c r="D951" t="s">
        <v>723</v>
      </c>
      <c r="E951" t="s">
        <v>125</v>
      </c>
      <c r="F951">
        <v>0</v>
      </c>
      <c r="G951" t="s">
        <v>125</v>
      </c>
      <c r="H951" t="s">
        <v>125</v>
      </c>
      <c r="I951" t="s">
        <v>125</v>
      </c>
      <c r="J951" t="s">
        <v>125</v>
      </c>
      <c r="K951" t="s">
        <v>125</v>
      </c>
      <c r="L951" t="s">
        <v>125</v>
      </c>
      <c r="M951" t="s">
        <v>1601</v>
      </c>
      <c r="N951" t="b">
        <v>0</v>
      </c>
    </row>
    <row r="952" spans="1:14">
      <c r="A952">
        <v>60</v>
      </c>
      <c r="B952">
        <v>15</v>
      </c>
      <c r="C952" t="s">
        <v>125</v>
      </c>
      <c r="D952" t="s">
        <v>723</v>
      </c>
      <c r="E952" t="s">
        <v>125</v>
      </c>
      <c r="F952">
        <v>0</v>
      </c>
      <c r="G952" t="s">
        <v>125</v>
      </c>
      <c r="H952" t="s">
        <v>125</v>
      </c>
      <c r="I952" t="s">
        <v>125</v>
      </c>
      <c r="J952" t="s">
        <v>125</v>
      </c>
      <c r="K952" t="s">
        <v>125</v>
      </c>
      <c r="L952" t="s">
        <v>125</v>
      </c>
      <c r="M952" t="s">
        <v>1602</v>
      </c>
      <c r="N952" t="b">
        <v>0</v>
      </c>
    </row>
    <row r="953" spans="1:14">
      <c r="A953">
        <v>60</v>
      </c>
      <c r="B953">
        <v>16</v>
      </c>
      <c r="C953" t="s">
        <v>263</v>
      </c>
      <c r="D953" t="s">
        <v>740</v>
      </c>
      <c r="E953" t="s">
        <v>98</v>
      </c>
      <c r="F953">
        <v>60</v>
      </c>
      <c r="G953" t="s">
        <v>125</v>
      </c>
      <c r="H953" t="s">
        <v>125</v>
      </c>
      <c r="I953" t="s">
        <v>98</v>
      </c>
      <c r="J953" t="s">
        <v>125</v>
      </c>
      <c r="K953" t="s">
        <v>125</v>
      </c>
      <c r="L953" t="s">
        <v>125</v>
      </c>
      <c r="M953" t="s">
        <v>1603</v>
      </c>
      <c r="N953" t="b">
        <v>0</v>
      </c>
    </row>
    <row r="954" spans="1:14">
      <c r="A954">
        <v>60</v>
      </c>
      <c r="B954">
        <v>17</v>
      </c>
      <c r="C954" t="s">
        <v>211</v>
      </c>
      <c r="D954" t="s">
        <v>740</v>
      </c>
      <c r="E954" t="s">
        <v>108</v>
      </c>
      <c r="F954">
        <v>40</v>
      </c>
      <c r="G954" t="s">
        <v>125</v>
      </c>
      <c r="H954" t="s">
        <v>125</v>
      </c>
      <c r="I954" t="s">
        <v>108</v>
      </c>
      <c r="J954" t="s">
        <v>125</v>
      </c>
      <c r="K954" t="s">
        <v>125</v>
      </c>
      <c r="L954" t="s">
        <v>125</v>
      </c>
      <c r="M954" t="s">
        <v>1604</v>
      </c>
      <c r="N954" t="b">
        <v>0</v>
      </c>
    </row>
    <row r="955" spans="1:14">
      <c r="A955">
        <v>60</v>
      </c>
      <c r="B955">
        <v>18</v>
      </c>
      <c r="C955" t="s">
        <v>166</v>
      </c>
      <c r="D955" t="s">
        <v>740</v>
      </c>
      <c r="E955" t="s">
        <v>73</v>
      </c>
      <c r="F955">
        <v>50</v>
      </c>
      <c r="G955" t="s">
        <v>125</v>
      </c>
      <c r="H955" t="s">
        <v>125</v>
      </c>
      <c r="I955" t="s">
        <v>73</v>
      </c>
      <c r="J955" t="s">
        <v>125</v>
      </c>
      <c r="K955" t="s">
        <v>125</v>
      </c>
      <c r="L955" t="s">
        <v>125</v>
      </c>
      <c r="M955" t="s">
        <v>1605</v>
      </c>
      <c r="N955" t="b">
        <v>0</v>
      </c>
    </row>
    <row r="956" spans="1:14">
      <c r="A956">
        <v>60</v>
      </c>
      <c r="B956">
        <v>19</v>
      </c>
      <c r="C956" t="s">
        <v>264</v>
      </c>
      <c r="D956" t="s">
        <v>740</v>
      </c>
      <c r="E956" t="s">
        <v>90</v>
      </c>
      <c r="F956">
        <v>50</v>
      </c>
      <c r="G956" t="s">
        <v>125</v>
      </c>
      <c r="H956" t="s">
        <v>125</v>
      </c>
      <c r="I956" t="s">
        <v>90</v>
      </c>
      <c r="J956" t="s">
        <v>125</v>
      </c>
      <c r="K956" t="s">
        <v>125</v>
      </c>
      <c r="L956" t="s">
        <v>125</v>
      </c>
      <c r="M956" t="s">
        <v>1606</v>
      </c>
      <c r="N956" t="b">
        <v>0</v>
      </c>
    </row>
    <row r="957" spans="1:14">
      <c r="A957">
        <v>60</v>
      </c>
      <c r="B957">
        <v>20</v>
      </c>
      <c r="C957" t="s">
        <v>168</v>
      </c>
      <c r="D957" t="s">
        <v>740</v>
      </c>
      <c r="E957" t="s">
        <v>97</v>
      </c>
      <c r="F957">
        <v>60</v>
      </c>
      <c r="G957" t="s">
        <v>125</v>
      </c>
      <c r="H957" t="s">
        <v>125</v>
      </c>
      <c r="I957" t="s">
        <v>97</v>
      </c>
      <c r="J957" t="s">
        <v>125</v>
      </c>
      <c r="K957" t="s">
        <v>125</v>
      </c>
      <c r="L957" t="s">
        <v>125</v>
      </c>
      <c r="M957" t="s">
        <v>1607</v>
      </c>
      <c r="N957" t="b">
        <v>0</v>
      </c>
    </row>
    <row r="958" spans="1:14">
      <c r="A958">
        <v>60</v>
      </c>
      <c r="B958">
        <v>21</v>
      </c>
      <c r="C958" t="s">
        <v>125</v>
      </c>
      <c r="D958" t="s">
        <v>740</v>
      </c>
      <c r="E958" t="s">
        <v>125</v>
      </c>
      <c r="F958">
        <v>0</v>
      </c>
      <c r="G958" t="s">
        <v>125</v>
      </c>
      <c r="H958" t="s">
        <v>125</v>
      </c>
      <c r="I958" t="s">
        <v>125</v>
      </c>
      <c r="J958" t="s">
        <v>125</v>
      </c>
      <c r="K958" t="s">
        <v>125</v>
      </c>
      <c r="L958" t="s">
        <v>125</v>
      </c>
      <c r="M958" t="s">
        <v>1608</v>
      </c>
      <c r="N958" t="b">
        <v>0</v>
      </c>
    </row>
    <row r="959" spans="1:14">
      <c r="A959">
        <v>60</v>
      </c>
      <c r="B959">
        <v>22</v>
      </c>
      <c r="C959" t="s">
        <v>125</v>
      </c>
      <c r="D959" t="s">
        <v>740</v>
      </c>
      <c r="E959" t="s">
        <v>125</v>
      </c>
      <c r="F959">
        <v>0</v>
      </c>
      <c r="G959" t="s">
        <v>125</v>
      </c>
      <c r="H959" t="s">
        <v>125</v>
      </c>
      <c r="I959" t="s">
        <v>125</v>
      </c>
      <c r="J959" t="s">
        <v>125</v>
      </c>
      <c r="K959" t="s">
        <v>125</v>
      </c>
      <c r="L959" t="s">
        <v>125</v>
      </c>
      <c r="M959" t="s">
        <v>1609</v>
      </c>
      <c r="N959" t="b">
        <v>0</v>
      </c>
    </row>
    <row r="960" spans="1:14">
      <c r="A960">
        <v>60</v>
      </c>
      <c r="B960">
        <v>23</v>
      </c>
      <c r="C960" t="s">
        <v>125</v>
      </c>
      <c r="D960" t="s">
        <v>740</v>
      </c>
      <c r="E960" t="s">
        <v>125</v>
      </c>
      <c r="F960">
        <v>0</v>
      </c>
      <c r="G960" t="s">
        <v>125</v>
      </c>
      <c r="H960" t="s">
        <v>125</v>
      </c>
      <c r="I960" t="s">
        <v>125</v>
      </c>
      <c r="J960" t="s">
        <v>125</v>
      </c>
      <c r="K960" t="s">
        <v>125</v>
      </c>
      <c r="L960" t="s">
        <v>125</v>
      </c>
      <c r="M960" t="s">
        <v>1610</v>
      </c>
      <c r="N960" t="b">
        <v>0</v>
      </c>
    </row>
    <row r="961" spans="1:14">
      <c r="A961">
        <v>60</v>
      </c>
      <c r="B961">
        <v>24</v>
      </c>
      <c r="C961" t="s">
        <v>125</v>
      </c>
      <c r="D961" t="s">
        <v>740</v>
      </c>
      <c r="E961" t="s">
        <v>125</v>
      </c>
      <c r="F961">
        <v>0</v>
      </c>
      <c r="G961" t="s">
        <v>125</v>
      </c>
      <c r="H961" t="s">
        <v>125</v>
      </c>
      <c r="I961" t="s">
        <v>125</v>
      </c>
      <c r="J961" t="s">
        <v>125</v>
      </c>
      <c r="K961" t="s">
        <v>125</v>
      </c>
      <c r="L961" t="s">
        <v>125</v>
      </c>
      <c r="M961" t="s">
        <v>1611</v>
      </c>
      <c r="N961" t="b">
        <v>0</v>
      </c>
    </row>
    <row r="962" spans="1:14">
      <c r="A962">
        <v>60</v>
      </c>
      <c r="B962">
        <v>25</v>
      </c>
      <c r="C962" t="s">
        <v>125</v>
      </c>
      <c r="D962" t="s">
        <v>740</v>
      </c>
      <c r="E962" t="s">
        <v>125</v>
      </c>
      <c r="F962">
        <v>0</v>
      </c>
      <c r="G962" t="s">
        <v>125</v>
      </c>
      <c r="H962" t="s">
        <v>125</v>
      </c>
      <c r="I962" t="s">
        <v>125</v>
      </c>
      <c r="J962" t="s">
        <v>125</v>
      </c>
      <c r="K962" t="s">
        <v>125</v>
      </c>
      <c r="L962" t="s">
        <v>125</v>
      </c>
      <c r="M962" t="s">
        <v>1612</v>
      </c>
      <c r="N962" t="b">
        <v>0</v>
      </c>
    </row>
    <row r="963" spans="1:14">
      <c r="A963">
        <v>60</v>
      </c>
      <c r="B963">
        <v>26</v>
      </c>
      <c r="C963" t="s">
        <v>125</v>
      </c>
      <c r="D963" t="s">
        <v>740</v>
      </c>
      <c r="E963" t="s">
        <v>125</v>
      </c>
      <c r="F963">
        <v>0</v>
      </c>
      <c r="G963" t="s">
        <v>125</v>
      </c>
      <c r="H963" t="s">
        <v>125</v>
      </c>
      <c r="I963" t="s">
        <v>125</v>
      </c>
      <c r="J963" t="s">
        <v>125</v>
      </c>
      <c r="K963" t="s">
        <v>125</v>
      </c>
      <c r="L963" t="s">
        <v>125</v>
      </c>
      <c r="M963" t="s">
        <v>1613</v>
      </c>
      <c r="N963" t="b">
        <v>0</v>
      </c>
    </row>
    <row r="964" spans="1:14">
      <c r="A964">
        <v>61</v>
      </c>
      <c r="B964">
        <v>0</v>
      </c>
      <c r="C964" t="s">
        <v>185</v>
      </c>
      <c r="D964" t="s">
        <v>723</v>
      </c>
      <c r="E964" t="s">
        <v>64</v>
      </c>
      <c r="F964">
        <v>50</v>
      </c>
      <c r="G964" t="s">
        <v>125</v>
      </c>
      <c r="H964" t="s">
        <v>125</v>
      </c>
      <c r="I964" t="s">
        <v>64</v>
      </c>
      <c r="J964" t="s">
        <v>125</v>
      </c>
      <c r="K964" t="s">
        <v>125</v>
      </c>
      <c r="L964" t="s">
        <v>125</v>
      </c>
      <c r="M964" t="s">
        <v>1614</v>
      </c>
      <c r="N964" t="b">
        <v>0</v>
      </c>
    </row>
    <row r="965" spans="1:14">
      <c r="A965">
        <v>61</v>
      </c>
      <c r="B965">
        <v>1</v>
      </c>
      <c r="C965" t="s">
        <v>216</v>
      </c>
      <c r="D965" t="s">
        <v>723</v>
      </c>
      <c r="E965" t="s">
        <v>76</v>
      </c>
      <c r="F965">
        <v>60</v>
      </c>
      <c r="G965" t="s">
        <v>125</v>
      </c>
      <c r="H965" t="s">
        <v>125</v>
      </c>
      <c r="I965" t="s">
        <v>76</v>
      </c>
      <c r="J965" t="s">
        <v>125</v>
      </c>
      <c r="K965" t="s">
        <v>125</v>
      </c>
      <c r="L965" t="s">
        <v>125</v>
      </c>
      <c r="M965" t="s">
        <v>1615</v>
      </c>
      <c r="N965" t="b">
        <v>0</v>
      </c>
    </row>
    <row r="966" spans="1:14">
      <c r="A966">
        <v>61</v>
      </c>
      <c r="B966">
        <v>2</v>
      </c>
      <c r="C966" t="s">
        <v>217</v>
      </c>
      <c r="D966" t="s">
        <v>723</v>
      </c>
      <c r="E966" t="s">
        <v>94</v>
      </c>
      <c r="F966">
        <v>40</v>
      </c>
      <c r="G966" t="s">
        <v>125</v>
      </c>
      <c r="H966" t="s">
        <v>125</v>
      </c>
      <c r="I966" t="s">
        <v>94</v>
      </c>
      <c r="J966" t="s">
        <v>125</v>
      </c>
      <c r="K966" t="s">
        <v>125</v>
      </c>
      <c r="L966" t="s">
        <v>125</v>
      </c>
      <c r="M966" t="s">
        <v>1616</v>
      </c>
      <c r="N966" t="b">
        <v>0</v>
      </c>
    </row>
    <row r="967" spans="1:14">
      <c r="A967">
        <v>61</v>
      </c>
      <c r="B967">
        <v>3</v>
      </c>
      <c r="C967" t="s">
        <v>218</v>
      </c>
      <c r="D967" t="s">
        <v>723</v>
      </c>
      <c r="E967" t="s">
        <v>100</v>
      </c>
      <c r="F967">
        <v>60</v>
      </c>
      <c r="G967" t="s">
        <v>125</v>
      </c>
      <c r="H967" t="s">
        <v>125</v>
      </c>
      <c r="I967" t="s">
        <v>100</v>
      </c>
      <c r="J967" t="s">
        <v>125</v>
      </c>
      <c r="K967" t="s">
        <v>125</v>
      </c>
      <c r="L967" t="s">
        <v>125</v>
      </c>
      <c r="M967" t="s">
        <v>1617</v>
      </c>
      <c r="N967" t="b">
        <v>0</v>
      </c>
    </row>
    <row r="968" spans="1:14">
      <c r="A968">
        <v>61</v>
      </c>
      <c r="B968">
        <v>4</v>
      </c>
      <c r="C968" t="s">
        <v>197</v>
      </c>
      <c r="D968" t="s">
        <v>723</v>
      </c>
      <c r="E968" t="s">
        <v>112</v>
      </c>
      <c r="F968">
        <v>50</v>
      </c>
      <c r="G968" t="s">
        <v>125</v>
      </c>
      <c r="H968" t="s">
        <v>125</v>
      </c>
      <c r="I968" t="s">
        <v>112</v>
      </c>
      <c r="J968" t="s">
        <v>125</v>
      </c>
      <c r="K968" t="s">
        <v>125</v>
      </c>
      <c r="L968" t="s">
        <v>125</v>
      </c>
      <c r="M968" t="s">
        <v>1618</v>
      </c>
      <c r="N968" t="b">
        <v>0</v>
      </c>
    </row>
    <row r="969" spans="1:14">
      <c r="A969">
        <v>61</v>
      </c>
      <c r="B969">
        <v>5</v>
      </c>
      <c r="C969" t="s">
        <v>219</v>
      </c>
      <c r="D969" t="s">
        <v>723</v>
      </c>
      <c r="E969" t="s">
        <v>67</v>
      </c>
      <c r="F969">
        <v>50</v>
      </c>
      <c r="G969" t="s">
        <v>125</v>
      </c>
      <c r="H969" t="s">
        <v>125</v>
      </c>
      <c r="I969" t="s">
        <v>67</v>
      </c>
      <c r="J969" t="s">
        <v>125</v>
      </c>
      <c r="K969" t="s">
        <v>125</v>
      </c>
      <c r="L969" t="s">
        <v>125</v>
      </c>
      <c r="M969" t="s">
        <v>1619</v>
      </c>
      <c r="N969" t="b">
        <v>0</v>
      </c>
    </row>
    <row r="970" spans="1:14">
      <c r="A970">
        <v>61</v>
      </c>
      <c r="B970">
        <v>6</v>
      </c>
      <c r="C970" t="s">
        <v>220</v>
      </c>
      <c r="D970" t="s">
        <v>723</v>
      </c>
      <c r="E970" t="s">
        <v>330</v>
      </c>
      <c r="F970">
        <v>60</v>
      </c>
      <c r="G970" t="s">
        <v>125</v>
      </c>
      <c r="H970" t="s">
        <v>547</v>
      </c>
      <c r="I970" t="s">
        <v>444</v>
      </c>
      <c r="J970" t="s">
        <v>125</v>
      </c>
      <c r="K970" t="s">
        <v>920</v>
      </c>
      <c r="L970" t="s">
        <v>921</v>
      </c>
      <c r="M970" t="s">
        <v>1620</v>
      </c>
      <c r="N970" t="b">
        <v>0</v>
      </c>
    </row>
    <row r="971" spans="1:14">
      <c r="A971">
        <v>61</v>
      </c>
      <c r="B971">
        <v>7</v>
      </c>
      <c r="C971" t="s">
        <v>166</v>
      </c>
      <c r="D971" t="s">
        <v>723</v>
      </c>
      <c r="E971" t="s">
        <v>73</v>
      </c>
      <c r="F971">
        <v>50</v>
      </c>
      <c r="G971" t="s">
        <v>125</v>
      </c>
      <c r="H971" t="s">
        <v>125</v>
      </c>
      <c r="I971" t="s">
        <v>73</v>
      </c>
      <c r="J971" t="s">
        <v>125</v>
      </c>
      <c r="K971" t="s">
        <v>125</v>
      </c>
      <c r="L971" t="s">
        <v>125</v>
      </c>
      <c r="M971" t="s">
        <v>1621</v>
      </c>
      <c r="N971" t="b">
        <v>0</v>
      </c>
    </row>
    <row r="972" spans="1:14">
      <c r="A972">
        <v>61</v>
      </c>
      <c r="B972">
        <v>8</v>
      </c>
      <c r="C972" t="s">
        <v>387</v>
      </c>
      <c r="D972" t="s">
        <v>723</v>
      </c>
      <c r="E972" t="s">
        <v>357</v>
      </c>
      <c r="F972">
        <v>40</v>
      </c>
      <c r="G972" t="s">
        <v>125</v>
      </c>
      <c r="H972" t="s">
        <v>562</v>
      </c>
      <c r="I972" t="s">
        <v>1622</v>
      </c>
      <c r="J972" t="s">
        <v>125</v>
      </c>
      <c r="K972" t="s">
        <v>1163</v>
      </c>
      <c r="L972" t="s">
        <v>1164</v>
      </c>
      <c r="M972" t="s">
        <v>1623</v>
      </c>
      <c r="N972" t="b">
        <v>0</v>
      </c>
    </row>
    <row r="973" spans="1:14">
      <c r="A973">
        <v>61</v>
      </c>
      <c r="B973">
        <v>9</v>
      </c>
      <c r="C973" t="s">
        <v>221</v>
      </c>
      <c r="D973" t="s">
        <v>723</v>
      </c>
      <c r="E973" t="s">
        <v>101</v>
      </c>
      <c r="F973">
        <v>50</v>
      </c>
      <c r="G973" t="s">
        <v>125</v>
      </c>
      <c r="H973" t="s">
        <v>125</v>
      </c>
      <c r="I973" t="s">
        <v>101</v>
      </c>
      <c r="J973" t="s">
        <v>125</v>
      </c>
      <c r="K973" t="s">
        <v>125</v>
      </c>
      <c r="L973" t="s">
        <v>125</v>
      </c>
      <c r="M973" t="s">
        <v>1624</v>
      </c>
      <c r="N973" t="b">
        <v>0</v>
      </c>
    </row>
    <row r="974" spans="1:14">
      <c r="A974">
        <v>61</v>
      </c>
      <c r="B974">
        <v>10</v>
      </c>
      <c r="C974" t="s">
        <v>388</v>
      </c>
      <c r="D974" t="s">
        <v>723</v>
      </c>
      <c r="E974" t="s">
        <v>105</v>
      </c>
      <c r="F974">
        <v>60</v>
      </c>
      <c r="G974" t="s">
        <v>125</v>
      </c>
      <c r="H974" t="s">
        <v>125</v>
      </c>
      <c r="I974" t="s">
        <v>105</v>
      </c>
      <c r="J974" t="s">
        <v>125</v>
      </c>
      <c r="K974" t="s">
        <v>125</v>
      </c>
      <c r="L974" t="s">
        <v>125</v>
      </c>
      <c r="M974" t="s">
        <v>1625</v>
      </c>
      <c r="N974" t="b">
        <v>0</v>
      </c>
    </row>
    <row r="975" spans="1:14">
      <c r="A975">
        <v>61</v>
      </c>
      <c r="B975">
        <v>11</v>
      </c>
      <c r="C975" t="s">
        <v>291</v>
      </c>
      <c r="D975" t="s">
        <v>723</v>
      </c>
      <c r="E975" t="s">
        <v>106</v>
      </c>
      <c r="F975">
        <v>60</v>
      </c>
      <c r="G975" t="s">
        <v>125</v>
      </c>
      <c r="H975" t="s">
        <v>125</v>
      </c>
      <c r="I975" t="s">
        <v>106</v>
      </c>
      <c r="J975" t="s">
        <v>125</v>
      </c>
      <c r="K975" t="s">
        <v>125</v>
      </c>
      <c r="L975" t="s">
        <v>125</v>
      </c>
      <c r="M975" t="s">
        <v>1626</v>
      </c>
      <c r="N975" t="b">
        <v>0</v>
      </c>
    </row>
    <row r="976" spans="1:14">
      <c r="A976">
        <v>61</v>
      </c>
      <c r="B976">
        <v>12</v>
      </c>
      <c r="C976" t="s">
        <v>194</v>
      </c>
      <c r="D976" t="s">
        <v>723</v>
      </c>
      <c r="E976" t="s">
        <v>107</v>
      </c>
      <c r="F976">
        <v>60</v>
      </c>
      <c r="G976" t="s">
        <v>125</v>
      </c>
      <c r="H976" t="s">
        <v>125</v>
      </c>
      <c r="I976" t="s">
        <v>107</v>
      </c>
      <c r="J976" t="s">
        <v>125</v>
      </c>
      <c r="K976" t="s">
        <v>125</v>
      </c>
      <c r="L976" t="s">
        <v>125</v>
      </c>
      <c r="M976" t="s">
        <v>1627</v>
      </c>
      <c r="N976" t="b">
        <v>0</v>
      </c>
    </row>
    <row r="977" spans="1:14">
      <c r="A977">
        <v>61</v>
      </c>
      <c r="B977">
        <v>13</v>
      </c>
      <c r="C977" t="s">
        <v>125</v>
      </c>
      <c r="D977" t="s">
        <v>723</v>
      </c>
      <c r="E977" t="s">
        <v>125</v>
      </c>
      <c r="F977">
        <v>0</v>
      </c>
      <c r="G977" t="s">
        <v>125</v>
      </c>
      <c r="H977" t="s">
        <v>125</v>
      </c>
      <c r="I977" t="s">
        <v>125</v>
      </c>
      <c r="J977" t="s">
        <v>125</v>
      </c>
      <c r="K977" t="s">
        <v>125</v>
      </c>
      <c r="L977" t="s">
        <v>125</v>
      </c>
      <c r="M977" t="s">
        <v>1628</v>
      </c>
      <c r="N977" t="b">
        <v>0</v>
      </c>
    </row>
    <row r="978" spans="1:14">
      <c r="A978">
        <v>61</v>
      </c>
      <c r="B978">
        <v>14</v>
      </c>
      <c r="C978" t="s">
        <v>125</v>
      </c>
      <c r="D978" t="s">
        <v>723</v>
      </c>
      <c r="E978" t="s">
        <v>125</v>
      </c>
      <c r="F978">
        <v>0</v>
      </c>
      <c r="G978" t="s">
        <v>125</v>
      </c>
      <c r="H978" t="s">
        <v>125</v>
      </c>
      <c r="I978" t="s">
        <v>125</v>
      </c>
      <c r="J978" t="s">
        <v>125</v>
      </c>
      <c r="K978" t="s">
        <v>125</v>
      </c>
      <c r="L978" t="s">
        <v>125</v>
      </c>
      <c r="M978" t="s">
        <v>1629</v>
      </c>
      <c r="N978" t="b">
        <v>0</v>
      </c>
    </row>
    <row r="979" spans="1:14">
      <c r="A979">
        <v>61</v>
      </c>
      <c r="B979">
        <v>15</v>
      </c>
      <c r="C979" t="s">
        <v>125</v>
      </c>
      <c r="D979" t="s">
        <v>723</v>
      </c>
      <c r="E979" t="s">
        <v>125</v>
      </c>
      <c r="F979">
        <v>0</v>
      </c>
      <c r="G979" t="s">
        <v>125</v>
      </c>
      <c r="H979" t="s">
        <v>125</v>
      </c>
      <c r="I979" t="s">
        <v>125</v>
      </c>
      <c r="J979" t="s">
        <v>125</v>
      </c>
      <c r="K979" t="s">
        <v>125</v>
      </c>
      <c r="L979" t="s">
        <v>125</v>
      </c>
      <c r="M979" t="s">
        <v>1630</v>
      </c>
      <c r="N979" t="b">
        <v>0</v>
      </c>
    </row>
    <row r="980" spans="1:14">
      <c r="A980">
        <v>61</v>
      </c>
      <c r="B980">
        <v>16</v>
      </c>
      <c r="C980" t="s">
        <v>125</v>
      </c>
      <c r="D980" t="s">
        <v>740</v>
      </c>
      <c r="E980" t="s">
        <v>125</v>
      </c>
      <c r="F980">
        <v>0</v>
      </c>
      <c r="G980" t="s">
        <v>125</v>
      </c>
      <c r="H980" t="s">
        <v>125</v>
      </c>
      <c r="I980" t="s">
        <v>125</v>
      </c>
      <c r="J980" t="s">
        <v>125</v>
      </c>
      <c r="K980" t="s">
        <v>125</v>
      </c>
      <c r="L980" t="s">
        <v>125</v>
      </c>
      <c r="M980" t="s">
        <v>1631</v>
      </c>
      <c r="N980" t="b">
        <v>0</v>
      </c>
    </row>
    <row r="981" spans="1:14">
      <c r="A981">
        <v>61</v>
      </c>
      <c r="B981">
        <v>17</v>
      </c>
      <c r="C981" t="s">
        <v>125</v>
      </c>
      <c r="D981" t="s">
        <v>740</v>
      </c>
      <c r="E981" t="s">
        <v>125</v>
      </c>
      <c r="F981">
        <v>0</v>
      </c>
      <c r="G981" t="s">
        <v>125</v>
      </c>
      <c r="H981" t="s">
        <v>125</v>
      </c>
      <c r="I981" t="s">
        <v>125</v>
      </c>
      <c r="J981" t="s">
        <v>125</v>
      </c>
      <c r="K981" t="s">
        <v>125</v>
      </c>
      <c r="L981" t="s">
        <v>125</v>
      </c>
      <c r="M981" t="s">
        <v>1632</v>
      </c>
      <c r="N981" t="b">
        <v>0</v>
      </c>
    </row>
    <row r="982" spans="1:14">
      <c r="A982">
        <v>61</v>
      </c>
      <c r="B982">
        <v>18</v>
      </c>
      <c r="C982" t="s">
        <v>125</v>
      </c>
      <c r="D982" t="s">
        <v>740</v>
      </c>
      <c r="E982" t="s">
        <v>125</v>
      </c>
      <c r="F982">
        <v>0</v>
      </c>
      <c r="G982" t="s">
        <v>125</v>
      </c>
      <c r="H982" t="s">
        <v>125</v>
      </c>
      <c r="I982" t="s">
        <v>125</v>
      </c>
      <c r="J982" t="s">
        <v>125</v>
      </c>
      <c r="K982" t="s">
        <v>125</v>
      </c>
      <c r="L982" t="s">
        <v>125</v>
      </c>
      <c r="M982" t="s">
        <v>1633</v>
      </c>
      <c r="N982" t="b">
        <v>0</v>
      </c>
    </row>
    <row r="983" spans="1:14">
      <c r="A983">
        <v>61</v>
      </c>
      <c r="B983">
        <v>19</v>
      </c>
      <c r="C983" t="s">
        <v>125</v>
      </c>
      <c r="D983" t="s">
        <v>740</v>
      </c>
      <c r="E983" t="s">
        <v>125</v>
      </c>
      <c r="F983">
        <v>0</v>
      </c>
      <c r="G983" t="s">
        <v>125</v>
      </c>
      <c r="H983" t="s">
        <v>125</v>
      </c>
      <c r="I983" t="s">
        <v>125</v>
      </c>
      <c r="J983" t="s">
        <v>125</v>
      </c>
      <c r="K983" t="s">
        <v>125</v>
      </c>
      <c r="L983" t="s">
        <v>125</v>
      </c>
      <c r="M983" t="s">
        <v>1634</v>
      </c>
      <c r="N983" t="b">
        <v>0</v>
      </c>
    </row>
    <row r="984" spans="1:14">
      <c r="A984">
        <v>61</v>
      </c>
      <c r="B984">
        <v>20</v>
      </c>
      <c r="C984" t="s">
        <v>125</v>
      </c>
      <c r="D984" t="s">
        <v>740</v>
      </c>
      <c r="E984" t="s">
        <v>125</v>
      </c>
      <c r="F984">
        <v>0</v>
      </c>
      <c r="G984" t="s">
        <v>125</v>
      </c>
      <c r="H984" t="s">
        <v>125</v>
      </c>
      <c r="I984" t="s">
        <v>125</v>
      </c>
      <c r="J984" t="s">
        <v>125</v>
      </c>
      <c r="K984" t="s">
        <v>125</v>
      </c>
      <c r="L984" t="s">
        <v>125</v>
      </c>
      <c r="M984" t="s">
        <v>1635</v>
      </c>
      <c r="N984" t="b">
        <v>0</v>
      </c>
    </row>
    <row r="985" spans="1:14">
      <c r="A985">
        <v>61</v>
      </c>
      <c r="B985">
        <v>21</v>
      </c>
      <c r="C985" t="s">
        <v>125</v>
      </c>
      <c r="D985" t="s">
        <v>740</v>
      </c>
      <c r="E985" t="s">
        <v>125</v>
      </c>
      <c r="F985">
        <v>0</v>
      </c>
      <c r="G985" t="s">
        <v>125</v>
      </c>
      <c r="H985" t="s">
        <v>125</v>
      </c>
      <c r="I985" t="s">
        <v>125</v>
      </c>
      <c r="J985" t="s">
        <v>125</v>
      </c>
      <c r="K985" t="s">
        <v>125</v>
      </c>
      <c r="L985" t="s">
        <v>125</v>
      </c>
      <c r="M985" t="s">
        <v>1636</v>
      </c>
      <c r="N985" t="b">
        <v>0</v>
      </c>
    </row>
    <row r="986" spans="1:14">
      <c r="A986">
        <v>61</v>
      </c>
      <c r="B986">
        <v>22</v>
      </c>
      <c r="C986" t="s">
        <v>125</v>
      </c>
      <c r="D986" t="s">
        <v>740</v>
      </c>
      <c r="E986" t="s">
        <v>125</v>
      </c>
      <c r="F986">
        <v>0</v>
      </c>
      <c r="G986" t="s">
        <v>125</v>
      </c>
      <c r="H986" t="s">
        <v>125</v>
      </c>
      <c r="I986" t="s">
        <v>125</v>
      </c>
      <c r="J986" t="s">
        <v>125</v>
      </c>
      <c r="K986" t="s">
        <v>125</v>
      </c>
      <c r="L986" t="s">
        <v>125</v>
      </c>
      <c r="M986" t="s">
        <v>1637</v>
      </c>
      <c r="N986" t="b">
        <v>0</v>
      </c>
    </row>
    <row r="987" spans="1:14">
      <c r="A987">
        <v>61</v>
      </c>
      <c r="B987">
        <v>23</v>
      </c>
      <c r="C987" t="s">
        <v>125</v>
      </c>
      <c r="D987" t="s">
        <v>740</v>
      </c>
      <c r="E987" t="s">
        <v>125</v>
      </c>
      <c r="F987">
        <v>0</v>
      </c>
      <c r="G987" t="s">
        <v>125</v>
      </c>
      <c r="H987" t="s">
        <v>125</v>
      </c>
      <c r="I987" t="s">
        <v>125</v>
      </c>
      <c r="J987" t="s">
        <v>125</v>
      </c>
      <c r="K987" t="s">
        <v>125</v>
      </c>
      <c r="L987" t="s">
        <v>125</v>
      </c>
      <c r="M987" t="s">
        <v>1638</v>
      </c>
      <c r="N987" t="b">
        <v>0</v>
      </c>
    </row>
    <row r="988" spans="1:14">
      <c r="A988">
        <v>61</v>
      </c>
      <c r="B988">
        <v>24</v>
      </c>
      <c r="C988" t="s">
        <v>125</v>
      </c>
      <c r="D988" t="s">
        <v>740</v>
      </c>
      <c r="E988" t="s">
        <v>125</v>
      </c>
      <c r="F988">
        <v>0</v>
      </c>
      <c r="G988" t="s">
        <v>125</v>
      </c>
      <c r="H988" t="s">
        <v>125</v>
      </c>
      <c r="I988" t="s">
        <v>125</v>
      </c>
      <c r="J988" t="s">
        <v>125</v>
      </c>
      <c r="K988" t="s">
        <v>125</v>
      </c>
      <c r="L988" t="s">
        <v>125</v>
      </c>
      <c r="M988" t="s">
        <v>1639</v>
      </c>
      <c r="N988" t="b">
        <v>0</v>
      </c>
    </row>
    <row r="989" spans="1:14">
      <c r="A989">
        <v>61</v>
      </c>
      <c r="B989">
        <v>25</v>
      </c>
      <c r="C989" t="s">
        <v>125</v>
      </c>
      <c r="D989" t="s">
        <v>740</v>
      </c>
      <c r="E989" t="s">
        <v>125</v>
      </c>
      <c r="F989">
        <v>0</v>
      </c>
      <c r="G989" t="s">
        <v>125</v>
      </c>
      <c r="H989" t="s">
        <v>125</v>
      </c>
      <c r="I989" t="s">
        <v>125</v>
      </c>
      <c r="J989" t="s">
        <v>125</v>
      </c>
      <c r="K989" t="s">
        <v>125</v>
      </c>
      <c r="L989" t="s">
        <v>125</v>
      </c>
      <c r="M989" t="s">
        <v>1640</v>
      </c>
      <c r="N989" t="b">
        <v>0</v>
      </c>
    </row>
    <row r="990" spans="1:14">
      <c r="A990">
        <v>61</v>
      </c>
      <c r="B990">
        <v>26</v>
      </c>
      <c r="C990" t="s">
        <v>125</v>
      </c>
      <c r="D990" t="s">
        <v>740</v>
      </c>
      <c r="E990" t="s">
        <v>125</v>
      </c>
      <c r="F990">
        <v>0</v>
      </c>
      <c r="G990" t="s">
        <v>125</v>
      </c>
      <c r="H990" t="s">
        <v>125</v>
      </c>
      <c r="I990" t="s">
        <v>125</v>
      </c>
      <c r="J990" t="s">
        <v>125</v>
      </c>
      <c r="K990" t="s">
        <v>125</v>
      </c>
      <c r="L990" t="s">
        <v>125</v>
      </c>
      <c r="M990" t="s">
        <v>1641</v>
      </c>
      <c r="N990" t="b">
        <v>0</v>
      </c>
    </row>
    <row r="991" spans="1:14">
      <c r="A991">
        <v>62</v>
      </c>
      <c r="B991">
        <v>0</v>
      </c>
      <c r="C991" t="s">
        <v>215</v>
      </c>
      <c r="D991" t="s">
        <v>723</v>
      </c>
      <c r="E991" t="s">
        <v>64</v>
      </c>
      <c r="F991">
        <v>60</v>
      </c>
      <c r="G991" t="s">
        <v>125</v>
      </c>
      <c r="H991" t="s">
        <v>125</v>
      </c>
      <c r="I991" t="s">
        <v>64</v>
      </c>
      <c r="J991" t="s">
        <v>125</v>
      </c>
      <c r="K991" t="s">
        <v>125</v>
      </c>
      <c r="L991" t="s">
        <v>125</v>
      </c>
      <c r="M991" t="s">
        <v>1642</v>
      </c>
      <c r="N991" t="b">
        <v>0</v>
      </c>
    </row>
    <row r="992" spans="1:14">
      <c r="A992">
        <v>62</v>
      </c>
      <c r="B992">
        <v>1</v>
      </c>
      <c r="C992" t="s">
        <v>216</v>
      </c>
      <c r="D992" t="s">
        <v>723</v>
      </c>
      <c r="E992" t="s">
        <v>76</v>
      </c>
      <c r="F992">
        <v>60</v>
      </c>
      <c r="G992" t="s">
        <v>125</v>
      </c>
      <c r="H992" t="s">
        <v>125</v>
      </c>
      <c r="I992" t="s">
        <v>76</v>
      </c>
      <c r="J992" t="s">
        <v>125</v>
      </c>
      <c r="K992" t="s">
        <v>125</v>
      </c>
      <c r="L992" t="s">
        <v>125</v>
      </c>
      <c r="M992" t="s">
        <v>1643</v>
      </c>
      <c r="N992" t="b">
        <v>0</v>
      </c>
    </row>
    <row r="993" spans="1:14">
      <c r="A993">
        <v>62</v>
      </c>
      <c r="B993">
        <v>2</v>
      </c>
      <c r="C993" t="s">
        <v>217</v>
      </c>
      <c r="D993" t="s">
        <v>723</v>
      </c>
      <c r="E993" t="s">
        <v>94</v>
      </c>
      <c r="F993">
        <v>40</v>
      </c>
      <c r="G993" t="s">
        <v>125</v>
      </c>
      <c r="H993" t="s">
        <v>125</v>
      </c>
      <c r="I993" t="s">
        <v>94</v>
      </c>
      <c r="J993" t="s">
        <v>125</v>
      </c>
      <c r="K993" t="s">
        <v>125</v>
      </c>
      <c r="L993" t="s">
        <v>125</v>
      </c>
      <c r="M993" t="s">
        <v>1644</v>
      </c>
      <c r="N993" t="b">
        <v>0</v>
      </c>
    </row>
    <row r="994" spans="1:14">
      <c r="A994">
        <v>62</v>
      </c>
      <c r="B994">
        <v>3</v>
      </c>
      <c r="C994" t="s">
        <v>304</v>
      </c>
      <c r="D994" t="s">
        <v>723</v>
      </c>
      <c r="E994" t="s">
        <v>96</v>
      </c>
      <c r="F994">
        <v>50</v>
      </c>
      <c r="G994" t="s">
        <v>125</v>
      </c>
      <c r="H994" t="s">
        <v>125</v>
      </c>
      <c r="I994" t="s">
        <v>96</v>
      </c>
      <c r="J994" t="s">
        <v>125</v>
      </c>
      <c r="K994" t="s">
        <v>125</v>
      </c>
      <c r="L994" t="s">
        <v>125</v>
      </c>
      <c r="M994" t="s">
        <v>1645</v>
      </c>
      <c r="N994" t="b">
        <v>0</v>
      </c>
    </row>
    <row r="995" spans="1:14">
      <c r="A995">
        <v>62</v>
      </c>
      <c r="B995">
        <v>4</v>
      </c>
      <c r="C995" t="s">
        <v>218</v>
      </c>
      <c r="D995" t="s">
        <v>723</v>
      </c>
      <c r="E995" t="s">
        <v>100</v>
      </c>
      <c r="F995">
        <v>60</v>
      </c>
      <c r="G995" t="s">
        <v>125</v>
      </c>
      <c r="H995" t="s">
        <v>125</v>
      </c>
      <c r="I995" t="s">
        <v>100</v>
      </c>
      <c r="J995" t="s">
        <v>125</v>
      </c>
      <c r="K995" t="s">
        <v>125</v>
      </c>
      <c r="L995" t="s">
        <v>125</v>
      </c>
      <c r="M995" t="s">
        <v>1646</v>
      </c>
      <c r="N995" t="b">
        <v>0</v>
      </c>
    </row>
    <row r="996" spans="1:14">
      <c r="A996">
        <v>62</v>
      </c>
      <c r="B996">
        <v>5</v>
      </c>
      <c r="C996" t="s">
        <v>197</v>
      </c>
      <c r="D996" t="s">
        <v>723</v>
      </c>
      <c r="E996" t="s">
        <v>112</v>
      </c>
      <c r="F996">
        <v>50</v>
      </c>
      <c r="G996" t="s">
        <v>125</v>
      </c>
      <c r="H996" t="s">
        <v>125</v>
      </c>
      <c r="I996" t="s">
        <v>112</v>
      </c>
      <c r="J996" t="s">
        <v>125</v>
      </c>
      <c r="K996" t="s">
        <v>125</v>
      </c>
      <c r="L996" t="s">
        <v>125</v>
      </c>
      <c r="M996" t="s">
        <v>1647</v>
      </c>
      <c r="N996" t="b">
        <v>0</v>
      </c>
    </row>
    <row r="997" spans="1:14">
      <c r="A997">
        <v>62</v>
      </c>
      <c r="B997">
        <v>6</v>
      </c>
      <c r="C997" t="s">
        <v>219</v>
      </c>
      <c r="D997" t="s">
        <v>723</v>
      </c>
      <c r="E997" t="s">
        <v>67</v>
      </c>
      <c r="F997">
        <v>50</v>
      </c>
      <c r="G997" t="s">
        <v>125</v>
      </c>
      <c r="H997" t="s">
        <v>125</v>
      </c>
      <c r="I997" t="s">
        <v>67</v>
      </c>
      <c r="J997" t="s">
        <v>125</v>
      </c>
      <c r="K997" t="s">
        <v>125</v>
      </c>
      <c r="L997" t="s">
        <v>125</v>
      </c>
      <c r="M997" t="s">
        <v>1648</v>
      </c>
      <c r="N997" t="b">
        <v>0</v>
      </c>
    </row>
    <row r="998" spans="1:14">
      <c r="A998">
        <v>62</v>
      </c>
      <c r="B998">
        <v>7</v>
      </c>
      <c r="C998" t="s">
        <v>220</v>
      </c>
      <c r="D998" t="s">
        <v>723</v>
      </c>
      <c r="E998" t="s">
        <v>330</v>
      </c>
      <c r="F998">
        <v>60</v>
      </c>
      <c r="G998" t="s">
        <v>125</v>
      </c>
      <c r="H998" t="s">
        <v>547</v>
      </c>
      <c r="I998" t="s">
        <v>444</v>
      </c>
      <c r="J998" t="s">
        <v>125</v>
      </c>
      <c r="K998" t="s">
        <v>920</v>
      </c>
      <c r="L998" t="s">
        <v>921</v>
      </c>
      <c r="M998" t="s">
        <v>1649</v>
      </c>
      <c r="N998" t="b">
        <v>0</v>
      </c>
    </row>
    <row r="999" spans="1:14">
      <c r="A999">
        <v>62</v>
      </c>
      <c r="B999">
        <v>8</v>
      </c>
      <c r="C999" t="s">
        <v>354</v>
      </c>
      <c r="D999" t="s">
        <v>723</v>
      </c>
      <c r="E999" t="s">
        <v>73</v>
      </c>
      <c r="F999">
        <v>60</v>
      </c>
      <c r="G999" t="s">
        <v>125</v>
      </c>
      <c r="H999" t="s">
        <v>125</v>
      </c>
      <c r="I999" t="s">
        <v>73</v>
      </c>
      <c r="J999" t="s">
        <v>125</v>
      </c>
      <c r="K999" t="s">
        <v>125</v>
      </c>
      <c r="L999" t="s">
        <v>125</v>
      </c>
      <c r="M999" t="s">
        <v>1650</v>
      </c>
      <c r="N999" t="b">
        <v>0</v>
      </c>
    </row>
    <row r="1000" spans="1:14">
      <c r="A1000">
        <v>62</v>
      </c>
      <c r="B1000">
        <v>9</v>
      </c>
      <c r="C1000" t="s">
        <v>390</v>
      </c>
      <c r="D1000" t="s">
        <v>723</v>
      </c>
      <c r="E1000" t="s">
        <v>101</v>
      </c>
      <c r="F1000">
        <v>60</v>
      </c>
      <c r="G1000" t="s">
        <v>125</v>
      </c>
      <c r="H1000" t="s">
        <v>125</v>
      </c>
      <c r="I1000" t="s">
        <v>101</v>
      </c>
      <c r="J1000" t="s">
        <v>125</v>
      </c>
      <c r="K1000" t="s">
        <v>125</v>
      </c>
      <c r="L1000" t="s">
        <v>125</v>
      </c>
      <c r="M1000" t="s">
        <v>1651</v>
      </c>
      <c r="N1000" t="b">
        <v>0</v>
      </c>
    </row>
    <row r="1001" spans="1:14">
      <c r="A1001">
        <v>62</v>
      </c>
      <c r="B1001">
        <v>10</v>
      </c>
      <c r="C1001" t="s">
        <v>388</v>
      </c>
      <c r="D1001" t="s">
        <v>723</v>
      </c>
      <c r="E1001" t="s">
        <v>105</v>
      </c>
      <c r="F1001">
        <v>60</v>
      </c>
      <c r="G1001" t="s">
        <v>125</v>
      </c>
      <c r="H1001" t="s">
        <v>125</v>
      </c>
      <c r="I1001" t="s">
        <v>105</v>
      </c>
      <c r="J1001" t="s">
        <v>125</v>
      </c>
      <c r="K1001" t="s">
        <v>125</v>
      </c>
      <c r="L1001" t="s">
        <v>125</v>
      </c>
      <c r="M1001" t="s">
        <v>1652</v>
      </c>
      <c r="N1001" t="b">
        <v>0</v>
      </c>
    </row>
    <row r="1002" spans="1:14">
      <c r="A1002">
        <v>62</v>
      </c>
      <c r="B1002">
        <v>11</v>
      </c>
      <c r="C1002" t="s">
        <v>222</v>
      </c>
      <c r="D1002" t="s">
        <v>723</v>
      </c>
      <c r="E1002" t="s">
        <v>106</v>
      </c>
      <c r="F1002">
        <v>50</v>
      </c>
      <c r="G1002" t="s">
        <v>125</v>
      </c>
      <c r="H1002" t="s">
        <v>125</v>
      </c>
      <c r="I1002" t="s">
        <v>106</v>
      </c>
      <c r="J1002" t="s">
        <v>125</v>
      </c>
      <c r="K1002" t="s">
        <v>125</v>
      </c>
      <c r="L1002" t="s">
        <v>125</v>
      </c>
      <c r="M1002" t="s">
        <v>1653</v>
      </c>
      <c r="N1002" t="b">
        <v>0</v>
      </c>
    </row>
    <row r="1003" spans="1:14">
      <c r="A1003">
        <v>62</v>
      </c>
      <c r="B1003">
        <v>12</v>
      </c>
      <c r="C1003" t="s">
        <v>194</v>
      </c>
      <c r="D1003" t="s">
        <v>723</v>
      </c>
      <c r="E1003" t="s">
        <v>107</v>
      </c>
      <c r="F1003">
        <v>60</v>
      </c>
      <c r="G1003" t="s">
        <v>125</v>
      </c>
      <c r="H1003" t="s">
        <v>125</v>
      </c>
      <c r="I1003" t="s">
        <v>107</v>
      </c>
      <c r="J1003" t="s">
        <v>125</v>
      </c>
      <c r="K1003" t="s">
        <v>125</v>
      </c>
      <c r="L1003" t="s">
        <v>125</v>
      </c>
      <c r="M1003" t="s">
        <v>756</v>
      </c>
      <c r="N1003" t="b">
        <v>0</v>
      </c>
    </row>
    <row r="1004" spans="1:14">
      <c r="A1004">
        <v>62</v>
      </c>
      <c r="B1004">
        <v>13</v>
      </c>
      <c r="C1004" t="s">
        <v>125</v>
      </c>
      <c r="D1004" t="s">
        <v>723</v>
      </c>
      <c r="E1004" t="s">
        <v>125</v>
      </c>
      <c r="F1004">
        <v>0</v>
      </c>
      <c r="G1004" t="s">
        <v>125</v>
      </c>
      <c r="H1004" t="s">
        <v>125</v>
      </c>
      <c r="I1004" t="s">
        <v>125</v>
      </c>
      <c r="J1004" t="s">
        <v>125</v>
      </c>
      <c r="K1004" t="s">
        <v>125</v>
      </c>
      <c r="L1004" t="s">
        <v>125</v>
      </c>
      <c r="M1004" t="s">
        <v>1654</v>
      </c>
      <c r="N1004" t="b">
        <v>0</v>
      </c>
    </row>
    <row r="1005" spans="1:14">
      <c r="A1005">
        <v>62</v>
      </c>
      <c r="B1005">
        <v>14</v>
      </c>
      <c r="C1005" t="s">
        <v>125</v>
      </c>
      <c r="D1005" t="s">
        <v>723</v>
      </c>
      <c r="E1005" t="s">
        <v>125</v>
      </c>
      <c r="F1005">
        <v>0</v>
      </c>
      <c r="G1005" t="s">
        <v>125</v>
      </c>
      <c r="H1005" t="s">
        <v>125</v>
      </c>
      <c r="I1005" t="s">
        <v>125</v>
      </c>
      <c r="J1005" t="s">
        <v>125</v>
      </c>
      <c r="K1005" t="s">
        <v>125</v>
      </c>
      <c r="L1005" t="s">
        <v>125</v>
      </c>
      <c r="M1005" t="s">
        <v>1655</v>
      </c>
      <c r="N1005" t="b">
        <v>0</v>
      </c>
    </row>
    <row r="1006" spans="1:14">
      <c r="A1006">
        <v>62</v>
      </c>
      <c r="B1006">
        <v>15</v>
      </c>
      <c r="C1006" t="s">
        <v>125</v>
      </c>
      <c r="D1006" t="s">
        <v>723</v>
      </c>
      <c r="E1006" t="s">
        <v>125</v>
      </c>
      <c r="F1006">
        <v>0</v>
      </c>
      <c r="G1006" t="s">
        <v>125</v>
      </c>
      <c r="H1006" t="s">
        <v>125</v>
      </c>
      <c r="I1006" t="s">
        <v>125</v>
      </c>
      <c r="J1006" t="s">
        <v>125</v>
      </c>
      <c r="K1006" t="s">
        <v>125</v>
      </c>
      <c r="L1006" t="s">
        <v>125</v>
      </c>
      <c r="M1006" t="s">
        <v>1656</v>
      </c>
      <c r="N1006" t="b">
        <v>0</v>
      </c>
    </row>
    <row r="1007" spans="1:14">
      <c r="A1007">
        <v>62</v>
      </c>
      <c r="B1007">
        <v>16</v>
      </c>
      <c r="C1007" t="s">
        <v>125</v>
      </c>
      <c r="D1007" t="s">
        <v>740</v>
      </c>
      <c r="E1007" t="s">
        <v>125</v>
      </c>
      <c r="F1007">
        <v>0</v>
      </c>
      <c r="G1007" t="s">
        <v>125</v>
      </c>
      <c r="H1007" t="s">
        <v>125</v>
      </c>
      <c r="I1007" t="s">
        <v>125</v>
      </c>
      <c r="J1007" t="s">
        <v>125</v>
      </c>
      <c r="K1007" t="s">
        <v>125</v>
      </c>
      <c r="L1007" t="s">
        <v>125</v>
      </c>
      <c r="M1007" t="s">
        <v>1657</v>
      </c>
      <c r="N1007" t="b">
        <v>0</v>
      </c>
    </row>
    <row r="1008" spans="1:14">
      <c r="A1008">
        <v>62</v>
      </c>
      <c r="B1008">
        <v>17</v>
      </c>
      <c r="C1008" t="s">
        <v>125</v>
      </c>
      <c r="D1008" t="s">
        <v>740</v>
      </c>
      <c r="E1008" t="s">
        <v>125</v>
      </c>
      <c r="F1008">
        <v>0</v>
      </c>
      <c r="G1008" t="s">
        <v>125</v>
      </c>
      <c r="H1008" t="s">
        <v>125</v>
      </c>
      <c r="I1008" t="s">
        <v>125</v>
      </c>
      <c r="J1008" t="s">
        <v>125</v>
      </c>
      <c r="K1008" t="s">
        <v>125</v>
      </c>
      <c r="L1008" t="s">
        <v>125</v>
      </c>
      <c r="M1008" t="s">
        <v>1658</v>
      </c>
      <c r="N1008" t="b">
        <v>0</v>
      </c>
    </row>
    <row r="1009" spans="1:14">
      <c r="A1009">
        <v>62</v>
      </c>
      <c r="B1009">
        <v>18</v>
      </c>
      <c r="C1009" t="s">
        <v>125</v>
      </c>
      <c r="D1009" t="s">
        <v>740</v>
      </c>
      <c r="E1009" t="s">
        <v>125</v>
      </c>
      <c r="F1009">
        <v>0</v>
      </c>
      <c r="G1009" t="s">
        <v>125</v>
      </c>
      <c r="H1009" t="s">
        <v>125</v>
      </c>
      <c r="I1009" t="s">
        <v>125</v>
      </c>
      <c r="J1009" t="s">
        <v>125</v>
      </c>
      <c r="K1009" t="s">
        <v>125</v>
      </c>
      <c r="L1009" t="s">
        <v>125</v>
      </c>
      <c r="M1009" t="s">
        <v>1659</v>
      </c>
      <c r="N1009" t="b">
        <v>0</v>
      </c>
    </row>
    <row r="1010" spans="1:14">
      <c r="A1010">
        <v>62</v>
      </c>
      <c r="B1010">
        <v>19</v>
      </c>
      <c r="C1010" t="s">
        <v>125</v>
      </c>
      <c r="D1010" t="s">
        <v>740</v>
      </c>
      <c r="E1010" t="s">
        <v>125</v>
      </c>
      <c r="F1010">
        <v>0</v>
      </c>
      <c r="G1010" t="s">
        <v>125</v>
      </c>
      <c r="H1010" t="s">
        <v>125</v>
      </c>
      <c r="I1010" t="s">
        <v>125</v>
      </c>
      <c r="J1010" t="s">
        <v>125</v>
      </c>
      <c r="K1010" t="s">
        <v>125</v>
      </c>
      <c r="L1010" t="s">
        <v>125</v>
      </c>
      <c r="M1010" t="s">
        <v>1660</v>
      </c>
      <c r="N1010" t="b">
        <v>0</v>
      </c>
    </row>
    <row r="1011" spans="1:14">
      <c r="A1011">
        <v>62</v>
      </c>
      <c r="B1011">
        <v>20</v>
      </c>
      <c r="C1011" t="s">
        <v>125</v>
      </c>
      <c r="D1011" t="s">
        <v>740</v>
      </c>
      <c r="E1011" t="s">
        <v>125</v>
      </c>
      <c r="F1011">
        <v>0</v>
      </c>
      <c r="G1011" t="s">
        <v>125</v>
      </c>
      <c r="H1011" t="s">
        <v>125</v>
      </c>
      <c r="I1011" t="s">
        <v>125</v>
      </c>
      <c r="J1011" t="s">
        <v>125</v>
      </c>
      <c r="K1011" t="s">
        <v>125</v>
      </c>
      <c r="L1011" t="s">
        <v>125</v>
      </c>
      <c r="M1011" t="s">
        <v>1661</v>
      </c>
      <c r="N1011" t="b">
        <v>0</v>
      </c>
    </row>
    <row r="1012" spans="1:14">
      <c r="A1012">
        <v>62</v>
      </c>
      <c r="B1012">
        <v>21</v>
      </c>
      <c r="C1012" t="s">
        <v>125</v>
      </c>
      <c r="D1012" t="s">
        <v>740</v>
      </c>
      <c r="E1012" t="s">
        <v>125</v>
      </c>
      <c r="F1012">
        <v>0</v>
      </c>
      <c r="G1012" t="s">
        <v>125</v>
      </c>
      <c r="H1012" t="s">
        <v>125</v>
      </c>
      <c r="I1012" t="s">
        <v>125</v>
      </c>
      <c r="J1012" t="s">
        <v>125</v>
      </c>
      <c r="K1012" t="s">
        <v>125</v>
      </c>
      <c r="L1012" t="s">
        <v>125</v>
      </c>
      <c r="M1012" t="s">
        <v>1662</v>
      </c>
      <c r="N1012" t="b">
        <v>0</v>
      </c>
    </row>
    <row r="1013" spans="1:14">
      <c r="A1013">
        <v>62</v>
      </c>
      <c r="B1013">
        <v>22</v>
      </c>
      <c r="C1013" t="s">
        <v>125</v>
      </c>
      <c r="D1013" t="s">
        <v>740</v>
      </c>
      <c r="E1013" t="s">
        <v>125</v>
      </c>
      <c r="F1013">
        <v>0</v>
      </c>
      <c r="G1013" t="s">
        <v>125</v>
      </c>
      <c r="H1013" t="s">
        <v>125</v>
      </c>
      <c r="I1013" t="s">
        <v>125</v>
      </c>
      <c r="J1013" t="s">
        <v>125</v>
      </c>
      <c r="K1013" t="s">
        <v>125</v>
      </c>
      <c r="L1013" t="s">
        <v>125</v>
      </c>
      <c r="M1013" t="s">
        <v>1663</v>
      </c>
      <c r="N1013" t="b">
        <v>0</v>
      </c>
    </row>
    <row r="1014" spans="1:14">
      <c r="A1014">
        <v>62</v>
      </c>
      <c r="B1014">
        <v>23</v>
      </c>
      <c r="C1014" t="s">
        <v>125</v>
      </c>
      <c r="D1014" t="s">
        <v>740</v>
      </c>
      <c r="E1014" t="s">
        <v>125</v>
      </c>
      <c r="F1014">
        <v>0</v>
      </c>
      <c r="G1014" t="s">
        <v>125</v>
      </c>
      <c r="H1014" t="s">
        <v>125</v>
      </c>
      <c r="I1014" t="s">
        <v>125</v>
      </c>
      <c r="J1014" t="s">
        <v>125</v>
      </c>
      <c r="K1014" t="s">
        <v>125</v>
      </c>
      <c r="L1014" t="s">
        <v>125</v>
      </c>
      <c r="M1014" t="s">
        <v>1664</v>
      </c>
      <c r="N1014" t="b">
        <v>0</v>
      </c>
    </row>
    <row r="1015" spans="1:14">
      <c r="A1015">
        <v>62</v>
      </c>
      <c r="B1015">
        <v>24</v>
      </c>
      <c r="C1015" t="s">
        <v>125</v>
      </c>
      <c r="D1015" t="s">
        <v>740</v>
      </c>
      <c r="E1015" t="s">
        <v>125</v>
      </c>
      <c r="F1015">
        <v>0</v>
      </c>
      <c r="G1015" t="s">
        <v>125</v>
      </c>
      <c r="H1015" t="s">
        <v>125</v>
      </c>
      <c r="I1015" t="s">
        <v>125</v>
      </c>
      <c r="J1015" t="s">
        <v>125</v>
      </c>
      <c r="K1015" t="s">
        <v>125</v>
      </c>
      <c r="L1015" t="s">
        <v>125</v>
      </c>
      <c r="M1015" t="s">
        <v>1665</v>
      </c>
      <c r="N1015" t="b">
        <v>0</v>
      </c>
    </row>
    <row r="1016" spans="1:14">
      <c r="A1016">
        <v>62</v>
      </c>
      <c r="B1016">
        <v>25</v>
      </c>
      <c r="C1016" t="s">
        <v>125</v>
      </c>
      <c r="D1016" t="s">
        <v>740</v>
      </c>
      <c r="E1016" t="s">
        <v>125</v>
      </c>
      <c r="F1016">
        <v>0</v>
      </c>
      <c r="G1016" t="s">
        <v>125</v>
      </c>
      <c r="H1016" t="s">
        <v>125</v>
      </c>
      <c r="I1016" t="s">
        <v>125</v>
      </c>
      <c r="J1016" t="s">
        <v>125</v>
      </c>
      <c r="K1016" t="s">
        <v>125</v>
      </c>
      <c r="L1016" t="s">
        <v>125</v>
      </c>
      <c r="M1016" t="s">
        <v>1666</v>
      </c>
      <c r="N1016" t="b">
        <v>0</v>
      </c>
    </row>
    <row r="1017" spans="1:14">
      <c r="A1017">
        <v>62</v>
      </c>
      <c r="B1017">
        <v>26</v>
      </c>
      <c r="C1017" t="s">
        <v>125</v>
      </c>
      <c r="D1017" t="s">
        <v>740</v>
      </c>
      <c r="E1017" t="s">
        <v>125</v>
      </c>
      <c r="F1017">
        <v>0</v>
      </c>
      <c r="G1017" t="s">
        <v>125</v>
      </c>
      <c r="H1017" t="s">
        <v>125</v>
      </c>
      <c r="I1017" t="s">
        <v>125</v>
      </c>
      <c r="J1017" t="s">
        <v>125</v>
      </c>
      <c r="K1017" t="s">
        <v>125</v>
      </c>
      <c r="L1017" t="s">
        <v>125</v>
      </c>
      <c r="M1017" t="s">
        <v>1667</v>
      </c>
      <c r="N1017" t="b">
        <v>0</v>
      </c>
    </row>
    <row r="1018" spans="1:14">
      <c r="A1018">
        <v>63</v>
      </c>
      <c r="B1018">
        <v>0</v>
      </c>
      <c r="C1018" t="s">
        <v>392</v>
      </c>
      <c r="D1018" t="s">
        <v>752</v>
      </c>
      <c r="E1018" t="s">
        <v>542</v>
      </c>
      <c r="F1018">
        <v>50</v>
      </c>
      <c r="G1018" t="s">
        <v>1668</v>
      </c>
      <c r="H1018" t="s">
        <v>125</v>
      </c>
      <c r="I1018" t="s">
        <v>125</v>
      </c>
      <c r="J1018" t="s">
        <v>1669</v>
      </c>
      <c r="K1018" t="s">
        <v>1102</v>
      </c>
      <c r="L1018" t="s">
        <v>1055</v>
      </c>
      <c r="M1018" t="s">
        <v>1670</v>
      </c>
      <c r="N1018" t="b">
        <v>0</v>
      </c>
    </row>
    <row r="1019" spans="1:14">
      <c r="A1019">
        <v>63</v>
      </c>
      <c r="B1019">
        <v>1</v>
      </c>
      <c r="C1019" t="s">
        <v>216</v>
      </c>
      <c r="D1019" t="s">
        <v>723</v>
      </c>
      <c r="E1019" t="s">
        <v>76</v>
      </c>
      <c r="F1019">
        <v>60</v>
      </c>
      <c r="G1019" t="s">
        <v>125</v>
      </c>
      <c r="H1019" t="s">
        <v>125</v>
      </c>
      <c r="I1019" t="s">
        <v>76</v>
      </c>
      <c r="J1019" t="s">
        <v>125</v>
      </c>
      <c r="K1019" t="s">
        <v>125</v>
      </c>
      <c r="L1019" t="s">
        <v>125</v>
      </c>
      <c r="M1019" t="s">
        <v>1671</v>
      </c>
      <c r="N1019" t="b">
        <v>0</v>
      </c>
    </row>
    <row r="1020" spans="1:14">
      <c r="A1020">
        <v>63</v>
      </c>
      <c r="B1020">
        <v>2</v>
      </c>
      <c r="C1020" t="s">
        <v>178</v>
      </c>
      <c r="D1020" t="s">
        <v>723</v>
      </c>
      <c r="E1020" t="s">
        <v>82</v>
      </c>
      <c r="F1020">
        <v>50</v>
      </c>
      <c r="G1020" t="s">
        <v>125</v>
      </c>
      <c r="H1020" t="s">
        <v>125</v>
      </c>
      <c r="I1020" t="s">
        <v>82</v>
      </c>
      <c r="J1020" t="s">
        <v>125</v>
      </c>
      <c r="K1020" t="s">
        <v>125</v>
      </c>
      <c r="L1020" t="s">
        <v>125</v>
      </c>
      <c r="M1020" t="s">
        <v>1672</v>
      </c>
      <c r="N1020" t="b">
        <v>0</v>
      </c>
    </row>
    <row r="1021" spans="1:14">
      <c r="A1021">
        <v>63</v>
      </c>
      <c r="B1021">
        <v>3</v>
      </c>
      <c r="C1021" t="s">
        <v>393</v>
      </c>
      <c r="D1021" t="s">
        <v>723</v>
      </c>
      <c r="E1021" t="s">
        <v>86</v>
      </c>
      <c r="F1021">
        <v>30</v>
      </c>
      <c r="G1021" t="s">
        <v>125</v>
      </c>
      <c r="H1021" t="s">
        <v>125</v>
      </c>
      <c r="I1021" t="s">
        <v>86</v>
      </c>
      <c r="J1021" t="s">
        <v>125</v>
      </c>
      <c r="K1021" t="s">
        <v>125</v>
      </c>
      <c r="L1021" t="s">
        <v>125</v>
      </c>
      <c r="M1021" t="s">
        <v>1673</v>
      </c>
      <c r="N1021" t="b">
        <v>0</v>
      </c>
    </row>
    <row r="1022" spans="1:14">
      <c r="A1022">
        <v>63</v>
      </c>
      <c r="B1022">
        <v>4</v>
      </c>
      <c r="C1022" t="s">
        <v>394</v>
      </c>
      <c r="D1022" t="s">
        <v>723</v>
      </c>
      <c r="E1022" t="s">
        <v>543</v>
      </c>
      <c r="F1022">
        <v>30</v>
      </c>
      <c r="G1022" t="s">
        <v>125</v>
      </c>
      <c r="H1022" t="s">
        <v>1674</v>
      </c>
      <c r="I1022" t="s">
        <v>369</v>
      </c>
      <c r="J1022" t="s">
        <v>125</v>
      </c>
      <c r="K1022" t="s">
        <v>791</v>
      </c>
      <c r="L1022" t="s">
        <v>792</v>
      </c>
      <c r="M1022" t="s">
        <v>1675</v>
      </c>
      <c r="N1022" t="b">
        <v>0</v>
      </c>
    </row>
    <row r="1023" spans="1:14">
      <c r="A1023">
        <v>63</v>
      </c>
      <c r="B1023">
        <v>5</v>
      </c>
      <c r="C1023" t="s">
        <v>228</v>
      </c>
      <c r="D1023" t="s">
        <v>723</v>
      </c>
      <c r="E1023" t="s">
        <v>100</v>
      </c>
      <c r="F1023">
        <v>40</v>
      </c>
      <c r="G1023" t="s">
        <v>125</v>
      </c>
      <c r="H1023" t="s">
        <v>125</v>
      </c>
      <c r="I1023" t="s">
        <v>100</v>
      </c>
      <c r="J1023" t="s">
        <v>125</v>
      </c>
      <c r="K1023" t="s">
        <v>125</v>
      </c>
      <c r="L1023" t="s">
        <v>125</v>
      </c>
      <c r="M1023" t="s">
        <v>1676</v>
      </c>
      <c r="N1023" t="b">
        <v>0</v>
      </c>
    </row>
    <row r="1024" spans="1:14">
      <c r="A1024">
        <v>63</v>
      </c>
      <c r="B1024">
        <v>6</v>
      </c>
      <c r="C1024" t="s">
        <v>245</v>
      </c>
      <c r="D1024" t="s">
        <v>723</v>
      </c>
      <c r="E1024" t="s">
        <v>113</v>
      </c>
      <c r="F1024">
        <v>40</v>
      </c>
      <c r="G1024" t="s">
        <v>125</v>
      </c>
      <c r="H1024" t="s">
        <v>125</v>
      </c>
      <c r="I1024" t="s">
        <v>113</v>
      </c>
      <c r="J1024" t="s">
        <v>125</v>
      </c>
      <c r="K1024" t="s">
        <v>125</v>
      </c>
      <c r="L1024" t="s">
        <v>125</v>
      </c>
      <c r="M1024" t="s">
        <v>1677</v>
      </c>
      <c r="N1024" t="b">
        <v>0</v>
      </c>
    </row>
    <row r="1025" spans="1:14">
      <c r="A1025">
        <v>63</v>
      </c>
      <c r="B1025">
        <v>7</v>
      </c>
      <c r="C1025" t="s">
        <v>165</v>
      </c>
      <c r="D1025" t="s">
        <v>723</v>
      </c>
      <c r="E1025" t="s">
        <v>114</v>
      </c>
      <c r="F1025">
        <v>50</v>
      </c>
      <c r="G1025" t="s">
        <v>125</v>
      </c>
      <c r="H1025" t="s">
        <v>125</v>
      </c>
      <c r="I1025" t="s">
        <v>114</v>
      </c>
      <c r="J1025" t="s">
        <v>125</v>
      </c>
      <c r="K1025" t="s">
        <v>125</v>
      </c>
      <c r="L1025" t="s">
        <v>125</v>
      </c>
      <c r="M1025" t="s">
        <v>1678</v>
      </c>
      <c r="N1025" t="b">
        <v>0</v>
      </c>
    </row>
    <row r="1026" spans="1:14">
      <c r="A1026">
        <v>63</v>
      </c>
      <c r="B1026">
        <v>8</v>
      </c>
      <c r="C1026" t="s">
        <v>230</v>
      </c>
      <c r="D1026" t="s">
        <v>723</v>
      </c>
      <c r="E1026" t="s">
        <v>67</v>
      </c>
      <c r="F1026">
        <v>40</v>
      </c>
      <c r="G1026" t="s">
        <v>125</v>
      </c>
      <c r="H1026" t="s">
        <v>125</v>
      </c>
      <c r="I1026" t="s">
        <v>67</v>
      </c>
      <c r="J1026" t="s">
        <v>125</v>
      </c>
      <c r="K1026" t="s">
        <v>125</v>
      </c>
      <c r="L1026" t="s">
        <v>125</v>
      </c>
      <c r="M1026" t="s">
        <v>1679</v>
      </c>
      <c r="N1026" t="b">
        <v>0</v>
      </c>
    </row>
    <row r="1027" spans="1:14">
      <c r="A1027">
        <v>63</v>
      </c>
      <c r="B1027">
        <v>9</v>
      </c>
      <c r="C1027" t="s">
        <v>192</v>
      </c>
      <c r="D1027" t="s">
        <v>723</v>
      </c>
      <c r="E1027" t="s">
        <v>77</v>
      </c>
      <c r="F1027">
        <v>50</v>
      </c>
      <c r="G1027" t="s">
        <v>125</v>
      </c>
      <c r="H1027" t="s">
        <v>125</v>
      </c>
      <c r="I1027" t="s">
        <v>77</v>
      </c>
      <c r="J1027" t="s">
        <v>125</v>
      </c>
      <c r="K1027" t="s">
        <v>125</v>
      </c>
      <c r="L1027" t="s">
        <v>125</v>
      </c>
      <c r="M1027" t="s">
        <v>1680</v>
      </c>
      <c r="N1027" t="b">
        <v>0</v>
      </c>
    </row>
    <row r="1028" spans="1:14">
      <c r="A1028">
        <v>63</v>
      </c>
      <c r="B1028">
        <v>10</v>
      </c>
      <c r="C1028" t="s">
        <v>395</v>
      </c>
      <c r="D1028" t="s">
        <v>723</v>
      </c>
      <c r="E1028" t="s">
        <v>105</v>
      </c>
      <c r="F1028">
        <v>40</v>
      </c>
      <c r="G1028" t="s">
        <v>125</v>
      </c>
      <c r="H1028" t="s">
        <v>125</v>
      </c>
      <c r="I1028" t="s">
        <v>105</v>
      </c>
      <c r="J1028" t="s">
        <v>125</v>
      </c>
      <c r="K1028" t="s">
        <v>125</v>
      </c>
      <c r="L1028" t="s">
        <v>125</v>
      </c>
      <c r="M1028" t="s">
        <v>1681</v>
      </c>
      <c r="N1028" t="b">
        <v>0</v>
      </c>
    </row>
    <row r="1029" spans="1:14">
      <c r="A1029">
        <v>63</v>
      </c>
      <c r="B1029">
        <v>11</v>
      </c>
      <c r="C1029" t="s">
        <v>231</v>
      </c>
      <c r="D1029" t="s">
        <v>723</v>
      </c>
      <c r="E1029" t="s">
        <v>107</v>
      </c>
      <c r="F1029">
        <v>50</v>
      </c>
      <c r="G1029" t="s">
        <v>125</v>
      </c>
      <c r="H1029" t="s">
        <v>125</v>
      </c>
      <c r="I1029" t="s">
        <v>107</v>
      </c>
      <c r="J1029" t="s">
        <v>125</v>
      </c>
      <c r="K1029" t="s">
        <v>125</v>
      </c>
      <c r="L1029" t="s">
        <v>125</v>
      </c>
      <c r="M1029" t="s">
        <v>1682</v>
      </c>
      <c r="N1029" t="b">
        <v>0</v>
      </c>
    </row>
    <row r="1030" spans="1:14">
      <c r="A1030">
        <v>63</v>
      </c>
      <c r="B1030">
        <v>12</v>
      </c>
      <c r="C1030" t="s">
        <v>125</v>
      </c>
      <c r="D1030" t="s">
        <v>723</v>
      </c>
      <c r="E1030" t="s">
        <v>125</v>
      </c>
      <c r="F1030">
        <v>0</v>
      </c>
      <c r="G1030" t="s">
        <v>125</v>
      </c>
      <c r="H1030" t="s">
        <v>125</v>
      </c>
      <c r="I1030" t="s">
        <v>125</v>
      </c>
      <c r="J1030" t="s">
        <v>125</v>
      </c>
      <c r="K1030" t="s">
        <v>125</v>
      </c>
      <c r="L1030" t="s">
        <v>125</v>
      </c>
      <c r="M1030" t="s">
        <v>1683</v>
      </c>
      <c r="N1030" t="b">
        <v>0</v>
      </c>
    </row>
    <row r="1031" spans="1:14">
      <c r="A1031">
        <v>63</v>
      </c>
      <c r="B1031">
        <v>13</v>
      </c>
      <c r="C1031" t="s">
        <v>125</v>
      </c>
      <c r="D1031" t="s">
        <v>723</v>
      </c>
      <c r="E1031" t="s">
        <v>125</v>
      </c>
      <c r="F1031">
        <v>0</v>
      </c>
      <c r="G1031" t="s">
        <v>125</v>
      </c>
      <c r="H1031" t="s">
        <v>125</v>
      </c>
      <c r="I1031" t="s">
        <v>125</v>
      </c>
      <c r="J1031" t="s">
        <v>125</v>
      </c>
      <c r="K1031" t="s">
        <v>125</v>
      </c>
      <c r="L1031" t="s">
        <v>125</v>
      </c>
      <c r="M1031" t="s">
        <v>1684</v>
      </c>
      <c r="N1031" t="b">
        <v>0</v>
      </c>
    </row>
    <row r="1032" spans="1:14">
      <c r="A1032">
        <v>63</v>
      </c>
      <c r="B1032">
        <v>14</v>
      </c>
      <c r="C1032" t="s">
        <v>125</v>
      </c>
      <c r="D1032" t="s">
        <v>723</v>
      </c>
      <c r="E1032" t="s">
        <v>125</v>
      </c>
      <c r="F1032">
        <v>0</v>
      </c>
      <c r="G1032" t="s">
        <v>125</v>
      </c>
      <c r="H1032" t="s">
        <v>125</v>
      </c>
      <c r="I1032" t="s">
        <v>125</v>
      </c>
      <c r="J1032" t="s">
        <v>125</v>
      </c>
      <c r="K1032" t="s">
        <v>125</v>
      </c>
      <c r="L1032" t="s">
        <v>125</v>
      </c>
      <c r="M1032" t="s">
        <v>1685</v>
      </c>
      <c r="N1032" t="b">
        <v>0</v>
      </c>
    </row>
    <row r="1033" spans="1:14">
      <c r="A1033">
        <v>63</v>
      </c>
      <c r="B1033">
        <v>15</v>
      </c>
      <c r="C1033" t="s">
        <v>125</v>
      </c>
      <c r="D1033" t="s">
        <v>723</v>
      </c>
      <c r="E1033" t="s">
        <v>125</v>
      </c>
      <c r="F1033">
        <v>0</v>
      </c>
      <c r="G1033" t="s">
        <v>125</v>
      </c>
      <c r="H1033" t="s">
        <v>125</v>
      </c>
      <c r="I1033" t="s">
        <v>125</v>
      </c>
      <c r="J1033" t="s">
        <v>125</v>
      </c>
      <c r="K1033" t="s">
        <v>125</v>
      </c>
      <c r="L1033" t="s">
        <v>125</v>
      </c>
      <c r="M1033" t="s">
        <v>1686</v>
      </c>
      <c r="N1033" t="b">
        <v>0</v>
      </c>
    </row>
    <row r="1034" spans="1:14">
      <c r="A1034">
        <v>63</v>
      </c>
      <c r="B1034">
        <v>16</v>
      </c>
      <c r="C1034" t="s">
        <v>396</v>
      </c>
      <c r="D1034" t="s">
        <v>740</v>
      </c>
      <c r="E1034" t="s">
        <v>542</v>
      </c>
      <c r="F1034">
        <v>50</v>
      </c>
      <c r="G1034" t="s">
        <v>759</v>
      </c>
      <c r="H1034" t="s">
        <v>125</v>
      </c>
      <c r="I1034" t="s">
        <v>125</v>
      </c>
      <c r="J1034" t="s">
        <v>1101</v>
      </c>
      <c r="K1034" t="s">
        <v>1120</v>
      </c>
      <c r="L1034" t="s">
        <v>1081</v>
      </c>
      <c r="M1034" t="s">
        <v>1687</v>
      </c>
      <c r="N1034" t="b">
        <v>0</v>
      </c>
    </row>
    <row r="1035" spans="1:14">
      <c r="A1035">
        <v>63</v>
      </c>
      <c r="B1035">
        <v>17</v>
      </c>
      <c r="C1035" t="s">
        <v>158</v>
      </c>
      <c r="D1035" t="s">
        <v>740</v>
      </c>
      <c r="E1035" t="s">
        <v>296</v>
      </c>
      <c r="F1035">
        <v>50</v>
      </c>
      <c r="G1035" t="s">
        <v>759</v>
      </c>
      <c r="H1035" t="s">
        <v>125</v>
      </c>
      <c r="I1035" t="s">
        <v>125</v>
      </c>
      <c r="J1035" t="s">
        <v>760</v>
      </c>
      <c r="K1035" t="s">
        <v>761</v>
      </c>
      <c r="L1035" t="s">
        <v>762</v>
      </c>
      <c r="M1035" t="s">
        <v>1688</v>
      </c>
      <c r="N1035" t="b">
        <v>0</v>
      </c>
    </row>
    <row r="1036" spans="1:14">
      <c r="A1036">
        <v>63</v>
      </c>
      <c r="B1036">
        <v>18</v>
      </c>
      <c r="C1036" t="s">
        <v>272</v>
      </c>
      <c r="D1036" t="s">
        <v>740</v>
      </c>
      <c r="E1036" t="s">
        <v>330</v>
      </c>
      <c r="F1036">
        <v>50</v>
      </c>
      <c r="G1036" t="s">
        <v>759</v>
      </c>
      <c r="H1036" t="s">
        <v>125</v>
      </c>
      <c r="I1036" t="s">
        <v>125</v>
      </c>
      <c r="J1036" t="s">
        <v>1127</v>
      </c>
      <c r="K1036" t="s">
        <v>920</v>
      </c>
      <c r="L1036" t="s">
        <v>921</v>
      </c>
      <c r="M1036" t="s">
        <v>1689</v>
      </c>
      <c r="N1036" t="b">
        <v>0</v>
      </c>
    </row>
    <row r="1037" spans="1:14">
      <c r="A1037">
        <v>63</v>
      </c>
      <c r="B1037">
        <v>19</v>
      </c>
      <c r="C1037" t="s">
        <v>125</v>
      </c>
      <c r="D1037" t="s">
        <v>740</v>
      </c>
      <c r="E1037" t="s">
        <v>125</v>
      </c>
      <c r="F1037">
        <v>0</v>
      </c>
      <c r="G1037" t="s">
        <v>125</v>
      </c>
      <c r="H1037" t="s">
        <v>125</v>
      </c>
      <c r="I1037" t="s">
        <v>125</v>
      </c>
      <c r="J1037" t="s">
        <v>125</v>
      </c>
      <c r="K1037" t="s">
        <v>125</v>
      </c>
      <c r="L1037" t="s">
        <v>125</v>
      </c>
      <c r="M1037" t="s">
        <v>1690</v>
      </c>
      <c r="N1037" t="b">
        <v>0</v>
      </c>
    </row>
    <row r="1038" spans="1:14">
      <c r="A1038">
        <v>63</v>
      </c>
      <c r="B1038">
        <v>20</v>
      </c>
      <c r="C1038" t="s">
        <v>125</v>
      </c>
      <c r="D1038" t="s">
        <v>740</v>
      </c>
      <c r="E1038" t="s">
        <v>125</v>
      </c>
      <c r="F1038">
        <v>0</v>
      </c>
      <c r="G1038" t="s">
        <v>125</v>
      </c>
      <c r="H1038" t="s">
        <v>125</v>
      </c>
      <c r="I1038" t="s">
        <v>125</v>
      </c>
      <c r="J1038" t="s">
        <v>125</v>
      </c>
      <c r="K1038" t="s">
        <v>125</v>
      </c>
      <c r="L1038" t="s">
        <v>125</v>
      </c>
      <c r="M1038" t="s">
        <v>1691</v>
      </c>
      <c r="N1038" t="b">
        <v>0</v>
      </c>
    </row>
    <row r="1039" spans="1:14">
      <c r="A1039">
        <v>63</v>
      </c>
      <c r="B1039">
        <v>21</v>
      </c>
      <c r="C1039" t="s">
        <v>125</v>
      </c>
      <c r="D1039" t="s">
        <v>740</v>
      </c>
      <c r="E1039" t="s">
        <v>125</v>
      </c>
      <c r="F1039">
        <v>0</v>
      </c>
      <c r="G1039" t="s">
        <v>125</v>
      </c>
      <c r="H1039" t="s">
        <v>125</v>
      </c>
      <c r="I1039" t="s">
        <v>125</v>
      </c>
      <c r="J1039" t="s">
        <v>125</v>
      </c>
      <c r="K1039" t="s">
        <v>125</v>
      </c>
      <c r="L1039" t="s">
        <v>125</v>
      </c>
      <c r="M1039" t="s">
        <v>1692</v>
      </c>
      <c r="N1039" t="b">
        <v>0</v>
      </c>
    </row>
    <row r="1040" spans="1:14">
      <c r="A1040">
        <v>63</v>
      </c>
      <c r="B1040">
        <v>22</v>
      </c>
      <c r="C1040" t="s">
        <v>125</v>
      </c>
      <c r="D1040" t="s">
        <v>740</v>
      </c>
      <c r="E1040" t="s">
        <v>125</v>
      </c>
      <c r="F1040">
        <v>0</v>
      </c>
      <c r="G1040" t="s">
        <v>125</v>
      </c>
      <c r="H1040" t="s">
        <v>125</v>
      </c>
      <c r="I1040" t="s">
        <v>125</v>
      </c>
      <c r="J1040" t="s">
        <v>125</v>
      </c>
      <c r="K1040" t="s">
        <v>125</v>
      </c>
      <c r="L1040" t="s">
        <v>125</v>
      </c>
      <c r="M1040" t="s">
        <v>1693</v>
      </c>
      <c r="N1040" t="b">
        <v>0</v>
      </c>
    </row>
    <row r="1041" spans="1:14">
      <c r="A1041">
        <v>63</v>
      </c>
      <c r="B1041">
        <v>23</v>
      </c>
      <c r="C1041" t="s">
        <v>125</v>
      </c>
      <c r="D1041" t="s">
        <v>740</v>
      </c>
      <c r="E1041" t="s">
        <v>125</v>
      </c>
      <c r="F1041">
        <v>0</v>
      </c>
      <c r="G1041" t="s">
        <v>125</v>
      </c>
      <c r="H1041" t="s">
        <v>125</v>
      </c>
      <c r="I1041" t="s">
        <v>125</v>
      </c>
      <c r="J1041" t="s">
        <v>125</v>
      </c>
      <c r="K1041" t="s">
        <v>125</v>
      </c>
      <c r="L1041" t="s">
        <v>125</v>
      </c>
      <c r="M1041" t="s">
        <v>1694</v>
      </c>
      <c r="N1041" t="b">
        <v>0</v>
      </c>
    </row>
    <row r="1042" spans="1:14">
      <c r="A1042">
        <v>63</v>
      </c>
      <c r="B1042">
        <v>24</v>
      </c>
      <c r="C1042" t="s">
        <v>125</v>
      </c>
      <c r="D1042" t="s">
        <v>740</v>
      </c>
      <c r="E1042" t="s">
        <v>125</v>
      </c>
      <c r="F1042">
        <v>0</v>
      </c>
      <c r="G1042" t="s">
        <v>125</v>
      </c>
      <c r="H1042" t="s">
        <v>125</v>
      </c>
      <c r="I1042" t="s">
        <v>125</v>
      </c>
      <c r="J1042" t="s">
        <v>125</v>
      </c>
      <c r="K1042" t="s">
        <v>125</v>
      </c>
      <c r="L1042" t="s">
        <v>125</v>
      </c>
      <c r="M1042" t="s">
        <v>1695</v>
      </c>
      <c r="N1042" t="b">
        <v>0</v>
      </c>
    </row>
    <row r="1043" spans="1:14">
      <c r="A1043">
        <v>63</v>
      </c>
      <c r="B1043">
        <v>25</v>
      </c>
      <c r="C1043" t="s">
        <v>125</v>
      </c>
      <c r="D1043" t="s">
        <v>740</v>
      </c>
      <c r="E1043" t="s">
        <v>125</v>
      </c>
      <c r="F1043">
        <v>0</v>
      </c>
      <c r="G1043" t="s">
        <v>125</v>
      </c>
      <c r="H1043" t="s">
        <v>125</v>
      </c>
      <c r="I1043" t="s">
        <v>125</v>
      </c>
      <c r="J1043" t="s">
        <v>125</v>
      </c>
      <c r="K1043" t="s">
        <v>125</v>
      </c>
      <c r="L1043" t="s">
        <v>125</v>
      </c>
      <c r="M1043" t="s">
        <v>1696</v>
      </c>
      <c r="N1043" t="b">
        <v>0</v>
      </c>
    </row>
    <row r="1044" spans="1:14">
      <c r="A1044">
        <v>63</v>
      </c>
      <c r="B1044">
        <v>26</v>
      </c>
      <c r="C1044" t="s">
        <v>125</v>
      </c>
      <c r="D1044" t="s">
        <v>740</v>
      </c>
      <c r="E1044" t="s">
        <v>125</v>
      </c>
      <c r="F1044">
        <v>0</v>
      </c>
      <c r="G1044" t="s">
        <v>125</v>
      </c>
      <c r="H1044" t="s">
        <v>125</v>
      </c>
      <c r="I1044" t="s">
        <v>125</v>
      </c>
      <c r="J1044" t="s">
        <v>125</v>
      </c>
      <c r="K1044" t="s">
        <v>125</v>
      </c>
      <c r="L1044" t="s">
        <v>125</v>
      </c>
      <c r="M1044" t="s">
        <v>1697</v>
      </c>
      <c r="N1044" t="b">
        <v>0</v>
      </c>
    </row>
    <row r="1045" spans="1:14">
      <c r="A1045">
        <v>64</v>
      </c>
      <c r="B1045">
        <v>0</v>
      </c>
      <c r="C1045" t="s">
        <v>215</v>
      </c>
      <c r="D1045" t="s">
        <v>723</v>
      </c>
      <c r="E1045" t="s">
        <v>64</v>
      </c>
      <c r="F1045">
        <v>60</v>
      </c>
      <c r="G1045" t="s">
        <v>125</v>
      </c>
      <c r="H1045" t="s">
        <v>125</v>
      </c>
      <c r="I1045" t="s">
        <v>64</v>
      </c>
      <c r="J1045" t="s">
        <v>125</v>
      </c>
      <c r="K1045" t="s">
        <v>125</v>
      </c>
      <c r="L1045" t="s">
        <v>125</v>
      </c>
      <c r="M1045" t="s">
        <v>1698</v>
      </c>
      <c r="N1045" t="b">
        <v>0</v>
      </c>
    </row>
    <row r="1046" spans="1:14">
      <c r="A1046">
        <v>64</v>
      </c>
      <c r="B1046">
        <v>1</v>
      </c>
      <c r="C1046" t="s">
        <v>216</v>
      </c>
      <c r="D1046" t="s">
        <v>723</v>
      </c>
      <c r="E1046" t="s">
        <v>76</v>
      </c>
      <c r="F1046">
        <v>60</v>
      </c>
      <c r="G1046" t="s">
        <v>125</v>
      </c>
      <c r="H1046" t="s">
        <v>125</v>
      </c>
      <c r="I1046" t="s">
        <v>76</v>
      </c>
      <c r="J1046" t="s">
        <v>125</v>
      </c>
      <c r="K1046" t="s">
        <v>125</v>
      </c>
      <c r="L1046" t="s">
        <v>125</v>
      </c>
      <c r="M1046" t="s">
        <v>1699</v>
      </c>
      <c r="N1046" t="b">
        <v>0</v>
      </c>
    </row>
    <row r="1047" spans="1:14">
      <c r="A1047">
        <v>64</v>
      </c>
      <c r="B1047">
        <v>2</v>
      </c>
      <c r="C1047" t="s">
        <v>267</v>
      </c>
      <c r="D1047" t="s">
        <v>723</v>
      </c>
      <c r="E1047" t="s">
        <v>82</v>
      </c>
      <c r="F1047">
        <v>30</v>
      </c>
      <c r="G1047" t="s">
        <v>125</v>
      </c>
      <c r="H1047" t="s">
        <v>125</v>
      </c>
      <c r="I1047" t="s">
        <v>82</v>
      </c>
      <c r="J1047" t="s">
        <v>125</v>
      </c>
      <c r="K1047" t="s">
        <v>125</v>
      </c>
      <c r="L1047" t="s">
        <v>125</v>
      </c>
      <c r="M1047" t="s">
        <v>1700</v>
      </c>
      <c r="N1047" t="b">
        <v>0</v>
      </c>
    </row>
    <row r="1048" spans="1:14">
      <c r="A1048">
        <v>64</v>
      </c>
      <c r="B1048">
        <v>3</v>
      </c>
      <c r="C1048" t="s">
        <v>217</v>
      </c>
      <c r="D1048" t="s">
        <v>723</v>
      </c>
      <c r="E1048" t="s">
        <v>94</v>
      </c>
      <c r="F1048">
        <v>40</v>
      </c>
      <c r="G1048" t="s">
        <v>125</v>
      </c>
      <c r="H1048" t="s">
        <v>125</v>
      </c>
      <c r="I1048" t="s">
        <v>94</v>
      </c>
      <c r="J1048" t="s">
        <v>125</v>
      </c>
      <c r="K1048" t="s">
        <v>125</v>
      </c>
      <c r="L1048" t="s">
        <v>125</v>
      </c>
      <c r="M1048" t="s">
        <v>1701</v>
      </c>
      <c r="N1048" t="b">
        <v>0</v>
      </c>
    </row>
    <row r="1049" spans="1:14">
      <c r="A1049">
        <v>64</v>
      </c>
      <c r="B1049">
        <v>4</v>
      </c>
      <c r="C1049" t="s">
        <v>304</v>
      </c>
      <c r="D1049" t="s">
        <v>723</v>
      </c>
      <c r="E1049" t="s">
        <v>96</v>
      </c>
      <c r="F1049">
        <v>50</v>
      </c>
      <c r="G1049" t="s">
        <v>125</v>
      </c>
      <c r="H1049" t="s">
        <v>125</v>
      </c>
      <c r="I1049" t="s">
        <v>96</v>
      </c>
      <c r="J1049" t="s">
        <v>125</v>
      </c>
      <c r="K1049" t="s">
        <v>125</v>
      </c>
      <c r="L1049" t="s">
        <v>125</v>
      </c>
      <c r="M1049" t="s">
        <v>1702</v>
      </c>
      <c r="N1049" t="b">
        <v>0</v>
      </c>
    </row>
    <row r="1050" spans="1:14">
      <c r="A1050">
        <v>64</v>
      </c>
      <c r="B1050">
        <v>5</v>
      </c>
      <c r="C1050" t="s">
        <v>250</v>
      </c>
      <c r="D1050" t="s">
        <v>723</v>
      </c>
      <c r="E1050" t="s">
        <v>98</v>
      </c>
      <c r="F1050">
        <v>40</v>
      </c>
      <c r="G1050" t="s">
        <v>125</v>
      </c>
      <c r="H1050" t="s">
        <v>125</v>
      </c>
      <c r="I1050" t="s">
        <v>98</v>
      </c>
      <c r="J1050" t="s">
        <v>125</v>
      </c>
      <c r="K1050" t="s">
        <v>125</v>
      </c>
      <c r="L1050" t="s">
        <v>125</v>
      </c>
      <c r="M1050" t="s">
        <v>1703</v>
      </c>
      <c r="N1050" t="b">
        <v>0</v>
      </c>
    </row>
    <row r="1051" spans="1:14">
      <c r="A1051">
        <v>64</v>
      </c>
      <c r="B1051">
        <v>6</v>
      </c>
      <c r="C1051" t="s">
        <v>218</v>
      </c>
      <c r="D1051" t="s">
        <v>723</v>
      </c>
      <c r="E1051" t="s">
        <v>100</v>
      </c>
      <c r="F1051">
        <v>60</v>
      </c>
      <c r="G1051" t="s">
        <v>125</v>
      </c>
      <c r="H1051" t="s">
        <v>125</v>
      </c>
      <c r="I1051" t="s">
        <v>100</v>
      </c>
      <c r="J1051" t="s">
        <v>125</v>
      </c>
      <c r="K1051" t="s">
        <v>125</v>
      </c>
      <c r="L1051" t="s">
        <v>125</v>
      </c>
      <c r="M1051" t="s">
        <v>1704</v>
      </c>
      <c r="N1051" t="b">
        <v>0</v>
      </c>
    </row>
    <row r="1052" spans="1:14">
      <c r="A1052">
        <v>64</v>
      </c>
      <c r="B1052">
        <v>7</v>
      </c>
      <c r="C1052" t="s">
        <v>274</v>
      </c>
      <c r="D1052" t="s">
        <v>723</v>
      </c>
      <c r="E1052" t="s">
        <v>102</v>
      </c>
      <c r="F1052">
        <v>30</v>
      </c>
      <c r="G1052" t="s">
        <v>125</v>
      </c>
      <c r="H1052" t="s">
        <v>125</v>
      </c>
      <c r="I1052" t="s">
        <v>102</v>
      </c>
      <c r="J1052" t="s">
        <v>125</v>
      </c>
      <c r="K1052" t="s">
        <v>125</v>
      </c>
      <c r="L1052" t="s">
        <v>125</v>
      </c>
      <c r="M1052" t="s">
        <v>1705</v>
      </c>
      <c r="N1052" t="b">
        <v>0</v>
      </c>
    </row>
    <row r="1053" spans="1:14">
      <c r="A1053">
        <v>64</v>
      </c>
      <c r="B1053">
        <v>8</v>
      </c>
      <c r="C1053" t="s">
        <v>159</v>
      </c>
      <c r="D1053" t="s">
        <v>752</v>
      </c>
      <c r="E1053" t="s">
        <v>296</v>
      </c>
      <c r="F1053">
        <v>40</v>
      </c>
      <c r="G1053" t="s">
        <v>759</v>
      </c>
      <c r="H1053" t="s">
        <v>125</v>
      </c>
      <c r="I1053" t="s">
        <v>125</v>
      </c>
      <c r="J1053" t="s">
        <v>760</v>
      </c>
      <c r="K1053" t="s">
        <v>761</v>
      </c>
      <c r="L1053" t="s">
        <v>762</v>
      </c>
      <c r="M1053" t="s">
        <v>1706</v>
      </c>
      <c r="N1053" t="b">
        <v>0</v>
      </c>
    </row>
    <row r="1054" spans="1:14">
      <c r="A1054">
        <v>64</v>
      </c>
      <c r="B1054">
        <v>9</v>
      </c>
      <c r="C1054" t="s">
        <v>180</v>
      </c>
      <c r="D1054" t="s">
        <v>723</v>
      </c>
      <c r="E1054" t="s">
        <v>111</v>
      </c>
      <c r="F1054">
        <v>50</v>
      </c>
      <c r="G1054" t="s">
        <v>125</v>
      </c>
      <c r="H1054" t="s">
        <v>125</v>
      </c>
      <c r="I1054" t="s">
        <v>111</v>
      </c>
      <c r="J1054" t="s">
        <v>125</v>
      </c>
      <c r="K1054" t="s">
        <v>125</v>
      </c>
      <c r="L1054" t="s">
        <v>125</v>
      </c>
      <c r="M1054" t="s">
        <v>1707</v>
      </c>
      <c r="N1054" t="b">
        <v>0</v>
      </c>
    </row>
    <row r="1055" spans="1:14">
      <c r="A1055">
        <v>64</v>
      </c>
      <c r="B1055">
        <v>10</v>
      </c>
      <c r="C1055" t="s">
        <v>197</v>
      </c>
      <c r="D1055" t="s">
        <v>723</v>
      </c>
      <c r="E1055" t="s">
        <v>112</v>
      </c>
      <c r="F1055">
        <v>50</v>
      </c>
      <c r="G1055" t="s">
        <v>125</v>
      </c>
      <c r="H1055" t="s">
        <v>125</v>
      </c>
      <c r="I1055" t="s">
        <v>112</v>
      </c>
      <c r="J1055" t="s">
        <v>125</v>
      </c>
      <c r="K1055" t="s">
        <v>125</v>
      </c>
      <c r="L1055" t="s">
        <v>125</v>
      </c>
      <c r="M1055" t="s">
        <v>1708</v>
      </c>
      <c r="N1055" t="b">
        <v>0</v>
      </c>
    </row>
    <row r="1056" spans="1:14">
      <c r="A1056">
        <v>64</v>
      </c>
      <c r="B1056">
        <v>11</v>
      </c>
      <c r="C1056" t="s">
        <v>287</v>
      </c>
      <c r="D1056" t="s">
        <v>723</v>
      </c>
      <c r="E1056" t="s">
        <v>330</v>
      </c>
      <c r="F1056">
        <v>40</v>
      </c>
      <c r="G1056" t="s">
        <v>125</v>
      </c>
      <c r="H1056" t="s">
        <v>547</v>
      </c>
      <c r="I1056" t="s">
        <v>444</v>
      </c>
      <c r="J1056" t="s">
        <v>125</v>
      </c>
      <c r="K1056" t="s">
        <v>920</v>
      </c>
      <c r="L1056" t="s">
        <v>921</v>
      </c>
      <c r="M1056" t="s">
        <v>1709</v>
      </c>
      <c r="N1056" t="b">
        <v>0</v>
      </c>
    </row>
    <row r="1057" spans="1:14">
      <c r="A1057">
        <v>64</v>
      </c>
      <c r="B1057">
        <v>12</v>
      </c>
      <c r="C1057" t="s">
        <v>275</v>
      </c>
      <c r="D1057" t="s">
        <v>723</v>
      </c>
      <c r="E1057" t="s">
        <v>73</v>
      </c>
      <c r="F1057">
        <v>40</v>
      </c>
      <c r="G1057" t="s">
        <v>125</v>
      </c>
      <c r="H1057" t="s">
        <v>125</v>
      </c>
      <c r="I1057" t="s">
        <v>73</v>
      </c>
      <c r="J1057" t="s">
        <v>125</v>
      </c>
      <c r="K1057" t="s">
        <v>125</v>
      </c>
      <c r="L1057" t="s">
        <v>125</v>
      </c>
      <c r="M1057" t="s">
        <v>1710</v>
      </c>
      <c r="N1057" t="b">
        <v>0</v>
      </c>
    </row>
    <row r="1058" spans="1:14">
      <c r="A1058">
        <v>64</v>
      </c>
      <c r="B1058">
        <v>13</v>
      </c>
      <c r="C1058" t="s">
        <v>288</v>
      </c>
      <c r="D1058" t="s">
        <v>723</v>
      </c>
      <c r="E1058" t="s">
        <v>77</v>
      </c>
      <c r="F1058">
        <v>30</v>
      </c>
      <c r="G1058" t="s">
        <v>125</v>
      </c>
      <c r="H1058" t="s">
        <v>125</v>
      </c>
      <c r="I1058" t="s">
        <v>77</v>
      </c>
      <c r="J1058" t="s">
        <v>125</v>
      </c>
      <c r="K1058" t="s">
        <v>125</v>
      </c>
      <c r="L1058" t="s">
        <v>125</v>
      </c>
      <c r="M1058" t="s">
        <v>1711</v>
      </c>
      <c r="N1058" t="b">
        <v>0</v>
      </c>
    </row>
    <row r="1059" spans="1:14">
      <c r="A1059">
        <v>64</v>
      </c>
      <c r="B1059">
        <v>14</v>
      </c>
      <c r="C1059" t="s">
        <v>291</v>
      </c>
      <c r="D1059" t="s">
        <v>723</v>
      </c>
      <c r="E1059" t="s">
        <v>106</v>
      </c>
      <c r="F1059">
        <v>60</v>
      </c>
      <c r="G1059" t="s">
        <v>125</v>
      </c>
      <c r="H1059" t="s">
        <v>125</v>
      </c>
      <c r="I1059" t="s">
        <v>106</v>
      </c>
      <c r="J1059" t="s">
        <v>125</v>
      </c>
      <c r="K1059" t="s">
        <v>125</v>
      </c>
      <c r="L1059" t="s">
        <v>125</v>
      </c>
      <c r="M1059" t="s">
        <v>1712</v>
      </c>
      <c r="N1059" t="b">
        <v>0</v>
      </c>
    </row>
    <row r="1060" spans="1:14">
      <c r="A1060">
        <v>64</v>
      </c>
      <c r="B1060">
        <v>15</v>
      </c>
      <c r="C1060" t="s">
        <v>231</v>
      </c>
      <c r="D1060" t="s">
        <v>723</v>
      </c>
      <c r="E1060" t="s">
        <v>107</v>
      </c>
      <c r="F1060">
        <v>50</v>
      </c>
      <c r="G1060" t="s">
        <v>125</v>
      </c>
      <c r="H1060" t="s">
        <v>125</v>
      </c>
      <c r="I1060" t="s">
        <v>107</v>
      </c>
      <c r="J1060" t="s">
        <v>125</v>
      </c>
      <c r="K1060" t="s">
        <v>125</v>
      </c>
      <c r="L1060" t="s">
        <v>125</v>
      </c>
      <c r="M1060" t="s">
        <v>1713</v>
      </c>
      <c r="N1060" t="b">
        <v>0</v>
      </c>
    </row>
    <row r="1061" spans="1:14">
      <c r="A1061">
        <v>64</v>
      </c>
      <c r="B1061">
        <v>16</v>
      </c>
      <c r="C1061" t="s">
        <v>125</v>
      </c>
      <c r="D1061" t="s">
        <v>740</v>
      </c>
      <c r="E1061" t="s">
        <v>125</v>
      </c>
      <c r="F1061">
        <v>0</v>
      </c>
      <c r="G1061" t="s">
        <v>125</v>
      </c>
      <c r="H1061" t="s">
        <v>125</v>
      </c>
      <c r="I1061" t="s">
        <v>125</v>
      </c>
      <c r="J1061" t="s">
        <v>125</v>
      </c>
      <c r="K1061" t="s">
        <v>125</v>
      </c>
      <c r="L1061" t="s">
        <v>125</v>
      </c>
      <c r="M1061" t="s">
        <v>1714</v>
      </c>
      <c r="N1061" t="b">
        <v>0</v>
      </c>
    </row>
    <row r="1062" spans="1:14">
      <c r="A1062">
        <v>64</v>
      </c>
      <c r="B1062">
        <v>17</v>
      </c>
      <c r="C1062" t="s">
        <v>125</v>
      </c>
      <c r="D1062" t="s">
        <v>740</v>
      </c>
      <c r="E1062" t="s">
        <v>125</v>
      </c>
      <c r="F1062">
        <v>0</v>
      </c>
      <c r="G1062" t="s">
        <v>125</v>
      </c>
      <c r="H1062" t="s">
        <v>125</v>
      </c>
      <c r="I1062" t="s">
        <v>125</v>
      </c>
      <c r="J1062" t="s">
        <v>125</v>
      </c>
      <c r="K1062" t="s">
        <v>125</v>
      </c>
      <c r="L1062" t="s">
        <v>125</v>
      </c>
      <c r="M1062" t="s">
        <v>1715</v>
      </c>
      <c r="N1062" t="b">
        <v>0</v>
      </c>
    </row>
    <row r="1063" spans="1:14">
      <c r="A1063">
        <v>64</v>
      </c>
      <c r="B1063">
        <v>18</v>
      </c>
      <c r="C1063" t="s">
        <v>125</v>
      </c>
      <c r="D1063" t="s">
        <v>740</v>
      </c>
      <c r="E1063" t="s">
        <v>125</v>
      </c>
      <c r="F1063">
        <v>0</v>
      </c>
      <c r="G1063" t="s">
        <v>125</v>
      </c>
      <c r="H1063" t="s">
        <v>125</v>
      </c>
      <c r="I1063" t="s">
        <v>125</v>
      </c>
      <c r="J1063" t="s">
        <v>125</v>
      </c>
      <c r="K1063" t="s">
        <v>125</v>
      </c>
      <c r="L1063" t="s">
        <v>125</v>
      </c>
      <c r="M1063" t="s">
        <v>1716</v>
      </c>
      <c r="N1063" t="b">
        <v>0</v>
      </c>
    </row>
    <row r="1064" spans="1:14">
      <c r="A1064">
        <v>64</v>
      </c>
      <c r="B1064">
        <v>19</v>
      </c>
      <c r="C1064" t="s">
        <v>125</v>
      </c>
      <c r="D1064" t="s">
        <v>740</v>
      </c>
      <c r="E1064" t="s">
        <v>125</v>
      </c>
      <c r="F1064">
        <v>0</v>
      </c>
      <c r="G1064" t="s">
        <v>125</v>
      </c>
      <c r="H1064" t="s">
        <v>125</v>
      </c>
      <c r="I1064" t="s">
        <v>125</v>
      </c>
      <c r="J1064" t="s">
        <v>125</v>
      </c>
      <c r="K1064" t="s">
        <v>125</v>
      </c>
      <c r="L1064" t="s">
        <v>125</v>
      </c>
      <c r="M1064" t="s">
        <v>1717</v>
      </c>
      <c r="N1064" t="b">
        <v>0</v>
      </c>
    </row>
    <row r="1065" spans="1:14">
      <c r="A1065">
        <v>64</v>
      </c>
      <c r="B1065">
        <v>20</v>
      </c>
      <c r="C1065" t="s">
        <v>125</v>
      </c>
      <c r="D1065" t="s">
        <v>740</v>
      </c>
      <c r="E1065" t="s">
        <v>125</v>
      </c>
      <c r="F1065">
        <v>0</v>
      </c>
      <c r="G1065" t="s">
        <v>125</v>
      </c>
      <c r="H1065" t="s">
        <v>125</v>
      </c>
      <c r="I1065" t="s">
        <v>125</v>
      </c>
      <c r="J1065" t="s">
        <v>125</v>
      </c>
      <c r="K1065" t="s">
        <v>125</v>
      </c>
      <c r="L1065" t="s">
        <v>125</v>
      </c>
      <c r="M1065" t="s">
        <v>1718</v>
      </c>
      <c r="N1065" t="b">
        <v>0</v>
      </c>
    </row>
    <row r="1066" spans="1:14">
      <c r="A1066">
        <v>64</v>
      </c>
      <c r="B1066">
        <v>21</v>
      </c>
      <c r="C1066" t="s">
        <v>125</v>
      </c>
      <c r="D1066" t="s">
        <v>740</v>
      </c>
      <c r="E1066" t="s">
        <v>125</v>
      </c>
      <c r="F1066">
        <v>0</v>
      </c>
      <c r="G1066" t="s">
        <v>125</v>
      </c>
      <c r="H1066" t="s">
        <v>125</v>
      </c>
      <c r="I1066" t="s">
        <v>125</v>
      </c>
      <c r="J1066" t="s">
        <v>125</v>
      </c>
      <c r="K1066" t="s">
        <v>125</v>
      </c>
      <c r="L1066" t="s">
        <v>125</v>
      </c>
      <c r="M1066" t="s">
        <v>1719</v>
      </c>
      <c r="N1066" t="b">
        <v>0</v>
      </c>
    </row>
    <row r="1067" spans="1:14">
      <c r="A1067">
        <v>64</v>
      </c>
      <c r="B1067">
        <v>22</v>
      </c>
      <c r="C1067" t="s">
        <v>125</v>
      </c>
      <c r="D1067" t="s">
        <v>740</v>
      </c>
      <c r="E1067" t="s">
        <v>125</v>
      </c>
      <c r="F1067">
        <v>0</v>
      </c>
      <c r="G1067" t="s">
        <v>125</v>
      </c>
      <c r="H1067" t="s">
        <v>125</v>
      </c>
      <c r="I1067" t="s">
        <v>125</v>
      </c>
      <c r="J1067" t="s">
        <v>125</v>
      </c>
      <c r="K1067" t="s">
        <v>125</v>
      </c>
      <c r="L1067" t="s">
        <v>125</v>
      </c>
      <c r="M1067" t="s">
        <v>1720</v>
      </c>
      <c r="N1067" t="b">
        <v>0</v>
      </c>
    </row>
    <row r="1068" spans="1:14">
      <c r="A1068">
        <v>64</v>
      </c>
      <c r="B1068">
        <v>23</v>
      </c>
      <c r="C1068" t="s">
        <v>125</v>
      </c>
      <c r="D1068" t="s">
        <v>740</v>
      </c>
      <c r="E1068" t="s">
        <v>125</v>
      </c>
      <c r="F1068">
        <v>0</v>
      </c>
      <c r="G1068" t="s">
        <v>125</v>
      </c>
      <c r="H1068" t="s">
        <v>125</v>
      </c>
      <c r="I1068" t="s">
        <v>125</v>
      </c>
      <c r="J1068" t="s">
        <v>125</v>
      </c>
      <c r="K1068" t="s">
        <v>125</v>
      </c>
      <c r="L1068" t="s">
        <v>125</v>
      </c>
      <c r="M1068" t="s">
        <v>1721</v>
      </c>
      <c r="N1068" t="b">
        <v>0</v>
      </c>
    </row>
    <row r="1069" spans="1:14">
      <c r="A1069">
        <v>64</v>
      </c>
      <c r="B1069">
        <v>24</v>
      </c>
      <c r="C1069" t="s">
        <v>125</v>
      </c>
      <c r="D1069" t="s">
        <v>740</v>
      </c>
      <c r="E1069" t="s">
        <v>125</v>
      </c>
      <c r="F1069">
        <v>0</v>
      </c>
      <c r="G1069" t="s">
        <v>125</v>
      </c>
      <c r="H1069" t="s">
        <v>125</v>
      </c>
      <c r="I1069" t="s">
        <v>125</v>
      </c>
      <c r="J1069" t="s">
        <v>125</v>
      </c>
      <c r="K1069" t="s">
        <v>125</v>
      </c>
      <c r="L1069" t="s">
        <v>125</v>
      </c>
      <c r="M1069" t="s">
        <v>1722</v>
      </c>
      <c r="N1069" t="b">
        <v>0</v>
      </c>
    </row>
    <row r="1070" spans="1:14">
      <c r="A1070">
        <v>64</v>
      </c>
      <c r="B1070">
        <v>25</v>
      </c>
      <c r="C1070" t="s">
        <v>125</v>
      </c>
      <c r="D1070" t="s">
        <v>740</v>
      </c>
      <c r="E1070" t="s">
        <v>125</v>
      </c>
      <c r="F1070">
        <v>0</v>
      </c>
      <c r="G1070" t="s">
        <v>125</v>
      </c>
      <c r="H1070" t="s">
        <v>125</v>
      </c>
      <c r="I1070" t="s">
        <v>125</v>
      </c>
      <c r="J1070" t="s">
        <v>125</v>
      </c>
      <c r="K1070" t="s">
        <v>125</v>
      </c>
      <c r="L1070" t="s">
        <v>125</v>
      </c>
      <c r="M1070" t="s">
        <v>1723</v>
      </c>
      <c r="N1070" t="b">
        <v>0</v>
      </c>
    </row>
    <row r="1071" spans="1:14">
      <c r="A1071">
        <v>64</v>
      </c>
      <c r="B1071">
        <v>26</v>
      </c>
      <c r="C1071" t="s">
        <v>125</v>
      </c>
      <c r="D1071" t="s">
        <v>740</v>
      </c>
      <c r="E1071" t="s">
        <v>125</v>
      </c>
      <c r="F1071">
        <v>0</v>
      </c>
      <c r="G1071" t="s">
        <v>125</v>
      </c>
      <c r="H1071" t="s">
        <v>125</v>
      </c>
      <c r="I1071" t="s">
        <v>125</v>
      </c>
      <c r="J1071" t="s">
        <v>125</v>
      </c>
      <c r="K1071" t="s">
        <v>125</v>
      </c>
      <c r="L1071" t="s">
        <v>125</v>
      </c>
      <c r="M1071" t="s">
        <v>1724</v>
      </c>
      <c r="N1071" t="b">
        <v>0</v>
      </c>
    </row>
    <row r="1072" spans="1:14">
      <c r="A1072">
        <v>65</v>
      </c>
      <c r="B1072">
        <v>0</v>
      </c>
      <c r="C1072" t="s">
        <v>215</v>
      </c>
      <c r="D1072" t="s">
        <v>723</v>
      </c>
      <c r="E1072" t="s">
        <v>64</v>
      </c>
      <c r="F1072">
        <v>60</v>
      </c>
      <c r="G1072" t="s">
        <v>125</v>
      </c>
      <c r="H1072" t="s">
        <v>125</v>
      </c>
      <c r="I1072" t="s">
        <v>64</v>
      </c>
      <c r="J1072" t="s">
        <v>125</v>
      </c>
      <c r="K1072" t="s">
        <v>125</v>
      </c>
      <c r="L1072" t="s">
        <v>125</v>
      </c>
      <c r="M1072" t="s">
        <v>1725</v>
      </c>
      <c r="N1072" t="b">
        <v>0</v>
      </c>
    </row>
    <row r="1073" spans="1:14">
      <c r="A1073">
        <v>65</v>
      </c>
      <c r="B1073">
        <v>1</v>
      </c>
      <c r="C1073" t="s">
        <v>216</v>
      </c>
      <c r="D1073" t="s">
        <v>723</v>
      </c>
      <c r="E1073" t="s">
        <v>76</v>
      </c>
      <c r="F1073">
        <v>60</v>
      </c>
      <c r="G1073" t="s">
        <v>125</v>
      </c>
      <c r="H1073" t="s">
        <v>125</v>
      </c>
      <c r="I1073" t="s">
        <v>76</v>
      </c>
      <c r="J1073" t="s">
        <v>125</v>
      </c>
      <c r="K1073" t="s">
        <v>125</v>
      </c>
      <c r="L1073" t="s">
        <v>125</v>
      </c>
      <c r="M1073" t="s">
        <v>1726</v>
      </c>
      <c r="N1073" t="b">
        <v>0</v>
      </c>
    </row>
    <row r="1074" spans="1:14">
      <c r="A1074">
        <v>65</v>
      </c>
      <c r="B1074">
        <v>2</v>
      </c>
      <c r="C1074" t="s">
        <v>267</v>
      </c>
      <c r="D1074" t="s">
        <v>723</v>
      </c>
      <c r="E1074" t="s">
        <v>82</v>
      </c>
      <c r="F1074">
        <v>30</v>
      </c>
      <c r="G1074" t="s">
        <v>125</v>
      </c>
      <c r="H1074" t="s">
        <v>125</v>
      </c>
      <c r="I1074" t="s">
        <v>82</v>
      </c>
      <c r="J1074" t="s">
        <v>125</v>
      </c>
      <c r="K1074" t="s">
        <v>125</v>
      </c>
      <c r="L1074" t="s">
        <v>125</v>
      </c>
      <c r="M1074" t="s">
        <v>1727</v>
      </c>
      <c r="N1074" t="b">
        <v>0</v>
      </c>
    </row>
    <row r="1075" spans="1:14">
      <c r="A1075">
        <v>65</v>
      </c>
      <c r="B1075">
        <v>3</v>
      </c>
      <c r="C1075" t="s">
        <v>250</v>
      </c>
      <c r="D1075" t="s">
        <v>723</v>
      </c>
      <c r="E1075" t="s">
        <v>98</v>
      </c>
      <c r="F1075">
        <v>40</v>
      </c>
      <c r="G1075" t="s">
        <v>125</v>
      </c>
      <c r="H1075" t="s">
        <v>125</v>
      </c>
      <c r="I1075" t="s">
        <v>98</v>
      </c>
      <c r="J1075" t="s">
        <v>125</v>
      </c>
      <c r="K1075" t="s">
        <v>125</v>
      </c>
      <c r="L1075" t="s">
        <v>125</v>
      </c>
      <c r="M1075" t="s">
        <v>1728</v>
      </c>
      <c r="N1075" t="b">
        <v>0</v>
      </c>
    </row>
    <row r="1076" spans="1:14">
      <c r="A1076">
        <v>65</v>
      </c>
      <c r="B1076">
        <v>4</v>
      </c>
      <c r="C1076" t="s">
        <v>218</v>
      </c>
      <c r="D1076" t="s">
        <v>723</v>
      </c>
      <c r="E1076" t="s">
        <v>100</v>
      </c>
      <c r="F1076">
        <v>60</v>
      </c>
      <c r="G1076" t="s">
        <v>125</v>
      </c>
      <c r="H1076" t="s">
        <v>125</v>
      </c>
      <c r="I1076" t="s">
        <v>100</v>
      </c>
      <c r="J1076" t="s">
        <v>125</v>
      </c>
      <c r="K1076" t="s">
        <v>125</v>
      </c>
      <c r="L1076" t="s">
        <v>125</v>
      </c>
      <c r="M1076" t="s">
        <v>1729</v>
      </c>
      <c r="N1076" t="b">
        <v>0</v>
      </c>
    </row>
    <row r="1077" spans="1:14">
      <c r="A1077">
        <v>65</v>
      </c>
      <c r="B1077">
        <v>5</v>
      </c>
      <c r="C1077" t="s">
        <v>274</v>
      </c>
      <c r="D1077" t="s">
        <v>723</v>
      </c>
      <c r="E1077" t="s">
        <v>102</v>
      </c>
      <c r="F1077">
        <v>30</v>
      </c>
      <c r="G1077" t="s">
        <v>125</v>
      </c>
      <c r="H1077" t="s">
        <v>125</v>
      </c>
      <c r="I1077" t="s">
        <v>102</v>
      </c>
      <c r="J1077" t="s">
        <v>125</v>
      </c>
      <c r="K1077" t="s">
        <v>125</v>
      </c>
      <c r="L1077" t="s">
        <v>125</v>
      </c>
      <c r="M1077" t="s">
        <v>1730</v>
      </c>
      <c r="N1077" t="b">
        <v>0</v>
      </c>
    </row>
    <row r="1078" spans="1:14">
      <c r="A1078">
        <v>65</v>
      </c>
      <c r="B1078">
        <v>6</v>
      </c>
      <c r="C1078" t="s">
        <v>290</v>
      </c>
      <c r="D1078" t="s">
        <v>723</v>
      </c>
      <c r="E1078" t="s">
        <v>112</v>
      </c>
      <c r="F1078">
        <v>40</v>
      </c>
      <c r="G1078" t="s">
        <v>125</v>
      </c>
      <c r="H1078" t="s">
        <v>125</v>
      </c>
      <c r="I1078" t="s">
        <v>112</v>
      </c>
      <c r="J1078" t="s">
        <v>125</v>
      </c>
      <c r="K1078" t="s">
        <v>125</v>
      </c>
      <c r="L1078" t="s">
        <v>125</v>
      </c>
      <c r="M1078" t="s">
        <v>1731</v>
      </c>
      <c r="N1078" t="b">
        <v>0</v>
      </c>
    </row>
    <row r="1079" spans="1:14">
      <c r="A1079">
        <v>65</v>
      </c>
      <c r="B1079">
        <v>7</v>
      </c>
      <c r="C1079" t="s">
        <v>287</v>
      </c>
      <c r="D1079" t="s">
        <v>723</v>
      </c>
      <c r="E1079" t="s">
        <v>330</v>
      </c>
      <c r="F1079">
        <v>40</v>
      </c>
      <c r="G1079" t="s">
        <v>125</v>
      </c>
      <c r="H1079" t="s">
        <v>547</v>
      </c>
      <c r="I1079" t="s">
        <v>444</v>
      </c>
      <c r="J1079" t="s">
        <v>125</v>
      </c>
      <c r="K1079" t="s">
        <v>920</v>
      </c>
      <c r="L1079" t="s">
        <v>921</v>
      </c>
      <c r="M1079" t="s">
        <v>1732</v>
      </c>
      <c r="N1079" t="b">
        <v>0</v>
      </c>
    </row>
    <row r="1080" spans="1:14">
      <c r="A1080">
        <v>65</v>
      </c>
      <c r="B1080">
        <v>8</v>
      </c>
      <c r="C1080" t="s">
        <v>275</v>
      </c>
      <c r="D1080" t="s">
        <v>723</v>
      </c>
      <c r="E1080" t="s">
        <v>73</v>
      </c>
      <c r="F1080">
        <v>40</v>
      </c>
      <c r="G1080" t="s">
        <v>125</v>
      </c>
      <c r="H1080" t="s">
        <v>125</v>
      </c>
      <c r="I1080" t="s">
        <v>73</v>
      </c>
      <c r="J1080" t="s">
        <v>125</v>
      </c>
      <c r="K1080" t="s">
        <v>125</v>
      </c>
      <c r="L1080" t="s">
        <v>125</v>
      </c>
      <c r="M1080" t="s">
        <v>1733</v>
      </c>
      <c r="N1080" t="b">
        <v>0</v>
      </c>
    </row>
    <row r="1081" spans="1:14">
      <c r="A1081">
        <v>65</v>
      </c>
      <c r="B1081">
        <v>9</v>
      </c>
      <c r="C1081" t="s">
        <v>288</v>
      </c>
      <c r="D1081" t="s">
        <v>723</v>
      </c>
      <c r="E1081" t="s">
        <v>77</v>
      </c>
      <c r="F1081">
        <v>30</v>
      </c>
      <c r="G1081" t="s">
        <v>125</v>
      </c>
      <c r="H1081" t="s">
        <v>125</v>
      </c>
      <c r="I1081" t="s">
        <v>77</v>
      </c>
      <c r="J1081" t="s">
        <v>125</v>
      </c>
      <c r="K1081" t="s">
        <v>125</v>
      </c>
      <c r="L1081" t="s">
        <v>125</v>
      </c>
      <c r="M1081" t="s">
        <v>1734</v>
      </c>
      <c r="N1081" t="b">
        <v>0</v>
      </c>
    </row>
    <row r="1082" spans="1:14">
      <c r="A1082">
        <v>65</v>
      </c>
      <c r="B1082">
        <v>10</v>
      </c>
      <c r="C1082" t="s">
        <v>319</v>
      </c>
      <c r="D1082" t="s">
        <v>723</v>
      </c>
      <c r="E1082" t="s">
        <v>105</v>
      </c>
      <c r="F1082">
        <v>30</v>
      </c>
      <c r="G1082" t="s">
        <v>125</v>
      </c>
      <c r="H1082" t="s">
        <v>125</v>
      </c>
      <c r="I1082" t="s">
        <v>105</v>
      </c>
      <c r="J1082" t="s">
        <v>125</v>
      </c>
      <c r="K1082" t="s">
        <v>125</v>
      </c>
      <c r="L1082" t="s">
        <v>125</v>
      </c>
      <c r="M1082" t="s">
        <v>1735</v>
      </c>
      <c r="N1082" t="b">
        <v>0</v>
      </c>
    </row>
    <row r="1083" spans="1:14">
      <c r="A1083">
        <v>65</v>
      </c>
      <c r="B1083">
        <v>11</v>
      </c>
      <c r="C1083" t="s">
        <v>231</v>
      </c>
      <c r="D1083" t="s">
        <v>723</v>
      </c>
      <c r="E1083" t="s">
        <v>107</v>
      </c>
      <c r="F1083">
        <v>50</v>
      </c>
      <c r="G1083" t="s">
        <v>125</v>
      </c>
      <c r="H1083" t="s">
        <v>125</v>
      </c>
      <c r="I1083" t="s">
        <v>107</v>
      </c>
      <c r="J1083" t="s">
        <v>125</v>
      </c>
      <c r="K1083" t="s">
        <v>125</v>
      </c>
      <c r="L1083" t="s">
        <v>125</v>
      </c>
      <c r="M1083" t="s">
        <v>1736</v>
      </c>
      <c r="N1083" t="b">
        <v>0</v>
      </c>
    </row>
    <row r="1084" spans="1:14">
      <c r="A1084">
        <v>65</v>
      </c>
      <c r="B1084">
        <v>12</v>
      </c>
      <c r="C1084" t="s">
        <v>125</v>
      </c>
      <c r="D1084" t="s">
        <v>723</v>
      </c>
      <c r="E1084" t="s">
        <v>125</v>
      </c>
      <c r="F1084">
        <v>0</v>
      </c>
      <c r="G1084" t="s">
        <v>125</v>
      </c>
      <c r="H1084" t="s">
        <v>125</v>
      </c>
      <c r="I1084" t="s">
        <v>125</v>
      </c>
      <c r="J1084" t="s">
        <v>125</v>
      </c>
      <c r="K1084" t="s">
        <v>125</v>
      </c>
      <c r="L1084" t="s">
        <v>125</v>
      </c>
      <c r="M1084" t="s">
        <v>1737</v>
      </c>
      <c r="N1084" t="b">
        <v>0</v>
      </c>
    </row>
    <row r="1085" spans="1:14">
      <c r="A1085">
        <v>65</v>
      </c>
      <c r="B1085">
        <v>13</v>
      </c>
      <c r="C1085" t="s">
        <v>125</v>
      </c>
      <c r="D1085" t="s">
        <v>723</v>
      </c>
      <c r="E1085" t="s">
        <v>125</v>
      </c>
      <c r="F1085">
        <v>0</v>
      </c>
      <c r="G1085" t="s">
        <v>125</v>
      </c>
      <c r="H1085" t="s">
        <v>125</v>
      </c>
      <c r="I1085" t="s">
        <v>125</v>
      </c>
      <c r="J1085" t="s">
        <v>125</v>
      </c>
      <c r="K1085" t="s">
        <v>125</v>
      </c>
      <c r="L1085" t="s">
        <v>125</v>
      </c>
      <c r="M1085" t="s">
        <v>1738</v>
      </c>
      <c r="N1085" t="b">
        <v>0</v>
      </c>
    </row>
    <row r="1086" spans="1:14">
      <c r="A1086">
        <v>65</v>
      </c>
      <c r="B1086">
        <v>14</v>
      </c>
      <c r="C1086" t="s">
        <v>125</v>
      </c>
      <c r="D1086" t="s">
        <v>723</v>
      </c>
      <c r="E1086" t="s">
        <v>125</v>
      </c>
      <c r="F1086">
        <v>0</v>
      </c>
      <c r="G1086" t="s">
        <v>125</v>
      </c>
      <c r="H1086" t="s">
        <v>125</v>
      </c>
      <c r="I1086" t="s">
        <v>125</v>
      </c>
      <c r="J1086" t="s">
        <v>125</v>
      </c>
      <c r="K1086" t="s">
        <v>125</v>
      </c>
      <c r="L1086" t="s">
        <v>125</v>
      </c>
      <c r="M1086" t="s">
        <v>1739</v>
      </c>
      <c r="N1086" t="b">
        <v>0</v>
      </c>
    </row>
    <row r="1087" spans="1:14">
      <c r="A1087">
        <v>65</v>
      </c>
      <c r="B1087">
        <v>15</v>
      </c>
      <c r="C1087" t="s">
        <v>125</v>
      </c>
      <c r="D1087" t="s">
        <v>723</v>
      </c>
      <c r="E1087" t="s">
        <v>125</v>
      </c>
      <c r="F1087">
        <v>0</v>
      </c>
      <c r="G1087" t="s">
        <v>125</v>
      </c>
      <c r="H1087" t="s">
        <v>125</v>
      </c>
      <c r="I1087" t="s">
        <v>125</v>
      </c>
      <c r="J1087" t="s">
        <v>125</v>
      </c>
      <c r="K1087" t="s">
        <v>125</v>
      </c>
      <c r="L1087" t="s">
        <v>125</v>
      </c>
      <c r="M1087" t="s">
        <v>1740</v>
      </c>
      <c r="N1087" t="b">
        <v>0</v>
      </c>
    </row>
    <row r="1088" spans="1:14">
      <c r="A1088">
        <v>65</v>
      </c>
      <c r="B1088">
        <v>16</v>
      </c>
      <c r="C1088" t="s">
        <v>217</v>
      </c>
      <c r="D1088" t="s">
        <v>740</v>
      </c>
      <c r="E1088" t="s">
        <v>94</v>
      </c>
      <c r="F1088">
        <v>40</v>
      </c>
      <c r="G1088" t="s">
        <v>125</v>
      </c>
      <c r="H1088" t="s">
        <v>125</v>
      </c>
      <c r="I1088" t="s">
        <v>94</v>
      </c>
      <c r="J1088" t="s">
        <v>125</v>
      </c>
      <c r="K1088" t="s">
        <v>125</v>
      </c>
      <c r="L1088" t="s">
        <v>125</v>
      </c>
      <c r="M1088" t="s">
        <v>1741</v>
      </c>
      <c r="N1088" t="b">
        <v>0</v>
      </c>
    </row>
    <row r="1089" spans="1:14">
      <c r="A1089">
        <v>65</v>
      </c>
      <c r="B1089">
        <v>17</v>
      </c>
      <c r="C1089" t="s">
        <v>159</v>
      </c>
      <c r="D1089" t="s">
        <v>740</v>
      </c>
      <c r="E1089" t="s">
        <v>296</v>
      </c>
      <c r="F1089">
        <v>40</v>
      </c>
      <c r="G1089" t="s">
        <v>759</v>
      </c>
      <c r="H1089" t="s">
        <v>125</v>
      </c>
      <c r="I1089" t="s">
        <v>125</v>
      </c>
      <c r="J1089" t="s">
        <v>760</v>
      </c>
      <c r="K1089" t="s">
        <v>761</v>
      </c>
      <c r="L1089" t="s">
        <v>762</v>
      </c>
      <c r="M1089" t="s">
        <v>1742</v>
      </c>
      <c r="N1089" t="b">
        <v>0</v>
      </c>
    </row>
    <row r="1090" spans="1:14">
      <c r="A1090">
        <v>65</v>
      </c>
      <c r="B1090">
        <v>18</v>
      </c>
      <c r="C1090" t="s">
        <v>197</v>
      </c>
      <c r="D1090" t="s">
        <v>740</v>
      </c>
      <c r="E1090" t="s">
        <v>112</v>
      </c>
      <c r="F1090">
        <v>50</v>
      </c>
      <c r="G1090" t="s">
        <v>125</v>
      </c>
      <c r="H1090" t="s">
        <v>125</v>
      </c>
      <c r="I1090" t="s">
        <v>112</v>
      </c>
      <c r="J1090" t="s">
        <v>125</v>
      </c>
      <c r="K1090" t="s">
        <v>125</v>
      </c>
      <c r="L1090" t="s">
        <v>125</v>
      </c>
      <c r="M1090" t="s">
        <v>1743</v>
      </c>
      <c r="N1090" t="b">
        <v>1</v>
      </c>
    </row>
    <row r="1091" spans="1:14">
      <c r="A1091">
        <v>65</v>
      </c>
      <c r="B1091">
        <v>19</v>
      </c>
      <c r="C1091" t="s">
        <v>168</v>
      </c>
      <c r="D1091" t="s">
        <v>740</v>
      </c>
      <c r="E1091" t="s">
        <v>97</v>
      </c>
      <c r="F1091">
        <v>60</v>
      </c>
      <c r="G1091" t="s">
        <v>125</v>
      </c>
      <c r="H1091" t="s">
        <v>125</v>
      </c>
      <c r="I1091" t="s">
        <v>97</v>
      </c>
      <c r="J1091" t="s">
        <v>125</v>
      </c>
      <c r="K1091" t="s">
        <v>125</v>
      </c>
      <c r="L1091" t="s">
        <v>125</v>
      </c>
      <c r="M1091" t="s">
        <v>1744</v>
      </c>
      <c r="N1091" t="b">
        <v>0</v>
      </c>
    </row>
    <row r="1092" spans="1:14">
      <c r="A1092">
        <v>65</v>
      </c>
      <c r="B1092">
        <v>20</v>
      </c>
      <c r="C1092" t="s">
        <v>176</v>
      </c>
      <c r="D1092" t="s">
        <v>740</v>
      </c>
      <c r="E1092" t="s">
        <v>99</v>
      </c>
      <c r="F1092">
        <v>40</v>
      </c>
      <c r="G1092" t="s">
        <v>125</v>
      </c>
      <c r="H1092" t="s">
        <v>125</v>
      </c>
      <c r="I1092" t="s">
        <v>99</v>
      </c>
      <c r="J1092" t="s">
        <v>125</v>
      </c>
      <c r="K1092" t="s">
        <v>125</v>
      </c>
      <c r="L1092" t="s">
        <v>125</v>
      </c>
      <c r="M1092" t="s">
        <v>1745</v>
      </c>
      <c r="N1092" t="b">
        <v>0</v>
      </c>
    </row>
    <row r="1093" spans="1:14">
      <c r="A1093">
        <v>65</v>
      </c>
      <c r="B1093">
        <v>21</v>
      </c>
      <c r="C1093" t="s">
        <v>291</v>
      </c>
      <c r="D1093" t="s">
        <v>740</v>
      </c>
      <c r="E1093" t="s">
        <v>106</v>
      </c>
      <c r="F1093">
        <v>60</v>
      </c>
      <c r="G1093" t="s">
        <v>125</v>
      </c>
      <c r="H1093" t="s">
        <v>125</v>
      </c>
      <c r="I1093" t="s">
        <v>106</v>
      </c>
      <c r="J1093" t="s">
        <v>125</v>
      </c>
      <c r="K1093" t="s">
        <v>125</v>
      </c>
      <c r="L1093" t="s">
        <v>125</v>
      </c>
      <c r="M1093" t="s">
        <v>1746</v>
      </c>
      <c r="N1093" t="b">
        <v>0</v>
      </c>
    </row>
    <row r="1094" spans="1:14">
      <c r="A1094">
        <v>65</v>
      </c>
      <c r="B1094">
        <v>22</v>
      </c>
      <c r="C1094" t="s">
        <v>125</v>
      </c>
      <c r="D1094" t="s">
        <v>740</v>
      </c>
      <c r="E1094" t="s">
        <v>125</v>
      </c>
      <c r="F1094">
        <v>0</v>
      </c>
      <c r="G1094" t="s">
        <v>125</v>
      </c>
      <c r="H1094" t="s">
        <v>125</v>
      </c>
      <c r="I1094" t="s">
        <v>125</v>
      </c>
      <c r="J1094" t="s">
        <v>125</v>
      </c>
      <c r="K1094" t="s">
        <v>125</v>
      </c>
      <c r="L1094" t="s">
        <v>125</v>
      </c>
      <c r="M1094" t="s">
        <v>1747</v>
      </c>
      <c r="N1094" t="b">
        <v>0</v>
      </c>
    </row>
    <row r="1095" spans="1:14">
      <c r="A1095">
        <v>65</v>
      </c>
      <c r="B1095">
        <v>23</v>
      </c>
      <c r="C1095" t="s">
        <v>125</v>
      </c>
      <c r="D1095" t="s">
        <v>740</v>
      </c>
      <c r="E1095" t="s">
        <v>125</v>
      </c>
      <c r="F1095">
        <v>0</v>
      </c>
      <c r="G1095" t="s">
        <v>125</v>
      </c>
      <c r="H1095" t="s">
        <v>125</v>
      </c>
      <c r="I1095" t="s">
        <v>125</v>
      </c>
      <c r="J1095" t="s">
        <v>125</v>
      </c>
      <c r="K1095" t="s">
        <v>125</v>
      </c>
      <c r="L1095" t="s">
        <v>125</v>
      </c>
      <c r="M1095" t="s">
        <v>1748</v>
      </c>
      <c r="N1095" t="b">
        <v>0</v>
      </c>
    </row>
    <row r="1096" spans="1:14">
      <c r="A1096">
        <v>65</v>
      </c>
      <c r="B1096">
        <v>24</v>
      </c>
      <c r="C1096" t="s">
        <v>125</v>
      </c>
      <c r="D1096" t="s">
        <v>740</v>
      </c>
      <c r="E1096" t="s">
        <v>125</v>
      </c>
      <c r="F1096">
        <v>0</v>
      </c>
      <c r="G1096" t="s">
        <v>125</v>
      </c>
      <c r="H1096" t="s">
        <v>125</v>
      </c>
      <c r="I1096" t="s">
        <v>125</v>
      </c>
      <c r="J1096" t="s">
        <v>125</v>
      </c>
      <c r="K1096" t="s">
        <v>125</v>
      </c>
      <c r="L1096" t="s">
        <v>125</v>
      </c>
      <c r="M1096" t="s">
        <v>1749</v>
      </c>
      <c r="N1096" t="b">
        <v>0</v>
      </c>
    </row>
    <row r="1097" spans="1:14">
      <c r="A1097">
        <v>65</v>
      </c>
      <c r="B1097">
        <v>25</v>
      </c>
      <c r="C1097" t="s">
        <v>125</v>
      </c>
      <c r="D1097" t="s">
        <v>740</v>
      </c>
      <c r="E1097" t="s">
        <v>125</v>
      </c>
      <c r="F1097">
        <v>0</v>
      </c>
      <c r="G1097" t="s">
        <v>125</v>
      </c>
      <c r="H1097" t="s">
        <v>125</v>
      </c>
      <c r="I1097" t="s">
        <v>125</v>
      </c>
      <c r="J1097" t="s">
        <v>125</v>
      </c>
      <c r="K1097" t="s">
        <v>125</v>
      </c>
      <c r="L1097" t="s">
        <v>125</v>
      </c>
      <c r="M1097" t="s">
        <v>1750</v>
      </c>
      <c r="N1097" t="b">
        <v>0</v>
      </c>
    </row>
    <row r="1098" spans="1:14">
      <c r="A1098">
        <v>65</v>
      </c>
      <c r="B1098">
        <v>26</v>
      </c>
      <c r="C1098" t="s">
        <v>125</v>
      </c>
      <c r="D1098" t="s">
        <v>740</v>
      </c>
      <c r="E1098" t="s">
        <v>125</v>
      </c>
      <c r="F1098">
        <v>0</v>
      </c>
      <c r="G1098" t="s">
        <v>125</v>
      </c>
      <c r="H1098" t="s">
        <v>125</v>
      </c>
      <c r="I1098" t="s">
        <v>125</v>
      </c>
      <c r="J1098" t="s">
        <v>125</v>
      </c>
      <c r="K1098" t="s">
        <v>125</v>
      </c>
      <c r="L1098" t="s">
        <v>125</v>
      </c>
      <c r="M1098" t="s">
        <v>1751</v>
      </c>
      <c r="N1098" t="b">
        <v>0</v>
      </c>
    </row>
    <row r="1099" spans="1:14">
      <c r="A1099">
        <v>66</v>
      </c>
      <c r="B1099">
        <v>0</v>
      </c>
      <c r="C1099" t="s">
        <v>185</v>
      </c>
      <c r="D1099" t="s">
        <v>723</v>
      </c>
      <c r="E1099" t="s">
        <v>64</v>
      </c>
      <c r="F1099">
        <v>50</v>
      </c>
      <c r="G1099" t="s">
        <v>125</v>
      </c>
      <c r="H1099" t="s">
        <v>125</v>
      </c>
      <c r="I1099" t="s">
        <v>64</v>
      </c>
      <c r="J1099" t="s">
        <v>125</v>
      </c>
      <c r="K1099" t="s">
        <v>125</v>
      </c>
      <c r="L1099" t="s">
        <v>125</v>
      </c>
      <c r="M1099" t="s">
        <v>1752</v>
      </c>
      <c r="N1099" t="b">
        <v>0</v>
      </c>
    </row>
    <row r="1100" spans="1:14">
      <c r="A1100">
        <v>66</v>
      </c>
      <c r="B1100">
        <v>1</v>
      </c>
      <c r="C1100" t="s">
        <v>216</v>
      </c>
      <c r="D1100" t="s">
        <v>723</v>
      </c>
      <c r="E1100" t="s">
        <v>76</v>
      </c>
      <c r="F1100">
        <v>60</v>
      </c>
      <c r="G1100" t="s">
        <v>125</v>
      </c>
      <c r="H1100" t="s">
        <v>125</v>
      </c>
      <c r="I1100" t="s">
        <v>76</v>
      </c>
      <c r="J1100" t="s">
        <v>125</v>
      </c>
      <c r="K1100" t="s">
        <v>125</v>
      </c>
      <c r="L1100" t="s">
        <v>125</v>
      </c>
      <c r="M1100" t="s">
        <v>1753</v>
      </c>
      <c r="N1100" t="b">
        <v>0</v>
      </c>
    </row>
    <row r="1101" spans="1:14">
      <c r="A1101">
        <v>66</v>
      </c>
      <c r="B1101">
        <v>2</v>
      </c>
      <c r="C1101" t="s">
        <v>217</v>
      </c>
      <c r="D1101" t="s">
        <v>723</v>
      </c>
      <c r="E1101" t="s">
        <v>94</v>
      </c>
      <c r="F1101">
        <v>40</v>
      </c>
      <c r="G1101" t="s">
        <v>125</v>
      </c>
      <c r="H1101" t="s">
        <v>125</v>
      </c>
      <c r="I1101" t="s">
        <v>94</v>
      </c>
      <c r="J1101" t="s">
        <v>125</v>
      </c>
      <c r="K1101" t="s">
        <v>125</v>
      </c>
      <c r="L1101" t="s">
        <v>125</v>
      </c>
      <c r="M1101" t="s">
        <v>1754</v>
      </c>
      <c r="N1101" t="b">
        <v>0</v>
      </c>
    </row>
    <row r="1102" spans="1:14">
      <c r="A1102">
        <v>66</v>
      </c>
      <c r="B1102">
        <v>3</v>
      </c>
      <c r="C1102" t="s">
        <v>218</v>
      </c>
      <c r="D1102" t="s">
        <v>723</v>
      </c>
      <c r="E1102" t="s">
        <v>100</v>
      </c>
      <c r="F1102">
        <v>60</v>
      </c>
      <c r="G1102" t="s">
        <v>125</v>
      </c>
      <c r="H1102" t="s">
        <v>125</v>
      </c>
      <c r="I1102" t="s">
        <v>100</v>
      </c>
      <c r="J1102" t="s">
        <v>125</v>
      </c>
      <c r="K1102" t="s">
        <v>125</v>
      </c>
      <c r="L1102" t="s">
        <v>125</v>
      </c>
      <c r="M1102" t="s">
        <v>1755</v>
      </c>
      <c r="N1102" t="b">
        <v>0</v>
      </c>
    </row>
    <row r="1103" spans="1:14">
      <c r="A1103">
        <v>66</v>
      </c>
      <c r="B1103">
        <v>4</v>
      </c>
      <c r="C1103" t="s">
        <v>197</v>
      </c>
      <c r="D1103" t="s">
        <v>723</v>
      </c>
      <c r="E1103" t="s">
        <v>112</v>
      </c>
      <c r="F1103">
        <v>50</v>
      </c>
      <c r="G1103" t="s">
        <v>125</v>
      </c>
      <c r="H1103" t="s">
        <v>125</v>
      </c>
      <c r="I1103" t="s">
        <v>112</v>
      </c>
      <c r="J1103" t="s">
        <v>125</v>
      </c>
      <c r="K1103" t="s">
        <v>125</v>
      </c>
      <c r="L1103" t="s">
        <v>125</v>
      </c>
      <c r="M1103" t="s">
        <v>1756</v>
      </c>
      <c r="N1103" t="b">
        <v>0</v>
      </c>
    </row>
    <row r="1104" spans="1:14">
      <c r="A1104">
        <v>66</v>
      </c>
      <c r="B1104">
        <v>5</v>
      </c>
      <c r="C1104" t="s">
        <v>219</v>
      </c>
      <c r="D1104" t="s">
        <v>723</v>
      </c>
      <c r="E1104" t="s">
        <v>67</v>
      </c>
      <c r="F1104">
        <v>50</v>
      </c>
      <c r="G1104" t="s">
        <v>125</v>
      </c>
      <c r="H1104" t="s">
        <v>125</v>
      </c>
      <c r="I1104" t="s">
        <v>67</v>
      </c>
      <c r="J1104" t="s">
        <v>125</v>
      </c>
      <c r="K1104" t="s">
        <v>125</v>
      </c>
      <c r="L1104" t="s">
        <v>125</v>
      </c>
      <c r="M1104" t="s">
        <v>1757</v>
      </c>
      <c r="N1104" t="b">
        <v>0</v>
      </c>
    </row>
    <row r="1105" spans="1:14">
      <c r="A1105">
        <v>66</v>
      </c>
      <c r="B1105">
        <v>6</v>
      </c>
      <c r="C1105" t="s">
        <v>220</v>
      </c>
      <c r="D1105" t="s">
        <v>723</v>
      </c>
      <c r="E1105" t="s">
        <v>330</v>
      </c>
      <c r="F1105">
        <v>60</v>
      </c>
      <c r="G1105" t="s">
        <v>125</v>
      </c>
      <c r="H1105" t="s">
        <v>547</v>
      </c>
      <c r="I1105" t="s">
        <v>444</v>
      </c>
      <c r="J1105" t="s">
        <v>125</v>
      </c>
      <c r="K1105" t="s">
        <v>920</v>
      </c>
      <c r="L1105" t="s">
        <v>921</v>
      </c>
      <c r="M1105" t="s">
        <v>1758</v>
      </c>
      <c r="N1105" t="b">
        <v>0</v>
      </c>
    </row>
    <row r="1106" spans="1:14">
      <c r="A1106">
        <v>66</v>
      </c>
      <c r="B1106">
        <v>7</v>
      </c>
      <c r="C1106" t="s">
        <v>166</v>
      </c>
      <c r="D1106" t="s">
        <v>723</v>
      </c>
      <c r="E1106" t="s">
        <v>73</v>
      </c>
      <c r="F1106">
        <v>50</v>
      </c>
      <c r="G1106" t="s">
        <v>125</v>
      </c>
      <c r="H1106" t="s">
        <v>125</v>
      </c>
      <c r="I1106" t="s">
        <v>73</v>
      </c>
      <c r="J1106" t="s">
        <v>125</v>
      </c>
      <c r="K1106" t="s">
        <v>125</v>
      </c>
      <c r="L1106" t="s">
        <v>125</v>
      </c>
      <c r="M1106" t="s">
        <v>1759</v>
      </c>
      <c r="N1106" t="b">
        <v>0</v>
      </c>
    </row>
    <row r="1107" spans="1:14">
      <c r="A1107">
        <v>66</v>
      </c>
      <c r="B1107">
        <v>8</v>
      </c>
      <c r="C1107" t="s">
        <v>162</v>
      </c>
      <c r="D1107" t="s">
        <v>723</v>
      </c>
      <c r="E1107" t="s">
        <v>77</v>
      </c>
      <c r="F1107">
        <v>40</v>
      </c>
      <c r="G1107" t="s">
        <v>125</v>
      </c>
      <c r="H1107" t="s">
        <v>125</v>
      </c>
      <c r="I1107" t="s">
        <v>77</v>
      </c>
      <c r="J1107" t="s">
        <v>125</v>
      </c>
      <c r="K1107" t="s">
        <v>125</v>
      </c>
      <c r="L1107" t="s">
        <v>125</v>
      </c>
      <c r="M1107" t="s">
        <v>1760</v>
      </c>
      <c r="N1107" t="b">
        <v>0</v>
      </c>
    </row>
    <row r="1108" spans="1:14">
      <c r="A1108">
        <v>66</v>
      </c>
      <c r="B1108">
        <v>9</v>
      </c>
      <c r="C1108" t="s">
        <v>387</v>
      </c>
      <c r="D1108" t="s">
        <v>723</v>
      </c>
      <c r="E1108" t="s">
        <v>357</v>
      </c>
      <c r="F1108">
        <v>40</v>
      </c>
      <c r="G1108" t="s">
        <v>125</v>
      </c>
      <c r="H1108" t="s">
        <v>562</v>
      </c>
      <c r="I1108" t="s">
        <v>1622</v>
      </c>
      <c r="J1108" t="s">
        <v>125</v>
      </c>
      <c r="K1108" t="s">
        <v>1163</v>
      </c>
      <c r="L1108" t="s">
        <v>1164</v>
      </c>
      <c r="M1108" t="s">
        <v>1761</v>
      </c>
      <c r="N1108" t="b">
        <v>0</v>
      </c>
    </row>
    <row r="1109" spans="1:14">
      <c r="A1109">
        <v>66</v>
      </c>
      <c r="B1109">
        <v>10</v>
      </c>
      <c r="C1109" t="s">
        <v>221</v>
      </c>
      <c r="D1109" t="s">
        <v>723</v>
      </c>
      <c r="E1109" t="s">
        <v>101</v>
      </c>
      <c r="F1109">
        <v>50</v>
      </c>
      <c r="G1109" t="s">
        <v>125</v>
      </c>
      <c r="H1109" t="s">
        <v>125</v>
      </c>
      <c r="I1109" t="s">
        <v>101</v>
      </c>
      <c r="J1109" t="s">
        <v>125</v>
      </c>
      <c r="K1109" t="s">
        <v>125</v>
      </c>
      <c r="L1109" t="s">
        <v>125</v>
      </c>
      <c r="M1109" t="s">
        <v>1762</v>
      </c>
      <c r="N1109" t="b">
        <v>0</v>
      </c>
    </row>
    <row r="1110" spans="1:14">
      <c r="A1110">
        <v>66</v>
      </c>
      <c r="B1110">
        <v>11</v>
      </c>
      <c r="C1110" t="s">
        <v>169</v>
      </c>
      <c r="D1110" t="s">
        <v>723</v>
      </c>
      <c r="E1110" t="s">
        <v>105</v>
      </c>
      <c r="F1110">
        <v>50</v>
      </c>
      <c r="G1110" t="s">
        <v>125</v>
      </c>
      <c r="H1110" t="s">
        <v>125</v>
      </c>
      <c r="I1110" t="s">
        <v>105</v>
      </c>
      <c r="J1110" t="s">
        <v>125</v>
      </c>
      <c r="K1110" t="s">
        <v>125</v>
      </c>
      <c r="L1110" t="s">
        <v>125</v>
      </c>
      <c r="M1110" t="s">
        <v>1763</v>
      </c>
      <c r="N1110" t="b">
        <v>0</v>
      </c>
    </row>
    <row r="1111" spans="1:14">
      <c r="A1111">
        <v>66</v>
      </c>
      <c r="B1111">
        <v>12</v>
      </c>
      <c r="C1111" t="s">
        <v>222</v>
      </c>
      <c r="D1111" t="s">
        <v>723</v>
      </c>
      <c r="E1111" t="s">
        <v>106</v>
      </c>
      <c r="F1111">
        <v>50</v>
      </c>
      <c r="G1111" t="s">
        <v>125</v>
      </c>
      <c r="H1111" t="s">
        <v>125</v>
      </c>
      <c r="I1111" t="s">
        <v>106</v>
      </c>
      <c r="J1111" t="s">
        <v>125</v>
      </c>
      <c r="K1111" t="s">
        <v>125</v>
      </c>
      <c r="L1111" t="s">
        <v>125</v>
      </c>
      <c r="M1111" t="s">
        <v>1764</v>
      </c>
      <c r="N1111" t="b">
        <v>0</v>
      </c>
    </row>
    <row r="1112" spans="1:14">
      <c r="A1112">
        <v>66</v>
      </c>
      <c r="B1112">
        <v>13</v>
      </c>
      <c r="C1112" t="s">
        <v>194</v>
      </c>
      <c r="D1112" t="s">
        <v>723</v>
      </c>
      <c r="E1112" t="s">
        <v>107</v>
      </c>
      <c r="F1112">
        <v>60</v>
      </c>
      <c r="G1112" t="s">
        <v>125</v>
      </c>
      <c r="H1112" t="s">
        <v>125</v>
      </c>
      <c r="I1112" t="s">
        <v>107</v>
      </c>
      <c r="J1112" t="s">
        <v>125</v>
      </c>
      <c r="K1112" t="s">
        <v>125</v>
      </c>
      <c r="L1112" t="s">
        <v>125</v>
      </c>
      <c r="M1112" t="s">
        <v>1765</v>
      </c>
      <c r="N1112" t="b">
        <v>0</v>
      </c>
    </row>
    <row r="1113" spans="1:14">
      <c r="A1113">
        <v>66</v>
      </c>
      <c r="B1113">
        <v>14</v>
      </c>
      <c r="C1113" t="s">
        <v>125</v>
      </c>
      <c r="D1113" t="s">
        <v>723</v>
      </c>
      <c r="E1113" t="s">
        <v>125</v>
      </c>
      <c r="F1113">
        <v>0</v>
      </c>
      <c r="G1113" t="s">
        <v>125</v>
      </c>
      <c r="H1113" t="s">
        <v>125</v>
      </c>
      <c r="I1113" t="s">
        <v>125</v>
      </c>
      <c r="J1113" t="s">
        <v>125</v>
      </c>
      <c r="K1113" t="s">
        <v>125</v>
      </c>
      <c r="L1113" t="s">
        <v>125</v>
      </c>
      <c r="M1113" t="s">
        <v>1766</v>
      </c>
      <c r="N1113" t="b">
        <v>0</v>
      </c>
    </row>
    <row r="1114" spans="1:14">
      <c r="A1114">
        <v>66</v>
      </c>
      <c r="B1114">
        <v>15</v>
      </c>
      <c r="C1114" t="s">
        <v>125</v>
      </c>
      <c r="D1114" t="s">
        <v>723</v>
      </c>
      <c r="E1114" t="s">
        <v>125</v>
      </c>
      <c r="F1114">
        <v>0</v>
      </c>
      <c r="G1114" t="s">
        <v>125</v>
      </c>
      <c r="H1114" t="s">
        <v>125</v>
      </c>
      <c r="I1114" t="s">
        <v>125</v>
      </c>
      <c r="J1114" t="s">
        <v>125</v>
      </c>
      <c r="K1114" t="s">
        <v>125</v>
      </c>
      <c r="L1114" t="s">
        <v>125</v>
      </c>
      <c r="M1114" t="s">
        <v>1767</v>
      </c>
      <c r="N1114" t="b">
        <v>0</v>
      </c>
    </row>
    <row r="1115" spans="1:14">
      <c r="A1115">
        <v>66</v>
      </c>
      <c r="B1115">
        <v>16</v>
      </c>
      <c r="C1115" t="s">
        <v>125</v>
      </c>
      <c r="D1115" t="s">
        <v>740</v>
      </c>
      <c r="E1115" t="s">
        <v>125</v>
      </c>
      <c r="F1115">
        <v>0</v>
      </c>
      <c r="G1115" t="s">
        <v>125</v>
      </c>
      <c r="H1115" t="s">
        <v>125</v>
      </c>
      <c r="I1115" t="s">
        <v>125</v>
      </c>
      <c r="J1115" t="s">
        <v>125</v>
      </c>
      <c r="K1115" t="s">
        <v>125</v>
      </c>
      <c r="L1115" t="s">
        <v>125</v>
      </c>
      <c r="M1115" t="s">
        <v>1768</v>
      </c>
      <c r="N1115" t="b">
        <v>0</v>
      </c>
    </row>
    <row r="1116" spans="1:14">
      <c r="A1116">
        <v>66</v>
      </c>
      <c r="B1116">
        <v>17</v>
      </c>
      <c r="C1116" t="s">
        <v>125</v>
      </c>
      <c r="D1116" t="s">
        <v>740</v>
      </c>
      <c r="E1116" t="s">
        <v>125</v>
      </c>
      <c r="F1116">
        <v>0</v>
      </c>
      <c r="G1116" t="s">
        <v>125</v>
      </c>
      <c r="H1116" t="s">
        <v>125</v>
      </c>
      <c r="I1116" t="s">
        <v>125</v>
      </c>
      <c r="J1116" t="s">
        <v>125</v>
      </c>
      <c r="K1116" t="s">
        <v>125</v>
      </c>
      <c r="L1116" t="s">
        <v>125</v>
      </c>
      <c r="M1116" t="s">
        <v>1769</v>
      </c>
      <c r="N1116" t="b">
        <v>0</v>
      </c>
    </row>
    <row r="1117" spans="1:14">
      <c r="A1117">
        <v>66</v>
      </c>
      <c r="B1117">
        <v>18</v>
      </c>
      <c r="C1117" t="s">
        <v>125</v>
      </c>
      <c r="D1117" t="s">
        <v>740</v>
      </c>
      <c r="E1117" t="s">
        <v>125</v>
      </c>
      <c r="F1117">
        <v>0</v>
      </c>
      <c r="G1117" t="s">
        <v>125</v>
      </c>
      <c r="H1117" t="s">
        <v>125</v>
      </c>
      <c r="I1117" t="s">
        <v>125</v>
      </c>
      <c r="J1117" t="s">
        <v>125</v>
      </c>
      <c r="K1117" t="s">
        <v>125</v>
      </c>
      <c r="L1117" t="s">
        <v>125</v>
      </c>
      <c r="M1117" t="s">
        <v>1770</v>
      </c>
      <c r="N1117" t="b">
        <v>0</v>
      </c>
    </row>
    <row r="1118" spans="1:14">
      <c r="A1118">
        <v>66</v>
      </c>
      <c r="B1118">
        <v>19</v>
      </c>
      <c r="C1118" t="s">
        <v>125</v>
      </c>
      <c r="D1118" t="s">
        <v>740</v>
      </c>
      <c r="E1118" t="s">
        <v>125</v>
      </c>
      <c r="F1118">
        <v>0</v>
      </c>
      <c r="G1118" t="s">
        <v>125</v>
      </c>
      <c r="H1118" t="s">
        <v>125</v>
      </c>
      <c r="I1118" t="s">
        <v>125</v>
      </c>
      <c r="J1118" t="s">
        <v>125</v>
      </c>
      <c r="K1118" t="s">
        <v>125</v>
      </c>
      <c r="L1118" t="s">
        <v>125</v>
      </c>
      <c r="M1118" t="s">
        <v>1771</v>
      </c>
      <c r="N1118" t="b">
        <v>0</v>
      </c>
    </row>
    <row r="1119" spans="1:14">
      <c r="A1119">
        <v>66</v>
      </c>
      <c r="B1119">
        <v>20</v>
      </c>
      <c r="C1119" t="s">
        <v>125</v>
      </c>
      <c r="D1119" t="s">
        <v>740</v>
      </c>
      <c r="E1119" t="s">
        <v>125</v>
      </c>
      <c r="F1119">
        <v>0</v>
      </c>
      <c r="G1119" t="s">
        <v>125</v>
      </c>
      <c r="H1119" t="s">
        <v>125</v>
      </c>
      <c r="I1119" t="s">
        <v>125</v>
      </c>
      <c r="J1119" t="s">
        <v>125</v>
      </c>
      <c r="K1119" t="s">
        <v>125</v>
      </c>
      <c r="L1119" t="s">
        <v>125</v>
      </c>
      <c r="M1119" t="s">
        <v>1772</v>
      </c>
      <c r="N1119" t="b">
        <v>0</v>
      </c>
    </row>
    <row r="1120" spans="1:14">
      <c r="A1120">
        <v>66</v>
      </c>
      <c r="B1120">
        <v>21</v>
      </c>
      <c r="C1120" t="s">
        <v>125</v>
      </c>
      <c r="D1120" t="s">
        <v>740</v>
      </c>
      <c r="E1120" t="s">
        <v>125</v>
      </c>
      <c r="F1120">
        <v>0</v>
      </c>
      <c r="G1120" t="s">
        <v>125</v>
      </c>
      <c r="H1120" t="s">
        <v>125</v>
      </c>
      <c r="I1120" t="s">
        <v>125</v>
      </c>
      <c r="J1120" t="s">
        <v>125</v>
      </c>
      <c r="K1120" t="s">
        <v>125</v>
      </c>
      <c r="L1120" t="s">
        <v>125</v>
      </c>
      <c r="M1120" t="s">
        <v>1773</v>
      </c>
      <c r="N1120" t="b">
        <v>0</v>
      </c>
    </row>
    <row r="1121" spans="1:14">
      <c r="A1121">
        <v>66</v>
      </c>
      <c r="B1121">
        <v>22</v>
      </c>
      <c r="C1121" t="s">
        <v>125</v>
      </c>
      <c r="D1121" t="s">
        <v>740</v>
      </c>
      <c r="E1121" t="s">
        <v>125</v>
      </c>
      <c r="F1121">
        <v>0</v>
      </c>
      <c r="G1121" t="s">
        <v>125</v>
      </c>
      <c r="H1121" t="s">
        <v>125</v>
      </c>
      <c r="I1121" t="s">
        <v>125</v>
      </c>
      <c r="J1121" t="s">
        <v>125</v>
      </c>
      <c r="K1121" t="s">
        <v>125</v>
      </c>
      <c r="L1121" t="s">
        <v>125</v>
      </c>
      <c r="M1121" t="s">
        <v>1774</v>
      </c>
      <c r="N1121" t="b">
        <v>0</v>
      </c>
    </row>
    <row r="1122" spans="1:14">
      <c r="A1122">
        <v>66</v>
      </c>
      <c r="B1122">
        <v>23</v>
      </c>
      <c r="C1122" t="s">
        <v>125</v>
      </c>
      <c r="D1122" t="s">
        <v>740</v>
      </c>
      <c r="E1122" t="s">
        <v>125</v>
      </c>
      <c r="F1122">
        <v>0</v>
      </c>
      <c r="G1122" t="s">
        <v>125</v>
      </c>
      <c r="H1122" t="s">
        <v>125</v>
      </c>
      <c r="I1122" t="s">
        <v>125</v>
      </c>
      <c r="J1122" t="s">
        <v>125</v>
      </c>
      <c r="K1122" t="s">
        <v>125</v>
      </c>
      <c r="L1122" t="s">
        <v>125</v>
      </c>
      <c r="M1122" t="s">
        <v>1775</v>
      </c>
      <c r="N1122" t="b">
        <v>0</v>
      </c>
    </row>
    <row r="1123" spans="1:14">
      <c r="A1123">
        <v>66</v>
      </c>
      <c r="B1123">
        <v>24</v>
      </c>
      <c r="C1123" t="s">
        <v>125</v>
      </c>
      <c r="D1123" t="s">
        <v>740</v>
      </c>
      <c r="E1123" t="s">
        <v>125</v>
      </c>
      <c r="F1123">
        <v>0</v>
      </c>
      <c r="G1123" t="s">
        <v>125</v>
      </c>
      <c r="H1123" t="s">
        <v>125</v>
      </c>
      <c r="I1123" t="s">
        <v>125</v>
      </c>
      <c r="J1123" t="s">
        <v>125</v>
      </c>
      <c r="K1123" t="s">
        <v>125</v>
      </c>
      <c r="L1123" t="s">
        <v>125</v>
      </c>
      <c r="M1123" t="s">
        <v>1776</v>
      </c>
      <c r="N1123" t="b">
        <v>0</v>
      </c>
    </row>
    <row r="1124" spans="1:14">
      <c r="A1124">
        <v>66</v>
      </c>
      <c r="B1124">
        <v>25</v>
      </c>
      <c r="C1124" t="s">
        <v>125</v>
      </c>
      <c r="D1124" t="s">
        <v>740</v>
      </c>
      <c r="E1124" t="s">
        <v>125</v>
      </c>
      <c r="F1124">
        <v>0</v>
      </c>
      <c r="G1124" t="s">
        <v>125</v>
      </c>
      <c r="H1124" t="s">
        <v>125</v>
      </c>
      <c r="I1124" t="s">
        <v>125</v>
      </c>
      <c r="J1124" t="s">
        <v>125</v>
      </c>
      <c r="K1124" t="s">
        <v>125</v>
      </c>
      <c r="L1124" t="s">
        <v>125</v>
      </c>
      <c r="M1124" t="s">
        <v>1777</v>
      </c>
      <c r="N1124" t="b">
        <v>0</v>
      </c>
    </row>
    <row r="1125" spans="1:14">
      <c r="A1125">
        <v>66</v>
      </c>
      <c r="B1125">
        <v>26</v>
      </c>
      <c r="C1125" t="s">
        <v>125</v>
      </c>
      <c r="D1125" t="s">
        <v>740</v>
      </c>
      <c r="E1125" t="s">
        <v>125</v>
      </c>
      <c r="F1125">
        <v>0</v>
      </c>
      <c r="G1125" t="s">
        <v>125</v>
      </c>
      <c r="H1125" t="s">
        <v>125</v>
      </c>
      <c r="I1125" t="s">
        <v>125</v>
      </c>
      <c r="J1125" t="s">
        <v>125</v>
      </c>
      <c r="K1125" t="s">
        <v>125</v>
      </c>
      <c r="L1125" t="s">
        <v>125</v>
      </c>
      <c r="M1125" t="s">
        <v>1778</v>
      </c>
      <c r="N1125" t="b">
        <v>0</v>
      </c>
    </row>
    <row r="1126" spans="1:14">
      <c r="A1126">
        <v>68</v>
      </c>
      <c r="B1126">
        <v>0</v>
      </c>
      <c r="C1126" t="s">
        <v>215</v>
      </c>
      <c r="D1126" t="s">
        <v>723</v>
      </c>
      <c r="E1126" t="s">
        <v>64</v>
      </c>
      <c r="F1126">
        <v>60</v>
      </c>
      <c r="G1126" t="s">
        <v>125</v>
      </c>
      <c r="H1126" t="s">
        <v>125</v>
      </c>
      <c r="I1126" t="s">
        <v>64</v>
      </c>
      <c r="J1126" t="s">
        <v>125</v>
      </c>
      <c r="K1126" t="s">
        <v>125</v>
      </c>
      <c r="L1126" t="s">
        <v>125</v>
      </c>
      <c r="M1126" t="s">
        <v>1779</v>
      </c>
      <c r="N1126" t="b">
        <v>0</v>
      </c>
    </row>
    <row r="1127" spans="1:14">
      <c r="A1127">
        <v>68</v>
      </c>
      <c r="B1127">
        <v>1</v>
      </c>
      <c r="C1127" t="s">
        <v>225</v>
      </c>
      <c r="D1127" t="s">
        <v>723</v>
      </c>
      <c r="E1127" t="s">
        <v>76</v>
      </c>
      <c r="F1127">
        <v>50</v>
      </c>
      <c r="G1127" t="s">
        <v>125</v>
      </c>
      <c r="H1127" t="s">
        <v>125</v>
      </c>
      <c r="I1127" t="s">
        <v>76</v>
      </c>
      <c r="J1127" t="s">
        <v>125</v>
      </c>
      <c r="K1127" t="s">
        <v>125</v>
      </c>
      <c r="L1127" t="s">
        <v>125</v>
      </c>
      <c r="M1127" t="s">
        <v>1780</v>
      </c>
      <c r="N1127" t="b">
        <v>0</v>
      </c>
    </row>
    <row r="1128" spans="1:14">
      <c r="A1128">
        <v>68</v>
      </c>
      <c r="B1128">
        <v>2</v>
      </c>
      <c r="C1128" t="s">
        <v>217</v>
      </c>
      <c r="D1128" t="s">
        <v>723</v>
      </c>
      <c r="E1128" t="s">
        <v>94</v>
      </c>
      <c r="F1128">
        <v>40</v>
      </c>
      <c r="G1128" t="s">
        <v>125</v>
      </c>
      <c r="H1128" t="s">
        <v>125</v>
      </c>
      <c r="I1128" t="s">
        <v>94</v>
      </c>
      <c r="J1128" t="s">
        <v>125</v>
      </c>
      <c r="K1128" t="s">
        <v>125</v>
      </c>
      <c r="L1128" t="s">
        <v>125</v>
      </c>
      <c r="M1128" t="s">
        <v>1781</v>
      </c>
      <c r="N1128" t="b">
        <v>0</v>
      </c>
    </row>
    <row r="1129" spans="1:14">
      <c r="A1129">
        <v>68</v>
      </c>
      <c r="B1129">
        <v>3</v>
      </c>
      <c r="C1129" t="s">
        <v>218</v>
      </c>
      <c r="D1129" t="s">
        <v>723</v>
      </c>
      <c r="E1129" t="s">
        <v>100</v>
      </c>
      <c r="F1129">
        <v>60</v>
      </c>
      <c r="G1129" t="s">
        <v>125</v>
      </c>
      <c r="H1129" t="s">
        <v>125</v>
      </c>
      <c r="I1129" t="s">
        <v>100</v>
      </c>
      <c r="J1129" t="s">
        <v>125</v>
      </c>
      <c r="K1129" t="s">
        <v>125</v>
      </c>
      <c r="L1129" t="s">
        <v>125</v>
      </c>
      <c r="M1129" t="s">
        <v>1782</v>
      </c>
      <c r="N1129" t="b">
        <v>0</v>
      </c>
    </row>
    <row r="1130" spans="1:14">
      <c r="A1130">
        <v>68</v>
      </c>
      <c r="B1130">
        <v>4</v>
      </c>
      <c r="C1130" t="s">
        <v>159</v>
      </c>
      <c r="D1130" t="s">
        <v>752</v>
      </c>
      <c r="E1130" t="s">
        <v>296</v>
      </c>
      <c r="F1130">
        <v>40</v>
      </c>
      <c r="G1130" t="s">
        <v>759</v>
      </c>
      <c r="H1130" t="s">
        <v>125</v>
      </c>
      <c r="I1130" t="s">
        <v>125</v>
      </c>
      <c r="J1130" t="s">
        <v>760</v>
      </c>
      <c r="K1130" t="s">
        <v>761</v>
      </c>
      <c r="L1130" t="s">
        <v>762</v>
      </c>
      <c r="M1130" t="s">
        <v>1783</v>
      </c>
      <c r="N1130" t="b">
        <v>0</v>
      </c>
    </row>
    <row r="1131" spans="1:14">
      <c r="A1131">
        <v>68</v>
      </c>
      <c r="B1131">
        <v>5</v>
      </c>
      <c r="C1131" t="s">
        <v>197</v>
      </c>
      <c r="D1131" t="s">
        <v>723</v>
      </c>
      <c r="E1131" t="s">
        <v>112</v>
      </c>
      <c r="F1131">
        <v>50</v>
      </c>
      <c r="G1131" t="s">
        <v>125</v>
      </c>
      <c r="H1131" t="s">
        <v>125</v>
      </c>
      <c r="I1131" t="s">
        <v>112</v>
      </c>
      <c r="J1131" t="s">
        <v>125</v>
      </c>
      <c r="K1131" t="s">
        <v>125</v>
      </c>
      <c r="L1131" t="s">
        <v>125</v>
      </c>
      <c r="M1131" t="s">
        <v>1784</v>
      </c>
      <c r="N1131" t="b">
        <v>0</v>
      </c>
    </row>
    <row r="1132" spans="1:14">
      <c r="A1132">
        <v>68</v>
      </c>
      <c r="B1132">
        <v>6</v>
      </c>
      <c r="C1132" t="s">
        <v>316</v>
      </c>
      <c r="D1132" t="s">
        <v>723</v>
      </c>
      <c r="E1132" t="s">
        <v>114</v>
      </c>
      <c r="F1132">
        <v>30</v>
      </c>
      <c r="G1132" t="s">
        <v>125</v>
      </c>
      <c r="H1132" t="s">
        <v>125</v>
      </c>
      <c r="I1132" t="s">
        <v>114</v>
      </c>
      <c r="J1132" t="s">
        <v>125</v>
      </c>
      <c r="K1132" t="s">
        <v>125</v>
      </c>
      <c r="L1132" t="s">
        <v>125</v>
      </c>
      <c r="M1132" t="s">
        <v>1785</v>
      </c>
      <c r="N1132" t="b">
        <v>0</v>
      </c>
    </row>
    <row r="1133" spans="1:14">
      <c r="A1133">
        <v>68</v>
      </c>
      <c r="B1133">
        <v>7</v>
      </c>
      <c r="C1133" t="s">
        <v>219</v>
      </c>
      <c r="D1133" t="s">
        <v>723</v>
      </c>
      <c r="E1133" t="s">
        <v>67</v>
      </c>
      <c r="F1133">
        <v>50</v>
      </c>
      <c r="G1133" t="s">
        <v>125</v>
      </c>
      <c r="H1133" t="s">
        <v>125</v>
      </c>
      <c r="I1133" t="s">
        <v>67</v>
      </c>
      <c r="J1133" t="s">
        <v>125</v>
      </c>
      <c r="K1133" t="s">
        <v>125</v>
      </c>
      <c r="L1133" t="s">
        <v>125</v>
      </c>
      <c r="M1133" t="s">
        <v>1786</v>
      </c>
      <c r="N1133" t="b">
        <v>0</v>
      </c>
    </row>
    <row r="1134" spans="1:14">
      <c r="A1134">
        <v>68</v>
      </c>
      <c r="B1134">
        <v>8</v>
      </c>
      <c r="C1134" t="s">
        <v>405</v>
      </c>
      <c r="D1134" t="s">
        <v>723</v>
      </c>
      <c r="E1134" t="s">
        <v>330</v>
      </c>
      <c r="F1134">
        <v>50</v>
      </c>
      <c r="G1134" t="s">
        <v>125</v>
      </c>
      <c r="H1134" t="s">
        <v>547</v>
      </c>
      <c r="I1134" t="s">
        <v>444</v>
      </c>
      <c r="J1134" t="s">
        <v>125</v>
      </c>
      <c r="K1134" t="s">
        <v>920</v>
      </c>
      <c r="L1134" t="s">
        <v>921</v>
      </c>
      <c r="M1134" t="s">
        <v>1787</v>
      </c>
      <c r="N1134" t="b">
        <v>0</v>
      </c>
    </row>
    <row r="1135" spans="1:14">
      <c r="A1135">
        <v>68</v>
      </c>
      <c r="B1135">
        <v>9</v>
      </c>
      <c r="C1135" t="s">
        <v>166</v>
      </c>
      <c r="D1135" t="s">
        <v>723</v>
      </c>
      <c r="E1135" t="s">
        <v>73</v>
      </c>
      <c r="F1135">
        <v>50</v>
      </c>
      <c r="G1135" t="s">
        <v>125</v>
      </c>
      <c r="H1135" t="s">
        <v>125</v>
      </c>
      <c r="I1135" t="s">
        <v>73</v>
      </c>
      <c r="J1135" t="s">
        <v>125</v>
      </c>
      <c r="K1135" t="s">
        <v>125</v>
      </c>
      <c r="L1135" t="s">
        <v>125</v>
      </c>
      <c r="M1135" t="s">
        <v>1788</v>
      </c>
      <c r="N1135" t="b">
        <v>0</v>
      </c>
    </row>
    <row r="1136" spans="1:14">
      <c r="A1136">
        <v>68</v>
      </c>
      <c r="B1136">
        <v>10</v>
      </c>
      <c r="C1136" t="s">
        <v>162</v>
      </c>
      <c r="D1136" t="s">
        <v>723</v>
      </c>
      <c r="E1136" t="s">
        <v>77</v>
      </c>
      <c r="F1136">
        <v>40</v>
      </c>
      <c r="G1136" t="s">
        <v>125</v>
      </c>
      <c r="H1136" t="s">
        <v>125</v>
      </c>
      <c r="I1136" t="s">
        <v>77</v>
      </c>
      <c r="J1136" t="s">
        <v>125</v>
      </c>
      <c r="K1136" t="s">
        <v>125</v>
      </c>
      <c r="L1136" t="s">
        <v>125</v>
      </c>
      <c r="M1136" t="s">
        <v>1789</v>
      </c>
      <c r="N1136" t="b">
        <v>0</v>
      </c>
    </row>
    <row r="1137" spans="1:14">
      <c r="A1137">
        <v>68</v>
      </c>
      <c r="B1137">
        <v>11</v>
      </c>
      <c r="C1137" t="s">
        <v>221</v>
      </c>
      <c r="D1137" t="s">
        <v>723</v>
      </c>
      <c r="E1137" t="s">
        <v>101</v>
      </c>
      <c r="F1137">
        <v>50</v>
      </c>
      <c r="G1137" t="s">
        <v>125</v>
      </c>
      <c r="H1137" t="s">
        <v>125</v>
      </c>
      <c r="I1137" t="s">
        <v>101</v>
      </c>
      <c r="J1137" t="s">
        <v>125</v>
      </c>
      <c r="K1137" t="s">
        <v>125</v>
      </c>
      <c r="L1137" t="s">
        <v>125</v>
      </c>
      <c r="M1137" t="s">
        <v>1790</v>
      </c>
      <c r="N1137" t="b">
        <v>0</v>
      </c>
    </row>
    <row r="1138" spans="1:14">
      <c r="A1138">
        <v>68</v>
      </c>
      <c r="B1138">
        <v>12</v>
      </c>
      <c r="C1138" t="s">
        <v>169</v>
      </c>
      <c r="D1138" t="s">
        <v>723</v>
      </c>
      <c r="E1138" t="s">
        <v>105</v>
      </c>
      <c r="F1138">
        <v>50</v>
      </c>
      <c r="G1138" t="s">
        <v>125</v>
      </c>
      <c r="H1138" t="s">
        <v>125</v>
      </c>
      <c r="I1138" t="s">
        <v>105</v>
      </c>
      <c r="J1138" t="s">
        <v>125</v>
      </c>
      <c r="K1138" t="s">
        <v>125</v>
      </c>
      <c r="L1138" t="s">
        <v>125</v>
      </c>
      <c r="M1138" t="s">
        <v>1791</v>
      </c>
      <c r="N1138" t="b">
        <v>0</v>
      </c>
    </row>
    <row r="1139" spans="1:14">
      <c r="A1139">
        <v>68</v>
      </c>
      <c r="B1139">
        <v>13</v>
      </c>
      <c r="C1139" t="s">
        <v>270</v>
      </c>
      <c r="D1139" t="s">
        <v>723</v>
      </c>
      <c r="E1139" t="s">
        <v>106</v>
      </c>
      <c r="F1139">
        <v>40</v>
      </c>
      <c r="G1139" t="s">
        <v>125</v>
      </c>
      <c r="H1139" t="s">
        <v>125</v>
      </c>
      <c r="I1139" t="s">
        <v>106</v>
      </c>
      <c r="J1139" t="s">
        <v>125</v>
      </c>
      <c r="K1139" t="s">
        <v>125</v>
      </c>
      <c r="L1139" t="s">
        <v>125</v>
      </c>
      <c r="M1139" t="s">
        <v>1792</v>
      </c>
      <c r="N1139" t="b">
        <v>0</v>
      </c>
    </row>
    <row r="1140" spans="1:14">
      <c r="A1140">
        <v>68</v>
      </c>
      <c r="B1140">
        <v>14</v>
      </c>
      <c r="C1140" t="s">
        <v>194</v>
      </c>
      <c r="D1140" t="s">
        <v>723</v>
      </c>
      <c r="E1140" t="s">
        <v>107</v>
      </c>
      <c r="F1140">
        <v>60</v>
      </c>
      <c r="G1140" t="s">
        <v>125</v>
      </c>
      <c r="H1140" t="s">
        <v>125</v>
      </c>
      <c r="I1140" t="s">
        <v>107</v>
      </c>
      <c r="J1140" t="s">
        <v>125</v>
      </c>
      <c r="K1140" t="s">
        <v>125</v>
      </c>
      <c r="L1140" t="s">
        <v>125</v>
      </c>
      <c r="M1140" t="s">
        <v>1793</v>
      </c>
      <c r="N1140" t="b">
        <v>0</v>
      </c>
    </row>
    <row r="1141" spans="1:14">
      <c r="A1141">
        <v>68</v>
      </c>
      <c r="B1141">
        <v>15</v>
      </c>
      <c r="C1141" t="s">
        <v>125</v>
      </c>
      <c r="D1141" t="s">
        <v>723</v>
      </c>
      <c r="E1141" t="s">
        <v>125</v>
      </c>
      <c r="F1141">
        <v>0</v>
      </c>
      <c r="G1141" t="s">
        <v>125</v>
      </c>
      <c r="H1141" t="s">
        <v>125</v>
      </c>
      <c r="I1141" t="s">
        <v>125</v>
      </c>
      <c r="J1141" t="s">
        <v>125</v>
      </c>
      <c r="K1141" t="s">
        <v>125</v>
      </c>
      <c r="L1141" t="s">
        <v>125</v>
      </c>
      <c r="M1141" t="s">
        <v>1794</v>
      </c>
      <c r="N1141" t="b">
        <v>0</v>
      </c>
    </row>
    <row r="1142" spans="1:14">
      <c r="A1142">
        <v>68</v>
      </c>
      <c r="B1142">
        <v>16</v>
      </c>
      <c r="C1142" t="s">
        <v>125</v>
      </c>
      <c r="D1142" t="s">
        <v>740</v>
      </c>
      <c r="E1142" t="s">
        <v>125</v>
      </c>
      <c r="F1142">
        <v>0</v>
      </c>
      <c r="G1142" t="s">
        <v>125</v>
      </c>
      <c r="H1142" t="s">
        <v>125</v>
      </c>
      <c r="I1142" t="s">
        <v>125</v>
      </c>
      <c r="J1142" t="s">
        <v>125</v>
      </c>
      <c r="K1142" t="s">
        <v>125</v>
      </c>
      <c r="L1142" t="s">
        <v>125</v>
      </c>
      <c r="M1142" t="s">
        <v>1795</v>
      </c>
      <c r="N1142" t="b">
        <v>0</v>
      </c>
    </row>
    <row r="1143" spans="1:14">
      <c r="A1143">
        <v>68</v>
      </c>
      <c r="B1143">
        <v>17</v>
      </c>
      <c r="C1143" t="s">
        <v>125</v>
      </c>
      <c r="D1143" t="s">
        <v>740</v>
      </c>
      <c r="E1143" t="s">
        <v>125</v>
      </c>
      <c r="F1143">
        <v>0</v>
      </c>
      <c r="G1143" t="s">
        <v>125</v>
      </c>
      <c r="H1143" t="s">
        <v>125</v>
      </c>
      <c r="I1143" t="s">
        <v>125</v>
      </c>
      <c r="J1143" t="s">
        <v>125</v>
      </c>
      <c r="K1143" t="s">
        <v>125</v>
      </c>
      <c r="L1143" t="s">
        <v>125</v>
      </c>
      <c r="M1143" t="s">
        <v>1796</v>
      </c>
      <c r="N1143" t="b">
        <v>0</v>
      </c>
    </row>
    <row r="1144" spans="1:14">
      <c r="A1144">
        <v>68</v>
      </c>
      <c r="B1144">
        <v>18</v>
      </c>
      <c r="C1144" t="s">
        <v>125</v>
      </c>
      <c r="D1144" t="s">
        <v>740</v>
      </c>
      <c r="E1144" t="s">
        <v>125</v>
      </c>
      <c r="F1144">
        <v>0</v>
      </c>
      <c r="G1144" t="s">
        <v>125</v>
      </c>
      <c r="H1144" t="s">
        <v>125</v>
      </c>
      <c r="I1144" t="s">
        <v>125</v>
      </c>
      <c r="J1144" t="s">
        <v>125</v>
      </c>
      <c r="K1144" t="s">
        <v>125</v>
      </c>
      <c r="L1144" t="s">
        <v>125</v>
      </c>
      <c r="M1144" t="s">
        <v>1797</v>
      </c>
      <c r="N1144" t="b">
        <v>0</v>
      </c>
    </row>
    <row r="1145" spans="1:14">
      <c r="A1145">
        <v>68</v>
      </c>
      <c r="B1145">
        <v>19</v>
      </c>
      <c r="C1145" t="s">
        <v>125</v>
      </c>
      <c r="D1145" t="s">
        <v>740</v>
      </c>
      <c r="E1145" t="s">
        <v>125</v>
      </c>
      <c r="F1145">
        <v>0</v>
      </c>
      <c r="G1145" t="s">
        <v>125</v>
      </c>
      <c r="H1145" t="s">
        <v>125</v>
      </c>
      <c r="I1145" t="s">
        <v>125</v>
      </c>
      <c r="J1145" t="s">
        <v>125</v>
      </c>
      <c r="K1145" t="s">
        <v>125</v>
      </c>
      <c r="L1145" t="s">
        <v>125</v>
      </c>
      <c r="M1145" t="s">
        <v>1798</v>
      </c>
      <c r="N1145" t="b">
        <v>0</v>
      </c>
    </row>
    <row r="1146" spans="1:14">
      <c r="A1146">
        <v>68</v>
      </c>
      <c r="B1146">
        <v>20</v>
      </c>
      <c r="C1146" t="s">
        <v>125</v>
      </c>
      <c r="D1146" t="s">
        <v>740</v>
      </c>
      <c r="E1146" t="s">
        <v>125</v>
      </c>
      <c r="F1146">
        <v>0</v>
      </c>
      <c r="G1146" t="s">
        <v>125</v>
      </c>
      <c r="H1146" t="s">
        <v>125</v>
      </c>
      <c r="I1146" t="s">
        <v>125</v>
      </c>
      <c r="J1146" t="s">
        <v>125</v>
      </c>
      <c r="K1146" t="s">
        <v>125</v>
      </c>
      <c r="L1146" t="s">
        <v>125</v>
      </c>
      <c r="M1146" t="s">
        <v>1799</v>
      </c>
      <c r="N1146" t="b">
        <v>0</v>
      </c>
    </row>
    <row r="1147" spans="1:14">
      <c r="A1147">
        <v>68</v>
      </c>
      <c r="B1147">
        <v>21</v>
      </c>
      <c r="C1147" t="s">
        <v>125</v>
      </c>
      <c r="D1147" t="s">
        <v>740</v>
      </c>
      <c r="E1147" t="s">
        <v>125</v>
      </c>
      <c r="F1147">
        <v>0</v>
      </c>
      <c r="G1147" t="s">
        <v>125</v>
      </c>
      <c r="H1147" t="s">
        <v>125</v>
      </c>
      <c r="I1147" t="s">
        <v>125</v>
      </c>
      <c r="J1147" t="s">
        <v>125</v>
      </c>
      <c r="K1147" t="s">
        <v>125</v>
      </c>
      <c r="L1147" t="s">
        <v>125</v>
      </c>
      <c r="M1147" t="s">
        <v>1800</v>
      </c>
      <c r="N1147" t="b">
        <v>0</v>
      </c>
    </row>
    <row r="1148" spans="1:14">
      <c r="A1148">
        <v>68</v>
      </c>
      <c r="B1148">
        <v>22</v>
      </c>
      <c r="C1148" t="s">
        <v>125</v>
      </c>
      <c r="D1148" t="s">
        <v>740</v>
      </c>
      <c r="E1148" t="s">
        <v>125</v>
      </c>
      <c r="F1148">
        <v>0</v>
      </c>
      <c r="G1148" t="s">
        <v>125</v>
      </c>
      <c r="H1148" t="s">
        <v>125</v>
      </c>
      <c r="I1148" t="s">
        <v>125</v>
      </c>
      <c r="J1148" t="s">
        <v>125</v>
      </c>
      <c r="K1148" t="s">
        <v>125</v>
      </c>
      <c r="L1148" t="s">
        <v>125</v>
      </c>
      <c r="M1148" t="s">
        <v>1801</v>
      </c>
      <c r="N1148" t="b">
        <v>0</v>
      </c>
    </row>
    <row r="1149" spans="1:14">
      <c r="A1149">
        <v>68</v>
      </c>
      <c r="B1149">
        <v>23</v>
      </c>
      <c r="C1149" t="s">
        <v>125</v>
      </c>
      <c r="D1149" t="s">
        <v>740</v>
      </c>
      <c r="E1149" t="s">
        <v>125</v>
      </c>
      <c r="F1149">
        <v>0</v>
      </c>
      <c r="G1149" t="s">
        <v>125</v>
      </c>
      <c r="H1149" t="s">
        <v>125</v>
      </c>
      <c r="I1149" t="s">
        <v>125</v>
      </c>
      <c r="J1149" t="s">
        <v>125</v>
      </c>
      <c r="K1149" t="s">
        <v>125</v>
      </c>
      <c r="L1149" t="s">
        <v>125</v>
      </c>
      <c r="M1149" t="s">
        <v>1802</v>
      </c>
      <c r="N1149" t="b">
        <v>0</v>
      </c>
    </row>
    <row r="1150" spans="1:14">
      <c r="A1150">
        <v>68</v>
      </c>
      <c r="B1150">
        <v>24</v>
      </c>
      <c r="C1150" t="s">
        <v>125</v>
      </c>
      <c r="D1150" t="s">
        <v>740</v>
      </c>
      <c r="E1150" t="s">
        <v>125</v>
      </c>
      <c r="F1150">
        <v>0</v>
      </c>
      <c r="G1150" t="s">
        <v>125</v>
      </c>
      <c r="H1150" t="s">
        <v>125</v>
      </c>
      <c r="I1150" t="s">
        <v>125</v>
      </c>
      <c r="J1150" t="s">
        <v>125</v>
      </c>
      <c r="K1150" t="s">
        <v>125</v>
      </c>
      <c r="L1150" t="s">
        <v>125</v>
      </c>
      <c r="M1150" t="s">
        <v>1803</v>
      </c>
      <c r="N1150" t="b">
        <v>0</v>
      </c>
    </row>
    <row r="1151" spans="1:14">
      <c r="A1151">
        <v>68</v>
      </c>
      <c r="B1151">
        <v>25</v>
      </c>
      <c r="C1151" t="s">
        <v>125</v>
      </c>
      <c r="D1151" t="s">
        <v>740</v>
      </c>
      <c r="E1151" t="s">
        <v>125</v>
      </c>
      <c r="F1151">
        <v>0</v>
      </c>
      <c r="G1151" t="s">
        <v>125</v>
      </c>
      <c r="H1151" t="s">
        <v>125</v>
      </c>
      <c r="I1151" t="s">
        <v>125</v>
      </c>
      <c r="J1151" t="s">
        <v>125</v>
      </c>
      <c r="K1151" t="s">
        <v>125</v>
      </c>
      <c r="L1151" t="s">
        <v>125</v>
      </c>
      <c r="M1151" t="s">
        <v>1804</v>
      </c>
      <c r="N1151" t="b">
        <v>0</v>
      </c>
    </row>
    <row r="1152" spans="1:14">
      <c r="A1152">
        <v>68</v>
      </c>
      <c r="B1152">
        <v>26</v>
      </c>
      <c r="C1152" t="s">
        <v>125</v>
      </c>
      <c r="D1152" t="s">
        <v>740</v>
      </c>
      <c r="E1152" t="s">
        <v>125</v>
      </c>
      <c r="F1152">
        <v>0</v>
      </c>
      <c r="G1152" t="s">
        <v>125</v>
      </c>
      <c r="H1152" t="s">
        <v>125</v>
      </c>
      <c r="I1152" t="s">
        <v>125</v>
      </c>
      <c r="J1152" t="s">
        <v>125</v>
      </c>
      <c r="K1152" t="s">
        <v>125</v>
      </c>
      <c r="L1152" t="s">
        <v>125</v>
      </c>
      <c r="M1152" t="s">
        <v>1805</v>
      </c>
      <c r="N1152" t="b">
        <v>0</v>
      </c>
    </row>
    <row r="1153" spans="1:14">
      <c r="A1153">
        <v>69</v>
      </c>
      <c r="B1153">
        <v>0</v>
      </c>
      <c r="C1153" t="s">
        <v>243</v>
      </c>
      <c r="D1153" t="s">
        <v>723</v>
      </c>
      <c r="E1153" t="s">
        <v>59</v>
      </c>
      <c r="F1153">
        <v>40</v>
      </c>
      <c r="G1153" t="s">
        <v>125</v>
      </c>
      <c r="H1153" t="s">
        <v>125</v>
      </c>
      <c r="I1153" t="s">
        <v>59</v>
      </c>
      <c r="J1153" t="s">
        <v>125</v>
      </c>
      <c r="K1153" t="s">
        <v>125</v>
      </c>
      <c r="L1153" t="s">
        <v>125</v>
      </c>
      <c r="M1153" t="s">
        <v>1806</v>
      </c>
      <c r="N1153" t="b">
        <v>0</v>
      </c>
    </row>
    <row r="1154" spans="1:14">
      <c r="A1154">
        <v>69</v>
      </c>
      <c r="B1154">
        <v>1</v>
      </c>
      <c r="C1154" t="s">
        <v>163</v>
      </c>
      <c r="D1154" t="s">
        <v>723</v>
      </c>
      <c r="E1154" t="s">
        <v>66</v>
      </c>
      <c r="F1154">
        <v>40</v>
      </c>
      <c r="G1154" t="s">
        <v>125</v>
      </c>
      <c r="H1154" t="s">
        <v>125</v>
      </c>
      <c r="I1154" t="s">
        <v>66</v>
      </c>
      <c r="J1154" t="s">
        <v>125</v>
      </c>
      <c r="K1154" t="s">
        <v>125</v>
      </c>
      <c r="L1154" t="s">
        <v>125</v>
      </c>
      <c r="M1154" t="s">
        <v>1807</v>
      </c>
      <c r="N1154" t="b">
        <v>0</v>
      </c>
    </row>
    <row r="1155" spans="1:14">
      <c r="A1155">
        <v>69</v>
      </c>
      <c r="B1155">
        <v>2</v>
      </c>
      <c r="C1155" t="s">
        <v>328</v>
      </c>
      <c r="D1155" t="s">
        <v>723</v>
      </c>
      <c r="E1155" t="s">
        <v>76</v>
      </c>
      <c r="F1155">
        <v>40</v>
      </c>
      <c r="G1155" t="s">
        <v>125</v>
      </c>
      <c r="H1155" t="s">
        <v>125</v>
      </c>
      <c r="I1155" t="s">
        <v>76</v>
      </c>
      <c r="J1155" t="s">
        <v>125</v>
      </c>
      <c r="K1155" t="s">
        <v>125</v>
      </c>
      <c r="L1155" t="s">
        <v>125</v>
      </c>
      <c r="M1155" t="s">
        <v>1808</v>
      </c>
      <c r="N1155" t="b">
        <v>0</v>
      </c>
    </row>
    <row r="1156" spans="1:14">
      <c r="A1156">
        <v>69</v>
      </c>
      <c r="B1156">
        <v>3</v>
      </c>
      <c r="C1156" t="s">
        <v>244</v>
      </c>
      <c r="D1156" t="s">
        <v>723</v>
      </c>
      <c r="E1156" t="s">
        <v>82</v>
      </c>
      <c r="F1156">
        <v>60</v>
      </c>
      <c r="G1156" t="s">
        <v>125</v>
      </c>
      <c r="H1156" t="s">
        <v>125</v>
      </c>
      <c r="I1156" t="s">
        <v>82</v>
      </c>
      <c r="J1156" t="s">
        <v>125</v>
      </c>
      <c r="K1156" t="s">
        <v>125</v>
      </c>
      <c r="L1156" t="s">
        <v>125</v>
      </c>
      <c r="M1156" t="s">
        <v>1809</v>
      </c>
      <c r="N1156" t="b">
        <v>0</v>
      </c>
    </row>
    <row r="1157" spans="1:14">
      <c r="A1157">
        <v>69</v>
      </c>
      <c r="B1157">
        <v>4</v>
      </c>
      <c r="C1157" t="s">
        <v>407</v>
      </c>
      <c r="D1157" t="s">
        <v>723</v>
      </c>
      <c r="E1157" t="s">
        <v>95</v>
      </c>
      <c r="F1157">
        <v>40</v>
      </c>
      <c r="G1157" t="s">
        <v>125</v>
      </c>
      <c r="H1157" t="s">
        <v>125</v>
      </c>
      <c r="I1157" t="s">
        <v>95</v>
      </c>
      <c r="J1157" t="s">
        <v>125</v>
      </c>
      <c r="K1157" t="s">
        <v>125</v>
      </c>
      <c r="L1157" t="s">
        <v>125</v>
      </c>
      <c r="M1157" t="s">
        <v>1810</v>
      </c>
      <c r="N1157" t="b">
        <v>0</v>
      </c>
    </row>
    <row r="1158" spans="1:14">
      <c r="A1158">
        <v>69</v>
      </c>
      <c r="B1158">
        <v>5</v>
      </c>
      <c r="C1158" t="s">
        <v>228</v>
      </c>
      <c r="D1158" t="s">
        <v>723</v>
      </c>
      <c r="E1158" t="s">
        <v>100</v>
      </c>
      <c r="F1158">
        <v>40</v>
      </c>
      <c r="G1158" t="s">
        <v>125</v>
      </c>
      <c r="H1158" t="s">
        <v>125</v>
      </c>
      <c r="I1158" t="s">
        <v>100</v>
      </c>
      <c r="J1158" t="s">
        <v>125</v>
      </c>
      <c r="K1158" t="s">
        <v>125</v>
      </c>
      <c r="L1158" t="s">
        <v>125</v>
      </c>
      <c r="M1158" t="s">
        <v>1811</v>
      </c>
      <c r="N1158" t="b">
        <v>0</v>
      </c>
    </row>
    <row r="1159" spans="1:14">
      <c r="A1159">
        <v>69</v>
      </c>
      <c r="B1159">
        <v>6</v>
      </c>
      <c r="C1159" t="s">
        <v>158</v>
      </c>
      <c r="D1159" t="s">
        <v>752</v>
      </c>
      <c r="E1159" t="s">
        <v>296</v>
      </c>
      <c r="F1159">
        <v>50</v>
      </c>
      <c r="G1159" t="s">
        <v>759</v>
      </c>
      <c r="H1159" t="s">
        <v>125</v>
      </c>
      <c r="I1159" t="s">
        <v>125</v>
      </c>
      <c r="J1159" t="s">
        <v>760</v>
      </c>
      <c r="K1159" t="s">
        <v>761</v>
      </c>
      <c r="L1159" t="s">
        <v>762</v>
      </c>
      <c r="M1159" t="s">
        <v>1812</v>
      </c>
      <c r="N1159" t="b">
        <v>0</v>
      </c>
    </row>
    <row r="1160" spans="1:14">
      <c r="A1160">
        <v>69</v>
      </c>
      <c r="B1160">
        <v>7</v>
      </c>
      <c r="C1160" t="s">
        <v>158</v>
      </c>
      <c r="D1160" t="s">
        <v>752</v>
      </c>
      <c r="E1160" t="s">
        <v>296</v>
      </c>
      <c r="F1160">
        <v>50</v>
      </c>
      <c r="G1160" t="s">
        <v>759</v>
      </c>
      <c r="H1160" t="s">
        <v>125</v>
      </c>
      <c r="I1160" t="s">
        <v>125</v>
      </c>
      <c r="J1160" t="s">
        <v>760</v>
      </c>
      <c r="K1160" t="s">
        <v>764</v>
      </c>
      <c r="L1160" t="s">
        <v>765</v>
      </c>
      <c r="M1160" t="s">
        <v>1813</v>
      </c>
      <c r="N1160" t="b">
        <v>0</v>
      </c>
    </row>
    <row r="1161" spans="1:14">
      <c r="A1161">
        <v>69</v>
      </c>
      <c r="B1161">
        <v>8</v>
      </c>
      <c r="C1161" t="s">
        <v>159</v>
      </c>
      <c r="D1161" t="s">
        <v>752</v>
      </c>
      <c r="E1161" t="s">
        <v>296</v>
      </c>
      <c r="F1161">
        <v>40</v>
      </c>
      <c r="G1161" t="s">
        <v>759</v>
      </c>
      <c r="H1161" t="s">
        <v>125</v>
      </c>
      <c r="I1161" t="s">
        <v>125</v>
      </c>
      <c r="J1161" t="s">
        <v>760</v>
      </c>
      <c r="K1161" t="s">
        <v>1000</v>
      </c>
      <c r="L1161" t="s">
        <v>1001</v>
      </c>
      <c r="M1161" t="s">
        <v>1814</v>
      </c>
      <c r="N1161" t="b">
        <v>0</v>
      </c>
    </row>
    <row r="1162" spans="1:14">
      <c r="A1162">
        <v>69</v>
      </c>
      <c r="B1162">
        <v>9</v>
      </c>
      <c r="C1162" t="s">
        <v>245</v>
      </c>
      <c r="D1162" t="s">
        <v>723</v>
      </c>
      <c r="E1162" t="s">
        <v>113</v>
      </c>
      <c r="F1162">
        <v>40</v>
      </c>
      <c r="G1162" t="s">
        <v>125</v>
      </c>
      <c r="H1162" t="s">
        <v>125</v>
      </c>
      <c r="I1162" t="s">
        <v>113</v>
      </c>
      <c r="J1162" t="s">
        <v>125</v>
      </c>
      <c r="K1162" t="s">
        <v>125</v>
      </c>
      <c r="L1162" t="s">
        <v>125</v>
      </c>
      <c r="M1162" t="s">
        <v>1815</v>
      </c>
      <c r="N1162" t="b">
        <v>0</v>
      </c>
    </row>
    <row r="1163" spans="1:14">
      <c r="A1163">
        <v>69</v>
      </c>
      <c r="B1163">
        <v>10</v>
      </c>
      <c r="C1163" t="s">
        <v>165</v>
      </c>
      <c r="D1163" t="s">
        <v>723</v>
      </c>
      <c r="E1163" t="s">
        <v>114</v>
      </c>
      <c r="F1163">
        <v>50</v>
      </c>
      <c r="G1163" t="s">
        <v>125</v>
      </c>
      <c r="H1163" t="s">
        <v>125</v>
      </c>
      <c r="I1163" t="s">
        <v>114</v>
      </c>
      <c r="J1163" t="s">
        <v>125</v>
      </c>
      <c r="K1163" t="s">
        <v>125</v>
      </c>
      <c r="L1163" t="s">
        <v>125</v>
      </c>
      <c r="M1163" t="s">
        <v>1816</v>
      </c>
      <c r="N1163" t="b">
        <v>0</v>
      </c>
    </row>
    <row r="1164" spans="1:14">
      <c r="A1164">
        <v>69</v>
      </c>
      <c r="B1164">
        <v>11</v>
      </c>
      <c r="C1164" t="s">
        <v>181</v>
      </c>
      <c r="D1164" t="s">
        <v>723</v>
      </c>
      <c r="E1164" t="s">
        <v>60</v>
      </c>
      <c r="F1164">
        <v>40</v>
      </c>
      <c r="G1164" t="s">
        <v>125</v>
      </c>
      <c r="H1164" t="s">
        <v>125</v>
      </c>
      <c r="I1164" t="s">
        <v>60</v>
      </c>
      <c r="J1164" t="s">
        <v>125</v>
      </c>
      <c r="K1164" t="s">
        <v>125</v>
      </c>
      <c r="L1164" t="s">
        <v>125</v>
      </c>
      <c r="M1164" t="s">
        <v>1817</v>
      </c>
      <c r="N1164" t="b">
        <v>0</v>
      </c>
    </row>
    <row r="1165" spans="1:14">
      <c r="A1165">
        <v>69</v>
      </c>
      <c r="B1165">
        <v>12</v>
      </c>
      <c r="C1165" t="s">
        <v>192</v>
      </c>
      <c r="D1165" t="s">
        <v>723</v>
      </c>
      <c r="E1165" t="s">
        <v>77</v>
      </c>
      <c r="F1165">
        <v>50</v>
      </c>
      <c r="G1165" t="s">
        <v>125</v>
      </c>
      <c r="H1165" t="s">
        <v>125</v>
      </c>
      <c r="I1165" t="s">
        <v>77</v>
      </c>
      <c r="J1165" t="s">
        <v>125</v>
      </c>
      <c r="K1165" t="s">
        <v>125</v>
      </c>
      <c r="L1165" t="s">
        <v>125</v>
      </c>
      <c r="M1165" t="s">
        <v>1818</v>
      </c>
      <c r="N1165" t="b">
        <v>0</v>
      </c>
    </row>
    <row r="1166" spans="1:14">
      <c r="A1166">
        <v>69</v>
      </c>
      <c r="B1166">
        <v>13</v>
      </c>
      <c r="C1166" t="s">
        <v>221</v>
      </c>
      <c r="D1166" t="s">
        <v>723</v>
      </c>
      <c r="E1166" t="s">
        <v>101</v>
      </c>
      <c r="F1166">
        <v>50</v>
      </c>
      <c r="G1166" t="s">
        <v>125</v>
      </c>
      <c r="H1166" t="s">
        <v>125</v>
      </c>
      <c r="I1166" t="s">
        <v>101</v>
      </c>
      <c r="J1166" t="s">
        <v>125</v>
      </c>
      <c r="K1166" t="s">
        <v>125</v>
      </c>
      <c r="L1166" t="s">
        <v>125</v>
      </c>
      <c r="M1166" t="s">
        <v>1819</v>
      </c>
      <c r="N1166" t="b">
        <v>0</v>
      </c>
    </row>
    <row r="1167" spans="1:14">
      <c r="A1167">
        <v>69</v>
      </c>
      <c r="B1167">
        <v>14</v>
      </c>
      <c r="C1167" t="s">
        <v>194</v>
      </c>
      <c r="D1167" t="s">
        <v>723</v>
      </c>
      <c r="E1167" t="s">
        <v>107</v>
      </c>
      <c r="F1167">
        <v>60</v>
      </c>
      <c r="G1167" t="s">
        <v>125</v>
      </c>
      <c r="H1167" t="s">
        <v>125</v>
      </c>
      <c r="I1167" t="s">
        <v>107</v>
      </c>
      <c r="J1167" t="s">
        <v>125</v>
      </c>
      <c r="K1167" t="s">
        <v>125</v>
      </c>
      <c r="L1167" t="s">
        <v>125</v>
      </c>
      <c r="M1167" t="s">
        <v>1820</v>
      </c>
      <c r="N1167" t="b">
        <v>0</v>
      </c>
    </row>
    <row r="1168" spans="1:14">
      <c r="A1168">
        <v>69</v>
      </c>
      <c r="B1168">
        <v>15</v>
      </c>
      <c r="C1168" t="s">
        <v>125</v>
      </c>
      <c r="D1168" t="s">
        <v>723</v>
      </c>
      <c r="E1168" t="s">
        <v>125</v>
      </c>
      <c r="F1168">
        <v>0</v>
      </c>
      <c r="G1168" t="s">
        <v>125</v>
      </c>
      <c r="H1168" t="s">
        <v>125</v>
      </c>
      <c r="I1168" t="s">
        <v>125</v>
      </c>
      <c r="J1168" t="s">
        <v>125</v>
      </c>
      <c r="K1168" t="s">
        <v>125</v>
      </c>
      <c r="L1168" t="s">
        <v>125</v>
      </c>
      <c r="M1168" t="s">
        <v>1821</v>
      </c>
      <c r="N1168" t="b">
        <v>0</v>
      </c>
    </row>
    <row r="1169" spans="1:14">
      <c r="A1169">
        <v>69</v>
      </c>
      <c r="B1169">
        <v>16</v>
      </c>
      <c r="C1169" t="s">
        <v>125</v>
      </c>
      <c r="D1169" t="s">
        <v>740</v>
      </c>
      <c r="E1169" t="s">
        <v>125</v>
      </c>
      <c r="F1169">
        <v>0</v>
      </c>
      <c r="G1169" t="s">
        <v>125</v>
      </c>
      <c r="H1169" t="s">
        <v>125</v>
      </c>
      <c r="I1169" t="s">
        <v>125</v>
      </c>
      <c r="J1169" t="s">
        <v>125</v>
      </c>
      <c r="K1169" t="s">
        <v>125</v>
      </c>
      <c r="L1169" t="s">
        <v>125</v>
      </c>
      <c r="M1169" t="s">
        <v>1822</v>
      </c>
      <c r="N1169" t="b">
        <v>0</v>
      </c>
    </row>
    <row r="1170" spans="1:14">
      <c r="A1170">
        <v>69</v>
      </c>
      <c r="B1170">
        <v>17</v>
      </c>
      <c r="C1170" t="s">
        <v>125</v>
      </c>
      <c r="D1170" t="s">
        <v>740</v>
      </c>
      <c r="E1170" t="s">
        <v>125</v>
      </c>
      <c r="F1170">
        <v>0</v>
      </c>
      <c r="G1170" t="s">
        <v>125</v>
      </c>
      <c r="H1170" t="s">
        <v>125</v>
      </c>
      <c r="I1170" t="s">
        <v>125</v>
      </c>
      <c r="J1170" t="s">
        <v>125</v>
      </c>
      <c r="K1170" t="s">
        <v>125</v>
      </c>
      <c r="L1170" t="s">
        <v>125</v>
      </c>
      <c r="M1170" t="s">
        <v>1823</v>
      </c>
      <c r="N1170" t="b">
        <v>0</v>
      </c>
    </row>
    <row r="1171" spans="1:14">
      <c r="A1171">
        <v>69</v>
      </c>
      <c r="B1171">
        <v>18</v>
      </c>
      <c r="C1171" t="s">
        <v>125</v>
      </c>
      <c r="D1171" t="s">
        <v>740</v>
      </c>
      <c r="E1171" t="s">
        <v>125</v>
      </c>
      <c r="F1171">
        <v>0</v>
      </c>
      <c r="G1171" t="s">
        <v>125</v>
      </c>
      <c r="H1171" t="s">
        <v>125</v>
      </c>
      <c r="I1171" t="s">
        <v>125</v>
      </c>
      <c r="J1171" t="s">
        <v>125</v>
      </c>
      <c r="K1171" t="s">
        <v>125</v>
      </c>
      <c r="L1171" t="s">
        <v>125</v>
      </c>
      <c r="M1171" t="s">
        <v>1824</v>
      </c>
      <c r="N1171" t="b">
        <v>0</v>
      </c>
    </row>
    <row r="1172" spans="1:14">
      <c r="A1172">
        <v>69</v>
      </c>
      <c r="B1172">
        <v>19</v>
      </c>
      <c r="C1172" t="s">
        <v>125</v>
      </c>
      <c r="D1172" t="s">
        <v>740</v>
      </c>
      <c r="E1172" t="s">
        <v>125</v>
      </c>
      <c r="F1172">
        <v>0</v>
      </c>
      <c r="G1172" t="s">
        <v>125</v>
      </c>
      <c r="H1172" t="s">
        <v>125</v>
      </c>
      <c r="I1172" t="s">
        <v>125</v>
      </c>
      <c r="J1172" t="s">
        <v>125</v>
      </c>
      <c r="K1172" t="s">
        <v>125</v>
      </c>
      <c r="L1172" t="s">
        <v>125</v>
      </c>
      <c r="M1172" t="s">
        <v>1825</v>
      </c>
      <c r="N1172" t="b">
        <v>0</v>
      </c>
    </row>
    <row r="1173" spans="1:14">
      <c r="A1173">
        <v>69</v>
      </c>
      <c r="B1173">
        <v>20</v>
      </c>
      <c r="C1173" t="s">
        <v>125</v>
      </c>
      <c r="D1173" t="s">
        <v>740</v>
      </c>
      <c r="E1173" t="s">
        <v>125</v>
      </c>
      <c r="F1173">
        <v>0</v>
      </c>
      <c r="G1173" t="s">
        <v>125</v>
      </c>
      <c r="H1173" t="s">
        <v>125</v>
      </c>
      <c r="I1173" t="s">
        <v>125</v>
      </c>
      <c r="J1173" t="s">
        <v>125</v>
      </c>
      <c r="K1173" t="s">
        <v>125</v>
      </c>
      <c r="L1173" t="s">
        <v>125</v>
      </c>
      <c r="M1173" t="s">
        <v>1826</v>
      </c>
      <c r="N1173" t="b">
        <v>0</v>
      </c>
    </row>
    <row r="1174" spans="1:14">
      <c r="A1174">
        <v>69</v>
      </c>
      <c r="B1174">
        <v>21</v>
      </c>
      <c r="C1174" t="s">
        <v>125</v>
      </c>
      <c r="D1174" t="s">
        <v>740</v>
      </c>
      <c r="E1174" t="s">
        <v>125</v>
      </c>
      <c r="F1174">
        <v>0</v>
      </c>
      <c r="G1174" t="s">
        <v>125</v>
      </c>
      <c r="H1174" t="s">
        <v>125</v>
      </c>
      <c r="I1174" t="s">
        <v>125</v>
      </c>
      <c r="J1174" t="s">
        <v>125</v>
      </c>
      <c r="K1174" t="s">
        <v>125</v>
      </c>
      <c r="L1174" t="s">
        <v>125</v>
      </c>
      <c r="M1174" t="s">
        <v>1827</v>
      </c>
      <c r="N1174" t="b">
        <v>0</v>
      </c>
    </row>
    <row r="1175" spans="1:14">
      <c r="A1175">
        <v>69</v>
      </c>
      <c r="B1175">
        <v>22</v>
      </c>
      <c r="C1175" t="s">
        <v>125</v>
      </c>
      <c r="D1175" t="s">
        <v>740</v>
      </c>
      <c r="E1175" t="s">
        <v>125</v>
      </c>
      <c r="F1175">
        <v>0</v>
      </c>
      <c r="G1175" t="s">
        <v>125</v>
      </c>
      <c r="H1175" t="s">
        <v>125</v>
      </c>
      <c r="I1175" t="s">
        <v>125</v>
      </c>
      <c r="J1175" t="s">
        <v>125</v>
      </c>
      <c r="K1175" t="s">
        <v>125</v>
      </c>
      <c r="L1175" t="s">
        <v>125</v>
      </c>
      <c r="M1175" t="s">
        <v>1828</v>
      </c>
      <c r="N1175" t="b">
        <v>0</v>
      </c>
    </row>
    <row r="1176" spans="1:14">
      <c r="A1176">
        <v>69</v>
      </c>
      <c r="B1176">
        <v>23</v>
      </c>
      <c r="C1176" t="s">
        <v>125</v>
      </c>
      <c r="D1176" t="s">
        <v>740</v>
      </c>
      <c r="E1176" t="s">
        <v>125</v>
      </c>
      <c r="F1176">
        <v>0</v>
      </c>
      <c r="G1176" t="s">
        <v>125</v>
      </c>
      <c r="H1176" t="s">
        <v>125</v>
      </c>
      <c r="I1176" t="s">
        <v>125</v>
      </c>
      <c r="J1176" t="s">
        <v>125</v>
      </c>
      <c r="K1176" t="s">
        <v>125</v>
      </c>
      <c r="L1176" t="s">
        <v>125</v>
      </c>
      <c r="M1176" t="s">
        <v>1829</v>
      </c>
      <c r="N1176" t="b">
        <v>0</v>
      </c>
    </row>
    <row r="1177" spans="1:14">
      <c r="A1177">
        <v>69</v>
      </c>
      <c r="B1177">
        <v>24</v>
      </c>
      <c r="C1177" t="s">
        <v>125</v>
      </c>
      <c r="D1177" t="s">
        <v>740</v>
      </c>
      <c r="E1177" t="s">
        <v>125</v>
      </c>
      <c r="F1177">
        <v>0</v>
      </c>
      <c r="G1177" t="s">
        <v>125</v>
      </c>
      <c r="H1177" t="s">
        <v>125</v>
      </c>
      <c r="I1177" t="s">
        <v>125</v>
      </c>
      <c r="J1177" t="s">
        <v>125</v>
      </c>
      <c r="K1177" t="s">
        <v>125</v>
      </c>
      <c r="L1177" t="s">
        <v>125</v>
      </c>
      <c r="M1177" t="s">
        <v>1830</v>
      </c>
      <c r="N1177" t="b">
        <v>0</v>
      </c>
    </row>
    <row r="1178" spans="1:14">
      <c r="A1178">
        <v>69</v>
      </c>
      <c r="B1178">
        <v>25</v>
      </c>
      <c r="C1178" t="s">
        <v>125</v>
      </c>
      <c r="D1178" t="s">
        <v>740</v>
      </c>
      <c r="E1178" t="s">
        <v>125</v>
      </c>
      <c r="F1178">
        <v>0</v>
      </c>
      <c r="G1178" t="s">
        <v>125</v>
      </c>
      <c r="H1178" t="s">
        <v>125</v>
      </c>
      <c r="I1178" t="s">
        <v>125</v>
      </c>
      <c r="J1178" t="s">
        <v>125</v>
      </c>
      <c r="K1178" t="s">
        <v>125</v>
      </c>
      <c r="L1178" t="s">
        <v>125</v>
      </c>
      <c r="M1178" t="s">
        <v>1831</v>
      </c>
      <c r="N1178" t="b">
        <v>0</v>
      </c>
    </row>
    <row r="1179" spans="1:14">
      <c r="A1179">
        <v>69</v>
      </c>
      <c r="B1179">
        <v>26</v>
      </c>
      <c r="C1179" t="s">
        <v>125</v>
      </c>
      <c r="D1179" t="s">
        <v>740</v>
      </c>
      <c r="E1179" t="s">
        <v>125</v>
      </c>
      <c r="F1179">
        <v>0</v>
      </c>
      <c r="G1179" t="s">
        <v>125</v>
      </c>
      <c r="H1179" t="s">
        <v>125</v>
      </c>
      <c r="I1179" t="s">
        <v>125</v>
      </c>
      <c r="J1179" t="s">
        <v>125</v>
      </c>
      <c r="K1179" t="s">
        <v>125</v>
      </c>
      <c r="L1179" t="s">
        <v>125</v>
      </c>
      <c r="M1179" t="s">
        <v>1832</v>
      </c>
      <c r="N1179" t="b">
        <v>0</v>
      </c>
    </row>
    <row r="1180" spans="1:14">
      <c r="A1180">
        <v>80</v>
      </c>
      <c r="B1180">
        <v>0</v>
      </c>
      <c r="C1180" t="s">
        <v>185</v>
      </c>
      <c r="D1180" t="s">
        <v>723</v>
      </c>
      <c r="E1180" t="s">
        <v>64</v>
      </c>
      <c r="F1180">
        <v>50</v>
      </c>
      <c r="G1180" t="s">
        <v>125</v>
      </c>
      <c r="H1180" t="s">
        <v>125</v>
      </c>
      <c r="I1180" t="s">
        <v>64</v>
      </c>
      <c r="J1180" t="s">
        <v>125</v>
      </c>
      <c r="K1180" t="s">
        <v>125</v>
      </c>
      <c r="L1180" t="s">
        <v>125</v>
      </c>
      <c r="M1180" t="s">
        <v>1833</v>
      </c>
      <c r="N1180" t="b">
        <v>0</v>
      </c>
    </row>
    <row r="1181" spans="1:14">
      <c r="A1181">
        <v>80</v>
      </c>
      <c r="B1181">
        <v>1</v>
      </c>
      <c r="C1181" t="s">
        <v>157</v>
      </c>
      <c r="D1181" t="s">
        <v>723</v>
      </c>
      <c r="E1181" t="s">
        <v>82</v>
      </c>
      <c r="F1181">
        <v>40</v>
      </c>
      <c r="G1181" t="s">
        <v>125</v>
      </c>
      <c r="H1181" t="s">
        <v>125</v>
      </c>
      <c r="I1181" t="s">
        <v>82</v>
      </c>
      <c r="J1181" t="s">
        <v>125</v>
      </c>
      <c r="K1181" t="s">
        <v>125</v>
      </c>
      <c r="L1181" t="s">
        <v>125</v>
      </c>
      <c r="M1181" t="s">
        <v>1834</v>
      </c>
      <c r="N1181" t="b">
        <v>0</v>
      </c>
    </row>
    <row r="1182" spans="1:14">
      <c r="A1182">
        <v>80</v>
      </c>
      <c r="B1182">
        <v>2</v>
      </c>
      <c r="C1182" t="s">
        <v>186</v>
      </c>
      <c r="D1182" t="s">
        <v>723</v>
      </c>
      <c r="E1182" t="s">
        <v>92</v>
      </c>
      <c r="F1182">
        <v>50</v>
      </c>
      <c r="G1182" t="s">
        <v>125</v>
      </c>
      <c r="H1182" t="s">
        <v>125</v>
      </c>
      <c r="I1182" t="s">
        <v>92</v>
      </c>
      <c r="J1182" t="s">
        <v>125</v>
      </c>
      <c r="K1182" t="s">
        <v>125</v>
      </c>
      <c r="L1182" t="s">
        <v>125</v>
      </c>
      <c r="M1182" t="s">
        <v>1835</v>
      </c>
      <c r="N1182" t="b">
        <v>0</v>
      </c>
    </row>
    <row r="1183" spans="1:14">
      <c r="A1183">
        <v>80</v>
      </c>
      <c r="B1183">
        <v>3</v>
      </c>
      <c r="C1183" t="s">
        <v>250</v>
      </c>
      <c r="D1183" t="s">
        <v>723</v>
      </c>
      <c r="E1183" t="s">
        <v>98</v>
      </c>
      <c r="F1183">
        <v>40</v>
      </c>
      <c r="G1183" t="s">
        <v>125</v>
      </c>
      <c r="H1183" t="s">
        <v>125</v>
      </c>
      <c r="I1183" t="s">
        <v>98</v>
      </c>
      <c r="J1183" t="s">
        <v>125</v>
      </c>
      <c r="K1183" t="s">
        <v>125</v>
      </c>
      <c r="L1183" t="s">
        <v>125</v>
      </c>
      <c r="M1183" t="s">
        <v>1836</v>
      </c>
      <c r="N1183" t="b">
        <v>0</v>
      </c>
    </row>
    <row r="1184" spans="1:14">
      <c r="A1184">
        <v>80</v>
      </c>
      <c r="B1184">
        <v>4</v>
      </c>
      <c r="C1184" t="s">
        <v>228</v>
      </c>
      <c r="D1184" t="s">
        <v>723</v>
      </c>
      <c r="E1184" t="s">
        <v>100</v>
      </c>
      <c r="F1184">
        <v>40</v>
      </c>
      <c r="G1184" t="s">
        <v>125</v>
      </c>
      <c r="H1184" t="s">
        <v>125</v>
      </c>
      <c r="I1184" t="s">
        <v>100</v>
      </c>
      <c r="J1184" t="s">
        <v>125</v>
      </c>
      <c r="K1184" t="s">
        <v>125</v>
      </c>
      <c r="L1184" t="s">
        <v>125</v>
      </c>
      <c r="M1184" t="s">
        <v>1837</v>
      </c>
      <c r="N1184" t="b">
        <v>0</v>
      </c>
    </row>
    <row r="1185" spans="1:14">
      <c r="A1185">
        <v>80</v>
      </c>
      <c r="B1185">
        <v>5</v>
      </c>
      <c r="C1185" t="s">
        <v>211</v>
      </c>
      <c r="D1185" t="s">
        <v>723</v>
      </c>
      <c r="E1185" t="s">
        <v>108</v>
      </c>
      <c r="F1185">
        <v>40</v>
      </c>
      <c r="G1185" t="s">
        <v>125</v>
      </c>
      <c r="H1185" t="s">
        <v>125</v>
      </c>
      <c r="I1185" t="s">
        <v>108</v>
      </c>
      <c r="J1185" t="s">
        <v>125</v>
      </c>
      <c r="K1185" t="s">
        <v>125</v>
      </c>
      <c r="L1185" t="s">
        <v>125</v>
      </c>
      <c r="M1185" t="s">
        <v>1838</v>
      </c>
      <c r="N1185" t="b">
        <v>0</v>
      </c>
    </row>
    <row r="1186" spans="1:14">
      <c r="A1186">
        <v>80</v>
      </c>
      <c r="B1186">
        <v>6</v>
      </c>
      <c r="C1186" t="s">
        <v>165</v>
      </c>
      <c r="D1186" t="s">
        <v>723</v>
      </c>
      <c r="E1186" t="s">
        <v>114</v>
      </c>
      <c r="F1186">
        <v>50</v>
      </c>
      <c r="G1186" t="s">
        <v>125</v>
      </c>
      <c r="H1186" t="s">
        <v>125</v>
      </c>
      <c r="I1186" t="s">
        <v>114</v>
      </c>
      <c r="J1186" t="s">
        <v>125</v>
      </c>
      <c r="K1186" t="s">
        <v>125</v>
      </c>
      <c r="L1186" t="s">
        <v>125</v>
      </c>
      <c r="M1186" t="s">
        <v>1839</v>
      </c>
      <c r="N1186" t="b">
        <v>0</v>
      </c>
    </row>
    <row r="1187" spans="1:14">
      <c r="A1187">
        <v>80</v>
      </c>
      <c r="B1187">
        <v>7</v>
      </c>
      <c r="C1187" t="s">
        <v>191</v>
      </c>
      <c r="D1187" t="s">
        <v>723</v>
      </c>
      <c r="E1187" t="s">
        <v>60</v>
      </c>
      <c r="F1187">
        <v>30</v>
      </c>
      <c r="G1187" t="s">
        <v>125</v>
      </c>
      <c r="H1187" t="s">
        <v>125</v>
      </c>
      <c r="I1187" t="s">
        <v>60</v>
      </c>
      <c r="J1187" t="s">
        <v>125</v>
      </c>
      <c r="K1187" t="s">
        <v>125</v>
      </c>
      <c r="L1187" t="s">
        <v>125</v>
      </c>
      <c r="M1187" t="s">
        <v>1840</v>
      </c>
      <c r="N1187" t="b">
        <v>0</v>
      </c>
    </row>
    <row r="1188" spans="1:14">
      <c r="A1188">
        <v>80</v>
      </c>
      <c r="B1188">
        <v>8</v>
      </c>
      <c r="C1188" t="s">
        <v>192</v>
      </c>
      <c r="D1188" t="s">
        <v>723</v>
      </c>
      <c r="E1188" t="s">
        <v>77</v>
      </c>
      <c r="F1188">
        <v>50</v>
      </c>
      <c r="G1188" t="s">
        <v>125</v>
      </c>
      <c r="H1188" t="s">
        <v>125</v>
      </c>
      <c r="I1188" t="s">
        <v>77</v>
      </c>
      <c r="J1188" t="s">
        <v>125</v>
      </c>
      <c r="K1188" t="s">
        <v>125</v>
      </c>
      <c r="L1188" t="s">
        <v>125</v>
      </c>
      <c r="M1188" t="s">
        <v>1841</v>
      </c>
      <c r="N1188" t="b">
        <v>0</v>
      </c>
    </row>
    <row r="1189" spans="1:14">
      <c r="A1189">
        <v>80</v>
      </c>
      <c r="B1189">
        <v>9</v>
      </c>
      <c r="C1189" t="s">
        <v>427</v>
      </c>
      <c r="D1189" t="s">
        <v>752</v>
      </c>
      <c r="E1189" t="s">
        <v>544</v>
      </c>
      <c r="F1189">
        <v>40</v>
      </c>
      <c r="G1189" t="s">
        <v>1668</v>
      </c>
      <c r="H1189" t="s">
        <v>125</v>
      </c>
      <c r="I1189" t="s">
        <v>125</v>
      </c>
      <c r="J1189" t="s">
        <v>1842</v>
      </c>
      <c r="K1189" t="s">
        <v>800</v>
      </c>
      <c r="L1189" t="s">
        <v>801</v>
      </c>
      <c r="M1189" t="s">
        <v>1843</v>
      </c>
      <c r="N1189" t="b">
        <v>0</v>
      </c>
    </row>
    <row r="1190" spans="1:14">
      <c r="A1190">
        <v>80</v>
      </c>
      <c r="B1190">
        <v>10</v>
      </c>
      <c r="C1190" t="s">
        <v>193</v>
      </c>
      <c r="D1190" t="s">
        <v>723</v>
      </c>
      <c r="E1190" t="s">
        <v>97</v>
      </c>
      <c r="F1190">
        <v>50</v>
      </c>
      <c r="G1190" t="s">
        <v>125</v>
      </c>
      <c r="H1190" t="s">
        <v>125</v>
      </c>
      <c r="I1190" t="s">
        <v>97</v>
      </c>
      <c r="J1190" t="s">
        <v>125</v>
      </c>
      <c r="K1190" t="s">
        <v>125</v>
      </c>
      <c r="L1190" t="s">
        <v>125</v>
      </c>
      <c r="M1190" t="s">
        <v>1844</v>
      </c>
      <c r="N1190" t="b">
        <v>0</v>
      </c>
    </row>
    <row r="1191" spans="1:14">
      <c r="A1191">
        <v>80</v>
      </c>
      <c r="B1191">
        <v>11</v>
      </c>
      <c r="C1191" t="s">
        <v>125</v>
      </c>
      <c r="D1191" t="s">
        <v>723</v>
      </c>
      <c r="E1191" t="s">
        <v>125</v>
      </c>
      <c r="F1191">
        <v>0</v>
      </c>
      <c r="G1191" t="s">
        <v>125</v>
      </c>
      <c r="H1191" t="s">
        <v>125</v>
      </c>
      <c r="I1191" t="s">
        <v>125</v>
      </c>
      <c r="J1191" t="s">
        <v>125</v>
      </c>
      <c r="K1191" t="s">
        <v>125</v>
      </c>
      <c r="L1191" t="s">
        <v>125</v>
      </c>
      <c r="M1191" t="s">
        <v>1845</v>
      </c>
      <c r="N1191" t="b">
        <v>0</v>
      </c>
    </row>
    <row r="1192" spans="1:14">
      <c r="A1192">
        <v>80</v>
      </c>
      <c r="B1192">
        <v>12</v>
      </c>
      <c r="C1192" t="s">
        <v>125</v>
      </c>
      <c r="D1192" t="s">
        <v>723</v>
      </c>
      <c r="E1192" t="s">
        <v>125</v>
      </c>
      <c r="F1192">
        <v>0</v>
      </c>
      <c r="G1192" t="s">
        <v>125</v>
      </c>
      <c r="H1192" t="s">
        <v>125</v>
      </c>
      <c r="I1192" t="s">
        <v>125</v>
      </c>
      <c r="J1192" t="s">
        <v>125</v>
      </c>
      <c r="K1192" t="s">
        <v>125</v>
      </c>
      <c r="L1192" t="s">
        <v>125</v>
      </c>
      <c r="M1192" t="s">
        <v>1846</v>
      </c>
      <c r="N1192" t="b">
        <v>0</v>
      </c>
    </row>
    <row r="1193" spans="1:14">
      <c r="A1193">
        <v>80</v>
      </c>
      <c r="B1193">
        <v>13</v>
      </c>
      <c r="C1193" t="s">
        <v>125</v>
      </c>
      <c r="D1193" t="s">
        <v>723</v>
      </c>
      <c r="E1193" t="s">
        <v>125</v>
      </c>
      <c r="F1193">
        <v>0</v>
      </c>
      <c r="G1193" t="s">
        <v>125</v>
      </c>
      <c r="H1193" t="s">
        <v>125</v>
      </c>
      <c r="I1193" t="s">
        <v>125</v>
      </c>
      <c r="J1193" t="s">
        <v>125</v>
      </c>
      <c r="K1193" t="s">
        <v>125</v>
      </c>
      <c r="L1193" t="s">
        <v>125</v>
      </c>
      <c r="M1193" t="s">
        <v>1847</v>
      </c>
      <c r="N1193" t="b">
        <v>0</v>
      </c>
    </row>
    <row r="1194" spans="1:14">
      <c r="A1194">
        <v>80</v>
      </c>
      <c r="B1194">
        <v>14</v>
      </c>
      <c r="C1194" t="s">
        <v>125</v>
      </c>
      <c r="D1194" t="s">
        <v>723</v>
      </c>
      <c r="E1194" t="s">
        <v>125</v>
      </c>
      <c r="F1194">
        <v>0</v>
      </c>
      <c r="G1194" t="s">
        <v>125</v>
      </c>
      <c r="H1194" t="s">
        <v>125</v>
      </c>
      <c r="I1194" t="s">
        <v>125</v>
      </c>
      <c r="J1194" t="s">
        <v>125</v>
      </c>
      <c r="K1194" t="s">
        <v>125</v>
      </c>
      <c r="L1194" t="s">
        <v>125</v>
      </c>
      <c r="M1194" t="s">
        <v>1848</v>
      </c>
      <c r="N1194" t="b">
        <v>0</v>
      </c>
    </row>
    <row r="1195" spans="1:14">
      <c r="A1195">
        <v>80</v>
      </c>
      <c r="B1195">
        <v>15</v>
      </c>
      <c r="C1195" t="s">
        <v>125</v>
      </c>
      <c r="D1195" t="s">
        <v>723</v>
      </c>
      <c r="E1195" t="s">
        <v>125</v>
      </c>
      <c r="F1195">
        <v>0</v>
      </c>
      <c r="G1195" t="s">
        <v>125</v>
      </c>
      <c r="H1195" t="s">
        <v>125</v>
      </c>
      <c r="I1195" t="s">
        <v>125</v>
      </c>
      <c r="J1195" t="s">
        <v>125</v>
      </c>
      <c r="K1195" t="s">
        <v>125</v>
      </c>
      <c r="L1195" t="s">
        <v>125</v>
      </c>
      <c r="M1195" t="s">
        <v>1849</v>
      </c>
      <c r="N1195" t="b">
        <v>0</v>
      </c>
    </row>
    <row r="1196" spans="1:14">
      <c r="A1196">
        <v>80</v>
      </c>
      <c r="B1196">
        <v>16</v>
      </c>
      <c r="C1196" t="s">
        <v>125</v>
      </c>
      <c r="D1196" t="s">
        <v>740</v>
      </c>
      <c r="E1196" t="s">
        <v>125</v>
      </c>
      <c r="F1196">
        <v>0</v>
      </c>
      <c r="G1196" t="s">
        <v>125</v>
      </c>
      <c r="H1196" t="s">
        <v>125</v>
      </c>
      <c r="I1196" t="s">
        <v>125</v>
      </c>
      <c r="J1196" t="s">
        <v>125</v>
      </c>
      <c r="K1196" t="s">
        <v>125</v>
      </c>
      <c r="L1196" t="s">
        <v>125</v>
      </c>
      <c r="M1196" t="s">
        <v>1850</v>
      </c>
      <c r="N1196" t="b">
        <v>0</v>
      </c>
    </row>
    <row r="1197" spans="1:14">
      <c r="A1197">
        <v>80</v>
      </c>
      <c r="B1197">
        <v>17</v>
      </c>
      <c r="C1197" t="s">
        <v>125</v>
      </c>
      <c r="D1197" t="s">
        <v>740</v>
      </c>
      <c r="E1197" t="s">
        <v>125</v>
      </c>
      <c r="F1197">
        <v>0</v>
      </c>
      <c r="G1197" t="s">
        <v>125</v>
      </c>
      <c r="H1197" t="s">
        <v>125</v>
      </c>
      <c r="I1197" t="s">
        <v>125</v>
      </c>
      <c r="J1197" t="s">
        <v>125</v>
      </c>
      <c r="K1197" t="s">
        <v>125</v>
      </c>
      <c r="L1197" t="s">
        <v>125</v>
      </c>
      <c r="M1197" t="s">
        <v>1851</v>
      </c>
      <c r="N1197" t="b">
        <v>0</v>
      </c>
    </row>
    <row r="1198" spans="1:14">
      <c r="A1198">
        <v>80</v>
      </c>
      <c r="B1198">
        <v>18</v>
      </c>
      <c r="C1198" t="s">
        <v>125</v>
      </c>
      <c r="D1198" t="s">
        <v>740</v>
      </c>
      <c r="E1198" t="s">
        <v>125</v>
      </c>
      <c r="F1198">
        <v>0</v>
      </c>
      <c r="G1198" t="s">
        <v>125</v>
      </c>
      <c r="H1198" t="s">
        <v>125</v>
      </c>
      <c r="I1198" t="s">
        <v>125</v>
      </c>
      <c r="J1198" t="s">
        <v>125</v>
      </c>
      <c r="K1198" t="s">
        <v>125</v>
      </c>
      <c r="L1198" t="s">
        <v>125</v>
      </c>
      <c r="M1198" t="s">
        <v>1852</v>
      </c>
      <c r="N1198" t="b">
        <v>0</v>
      </c>
    </row>
    <row r="1199" spans="1:14">
      <c r="A1199">
        <v>80</v>
      </c>
      <c r="B1199">
        <v>19</v>
      </c>
      <c r="C1199" t="s">
        <v>125</v>
      </c>
      <c r="D1199" t="s">
        <v>740</v>
      </c>
      <c r="E1199" t="s">
        <v>125</v>
      </c>
      <c r="F1199">
        <v>0</v>
      </c>
      <c r="G1199" t="s">
        <v>125</v>
      </c>
      <c r="H1199" t="s">
        <v>125</v>
      </c>
      <c r="I1199" t="s">
        <v>125</v>
      </c>
      <c r="J1199" t="s">
        <v>125</v>
      </c>
      <c r="K1199" t="s">
        <v>125</v>
      </c>
      <c r="L1199" t="s">
        <v>125</v>
      </c>
      <c r="M1199" t="s">
        <v>1853</v>
      </c>
      <c r="N1199" t="b">
        <v>0</v>
      </c>
    </row>
    <row r="1200" spans="1:14">
      <c r="A1200">
        <v>80</v>
      </c>
      <c r="B1200">
        <v>20</v>
      </c>
      <c r="C1200" t="s">
        <v>125</v>
      </c>
      <c r="D1200" t="s">
        <v>740</v>
      </c>
      <c r="E1200" t="s">
        <v>125</v>
      </c>
      <c r="F1200">
        <v>0</v>
      </c>
      <c r="G1200" t="s">
        <v>125</v>
      </c>
      <c r="H1200" t="s">
        <v>125</v>
      </c>
      <c r="I1200" t="s">
        <v>125</v>
      </c>
      <c r="J1200" t="s">
        <v>125</v>
      </c>
      <c r="K1200" t="s">
        <v>125</v>
      </c>
      <c r="L1200" t="s">
        <v>125</v>
      </c>
      <c r="M1200" t="s">
        <v>1854</v>
      </c>
      <c r="N1200" t="b">
        <v>0</v>
      </c>
    </row>
    <row r="1201" spans="1:14">
      <c r="A1201">
        <v>80</v>
      </c>
      <c r="B1201">
        <v>21</v>
      </c>
      <c r="C1201" t="s">
        <v>125</v>
      </c>
      <c r="D1201" t="s">
        <v>740</v>
      </c>
      <c r="E1201" t="s">
        <v>125</v>
      </c>
      <c r="F1201">
        <v>0</v>
      </c>
      <c r="G1201" t="s">
        <v>125</v>
      </c>
      <c r="H1201" t="s">
        <v>125</v>
      </c>
      <c r="I1201" t="s">
        <v>125</v>
      </c>
      <c r="J1201" t="s">
        <v>125</v>
      </c>
      <c r="K1201" t="s">
        <v>125</v>
      </c>
      <c r="L1201" t="s">
        <v>125</v>
      </c>
      <c r="M1201" t="s">
        <v>1855</v>
      </c>
      <c r="N1201" t="b">
        <v>0</v>
      </c>
    </row>
    <row r="1202" spans="1:14">
      <c r="A1202">
        <v>80</v>
      </c>
      <c r="B1202">
        <v>22</v>
      </c>
      <c r="C1202" t="s">
        <v>125</v>
      </c>
      <c r="D1202" t="s">
        <v>740</v>
      </c>
      <c r="E1202" t="s">
        <v>125</v>
      </c>
      <c r="F1202">
        <v>0</v>
      </c>
      <c r="G1202" t="s">
        <v>125</v>
      </c>
      <c r="H1202" t="s">
        <v>125</v>
      </c>
      <c r="I1202" t="s">
        <v>125</v>
      </c>
      <c r="J1202" t="s">
        <v>125</v>
      </c>
      <c r="K1202" t="s">
        <v>125</v>
      </c>
      <c r="L1202" t="s">
        <v>125</v>
      </c>
      <c r="M1202" t="s">
        <v>1856</v>
      </c>
      <c r="N1202" t="b">
        <v>0</v>
      </c>
    </row>
    <row r="1203" spans="1:14">
      <c r="A1203">
        <v>80</v>
      </c>
      <c r="B1203">
        <v>23</v>
      </c>
      <c r="C1203" t="s">
        <v>125</v>
      </c>
      <c r="D1203" t="s">
        <v>740</v>
      </c>
      <c r="E1203" t="s">
        <v>125</v>
      </c>
      <c r="F1203">
        <v>0</v>
      </c>
      <c r="G1203" t="s">
        <v>125</v>
      </c>
      <c r="H1203" t="s">
        <v>125</v>
      </c>
      <c r="I1203" t="s">
        <v>125</v>
      </c>
      <c r="J1203" t="s">
        <v>125</v>
      </c>
      <c r="K1203" t="s">
        <v>125</v>
      </c>
      <c r="L1203" t="s">
        <v>125</v>
      </c>
      <c r="M1203" t="s">
        <v>1857</v>
      </c>
      <c r="N1203" t="b">
        <v>0</v>
      </c>
    </row>
    <row r="1204" spans="1:14">
      <c r="A1204">
        <v>80</v>
      </c>
      <c r="B1204">
        <v>24</v>
      </c>
      <c r="C1204" t="s">
        <v>125</v>
      </c>
      <c r="D1204" t="s">
        <v>740</v>
      </c>
      <c r="E1204" t="s">
        <v>125</v>
      </c>
      <c r="F1204">
        <v>0</v>
      </c>
      <c r="G1204" t="s">
        <v>125</v>
      </c>
      <c r="H1204" t="s">
        <v>125</v>
      </c>
      <c r="I1204" t="s">
        <v>125</v>
      </c>
      <c r="J1204" t="s">
        <v>125</v>
      </c>
      <c r="K1204" t="s">
        <v>125</v>
      </c>
      <c r="L1204" t="s">
        <v>125</v>
      </c>
      <c r="M1204" t="s">
        <v>1858</v>
      </c>
      <c r="N1204" t="b">
        <v>0</v>
      </c>
    </row>
    <row r="1205" spans="1:14">
      <c r="A1205">
        <v>80</v>
      </c>
      <c r="B1205">
        <v>25</v>
      </c>
      <c r="C1205" t="s">
        <v>125</v>
      </c>
      <c r="D1205" t="s">
        <v>740</v>
      </c>
      <c r="E1205" t="s">
        <v>125</v>
      </c>
      <c r="F1205">
        <v>0</v>
      </c>
      <c r="G1205" t="s">
        <v>125</v>
      </c>
      <c r="H1205" t="s">
        <v>125</v>
      </c>
      <c r="I1205" t="s">
        <v>125</v>
      </c>
      <c r="J1205" t="s">
        <v>125</v>
      </c>
      <c r="K1205" t="s">
        <v>125</v>
      </c>
      <c r="L1205" t="s">
        <v>125</v>
      </c>
      <c r="M1205" t="s">
        <v>1859</v>
      </c>
      <c r="N1205" t="b">
        <v>0</v>
      </c>
    </row>
    <row r="1206" spans="1:14">
      <c r="A1206">
        <v>80</v>
      </c>
      <c r="B1206">
        <v>26</v>
      </c>
      <c r="C1206" t="s">
        <v>125</v>
      </c>
      <c r="D1206" t="s">
        <v>740</v>
      </c>
      <c r="E1206" t="s">
        <v>125</v>
      </c>
      <c r="F1206">
        <v>0</v>
      </c>
      <c r="G1206" t="s">
        <v>125</v>
      </c>
      <c r="H1206" t="s">
        <v>125</v>
      </c>
      <c r="I1206" t="s">
        <v>125</v>
      </c>
      <c r="J1206" t="s">
        <v>125</v>
      </c>
      <c r="K1206" t="s">
        <v>125</v>
      </c>
      <c r="L1206" t="s">
        <v>125</v>
      </c>
      <c r="M1206" t="s">
        <v>1860</v>
      </c>
      <c r="N1206" t="b">
        <v>0</v>
      </c>
    </row>
    <row r="1207" spans="1:14">
      <c r="A1207">
        <v>81</v>
      </c>
      <c r="B1207">
        <v>0</v>
      </c>
      <c r="C1207" t="s">
        <v>215</v>
      </c>
      <c r="D1207" t="s">
        <v>723</v>
      </c>
      <c r="E1207" t="s">
        <v>64</v>
      </c>
      <c r="F1207">
        <v>60</v>
      </c>
      <c r="G1207" t="s">
        <v>125</v>
      </c>
      <c r="H1207" t="s">
        <v>125</v>
      </c>
      <c r="I1207" t="s">
        <v>64</v>
      </c>
      <c r="J1207" t="s">
        <v>125</v>
      </c>
      <c r="K1207" t="s">
        <v>125</v>
      </c>
      <c r="L1207" t="s">
        <v>125</v>
      </c>
      <c r="M1207" t="s">
        <v>1861</v>
      </c>
      <c r="N1207" t="b">
        <v>0</v>
      </c>
    </row>
    <row r="1208" spans="1:14">
      <c r="A1208">
        <v>81</v>
      </c>
      <c r="B1208">
        <v>1</v>
      </c>
      <c r="C1208" t="s">
        <v>157</v>
      </c>
      <c r="D1208" t="s">
        <v>723</v>
      </c>
      <c r="E1208" t="s">
        <v>82</v>
      </c>
      <c r="F1208">
        <v>40</v>
      </c>
      <c r="G1208" t="s">
        <v>125</v>
      </c>
      <c r="H1208" t="s">
        <v>125</v>
      </c>
      <c r="I1208" t="s">
        <v>82</v>
      </c>
      <c r="J1208" t="s">
        <v>125</v>
      </c>
      <c r="K1208" t="s">
        <v>125</v>
      </c>
      <c r="L1208" t="s">
        <v>125</v>
      </c>
      <c r="M1208" t="s">
        <v>1862</v>
      </c>
      <c r="N1208" t="b">
        <v>0</v>
      </c>
    </row>
    <row r="1209" spans="1:14">
      <c r="A1209">
        <v>81</v>
      </c>
      <c r="B1209">
        <v>2</v>
      </c>
      <c r="C1209" t="s">
        <v>211</v>
      </c>
      <c r="D1209" t="s">
        <v>723</v>
      </c>
      <c r="E1209" t="s">
        <v>108</v>
      </c>
      <c r="F1209">
        <v>40</v>
      </c>
      <c r="G1209" t="s">
        <v>125</v>
      </c>
      <c r="H1209" t="s">
        <v>125</v>
      </c>
      <c r="I1209" t="s">
        <v>108</v>
      </c>
      <c r="J1209" t="s">
        <v>125</v>
      </c>
      <c r="K1209" t="s">
        <v>125</v>
      </c>
      <c r="L1209" t="s">
        <v>125</v>
      </c>
      <c r="M1209" t="s">
        <v>1863</v>
      </c>
      <c r="N1209" t="b">
        <v>0</v>
      </c>
    </row>
    <row r="1210" spans="1:14">
      <c r="A1210">
        <v>81</v>
      </c>
      <c r="B1210">
        <v>3</v>
      </c>
      <c r="C1210" t="s">
        <v>181</v>
      </c>
      <c r="D1210" t="s">
        <v>723</v>
      </c>
      <c r="E1210" t="s">
        <v>60</v>
      </c>
      <c r="F1210">
        <v>40</v>
      </c>
      <c r="G1210" t="s">
        <v>125</v>
      </c>
      <c r="H1210" t="s">
        <v>125</v>
      </c>
      <c r="I1210" t="s">
        <v>60</v>
      </c>
      <c r="J1210" t="s">
        <v>125</v>
      </c>
      <c r="K1210" t="s">
        <v>125</v>
      </c>
      <c r="L1210" t="s">
        <v>125</v>
      </c>
      <c r="M1210" t="s">
        <v>1864</v>
      </c>
      <c r="N1210" t="b">
        <v>0</v>
      </c>
    </row>
    <row r="1211" spans="1:14">
      <c r="A1211">
        <v>81</v>
      </c>
      <c r="B1211">
        <v>4</v>
      </c>
      <c r="C1211" t="s">
        <v>430</v>
      </c>
      <c r="D1211" t="s">
        <v>752</v>
      </c>
      <c r="E1211" t="s">
        <v>544</v>
      </c>
      <c r="F1211">
        <v>60</v>
      </c>
      <c r="G1211" t="s">
        <v>1668</v>
      </c>
      <c r="H1211" t="s">
        <v>125</v>
      </c>
      <c r="I1211" t="s">
        <v>125</v>
      </c>
      <c r="J1211" t="s">
        <v>1865</v>
      </c>
      <c r="K1211" t="s">
        <v>800</v>
      </c>
      <c r="L1211" t="s">
        <v>801</v>
      </c>
      <c r="M1211" t="s">
        <v>1866</v>
      </c>
      <c r="N1211" t="b">
        <v>0</v>
      </c>
    </row>
    <row r="1212" spans="1:14">
      <c r="A1212">
        <v>81</v>
      </c>
      <c r="B1212">
        <v>5</v>
      </c>
      <c r="C1212" t="s">
        <v>431</v>
      </c>
      <c r="D1212" t="s">
        <v>752</v>
      </c>
      <c r="E1212" t="s">
        <v>544</v>
      </c>
      <c r="F1212">
        <v>50</v>
      </c>
      <c r="G1212" t="s">
        <v>1668</v>
      </c>
      <c r="H1212" t="s">
        <v>125</v>
      </c>
      <c r="I1212" t="s">
        <v>125</v>
      </c>
      <c r="J1212" t="s">
        <v>1867</v>
      </c>
      <c r="K1212" t="s">
        <v>824</v>
      </c>
      <c r="L1212" t="s">
        <v>825</v>
      </c>
      <c r="M1212" t="s">
        <v>1868</v>
      </c>
      <c r="N1212" t="b">
        <v>0</v>
      </c>
    </row>
    <row r="1213" spans="1:14">
      <c r="A1213">
        <v>81</v>
      </c>
      <c r="B1213">
        <v>6</v>
      </c>
      <c r="C1213" t="s">
        <v>207</v>
      </c>
      <c r="D1213" t="s">
        <v>752</v>
      </c>
      <c r="E1213" t="s">
        <v>544</v>
      </c>
      <c r="F1213">
        <v>50</v>
      </c>
      <c r="G1213" t="s">
        <v>759</v>
      </c>
      <c r="H1213" t="s">
        <v>125</v>
      </c>
      <c r="I1213" t="s">
        <v>125</v>
      </c>
      <c r="J1213" t="s">
        <v>823</v>
      </c>
      <c r="K1213" t="s">
        <v>889</v>
      </c>
      <c r="L1213" t="s">
        <v>890</v>
      </c>
      <c r="M1213" t="s">
        <v>1869</v>
      </c>
      <c r="N1213" t="b">
        <v>0</v>
      </c>
    </row>
    <row r="1214" spans="1:14">
      <c r="A1214">
        <v>81</v>
      </c>
      <c r="B1214">
        <v>7</v>
      </c>
      <c r="C1214" t="s">
        <v>168</v>
      </c>
      <c r="D1214" t="s">
        <v>723</v>
      </c>
      <c r="E1214" t="s">
        <v>97</v>
      </c>
      <c r="F1214">
        <v>60</v>
      </c>
      <c r="G1214" t="s">
        <v>125</v>
      </c>
      <c r="H1214" t="s">
        <v>125</v>
      </c>
      <c r="I1214" t="s">
        <v>97</v>
      </c>
      <c r="J1214" t="s">
        <v>125</v>
      </c>
      <c r="K1214" t="s">
        <v>125</v>
      </c>
      <c r="L1214" t="s">
        <v>125</v>
      </c>
      <c r="M1214" t="s">
        <v>1870</v>
      </c>
      <c r="N1214" t="b">
        <v>0</v>
      </c>
    </row>
    <row r="1215" spans="1:14">
      <c r="A1215">
        <v>81</v>
      </c>
      <c r="B1215">
        <v>8</v>
      </c>
      <c r="C1215" t="s">
        <v>125</v>
      </c>
      <c r="D1215" t="s">
        <v>723</v>
      </c>
      <c r="E1215" t="s">
        <v>125</v>
      </c>
      <c r="F1215">
        <v>0</v>
      </c>
      <c r="G1215" t="s">
        <v>125</v>
      </c>
      <c r="H1215" t="s">
        <v>125</v>
      </c>
      <c r="I1215" t="s">
        <v>125</v>
      </c>
      <c r="J1215" t="s">
        <v>125</v>
      </c>
      <c r="K1215" t="s">
        <v>125</v>
      </c>
      <c r="L1215" t="s">
        <v>125</v>
      </c>
      <c r="M1215" t="s">
        <v>1871</v>
      </c>
      <c r="N1215" t="b">
        <v>0</v>
      </c>
    </row>
    <row r="1216" spans="1:14">
      <c r="A1216">
        <v>81</v>
      </c>
      <c r="B1216">
        <v>9</v>
      </c>
      <c r="C1216" t="s">
        <v>125</v>
      </c>
      <c r="D1216" t="s">
        <v>723</v>
      </c>
      <c r="E1216" t="s">
        <v>125</v>
      </c>
      <c r="F1216">
        <v>0</v>
      </c>
      <c r="G1216" t="s">
        <v>125</v>
      </c>
      <c r="H1216" t="s">
        <v>125</v>
      </c>
      <c r="I1216" t="s">
        <v>125</v>
      </c>
      <c r="J1216" t="s">
        <v>125</v>
      </c>
      <c r="K1216" t="s">
        <v>125</v>
      </c>
      <c r="L1216" t="s">
        <v>125</v>
      </c>
      <c r="M1216" t="s">
        <v>1872</v>
      </c>
      <c r="N1216" t="b">
        <v>0</v>
      </c>
    </row>
    <row r="1217" spans="1:14">
      <c r="A1217">
        <v>81</v>
      </c>
      <c r="B1217">
        <v>10</v>
      </c>
      <c r="C1217" t="s">
        <v>125</v>
      </c>
      <c r="D1217" t="s">
        <v>723</v>
      </c>
      <c r="E1217" t="s">
        <v>125</v>
      </c>
      <c r="F1217">
        <v>0</v>
      </c>
      <c r="G1217" t="s">
        <v>125</v>
      </c>
      <c r="H1217" t="s">
        <v>125</v>
      </c>
      <c r="I1217" t="s">
        <v>125</v>
      </c>
      <c r="J1217" t="s">
        <v>125</v>
      </c>
      <c r="K1217" t="s">
        <v>125</v>
      </c>
      <c r="L1217" t="s">
        <v>125</v>
      </c>
      <c r="M1217" t="s">
        <v>1873</v>
      </c>
      <c r="N1217" t="b">
        <v>0</v>
      </c>
    </row>
    <row r="1218" spans="1:14">
      <c r="A1218">
        <v>81</v>
      </c>
      <c r="B1218">
        <v>11</v>
      </c>
      <c r="C1218" t="s">
        <v>125</v>
      </c>
      <c r="D1218" t="s">
        <v>723</v>
      </c>
      <c r="E1218" t="s">
        <v>125</v>
      </c>
      <c r="F1218">
        <v>0</v>
      </c>
      <c r="G1218" t="s">
        <v>125</v>
      </c>
      <c r="H1218" t="s">
        <v>125</v>
      </c>
      <c r="I1218" t="s">
        <v>125</v>
      </c>
      <c r="J1218" t="s">
        <v>125</v>
      </c>
      <c r="K1218" t="s">
        <v>125</v>
      </c>
      <c r="L1218" t="s">
        <v>125</v>
      </c>
      <c r="M1218" t="s">
        <v>1874</v>
      </c>
      <c r="N1218" t="b">
        <v>0</v>
      </c>
    </row>
    <row r="1219" spans="1:14">
      <c r="A1219">
        <v>81</v>
      </c>
      <c r="B1219">
        <v>12</v>
      </c>
      <c r="C1219" t="s">
        <v>125</v>
      </c>
      <c r="D1219" t="s">
        <v>723</v>
      </c>
      <c r="E1219" t="s">
        <v>125</v>
      </c>
      <c r="F1219">
        <v>0</v>
      </c>
      <c r="G1219" t="s">
        <v>125</v>
      </c>
      <c r="H1219" t="s">
        <v>125</v>
      </c>
      <c r="I1219" t="s">
        <v>125</v>
      </c>
      <c r="J1219" t="s">
        <v>125</v>
      </c>
      <c r="K1219" t="s">
        <v>125</v>
      </c>
      <c r="L1219" t="s">
        <v>125</v>
      </c>
      <c r="M1219" t="s">
        <v>1875</v>
      </c>
      <c r="N1219" t="b">
        <v>0</v>
      </c>
    </row>
    <row r="1220" spans="1:14">
      <c r="A1220">
        <v>81</v>
      </c>
      <c r="B1220">
        <v>13</v>
      </c>
      <c r="C1220" t="s">
        <v>125</v>
      </c>
      <c r="D1220" t="s">
        <v>723</v>
      </c>
      <c r="E1220" t="s">
        <v>125</v>
      </c>
      <c r="F1220">
        <v>0</v>
      </c>
      <c r="G1220" t="s">
        <v>125</v>
      </c>
      <c r="H1220" t="s">
        <v>125</v>
      </c>
      <c r="I1220" t="s">
        <v>125</v>
      </c>
      <c r="J1220" t="s">
        <v>125</v>
      </c>
      <c r="K1220" t="s">
        <v>125</v>
      </c>
      <c r="L1220" t="s">
        <v>125</v>
      </c>
      <c r="M1220" t="s">
        <v>1876</v>
      </c>
      <c r="N1220" t="b">
        <v>0</v>
      </c>
    </row>
    <row r="1221" spans="1:14">
      <c r="A1221">
        <v>81</v>
      </c>
      <c r="B1221">
        <v>14</v>
      </c>
      <c r="C1221" t="s">
        <v>125</v>
      </c>
      <c r="D1221" t="s">
        <v>723</v>
      </c>
      <c r="E1221" t="s">
        <v>125</v>
      </c>
      <c r="F1221">
        <v>0</v>
      </c>
      <c r="G1221" t="s">
        <v>125</v>
      </c>
      <c r="H1221" t="s">
        <v>125</v>
      </c>
      <c r="I1221" t="s">
        <v>125</v>
      </c>
      <c r="J1221" t="s">
        <v>125</v>
      </c>
      <c r="K1221" t="s">
        <v>125</v>
      </c>
      <c r="L1221" t="s">
        <v>125</v>
      </c>
      <c r="M1221" t="s">
        <v>1877</v>
      </c>
      <c r="N1221" t="b">
        <v>0</v>
      </c>
    </row>
    <row r="1222" spans="1:14">
      <c r="A1222">
        <v>81</v>
      </c>
      <c r="B1222">
        <v>15</v>
      </c>
      <c r="C1222" t="s">
        <v>125</v>
      </c>
      <c r="D1222" t="s">
        <v>723</v>
      </c>
      <c r="E1222" t="s">
        <v>125</v>
      </c>
      <c r="F1222">
        <v>0</v>
      </c>
      <c r="G1222" t="s">
        <v>125</v>
      </c>
      <c r="H1222" t="s">
        <v>125</v>
      </c>
      <c r="I1222" t="s">
        <v>125</v>
      </c>
      <c r="J1222" t="s">
        <v>125</v>
      </c>
      <c r="K1222" t="s">
        <v>125</v>
      </c>
      <c r="L1222" t="s">
        <v>125</v>
      </c>
      <c r="M1222" t="s">
        <v>1878</v>
      </c>
      <c r="N1222" t="b">
        <v>0</v>
      </c>
    </row>
    <row r="1223" spans="1:14">
      <c r="A1223">
        <v>81</v>
      </c>
      <c r="B1223">
        <v>16</v>
      </c>
      <c r="C1223" t="s">
        <v>125</v>
      </c>
      <c r="D1223" t="s">
        <v>740</v>
      </c>
      <c r="E1223" t="s">
        <v>125</v>
      </c>
      <c r="F1223">
        <v>0</v>
      </c>
      <c r="G1223" t="s">
        <v>125</v>
      </c>
      <c r="H1223" t="s">
        <v>125</v>
      </c>
      <c r="I1223" t="s">
        <v>125</v>
      </c>
      <c r="J1223" t="s">
        <v>125</v>
      </c>
      <c r="K1223" t="s">
        <v>125</v>
      </c>
      <c r="L1223" t="s">
        <v>125</v>
      </c>
      <c r="M1223" t="s">
        <v>1879</v>
      </c>
      <c r="N1223" t="b">
        <v>0</v>
      </c>
    </row>
    <row r="1224" spans="1:14">
      <c r="A1224">
        <v>81</v>
      </c>
      <c r="B1224">
        <v>17</v>
      </c>
      <c r="C1224" t="s">
        <v>125</v>
      </c>
      <c r="D1224" t="s">
        <v>740</v>
      </c>
      <c r="E1224" t="s">
        <v>125</v>
      </c>
      <c r="F1224">
        <v>0</v>
      </c>
      <c r="G1224" t="s">
        <v>125</v>
      </c>
      <c r="H1224" t="s">
        <v>125</v>
      </c>
      <c r="I1224" t="s">
        <v>125</v>
      </c>
      <c r="J1224" t="s">
        <v>125</v>
      </c>
      <c r="K1224" t="s">
        <v>125</v>
      </c>
      <c r="L1224" t="s">
        <v>125</v>
      </c>
      <c r="M1224" t="s">
        <v>1880</v>
      </c>
      <c r="N1224" t="b">
        <v>0</v>
      </c>
    </row>
    <row r="1225" spans="1:14">
      <c r="A1225">
        <v>81</v>
      </c>
      <c r="B1225">
        <v>18</v>
      </c>
      <c r="C1225" t="s">
        <v>125</v>
      </c>
      <c r="D1225" t="s">
        <v>740</v>
      </c>
      <c r="E1225" t="s">
        <v>125</v>
      </c>
      <c r="F1225">
        <v>0</v>
      </c>
      <c r="G1225" t="s">
        <v>125</v>
      </c>
      <c r="H1225" t="s">
        <v>125</v>
      </c>
      <c r="I1225" t="s">
        <v>125</v>
      </c>
      <c r="J1225" t="s">
        <v>125</v>
      </c>
      <c r="K1225" t="s">
        <v>125</v>
      </c>
      <c r="L1225" t="s">
        <v>125</v>
      </c>
      <c r="M1225" t="s">
        <v>1881</v>
      </c>
      <c r="N1225" t="b">
        <v>0</v>
      </c>
    </row>
    <row r="1226" spans="1:14">
      <c r="A1226">
        <v>81</v>
      </c>
      <c r="B1226">
        <v>19</v>
      </c>
      <c r="C1226" t="s">
        <v>125</v>
      </c>
      <c r="D1226" t="s">
        <v>740</v>
      </c>
      <c r="E1226" t="s">
        <v>125</v>
      </c>
      <c r="F1226">
        <v>0</v>
      </c>
      <c r="G1226" t="s">
        <v>125</v>
      </c>
      <c r="H1226" t="s">
        <v>125</v>
      </c>
      <c r="I1226" t="s">
        <v>125</v>
      </c>
      <c r="J1226" t="s">
        <v>125</v>
      </c>
      <c r="K1226" t="s">
        <v>125</v>
      </c>
      <c r="L1226" t="s">
        <v>125</v>
      </c>
      <c r="M1226" t="s">
        <v>1882</v>
      </c>
      <c r="N1226" t="b">
        <v>0</v>
      </c>
    </row>
    <row r="1227" spans="1:14">
      <c r="A1227">
        <v>81</v>
      </c>
      <c r="B1227">
        <v>20</v>
      </c>
      <c r="C1227" t="s">
        <v>125</v>
      </c>
      <c r="D1227" t="s">
        <v>740</v>
      </c>
      <c r="E1227" t="s">
        <v>125</v>
      </c>
      <c r="F1227">
        <v>0</v>
      </c>
      <c r="G1227" t="s">
        <v>125</v>
      </c>
      <c r="H1227" t="s">
        <v>125</v>
      </c>
      <c r="I1227" t="s">
        <v>125</v>
      </c>
      <c r="J1227" t="s">
        <v>125</v>
      </c>
      <c r="K1227" t="s">
        <v>125</v>
      </c>
      <c r="L1227" t="s">
        <v>125</v>
      </c>
      <c r="M1227" t="s">
        <v>1883</v>
      </c>
      <c r="N1227" t="b">
        <v>0</v>
      </c>
    </row>
    <row r="1228" spans="1:14">
      <c r="A1228">
        <v>81</v>
      </c>
      <c r="B1228">
        <v>21</v>
      </c>
      <c r="C1228" t="s">
        <v>125</v>
      </c>
      <c r="D1228" t="s">
        <v>740</v>
      </c>
      <c r="E1228" t="s">
        <v>125</v>
      </c>
      <c r="F1228">
        <v>0</v>
      </c>
      <c r="G1228" t="s">
        <v>125</v>
      </c>
      <c r="H1228" t="s">
        <v>125</v>
      </c>
      <c r="I1228" t="s">
        <v>125</v>
      </c>
      <c r="J1228" t="s">
        <v>125</v>
      </c>
      <c r="K1228" t="s">
        <v>125</v>
      </c>
      <c r="L1228" t="s">
        <v>125</v>
      </c>
      <c r="M1228" t="s">
        <v>1884</v>
      </c>
      <c r="N1228" t="b">
        <v>0</v>
      </c>
    </row>
    <row r="1229" spans="1:14">
      <c r="A1229">
        <v>81</v>
      </c>
      <c r="B1229">
        <v>22</v>
      </c>
      <c r="C1229" t="s">
        <v>125</v>
      </c>
      <c r="D1229" t="s">
        <v>740</v>
      </c>
      <c r="E1229" t="s">
        <v>125</v>
      </c>
      <c r="F1229">
        <v>0</v>
      </c>
      <c r="G1229" t="s">
        <v>125</v>
      </c>
      <c r="H1229" t="s">
        <v>125</v>
      </c>
      <c r="I1229" t="s">
        <v>125</v>
      </c>
      <c r="J1229" t="s">
        <v>125</v>
      </c>
      <c r="K1229" t="s">
        <v>125</v>
      </c>
      <c r="L1229" t="s">
        <v>125</v>
      </c>
      <c r="M1229" t="s">
        <v>1885</v>
      </c>
      <c r="N1229" t="b">
        <v>0</v>
      </c>
    </row>
    <row r="1230" spans="1:14">
      <c r="A1230">
        <v>81</v>
      </c>
      <c r="B1230">
        <v>23</v>
      </c>
      <c r="C1230" t="s">
        <v>125</v>
      </c>
      <c r="D1230" t="s">
        <v>740</v>
      </c>
      <c r="E1230" t="s">
        <v>125</v>
      </c>
      <c r="F1230">
        <v>0</v>
      </c>
      <c r="G1230" t="s">
        <v>125</v>
      </c>
      <c r="H1230" t="s">
        <v>125</v>
      </c>
      <c r="I1230" t="s">
        <v>125</v>
      </c>
      <c r="J1230" t="s">
        <v>125</v>
      </c>
      <c r="K1230" t="s">
        <v>125</v>
      </c>
      <c r="L1230" t="s">
        <v>125</v>
      </c>
      <c r="M1230" t="s">
        <v>1886</v>
      </c>
      <c r="N1230" t="b">
        <v>0</v>
      </c>
    </row>
    <row r="1231" spans="1:14">
      <c r="A1231">
        <v>81</v>
      </c>
      <c r="B1231">
        <v>24</v>
      </c>
      <c r="C1231" t="s">
        <v>125</v>
      </c>
      <c r="D1231" t="s">
        <v>740</v>
      </c>
      <c r="E1231" t="s">
        <v>125</v>
      </c>
      <c r="F1231">
        <v>0</v>
      </c>
      <c r="G1231" t="s">
        <v>125</v>
      </c>
      <c r="H1231" t="s">
        <v>125</v>
      </c>
      <c r="I1231" t="s">
        <v>125</v>
      </c>
      <c r="J1231" t="s">
        <v>125</v>
      </c>
      <c r="K1231" t="s">
        <v>125</v>
      </c>
      <c r="L1231" t="s">
        <v>125</v>
      </c>
      <c r="M1231" t="s">
        <v>1887</v>
      </c>
      <c r="N1231" t="b">
        <v>0</v>
      </c>
    </row>
    <row r="1232" spans="1:14">
      <c r="A1232">
        <v>81</v>
      </c>
      <c r="B1232">
        <v>25</v>
      </c>
      <c r="C1232" t="s">
        <v>125</v>
      </c>
      <c r="D1232" t="s">
        <v>740</v>
      </c>
      <c r="E1232" t="s">
        <v>125</v>
      </c>
      <c r="F1232">
        <v>0</v>
      </c>
      <c r="G1232" t="s">
        <v>125</v>
      </c>
      <c r="H1232" t="s">
        <v>125</v>
      </c>
      <c r="I1232" t="s">
        <v>125</v>
      </c>
      <c r="J1232" t="s">
        <v>125</v>
      </c>
      <c r="K1232" t="s">
        <v>125</v>
      </c>
      <c r="L1232" t="s">
        <v>125</v>
      </c>
      <c r="M1232" t="s">
        <v>1888</v>
      </c>
      <c r="N1232" t="b">
        <v>0</v>
      </c>
    </row>
    <row r="1233" spans="1:14">
      <c r="A1233">
        <v>81</v>
      </c>
      <c r="B1233">
        <v>26</v>
      </c>
      <c r="C1233" t="s">
        <v>125</v>
      </c>
      <c r="D1233" t="s">
        <v>740</v>
      </c>
      <c r="E1233" t="s">
        <v>125</v>
      </c>
      <c r="F1233">
        <v>0</v>
      </c>
      <c r="G1233" t="s">
        <v>125</v>
      </c>
      <c r="H1233" t="s">
        <v>125</v>
      </c>
      <c r="I1233" t="s">
        <v>125</v>
      </c>
      <c r="J1233" t="s">
        <v>125</v>
      </c>
      <c r="K1233" t="s">
        <v>125</v>
      </c>
      <c r="L1233" t="s">
        <v>125</v>
      </c>
      <c r="M1233" t="s">
        <v>1889</v>
      </c>
      <c r="N1233" t="b">
        <v>0</v>
      </c>
    </row>
    <row r="1234" spans="1:14">
      <c r="A1234">
        <v>83</v>
      </c>
      <c r="B1234">
        <v>0</v>
      </c>
      <c r="C1234" t="s">
        <v>185</v>
      </c>
      <c r="D1234" t="s">
        <v>723</v>
      </c>
      <c r="E1234" t="s">
        <v>64</v>
      </c>
      <c r="F1234">
        <v>50</v>
      </c>
      <c r="G1234" t="s">
        <v>125</v>
      </c>
      <c r="H1234" t="s">
        <v>125</v>
      </c>
      <c r="I1234" t="s">
        <v>64</v>
      </c>
      <c r="J1234" t="s">
        <v>125</v>
      </c>
      <c r="K1234" t="s">
        <v>125</v>
      </c>
      <c r="L1234" t="s">
        <v>125</v>
      </c>
      <c r="M1234" t="s">
        <v>1890</v>
      </c>
      <c r="N1234" t="b">
        <v>0</v>
      </c>
    </row>
    <row r="1235" spans="1:14">
      <c r="A1235">
        <v>83</v>
      </c>
      <c r="B1235">
        <v>1</v>
      </c>
      <c r="C1235" t="s">
        <v>267</v>
      </c>
      <c r="D1235" t="s">
        <v>723</v>
      </c>
      <c r="E1235" t="s">
        <v>82</v>
      </c>
      <c r="F1235">
        <v>30</v>
      </c>
      <c r="G1235" t="s">
        <v>125</v>
      </c>
      <c r="H1235" t="s">
        <v>125</v>
      </c>
      <c r="I1235" t="s">
        <v>82</v>
      </c>
      <c r="J1235" t="s">
        <v>125</v>
      </c>
      <c r="K1235" t="s">
        <v>125</v>
      </c>
      <c r="L1235" t="s">
        <v>125</v>
      </c>
      <c r="M1235" t="s">
        <v>1891</v>
      </c>
      <c r="N1235" t="b">
        <v>0</v>
      </c>
    </row>
    <row r="1236" spans="1:14">
      <c r="A1236">
        <v>83</v>
      </c>
      <c r="B1236">
        <v>2</v>
      </c>
      <c r="C1236" t="s">
        <v>186</v>
      </c>
      <c r="D1236" t="s">
        <v>723</v>
      </c>
      <c r="E1236" t="s">
        <v>92</v>
      </c>
      <c r="F1236">
        <v>50</v>
      </c>
      <c r="G1236" t="s">
        <v>125</v>
      </c>
      <c r="H1236" t="s">
        <v>125</v>
      </c>
      <c r="I1236" t="s">
        <v>92</v>
      </c>
      <c r="J1236" t="s">
        <v>125</v>
      </c>
      <c r="K1236" t="s">
        <v>125</v>
      </c>
      <c r="L1236" t="s">
        <v>125</v>
      </c>
      <c r="M1236" t="s">
        <v>1892</v>
      </c>
      <c r="N1236" t="b">
        <v>0</v>
      </c>
    </row>
    <row r="1237" spans="1:14">
      <c r="A1237">
        <v>83</v>
      </c>
      <c r="B1237">
        <v>3</v>
      </c>
      <c r="C1237" t="s">
        <v>187</v>
      </c>
      <c r="D1237" t="s">
        <v>723</v>
      </c>
      <c r="E1237" t="s">
        <v>98</v>
      </c>
      <c r="F1237">
        <v>50</v>
      </c>
      <c r="G1237" t="s">
        <v>125</v>
      </c>
      <c r="H1237" t="s">
        <v>125</v>
      </c>
      <c r="I1237" t="s">
        <v>98</v>
      </c>
      <c r="J1237" t="s">
        <v>125</v>
      </c>
      <c r="K1237" t="s">
        <v>125</v>
      </c>
      <c r="L1237" t="s">
        <v>125</v>
      </c>
      <c r="M1237" t="s">
        <v>1893</v>
      </c>
      <c r="N1237" t="b">
        <v>0</v>
      </c>
    </row>
    <row r="1238" spans="1:14">
      <c r="A1238">
        <v>83</v>
      </c>
      <c r="B1238">
        <v>4</v>
      </c>
      <c r="C1238" t="s">
        <v>188</v>
      </c>
      <c r="D1238" t="s">
        <v>723</v>
      </c>
      <c r="E1238" t="s">
        <v>100</v>
      </c>
      <c r="F1238">
        <v>50</v>
      </c>
      <c r="G1238" t="s">
        <v>125</v>
      </c>
      <c r="H1238" t="s">
        <v>125</v>
      </c>
      <c r="I1238" t="s">
        <v>100</v>
      </c>
      <c r="J1238" t="s">
        <v>125</v>
      </c>
      <c r="K1238" t="s">
        <v>125</v>
      </c>
      <c r="L1238" t="s">
        <v>125</v>
      </c>
      <c r="M1238" t="s">
        <v>1894</v>
      </c>
      <c r="N1238" t="b">
        <v>0</v>
      </c>
    </row>
    <row r="1239" spans="1:14">
      <c r="A1239">
        <v>83</v>
      </c>
      <c r="B1239">
        <v>5</v>
      </c>
      <c r="C1239" t="s">
        <v>189</v>
      </c>
      <c r="D1239" t="s">
        <v>723</v>
      </c>
      <c r="E1239" t="s">
        <v>108</v>
      </c>
      <c r="F1239">
        <v>30</v>
      </c>
      <c r="G1239" t="s">
        <v>125</v>
      </c>
      <c r="H1239" t="s">
        <v>125</v>
      </c>
      <c r="I1239" t="s">
        <v>108</v>
      </c>
      <c r="J1239" t="s">
        <v>125</v>
      </c>
      <c r="K1239" t="s">
        <v>125</v>
      </c>
      <c r="L1239" t="s">
        <v>125</v>
      </c>
      <c r="M1239" t="s">
        <v>1895</v>
      </c>
      <c r="N1239" t="b">
        <v>0</v>
      </c>
    </row>
    <row r="1240" spans="1:14">
      <c r="A1240">
        <v>83</v>
      </c>
      <c r="B1240">
        <v>6</v>
      </c>
      <c r="C1240" t="s">
        <v>435</v>
      </c>
      <c r="D1240" t="s">
        <v>723</v>
      </c>
      <c r="E1240" t="s">
        <v>296</v>
      </c>
      <c r="F1240">
        <v>50</v>
      </c>
      <c r="G1240" t="s">
        <v>125</v>
      </c>
      <c r="H1240" t="s">
        <v>1896</v>
      </c>
      <c r="I1240" t="s">
        <v>1897</v>
      </c>
      <c r="J1240" t="s">
        <v>125</v>
      </c>
      <c r="K1240" t="s">
        <v>761</v>
      </c>
      <c r="L1240" t="s">
        <v>762</v>
      </c>
      <c r="M1240" t="s">
        <v>1898</v>
      </c>
      <c r="N1240" t="b">
        <v>0</v>
      </c>
    </row>
    <row r="1241" spans="1:14">
      <c r="A1241">
        <v>83</v>
      </c>
      <c r="B1241">
        <v>7</v>
      </c>
      <c r="C1241" t="s">
        <v>315</v>
      </c>
      <c r="D1241" t="s">
        <v>723</v>
      </c>
      <c r="E1241" t="s">
        <v>112</v>
      </c>
      <c r="F1241">
        <v>30</v>
      </c>
      <c r="G1241" t="s">
        <v>125</v>
      </c>
      <c r="H1241" t="s">
        <v>125</v>
      </c>
      <c r="I1241" t="s">
        <v>112</v>
      </c>
      <c r="J1241" t="s">
        <v>125</v>
      </c>
      <c r="K1241" t="s">
        <v>125</v>
      </c>
      <c r="L1241" t="s">
        <v>125</v>
      </c>
      <c r="M1241" t="s">
        <v>1899</v>
      </c>
      <c r="N1241" t="b">
        <v>0</v>
      </c>
    </row>
    <row r="1242" spans="1:14">
      <c r="A1242">
        <v>83</v>
      </c>
      <c r="B1242">
        <v>8</v>
      </c>
      <c r="C1242" t="s">
        <v>190</v>
      </c>
      <c r="D1242" t="s">
        <v>723</v>
      </c>
      <c r="E1242" t="s">
        <v>114</v>
      </c>
      <c r="F1242">
        <v>60</v>
      </c>
      <c r="G1242" t="s">
        <v>125</v>
      </c>
      <c r="H1242" t="s">
        <v>125</v>
      </c>
      <c r="I1242" t="s">
        <v>114</v>
      </c>
      <c r="J1242" t="s">
        <v>125</v>
      </c>
      <c r="K1242" t="s">
        <v>125</v>
      </c>
      <c r="L1242" t="s">
        <v>125</v>
      </c>
      <c r="M1242" t="s">
        <v>1900</v>
      </c>
      <c r="N1242" t="b">
        <v>0</v>
      </c>
    </row>
    <row r="1243" spans="1:14">
      <c r="A1243">
        <v>83</v>
      </c>
      <c r="B1243">
        <v>9</v>
      </c>
      <c r="C1243" t="s">
        <v>191</v>
      </c>
      <c r="D1243" t="s">
        <v>723</v>
      </c>
      <c r="E1243" t="s">
        <v>60</v>
      </c>
      <c r="F1243">
        <v>30</v>
      </c>
      <c r="G1243" t="s">
        <v>125</v>
      </c>
      <c r="H1243" t="s">
        <v>125</v>
      </c>
      <c r="I1243" t="s">
        <v>60</v>
      </c>
      <c r="J1243" t="s">
        <v>125</v>
      </c>
      <c r="K1243" t="s">
        <v>125</v>
      </c>
      <c r="L1243" t="s">
        <v>125</v>
      </c>
      <c r="M1243" t="s">
        <v>1901</v>
      </c>
      <c r="N1243" t="b">
        <v>0</v>
      </c>
    </row>
    <row r="1244" spans="1:14">
      <c r="A1244">
        <v>83</v>
      </c>
      <c r="B1244">
        <v>10</v>
      </c>
      <c r="C1244" t="s">
        <v>162</v>
      </c>
      <c r="D1244" t="s">
        <v>723</v>
      </c>
      <c r="E1244" t="s">
        <v>77</v>
      </c>
      <c r="F1244">
        <v>40</v>
      </c>
      <c r="G1244" t="s">
        <v>125</v>
      </c>
      <c r="H1244" t="s">
        <v>125</v>
      </c>
      <c r="I1244" t="s">
        <v>77</v>
      </c>
      <c r="J1244" t="s">
        <v>125</v>
      </c>
      <c r="K1244" t="s">
        <v>125</v>
      </c>
      <c r="L1244" t="s">
        <v>125</v>
      </c>
      <c r="M1244" t="s">
        <v>1902</v>
      </c>
      <c r="N1244" t="b">
        <v>0</v>
      </c>
    </row>
    <row r="1245" spans="1:14">
      <c r="A1245">
        <v>83</v>
      </c>
      <c r="B1245">
        <v>11</v>
      </c>
      <c r="C1245" t="s">
        <v>436</v>
      </c>
      <c r="D1245" t="s">
        <v>723</v>
      </c>
      <c r="E1245" t="s">
        <v>357</v>
      </c>
      <c r="F1245">
        <v>60</v>
      </c>
      <c r="G1245" t="s">
        <v>125</v>
      </c>
      <c r="H1245" t="s">
        <v>1903</v>
      </c>
      <c r="I1245" t="s">
        <v>1904</v>
      </c>
      <c r="J1245" t="s">
        <v>125</v>
      </c>
      <c r="K1245" t="s">
        <v>1163</v>
      </c>
      <c r="L1245" t="s">
        <v>1164</v>
      </c>
      <c r="M1245" t="s">
        <v>1905</v>
      </c>
      <c r="N1245" t="b">
        <v>0</v>
      </c>
    </row>
    <row r="1246" spans="1:14">
      <c r="A1246">
        <v>83</v>
      </c>
      <c r="B1246">
        <v>12</v>
      </c>
      <c r="C1246" t="s">
        <v>193</v>
      </c>
      <c r="D1246" t="s">
        <v>723</v>
      </c>
      <c r="E1246" t="s">
        <v>97</v>
      </c>
      <c r="F1246">
        <v>50</v>
      </c>
      <c r="G1246" t="s">
        <v>125</v>
      </c>
      <c r="H1246" t="s">
        <v>125</v>
      </c>
      <c r="I1246" t="s">
        <v>97</v>
      </c>
      <c r="J1246" t="s">
        <v>125</v>
      </c>
      <c r="K1246" t="s">
        <v>125</v>
      </c>
      <c r="L1246" t="s">
        <v>125</v>
      </c>
      <c r="M1246" t="s">
        <v>1906</v>
      </c>
      <c r="N1246" t="b">
        <v>0</v>
      </c>
    </row>
    <row r="1247" spans="1:14">
      <c r="A1247">
        <v>83</v>
      </c>
      <c r="B1247">
        <v>13</v>
      </c>
      <c r="C1247" t="s">
        <v>222</v>
      </c>
      <c r="D1247" t="s">
        <v>723</v>
      </c>
      <c r="E1247" t="s">
        <v>106</v>
      </c>
      <c r="F1247">
        <v>50</v>
      </c>
      <c r="G1247" t="s">
        <v>125</v>
      </c>
      <c r="H1247" t="s">
        <v>125</v>
      </c>
      <c r="I1247" t="s">
        <v>106</v>
      </c>
      <c r="J1247" t="s">
        <v>125</v>
      </c>
      <c r="K1247" t="s">
        <v>125</v>
      </c>
      <c r="L1247" t="s">
        <v>125</v>
      </c>
      <c r="M1247" t="s">
        <v>1907</v>
      </c>
      <c r="N1247" t="b">
        <v>0</v>
      </c>
    </row>
    <row r="1248" spans="1:14">
      <c r="A1248">
        <v>83</v>
      </c>
      <c r="B1248">
        <v>14</v>
      </c>
      <c r="C1248" t="s">
        <v>194</v>
      </c>
      <c r="D1248" t="s">
        <v>723</v>
      </c>
      <c r="E1248" t="s">
        <v>107</v>
      </c>
      <c r="F1248">
        <v>60</v>
      </c>
      <c r="G1248" t="s">
        <v>125</v>
      </c>
      <c r="H1248" t="s">
        <v>125</v>
      </c>
      <c r="I1248" t="s">
        <v>107</v>
      </c>
      <c r="J1248" t="s">
        <v>125</v>
      </c>
      <c r="K1248" t="s">
        <v>125</v>
      </c>
      <c r="L1248" t="s">
        <v>125</v>
      </c>
      <c r="M1248" t="s">
        <v>1908</v>
      </c>
      <c r="N1248" t="b">
        <v>0</v>
      </c>
    </row>
    <row r="1249" spans="1:14">
      <c r="A1249">
        <v>83</v>
      </c>
      <c r="B1249">
        <v>15</v>
      </c>
      <c r="C1249" t="s">
        <v>125</v>
      </c>
      <c r="D1249" t="s">
        <v>723</v>
      </c>
      <c r="E1249" t="s">
        <v>125</v>
      </c>
      <c r="F1249">
        <v>0</v>
      </c>
      <c r="G1249" t="s">
        <v>125</v>
      </c>
      <c r="H1249" t="s">
        <v>125</v>
      </c>
      <c r="I1249" t="s">
        <v>125</v>
      </c>
      <c r="J1249" t="s">
        <v>125</v>
      </c>
      <c r="K1249" t="s">
        <v>125</v>
      </c>
      <c r="L1249" t="s">
        <v>125</v>
      </c>
      <c r="M1249" t="s">
        <v>1909</v>
      </c>
      <c r="N1249" t="b">
        <v>0</v>
      </c>
    </row>
    <row r="1250" spans="1:14">
      <c r="A1250">
        <v>83</v>
      </c>
      <c r="B1250">
        <v>16</v>
      </c>
      <c r="C1250" t="s">
        <v>125</v>
      </c>
      <c r="D1250" t="s">
        <v>740</v>
      </c>
      <c r="E1250" t="s">
        <v>125</v>
      </c>
      <c r="F1250">
        <v>0</v>
      </c>
      <c r="G1250" t="s">
        <v>125</v>
      </c>
      <c r="H1250" t="s">
        <v>125</v>
      </c>
      <c r="I1250" t="s">
        <v>125</v>
      </c>
      <c r="J1250" t="s">
        <v>125</v>
      </c>
      <c r="K1250" t="s">
        <v>125</v>
      </c>
      <c r="L1250" t="s">
        <v>125</v>
      </c>
      <c r="M1250" t="s">
        <v>1910</v>
      </c>
      <c r="N1250" t="b">
        <v>0</v>
      </c>
    </row>
    <row r="1251" spans="1:14">
      <c r="A1251">
        <v>83</v>
      </c>
      <c r="B1251">
        <v>17</v>
      </c>
      <c r="C1251" t="s">
        <v>125</v>
      </c>
      <c r="D1251" t="s">
        <v>740</v>
      </c>
      <c r="E1251" t="s">
        <v>125</v>
      </c>
      <c r="F1251">
        <v>0</v>
      </c>
      <c r="G1251" t="s">
        <v>125</v>
      </c>
      <c r="H1251" t="s">
        <v>125</v>
      </c>
      <c r="I1251" t="s">
        <v>125</v>
      </c>
      <c r="J1251" t="s">
        <v>125</v>
      </c>
      <c r="K1251" t="s">
        <v>125</v>
      </c>
      <c r="L1251" t="s">
        <v>125</v>
      </c>
      <c r="M1251" t="s">
        <v>1911</v>
      </c>
      <c r="N1251" t="b">
        <v>0</v>
      </c>
    </row>
    <row r="1252" spans="1:14">
      <c r="A1252">
        <v>83</v>
      </c>
      <c r="B1252">
        <v>18</v>
      </c>
      <c r="C1252" t="s">
        <v>125</v>
      </c>
      <c r="D1252" t="s">
        <v>740</v>
      </c>
      <c r="E1252" t="s">
        <v>125</v>
      </c>
      <c r="F1252">
        <v>0</v>
      </c>
      <c r="G1252" t="s">
        <v>125</v>
      </c>
      <c r="H1252" t="s">
        <v>125</v>
      </c>
      <c r="I1252" t="s">
        <v>125</v>
      </c>
      <c r="J1252" t="s">
        <v>125</v>
      </c>
      <c r="K1252" t="s">
        <v>125</v>
      </c>
      <c r="L1252" t="s">
        <v>125</v>
      </c>
      <c r="M1252" t="s">
        <v>1912</v>
      </c>
      <c r="N1252" t="b">
        <v>0</v>
      </c>
    </row>
    <row r="1253" spans="1:14">
      <c r="A1253">
        <v>83</v>
      </c>
      <c r="B1253">
        <v>19</v>
      </c>
      <c r="C1253" t="s">
        <v>125</v>
      </c>
      <c r="D1253" t="s">
        <v>740</v>
      </c>
      <c r="E1253" t="s">
        <v>125</v>
      </c>
      <c r="F1253">
        <v>0</v>
      </c>
      <c r="G1253" t="s">
        <v>125</v>
      </c>
      <c r="H1253" t="s">
        <v>125</v>
      </c>
      <c r="I1253" t="s">
        <v>125</v>
      </c>
      <c r="J1253" t="s">
        <v>125</v>
      </c>
      <c r="K1253" t="s">
        <v>125</v>
      </c>
      <c r="L1253" t="s">
        <v>125</v>
      </c>
      <c r="M1253" t="s">
        <v>1913</v>
      </c>
      <c r="N1253" t="b">
        <v>0</v>
      </c>
    </row>
    <row r="1254" spans="1:14">
      <c r="A1254">
        <v>83</v>
      </c>
      <c r="B1254">
        <v>20</v>
      </c>
      <c r="C1254" t="s">
        <v>125</v>
      </c>
      <c r="D1254" t="s">
        <v>740</v>
      </c>
      <c r="E1254" t="s">
        <v>125</v>
      </c>
      <c r="F1254">
        <v>0</v>
      </c>
      <c r="G1254" t="s">
        <v>125</v>
      </c>
      <c r="H1254" t="s">
        <v>125</v>
      </c>
      <c r="I1254" t="s">
        <v>125</v>
      </c>
      <c r="J1254" t="s">
        <v>125</v>
      </c>
      <c r="K1254" t="s">
        <v>125</v>
      </c>
      <c r="L1254" t="s">
        <v>125</v>
      </c>
      <c r="M1254" t="s">
        <v>1914</v>
      </c>
      <c r="N1254" t="b">
        <v>0</v>
      </c>
    </row>
    <row r="1255" spans="1:14">
      <c r="A1255">
        <v>83</v>
      </c>
      <c r="B1255">
        <v>21</v>
      </c>
      <c r="C1255" t="s">
        <v>125</v>
      </c>
      <c r="D1255" t="s">
        <v>740</v>
      </c>
      <c r="E1255" t="s">
        <v>125</v>
      </c>
      <c r="F1255">
        <v>0</v>
      </c>
      <c r="G1255" t="s">
        <v>125</v>
      </c>
      <c r="H1255" t="s">
        <v>125</v>
      </c>
      <c r="I1255" t="s">
        <v>125</v>
      </c>
      <c r="J1255" t="s">
        <v>125</v>
      </c>
      <c r="K1255" t="s">
        <v>125</v>
      </c>
      <c r="L1255" t="s">
        <v>125</v>
      </c>
      <c r="M1255" t="s">
        <v>1915</v>
      </c>
      <c r="N1255" t="b">
        <v>0</v>
      </c>
    </row>
    <row r="1256" spans="1:14">
      <c r="A1256">
        <v>83</v>
      </c>
      <c r="B1256">
        <v>22</v>
      </c>
      <c r="C1256" t="s">
        <v>125</v>
      </c>
      <c r="D1256" t="s">
        <v>740</v>
      </c>
      <c r="E1256" t="s">
        <v>125</v>
      </c>
      <c r="F1256">
        <v>0</v>
      </c>
      <c r="G1256" t="s">
        <v>125</v>
      </c>
      <c r="H1256" t="s">
        <v>125</v>
      </c>
      <c r="I1256" t="s">
        <v>125</v>
      </c>
      <c r="J1256" t="s">
        <v>125</v>
      </c>
      <c r="K1256" t="s">
        <v>125</v>
      </c>
      <c r="L1256" t="s">
        <v>125</v>
      </c>
      <c r="M1256" t="s">
        <v>1916</v>
      </c>
      <c r="N1256" t="b">
        <v>0</v>
      </c>
    </row>
    <row r="1257" spans="1:14">
      <c r="A1257">
        <v>83</v>
      </c>
      <c r="B1257">
        <v>23</v>
      </c>
      <c r="C1257" t="s">
        <v>125</v>
      </c>
      <c r="D1257" t="s">
        <v>740</v>
      </c>
      <c r="E1257" t="s">
        <v>125</v>
      </c>
      <c r="F1257">
        <v>0</v>
      </c>
      <c r="G1257" t="s">
        <v>125</v>
      </c>
      <c r="H1257" t="s">
        <v>125</v>
      </c>
      <c r="I1257" t="s">
        <v>125</v>
      </c>
      <c r="J1257" t="s">
        <v>125</v>
      </c>
      <c r="K1257" t="s">
        <v>125</v>
      </c>
      <c r="L1257" t="s">
        <v>125</v>
      </c>
      <c r="M1257" t="s">
        <v>1917</v>
      </c>
      <c r="N1257" t="b">
        <v>0</v>
      </c>
    </row>
    <row r="1258" spans="1:14">
      <c r="A1258">
        <v>83</v>
      </c>
      <c r="B1258">
        <v>24</v>
      </c>
      <c r="C1258" t="s">
        <v>125</v>
      </c>
      <c r="D1258" t="s">
        <v>740</v>
      </c>
      <c r="E1258" t="s">
        <v>125</v>
      </c>
      <c r="F1258">
        <v>0</v>
      </c>
      <c r="G1258" t="s">
        <v>125</v>
      </c>
      <c r="H1258" t="s">
        <v>125</v>
      </c>
      <c r="I1258" t="s">
        <v>125</v>
      </c>
      <c r="J1258" t="s">
        <v>125</v>
      </c>
      <c r="K1258" t="s">
        <v>125</v>
      </c>
      <c r="L1258" t="s">
        <v>125</v>
      </c>
      <c r="M1258" t="s">
        <v>1918</v>
      </c>
      <c r="N1258" t="b">
        <v>0</v>
      </c>
    </row>
    <row r="1259" spans="1:14">
      <c r="A1259">
        <v>83</v>
      </c>
      <c r="B1259">
        <v>25</v>
      </c>
      <c r="C1259" t="s">
        <v>125</v>
      </c>
      <c r="D1259" t="s">
        <v>740</v>
      </c>
      <c r="E1259" t="s">
        <v>125</v>
      </c>
      <c r="F1259">
        <v>0</v>
      </c>
      <c r="G1259" t="s">
        <v>125</v>
      </c>
      <c r="H1259" t="s">
        <v>125</v>
      </c>
      <c r="I1259" t="s">
        <v>125</v>
      </c>
      <c r="J1259" t="s">
        <v>125</v>
      </c>
      <c r="K1259" t="s">
        <v>125</v>
      </c>
      <c r="L1259" t="s">
        <v>125</v>
      </c>
      <c r="M1259" t="s">
        <v>1919</v>
      </c>
      <c r="N1259" t="b">
        <v>0</v>
      </c>
    </row>
    <row r="1260" spans="1:14">
      <c r="A1260">
        <v>83</v>
      </c>
      <c r="B1260">
        <v>26</v>
      </c>
      <c r="C1260" t="s">
        <v>125</v>
      </c>
      <c r="D1260" t="s">
        <v>740</v>
      </c>
      <c r="E1260" t="s">
        <v>125</v>
      </c>
      <c r="F1260">
        <v>0</v>
      </c>
      <c r="G1260" t="s">
        <v>125</v>
      </c>
      <c r="H1260" t="s">
        <v>125</v>
      </c>
      <c r="I1260" t="s">
        <v>125</v>
      </c>
      <c r="J1260" t="s">
        <v>125</v>
      </c>
      <c r="K1260" t="s">
        <v>125</v>
      </c>
      <c r="L1260" t="s">
        <v>125</v>
      </c>
      <c r="M1260" t="s">
        <v>1920</v>
      </c>
      <c r="N1260" t="b">
        <v>0</v>
      </c>
    </row>
    <row r="1261" spans="1:14">
      <c r="A1261">
        <v>86</v>
      </c>
      <c r="B1261">
        <v>0</v>
      </c>
      <c r="C1261" t="s">
        <v>185</v>
      </c>
      <c r="D1261" t="s">
        <v>723</v>
      </c>
      <c r="E1261" t="s">
        <v>64</v>
      </c>
      <c r="F1261">
        <v>50</v>
      </c>
      <c r="G1261" t="s">
        <v>125</v>
      </c>
      <c r="H1261" t="s">
        <v>125</v>
      </c>
      <c r="I1261" t="s">
        <v>64</v>
      </c>
      <c r="J1261" t="s">
        <v>125</v>
      </c>
      <c r="K1261" t="s">
        <v>125</v>
      </c>
      <c r="L1261" t="s">
        <v>125</v>
      </c>
      <c r="M1261" t="s">
        <v>1921</v>
      </c>
      <c r="N1261" t="b">
        <v>0</v>
      </c>
    </row>
    <row r="1262" spans="1:14">
      <c r="A1262">
        <v>86</v>
      </c>
      <c r="B1262">
        <v>1</v>
      </c>
      <c r="C1262" t="s">
        <v>442</v>
      </c>
      <c r="D1262" t="s">
        <v>723</v>
      </c>
      <c r="E1262" t="s">
        <v>82</v>
      </c>
      <c r="F1262">
        <v>20</v>
      </c>
      <c r="G1262" t="s">
        <v>125</v>
      </c>
      <c r="H1262" t="s">
        <v>125</v>
      </c>
      <c r="I1262" t="s">
        <v>82</v>
      </c>
      <c r="J1262" t="s">
        <v>125</v>
      </c>
      <c r="K1262" t="s">
        <v>125</v>
      </c>
      <c r="L1262" t="s">
        <v>125</v>
      </c>
      <c r="M1262" t="s">
        <v>1922</v>
      </c>
      <c r="N1262" t="b">
        <v>0</v>
      </c>
    </row>
    <row r="1263" spans="1:14">
      <c r="A1263">
        <v>86</v>
      </c>
      <c r="B1263">
        <v>2</v>
      </c>
      <c r="C1263" t="s">
        <v>186</v>
      </c>
      <c r="D1263" t="s">
        <v>723</v>
      </c>
      <c r="E1263" t="s">
        <v>92</v>
      </c>
      <c r="F1263">
        <v>50</v>
      </c>
      <c r="G1263" t="s">
        <v>125</v>
      </c>
      <c r="H1263" t="s">
        <v>125</v>
      </c>
      <c r="I1263" t="s">
        <v>92</v>
      </c>
      <c r="J1263" t="s">
        <v>125</v>
      </c>
      <c r="K1263" t="s">
        <v>125</v>
      </c>
      <c r="L1263" t="s">
        <v>125</v>
      </c>
      <c r="M1263" t="s">
        <v>1923</v>
      </c>
      <c r="N1263" t="b">
        <v>0</v>
      </c>
    </row>
    <row r="1264" spans="1:14">
      <c r="A1264">
        <v>86</v>
      </c>
      <c r="B1264">
        <v>3</v>
      </c>
      <c r="C1264" t="s">
        <v>187</v>
      </c>
      <c r="D1264" t="s">
        <v>723</v>
      </c>
      <c r="E1264" t="s">
        <v>98</v>
      </c>
      <c r="F1264">
        <v>50</v>
      </c>
      <c r="G1264" t="s">
        <v>125</v>
      </c>
      <c r="H1264" t="s">
        <v>125</v>
      </c>
      <c r="I1264" t="s">
        <v>98</v>
      </c>
      <c r="J1264" t="s">
        <v>125</v>
      </c>
      <c r="K1264" t="s">
        <v>125</v>
      </c>
      <c r="L1264" t="s">
        <v>125</v>
      </c>
      <c r="M1264" t="s">
        <v>1924</v>
      </c>
      <c r="N1264" t="b">
        <v>0</v>
      </c>
    </row>
    <row r="1265" spans="1:14">
      <c r="A1265">
        <v>86</v>
      </c>
      <c r="B1265">
        <v>4</v>
      </c>
      <c r="C1265" t="s">
        <v>188</v>
      </c>
      <c r="D1265" t="s">
        <v>723</v>
      </c>
      <c r="E1265" t="s">
        <v>100</v>
      </c>
      <c r="F1265">
        <v>50</v>
      </c>
      <c r="G1265" t="s">
        <v>125</v>
      </c>
      <c r="H1265" t="s">
        <v>125</v>
      </c>
      <c r="I1265" t="s">
        <v>100</v>
      </c>
      <c r="J1265" t="s">
        <v>125</v>
      </c>
      <c r="K1265" t="s">
        <v>125</v>
      </c>
      <c r="L1265" t="s">
        <v>125</v>
      </c>
      <c r="M1265" t="s">
        <v>1925</v>
      </c>
      <c r="N1265" t="b">
        <v>0</v>
      </c>
    </row>
    <row r="1266" spans="1:14">
      <c r="A1266">
        <v>86</v>
      </c>
      <c r="B1266">
        <v>5</v>
      </c>
      <c r="C1266" t="s">
        <v>189</v>
      </c>
      <c r="D1266" t="s">
        <v>723</v>
      </c>
      <c r="E1266" t="s">
        <v>108</v>
      </c>
      <c r="F1266">
        <v>30</v>
      </c>
      <c r="G1266" t="s">
        <v>125</v>
      </c>
      <c r="H1266" t="s">
        <v>125</v>
      </c>
      <c r="I1266" t="s">
        <v>108</v>
      </c>
      <c r="J1266" t="s">
        <v>125</v>
      </c>
      <c r="K1266" t="s">
        <v>125</v>
      </c>
      <c r="L1266" t="s">
        <v>125</v>
      </c>
      <c r="M1266" t="s">
        <v>1926</v>
      </c>
      <c r="N1266" t="b">
        <v>0</v>
      </c>
    </row>
    <row r="1267" spans="1:14">
      <c r="A1267">
        <v>86</v>
      </c>
      <c r="B1267">
        <v>6</v>
      </c>
      <c r="C1267" t="s">
        <v>443</v>
      </c>
      <c r="D1267" t="s">
        <v>723</v>
      </c>
      <c r="E1267" t="s">
        <v>296</v>
      </c>
      <c r="F1267">
        <v>40</v>
      </c>
      <c r="G1267" t="s">
        <v>125</v>
      </c>
      <c r="H1267" t="s">
        <v>1896</v>
      </c>
      <c r="I1267" t="s">
        <v>1897</v>
      </c>
      <c r="J1267" t="s">
        <v>125</v>
      </c>
      <c r="K1267" t="s">
        <v>761</v>
      </c>
      <c r="L1267" t="s">
        <v>762</v>
      </c>
      <c r="M1267" t="s">
        <v>1927</v>
      </c>
      <c r="N1267" t="b">
        <v>0</v>
      </c>
    </row>
    <row r="1268" spans="1:14">
      <c r="A1268">
        <v>86</v>
      </c>
      <c r="B1268">
        <v>7</v>
      </c>
      <c r="C1268" t="s">
        <v>253</v>
      </c>
      <c r="D1268" t="s">
        <v>723</v>
      </c>
      <c r="E1268" t="s">
        <v>114</v>
      </c>
      <c r="F1268">
        <v>40</v>
      </c>
      <c r="G1268" t="s">
        <v>125</v>
      </c>
      <c r="H1268" t="s">
        <v>125</v>
      </c>
      <c r="I1268" t="s">
        <v>114</v>
      </c>
      <c r="J1268" t="s">
        <v>125</v>
      </c>
      <c r="K1268" t="s">
        <v>125</v>
      </c>
      <c r="L1268" t="s">
        <v>125</v>
      </c>
      <c r="M1268" t="s">
        <v>1928</v>
      </c>
      <c r="N1268" t="b">
        <v>0</v>
      </c>
    </row>
    <row r="1269" spans="1:14">
      <c r="A1269">
        <v>86</v>
      </c>
      <c r="B1269">
        <v>8</v>
      </c>
      <c r="C1269" t="s">
        <v>191</v>
      </c>
      <c r="D1269" t="s">
        <v>723</v>
      </c>
      <c r="E1269" t="s">
        <v>60</v>
      </c>
      <c r="F1269">
        <v>30</v>
      </c>
      <c r="G1269" t="s">
        <v>125</v>
      </c>
      <c r="H1269" t="s">
        <v>125</v>
      </c>
      <c r="I1269" t="s">
        <v>60</v>
      </c>
      <c r="J1269" t="s">
        <v>125</v>
      </c>
      <c r="K1269" t="s">
        <v>125</v>
      </c>
      <c r="L1269" t="s">
        <v>125</v>
      </c>
      <c r="M1269" t="s">
        <v>1929</v>
      </c>
      <c r="N1269" t="b">
        <v>0</v>
      </c>
    </row>
    <row r="1270" spans="1:14">
      <c r="A1270">
        <v>86</v>
      </c>
      <c r="B1270">
        <v>9</v>
      </c>
      <c r="C1270" t="s">
        <v>354</v>
      </c>
      <c r="D1270" t="s">
        <v>723</v>
      </c>
      <c r="E1270" t="s">
        <v>73</v>
      </c>
      <c r="F1270">
        <v>60</v>
      </c>
      <c r="G1270" t="s">
        <v>125</v>
      </c>
      <c r="H1270" t="s">
        <v>125</v>
      </c>
      <c r="I1270" t="s">
        <v>73</v>
      </c>
      <c r="J1270" t="s">
        <v>125</v>
      </c>
      <c r="K1270" t="s">
        <v>125</v>
      </c>
      <c r="L1270" t="s">
        <v>125</v>
      </c>
      <c r="M1270" t="s">
        <v>1930</v>
      </c>
      <c r="N1270" t="b">
        <v>0</v>
      </c>
    </row>
    <row r="1271" spans="1:14">
      <c r="A1271">
        <v>86</v>
      </c>
      <c r="B1271">
        <v>10</v>
      </c>
      <c r="C1271" t="s">
        <v>192</v>
      </c>
      <c r="D1271" t="s">
        <v>723</v>
      </c>
      <c r="E1271" t="s">
        <v>77</v>
      </c>
      <c r="F1271">
        <v>50</v>
      </c>
      <c r="G1271" t="s">
        <v>125</v>
      </c>
      <c r="H1271" t="s">
        <v>125</v>
      </c>
      <c r="I1271" t="s">
        <v>77</v>
      </c>
      <c r="J1271" t="s">
        <v>125</v>
      </c>
      <c r="K1271" t="s">
        <v>125</v>
      </c>
      <c r="L1271" t="s">
        <v>125</v>
      </c>
      <c r="M1271" t="s">
        <v>1931</v>
      </c>
      <c r="N1271" t="b">
        <v>0</v>
      </c>
    </row>
    <row r="1272" spans="1:14">
      <c r="A1272">
        <v>86</v>
      </c>
      <c r="B1272">
        <v>11</v>
      </c>
      <c r="C1272" t="s">
        <v>198</v>
      </c>
      <c r="D1272" t="s">
        <v>723</v>
      </c>
      <c r="E1272" t="s">
        <v>83</v>
      </c>
      <c r="F1272">
        <v>50</v>
      </c>
      <c r="G1272" t="s">
        <v>125</v>
      </c>
      <c r="H1272" t="s">
        <v>125</v>
      </c>
      <c r="I1272" t="s">
        <v>83</v>
      </c>
      <c r="J1272" t="s">
        <v>125</v>
      </c>
      <c r="K1272" t="s">
        <v>125</v>
      </c>
      <c r="L1272" t="s">
        <v>125</v>
      </c>
      <c r="M1272" t="s">
        <v>1932</v>
      </c>
      <c r="N1272" t="b">
        <v>0</v>
      </c>
    </row>
    <row r="1273" spans="1:14">
      <c r="A1273">
        <v>86</v>
      </c>
      <c r="B1273">
        <v>12</v>
      </c>
      <c r="C1273" t="s">
        <v>193</v>
      </c>
      <c r="D1273" t="s">
        <v>723</v>
      </c>
      <c r="E1273" t="s">
        <v>97</v>
      </c>
      <c r="F1273">
        <v>50</v>
      </c>
      <c r="G1273" t="s">
        <v>125</v>
      </c>
      <c r="H1273" t="s">
        <v>125</v>
      </c>
      <c r="I1273" t="s">
        <v>97</v>
      </c>
      <c r="J1273" t="s">
        <v>125</v>
      </c>
      <c r="K1273" t="s">
        <v>125</v>
      </c>
      <c r="L1273" t="s">
        <v>125</v>
      </c>
      <c r="M1273" t="s">
        <v>1933</v>
      </c>
      <c r="N1273" t="b">
        <v>0</v>
      </c>
    </row>
    <row r="1274" spans="1:14">
      <c r="A1274">
        <v>86</v>
      </c>
      <c r="B1274">
        <v>13</v>
      </c>
      <c r="C1274" t="s">
        <v>388</v>
      </c>
      <c r="D1274" t="s">
        <v>723</v>
      </c>
      <c r="E1274" t="s">
        <v>105</v>
      </c>
      <c r="F1274">
        <v>60</v>
      </c>
      <c r="G1274" t="s">
        <v>125</v>
      </c>
      <c r="H1274" t="s">
        <v>125</v>
      </c>
      <c r="I1274" t="s">
        <v>105</v>
      </c>
      <c r="J1274" t="s">
        <v>125</v>
      </c>
      <c r="K1274" t="s">
        <v>125</v>
      </c>
      <c r="L1274" t="s">
        <v>125</v>
      </c>
      <c r="M1274" t="s">
        <v>1934</v>
      </c>
      <c r="N1274" t="b">
        <v>0</v>
      </c>
    </row>
    <row r="1275" spans="1:14">
      <c r="A1275">
        <v>86</v>
      </c>
      <c r="B1275">
        <v>14</v>
      </c>
      <c r="C1275" t="s">
        <v>194</v>
      </c>
      <c r="D1275" t="s">
        <v>723</v>
      </c>
      <c r="E1275" t="s">
        <v>107</v>
      </c>
      <c r="F1275">
        <v>60</v>
      </c>
      <c r="G1275" t="s">
        <v>125</v>
      </c>
      <c r="H1275" t="s">
        <v>125</v>
      </c>
      <c r="I1275" t="s">
        <v>107</v>
      </c>
      <c r="J1275" t="s">
        <v>125</v>
      </c>
      <c r="K1275" t="s">
        <v>125</v>
      </c>
      <c r="L1275" t="s">
        <v>125</v>
      </c>
      <c r="M1275" t="s">
        <v>1935</v>
      </c>
      <c r="N1275" t="b">
        <v>0</v>
      </c>
    </row>
    <row r="1276" spans="1:14">
      <c r="A1276">
        <v>86</v>
      </c>
      <c r="B1276">
        <v>15</v>
      </c>
      <c r="C1276" t="s">
        <v>125</v>
      </c>
      <c r="D1276" t="s">
        <v>723</v>
      </c>
      <c r="E1276" t="s">
        <v>125</v>
      </c>
      <c r="F1276">
        <v>0</v>
      </c>
      <c r="G1276" t="s">
        <v>125</v>
      </c>
      <c r="H1276" t="s">
        <v>125</v>
      </c>
      <c r="I1276" t="s">
        <v>125</v>
      </c>
      <c r="J1276" t="s">
        <v>125</v>
      </c>
      <c r="K1276" t="s">
        <v>125</v>
      </c>
      <c r="L1276" t="s">
        <v>125</v>
      </c>
      <c r="M1276" t="s">
        <v>1936</v>
      </c>
      <c r="N1276" t="b">
        <v>0</v>
      </c>
    </row>
    <row r="1277" spans="1:14">
      <c r="A1277">
        <v>86</v>
      </c>
      <c r="B1277">
        <v>16</v>
      </c>
      <c r="C1277" t="s">
        <v>125</v>
      </c>
      <c r="D1277" t="s">
        <v>740</v>
      </c>
      <c r="E1277" t="s">
        <v>125</v>
      </c>
      <c r="F1277">
        <v>0</v>
      </c>
      <c r="G1277" t="s">
        <v>125</v>
      </c>
      <c r="H1277" t="s">
        <v>125</v>
      </c>
      <c r="I1277" t="s">
        <v>125</v>
      </c>
      <c r="J1277" t="s">
        <v>125</v>
      </c>
      <c r="K1277" t="s">
        <v>125</v>
      </c>
      <c r="L1277" t="s">
        <v>125</v>
      </c>
      <c r="M1277" t="s">
        <v>1937</v>
      </c>
      <c r="N1277" t="b">
        <v>0</v>
      </c>
    </row>
    <row r="1278" spans="1:14">
      <c r="A1278">
        <v>86</v>
      </c>
      <c r="B1278">
        <v>17</v>
      </c>
      <c r="C1278" t="s">
        <v>125</v>
      </c>
      <c r="D1278" t="s">
        <v>740</v>
      </c>
      <c r="E1278" t="s">
        <v>125</v>
      </c>
      <c r="F1278">
        <v>0</v>
      </c>
      <c r="G1278" t="s">
        <v>125</v>
      </c>
      <c r="H1278" t="s">
        <v>125</v>
      </c>
      <c r="I1278" t="s">
        <v>125</v>
      </c>
      <c r="J1278" t="s">
        <v>125</v>
      </c>
      <c r="K1278" t="s">
        <v>125</v>
      </c>
      <c r="L1278" t="s">
        <v>125</v>
      </c>
      <c r="M1278" t="s">
        <v>1938</v>
      </c>
      <c r="N1278" t="b">
        <v>0</v>
      </c>
    </row>
    <row r="1279" spans="1:14">
      <c r="A1279">
        <v>86</v>
      </c>
      <c r="B1279">
        <v>18</v>
      </c>
      <c r="C1279" t="s">
        <v>125</v>
      </c>
      <c r="D1279" t="s">
        <v>740</v>
      </c>
      <c r="E1279" t="s">
        <v>125</v>
      </c>
      <c r="F1279">
        <v>0</v>
      </c>
      <c r="G1279" t="s">
        <v>125</v>
      </c>
      <c r="H1279" t="s">
        <v>125</v>
      </c>
      <c r="I1279" t="s">
        <v>125</v>
      </c>
      <c r="J1279" t="s">
        <v>125</v>
      </c>
      <c r="K1279" t="s">
        <v>125</v>
      </c>
      <c r="L1279" t="s">
        <v>125</v>
      </c>
      <c r="M1279" t="s">
        <v>1939</v>
      </c>
      <c r="N1279" t="b">
        <v>0</v>
      </c>
    </row>
    <row r="1280" spans="1:14">
      <c r="A1280">
        <v>86</v>
      </c>
      <c r="B1280">
        <v>19</v>
      </c>
      <c r="C1280" t="s">
        <v>125</v>
      </c>
      <c r="D1280" t="s">
        <v>740</v>
      </c>
      <c r="E1280" t="s">
        <v>125</v>
      </c>
      <c r="F1280">
        <v>0</v>
      </c>
      <c r="G1280" t="s">
        <v>125</v>
      </c>
      <c r="H1280" t="s">
        <v>125</v>
      </c>
      <c r="I1280" t="s">
        <v>125</v>
      </c>
      <c r="J1280" t="s">
        <v>125</v>
      </c>
      <c r="K1280" t="s">
        <v>125</v>
      </c>
      <c r="L1280" t="s">
        <v>125</v>
      </c>
      <c r="M1280" t="s">
        <v>1940</v>
      </c>
      <c r="N1280" t="b">
        <v>0</v>
      </c>
    </row>
    <row r="1281" spans="1:14">
      <c r="A1281">
        <v>86</v>
      </c>
      <c r="B1281">
        <v>20</v>
      </c>
      <c r="C1281" t="s">
        <v>125</v>
      </c>
      <c r="D1281" t="s">
        <v>740</v>
      </c>
      <c r="E1281" t="s">
        <v>125</v>
      </c>
      <c r="F1281">
        <v>0</v>
      </c>
      <c r="G1281" t="s">
        <v>125</v>
      </c>
      <c r="H1281" t="s">
        <v>125</v>
      </c>
      <c r="I1281" t="s">
        <v>125</v>
      </c>
      <c r="J1281" t="s">
        <v>125</v>
      </c>
      <c r="K1281" t="s">
        <v>125</v>
      </c>
      <c r="L1281" t="s">
        <v>125</v>
      </c>
      <c r="M1281" t="s">
        <v>1941</v>
      </c>
      <c r="N1281" t="b">
        <v>0</v>
      </c>
    </row>
    <row r="1282" spans="1:14">
      <c r="A1282">
        <v>86</v>
      </c>
      <c r="B1282">
        <v>21</v>
      </c>
      <c r="C1282" t="s">
        <v>125</v>
      </c>
      <c r="D1282" t="s">
        <v>740</v>
      </c>
      <c r="E1282" t="s">
        <v>125</v>
      </c>
      <c r="F1282">
        <v>0</v>
      </c>
      <c r="G1282" t="s">
        <v>125</v>
      </c>
      <c r="H1282" t="s">
        <v>125</v>
      </c>
      <c r="I1282" t="s">
        <v>125</v>
      </c>
      <c r="J1282" t="s">
        <v>125</v>
      </c>
      <c r="K1282" t="s">
        <v>125</v>
      </c>
      <c r="L1282" t="s">
        <v>125</v>
      </c>
      <c r="M1282" t="s">
        <v>1942</v>
      </c>
      <c r="N1282" t="b">
        <v>0</v>
      </c>
    </row>
    <row r="1283" spans="1:14">
      <c r="A1283">
        <v>86</v>
      </c>
      <c r="B1283">
        <v>22</v>
      </c>
      <c r="C1283" t="s">
        <v>125</v>
      </c>
      <c r="D1283" t="s">
        <v>740</v>
      </c>
      <c r="E1283" t="s">
        <v>125</v>
      </c>
      <c r="F1283">
        <v>0</v>
      </c>
      <c r="G1283" t="s">
        <v>125</v>
      </c>
      <c r="H1283" t="s">
        <v>125</v>
      </c>
      <c r="I1283" t="s">
        <v>125</v>
      </c>
      <c r="J1283" t="s">
        <v>125</v>
      </c>
      <c r="K1283" t="s">
        <v>125</v>
      </c>
      <c r="L1283" t="s">
        <v>125</v>
      </c>
      <c r="M1283" t="s">
        <v>1943</v>
      </c>
      <c r="N1283" t="b">
        <v>0</v>
      </c>
    </row>
    <row r="1284" spans="1:14">
      <c r="A1284">
        <v>86</v>
      </c>
      <c r="B1284">
        <v>23</v>
      </c>
      <c r="C1284" t="s">
        <v>125</v>
      </c>
      <c r="D1284" t="s">
        <v>740</v>
      </c>
      <c r="E1284" t="s">
        <v>125</v>
      </c>
      <c r="F1284">
        <v>0</v>
      </c>
      <c r="G1284" t="s">
        <v>125</v>
      </c>
      <c r="H1284" t="s">
        <v>125</v>
      </c>
      <c r="I1284" t="s">
        <v>125</v>
      </c>
      <c r="J1284" t="s">
        <v>125</v>
      </c>
      <c r="K1284" t="s">
        <v>125</v>
      </c>
      <c r="L1284" t="s">
        <v>125</v>
      </c>
      <c r="M1284" t="s">
        <v>1944</v>
      </c>
      <c r="N1284" t="b">
        <v>0</v>
      </c>
    </row>
    <row r="1285" spans="1:14">
      <c r="A1285">
        <v>86</v>
      </c>
      <c r="B1285">
        <v>24</v>
      </c>
      <c r="C1285" t="s">
        <v>125</v>
      </c>
      <c r="D1285" t="s">
        <v>740</v>
      </c>
      <c r="E1285" t="s">
        <v>125</v>
      </c>
      <c r="F1285">
        <v>0</v>
      </c>
      <c r="G1285" t="s">
        <v>125</v>
      </c>
      <c r="H1285" t="s">
        <v>125</v>
      </c>
      <c r="I1285" t="s">
        <v>125</v>
      </c>
      <c r="J1285" t="s">
        <v>125</v>
      </c>
      <c r="K1285" t="s">
        <v>125</v>
      </c>
      <c r="L1285" t="s">
        <v>125</v>
      </c>
      <c r="M1285" t="s">
        <v>1945</v>
      </c>
      <c r="N1285" t="b">
        <v>0</v>
      </c>
    </row>
    <row r="1286" spans="1:14">
      <c r="A1286">
        <v>86</v>
      </c>
      <c r="B1286">
        <v>25</v>
      </c>
      <c r="C1286" t="s">
        <v>125</v>
      </c>
      <c r="D1286" t="s">
        <v>740</v>
      </c>
      <c r="E1286" t="s">
        <v>125</v>
      </c>
      <c r="F1286">
        <v>0</v>
      </c>
      <c r="G1286" t="s">
        <v>125</v>
      </c>
      <c r="H1286" t="s">
        <v>125</v>
      </c>
      <c r="I1286" t="s">
        <v>125</v>
      </c>
      <c r="J1286" t="s">
        <v>125</v>
      </c>
      <c r="K1286" t="s">
        <v>125</v>
      </c>
      <c r="L1286" t="s">
        <v>125</v>
      </c>
      <c r="M1286" t="s">
        <v>1946</v>
      </c>
      <c r="N1286" t="b">
        <v>0</v>
      </c>
    </row>
    <row r="1287" spans="1:14">
      <c r="A1287">
        <v>86</v>
      </c>
      <c r="B1287">
        <v>26</v>
      </c>
      <c r="C1287" t="s">
        <v>125</v>
      </c>
      <c r="D1287" t="s">
        <v>740</v>
      </c>
      <c r="E1287" t="s">
        <v>125</v>
      </c>
      <c r="F1287">
        <v>0</v>
      </c>
      <c r="G1287" t="s">
        <v>125</v>
      </c>
      <c r="H1287" t="s">
        <v>125</v>
      </c>
      <c r="I1287" t="s">
        <v>125</v>
      </c>
      <c r="J1287" t="s">
        <v>125</v>
      </c>
      <c r="K1287" t="s">
        <v>125</v>
      </c>
      <c r="L1287" t="s">
        <v>125</v>
      </c>
      <c r="M1287" t="s">
        <v>1947</v>
      </c>
      <c r="N1287" t="b">
        <v>0</v>
      </c>
    </row>
    <row r="1288" spans="1:14">
      <c r="A1288">
        <v>87</v>
      </c>
      <c r="B1288">
        <v>0</v>
      </c>
      <c r="C1288" t="s">
        <v>178</v>
      </c>
      <c r="D1288" t="s">
        <v>723</v>
      </c>
      <c r="E1288" t="s">
        <v>82</v>
      </c>
      <c r="F1288">
        <v>50</v>
      </c>
      <c r="G1288" t="s">
        <v>125</v>
      </c>
      <c r="H1288" t="s">
        <v>125</v>
      </c>
      <c r="I1288" t="s">
        <v>82</v>
      </c>
      <c r="J1288" t="s">
        <v>125</v>
      </c>
      <c r="K1288" t="s">
        <v>125</v>
      </c>
      <c r="L1288" t="s">
        <v>125</v>
      </c>
      <c r="M1288" t="s">
        <v>1948</v>
      </c>
      <c r="N1288" t="b">
        <v>0</v>
      </c>
    </row>
    <row r="1289" spans="1:14">
      <c r="A1289">
        <v>87</v>
      </c>
      <c r="B1289">
        <v>1</v>
      </c>
      <c r="C1289" t="s">
        <v>201</v>
      </c>
      <c r="D1289" t="s">
        <v>723</v>
      </c>
      <c r="E1289" t="s">
        <v>102</v>
      </c>
      <c r="F1289">
        <v>60</v>
      </c>
      <c r="G1289" t="s">
        <v>125</v>
      </c>
      <c r="H1289" t="s">
        <v>125</v>
      </c>
      <c r="I1289" t="s">
        <v>102</v>
      </c>
      <c r="J1289" t="s">
        <v>125</v>
      </c>
      <c r="K1289" t="s">
        <v>125</v>
      </c>
      <c r="L1289" t="s">
        <v>125</v>
      </c>
      <c r="M1289" t="s">
        <v>1949</v>
      </c>
      <c r="N1289" t="b">
        <v>0</v>
      </c>
    </row>
    <row r="1290" spans="1:14">
      <c r="A1290">
        <v>87</v>
      </c>
      <c r="B1290">
        <v>2</v>
      </c>
      <c r="C1290" t="s">
        <v>205</v>
      </c>
      <c r="D1290" t="s">
        <v>723</v>
      </c>
      <c r="E1290" t="s">
        <v>108</v>
      </c>
      <c r="F1290">
        <v>50</v>
      </c>
      <c r="G1290" t="s">
        <v>125</v>
      </c>
      <c r="H1290" t="s">
        <v>125</v>
      </c>
      <c r="I1290" t="s">
        <v>108</v>
      </c>
      <c r="J1290" t="s">
        <v>125</v>
      </c>
      <c r="K1290" t="s">
        <v>125</v>
      </c>
      <c r="L1290" t="s">
        <v>125</v>
      </c>
      <c r="M1290" t="s">
        <v>1950</v>
      </c>
      <c r="N1290" t="b">
        <v>0</v>
      </c>
    </row>
    <row r="1291" spans="1:14">
      <c r="A1291">
        <v>87</v>
      </c>
      <c r="B1291">
        <v>3</v>
      </c>
      <c r="C1291" t="s">
        <v>202</v>
      </c>
      <c r="D1291" t="s">
        <v>723</v>
      </c>
      <c r="E1291" t="s">
        <v>65</v>
      </c>
      <c r="F1291">
        <v>60</v>
      </c>
      <c r="G1291" t="s">
        <v>125</v>
      </c>
      <c r="H1291" t="s">
        <v>125</v>
      </c>
      <c r="I1291" t="s">
        <v>65</v>
      </c>
      <c r="J1291" t="s">
        <v>125</v>
      </c>
      <c r="K1291" t="s">
        <v>125</v>
      </c>
      <c r="L1291" t="s">
        <v>125</v>
      </c>
      <c r="M1291" t="s">
        <v>1951</v>
      </c>
      <c r="N1291" t="b">
        <v>0</v>
      </c>
    </row>
    <row r="1292" spans="1:14">
      <c r="A1292">
        <v>87</v>
      </c>
      <c r="B1292">
        <v>4</v>
      </c>
      <c r="C1292" t="s">
        <v>275</v>
      </c>
      <c r="D1292" t="s">
        <v>723</v>
      </c>
      <c r="E1292" t="s">
        <v>73</v>
      </c>
      <c r="F1292">
        <v>40</v>
      </c>
      <c r="G1292" t="s">
        <v>125</v>
      </c>
      <c r="H1292" t="s">
        <v>125</v>
      </c>
      <c r="I1292" t="s">
        <v>73</v>
      </c>
      <c r="J1292" t="s">
        <v>125</v>
      </c>
      <c r="K1292" t="s">
        <v>125</v>
      </c>
      <c r="L1292" t="s">
        <v>125</v>
      </c>
      <c r="M1292" t="s">
        <v>1952</v>
      </c>
      <c r="N1292" t="b">
        <v>0</v>
      </c>
    </row>
    <row r="1293" spans="1:14">
      <c r="A1293">
        <v>87</v>
      </c>
      <c r="B1293">
        <v>5</v>
      </c>
      <c r="C1293" t="s">
        <v>162</v>
      </c>
      <c r="D1293" t="s">
        <v>723</v>
      </c>
      <c r="E1293" t="s">
        <v>77</v>
      </c>
      <c r="F1293">
        <v>40</v>
      </c>
      <c r="G1293" t="s">
        <v>125</v>
      </c>
      <c r="H1293" t="s">
        <v>125</v>
      </c>
      <c r="I1293" t="s">
        <v>77</v>
      </c>
      <c r="J1293" t="s">
        <v>125</v>
      </c>
      <c r="K1293" t="s">
        <v>125</v>
      </c>
      <c r="L1293" t="s">
        <v>125</v>
      </c>
      <c r="M1293" t="s">
        <v>1953</v>
      </c>
      <c r="N1293" t="b">
        <v>0</v>
      </c>
    </row>
    <row r="1294" spans="1:14">
      <c r="A1294">
        <v>87</v>
      </c>
      <c r="B1294">
        <v>6</v>
      </c>
      <c r="C1294" t="s">
        <v>198</v>
      </c>
      <c r="D1294" t="s">
        <v>723</v>
      </c>
      <c r="E1294" t="s">
        <v>83</v>
      </c>
      <c r="F1294">
        <v>50</v>
      </c>
      <c r="G1294" t="s">
        <v>125</v>
      </c>
      <c r="H1294" t="s">
        <v>125</v>
      </c>
      <c r="I1294" t="s">
        <v>83</v>
      </c>
      <c r="J1294" t="s">
        <v>125</v>
      </c>
      <c r="K1294" t="s">
        <v>125</v>
      </c>
      <c r="L1294" t="s">
        <v>125</v>
      </c>
      <c r="M1294" t="s">
        <v>1954</v>
      </c>
      <c r="N1294" t="b">
        <v>0</v>
      </c>
    </row>
    <row r="1295" spans="1:14">
      <c r="A1295">
        <v>87</v>
      </c>
      <c r="B1295">
        <v>7</v>
      </c>
      <c r="C1295" t="s">
        <v>446</v>
      </c>
      <c r="D1295" t="s">
        <v>723</v>
      </c>
      <c r="E1295" t="s">
        <v>544</v>
      </c>
      <c r="F1295">
        <v>50</v>
      </c>
      <c r="G1295" t="s">
        <v>125</v>
      </c>
      <c r="H1295" t="s">
        <v>554</v>
      </c>
      <c r="I1295" t="s">
        <v>331</v>
      </c>
      <c r="J1295" t="s">
        <v>125</v>
      </c>
      <c r="K1295" t="s">
        <v>800</v>
      </c>
      <c r="L1295" t="s">
        <v>801</v>
      </c>
      <c r="M1295" t="s">
        <v>1955</v>
      </c>
      <c r="N1295" t="b">
        <v>0</v>
      </c>
    </row>
    <row r="1296" spans="1:14">
      <c r="A1296">
        <v>87</v>
      </c>
      <c r="B1296">
        <v>8</v>
      </c>
      <c r="C1296" t="s">
        <v>193</v>
      </c>
      <c r="D1296" t="s">
        <v>723</v>
      </c>
      <c r="E1296" t="s">
        <v>97</v>
      </c>
      <c r="F1296">
        <v>50</v>
      </c>
      <c r="G1296" t="s">
        <v>125</v>
      </c>
      <c r="H1296" t="s">
        <v>125</v>
      </c>
      <c r="I1296" t="s">
        <v>97</v>
      </c>
      <c r="J1296" t="s">
        <v>125</v>
      </c>
      <c r="K1296" t="s">
        <v>125</v>
      </c>
      <c r="L1296" t="s">
        <v>125</v>
      </c>
      <c r="M1296" t="s">
        <v>1956</v>
      </c>
      <c r="N1296" t="b">
        <v>0</v>
      </c>
    </row>
    <row r="1297" spans="1:14">
      <c r="A1297">
        <v>87</v>
      </c>
      <c r="B1297">
        <v>9</v>
      </c>
      <c r="C1297" t="s">
        <v>208</v>
      </c>
      <c r="D1297" t="s">
        <v>723</v>
      </c>
      <c r="E1297" t="s">
        <v>103</v>
      </c>
      <c r="F1297">
        <v>50</v>
      </c>
      <c r="G1297" t="s">
        <v>125</v>
      </c>
      <c r="H1297" t="s">
        <v>125</v>
      </c>
      <c r="I1297" t="s">
        <v>103</v>
      </c>
      <c r="J1297" t="s">
        <v>125</v>
      </c>
      <c r="K1297" t="s">
        <v>125</v>
      </c>
      <c r="L1297" t="s">
        <v>125</v>
      </c>
      <c r="M1297" t="s">
        <v>1957</v>
      </c>
      <c r="N1297" t="b">
        <v>0</v>
      </c>
    </row>
    <row r="1298" spans="1:14">
      <c r="A1298">
        <v>87</v>
      </c>
      <c r="B1298">
        <v>10</v>
      </c>
      <c r="C1298" t="s">
        <v>319</v>
      </c>
      <c r="D1298" t="s">
        <v>723</v>
      </c>
      <c r="E1298" t="s">
        <v>105</v>
      </c>
      <c r="F1298">
        <v>30</v>
      </c>
      <c r="G1298" t="s">
        <v>125</v>
      </c>
      <c r="H1298" t="s">
        <v>125</v>
      </c>
      <c r="I1298" t="s">
        <v>105</v>
      </c>
      <c r="J1298" t="s">
        <v>125</v>
      </c>
      <c r="K1298" t="s">
        <v>125</v>
      </c>
      <c r="L1298" t="s">
        <v>125</v>
      </c>
      <c r="M1298" t="s">
        <v>1958</v>
      </c>
      <c r="N1298" t="b">
        <v>0</v>
      </c>
    </row>
    <row r="1299" spans="1:14">
      <c r="A1299">
        <v>87</v>
      </c>
      <c r="B1299">
        <v>11</v>
      </c>
      <c r="C1299" t="s">
        <v>125</v>
      </c>
      <c r="D1299" t="s">
        <v>723</v>
      </c>
      <c r="E1299" t="s">
        <v>125</v>
      </c>
      <c r="F1299">
        <v>0</v>
      </c>
      <c r="G1299" t="s">
        <v>125</v>
      </c>
      <c r="H1299" t="s">
        <v>125</v>
      </c>
      <c r="I1299" t="s">
        <v>125</v>
      </c>
      <c r="J1299" t="s">
        <v>125</v>
      </c>
      <c r="K1299" t="s">
        <v>125</v>
      </c>
      <c r="L1299" t="s">
        <v>125</v>
      </c>
      <c r="M1299" t="s">
        <v>1959</v>
      </c>
      <c r="N1299" t="b">
        <v>0</v>
      </c>
    </row>
    <row r="1300" spans="1:14">
      <c r="A1300">
        <v>87</v>
      </c>
      <c r="B1300">
        <v>12</v>
      </c>
      <c r="C1300" t="s">
        <v>125</v>
      </c>
      <c r="D1300" t="s">
        <v>723</v>
      </c>
      <c r="E1300" t="s">
        <v>125</v>
      </c>
      <c r="F1300">
        <v>0</v>
      </c>
      <c r="G1300" t="s">
        <v>125</v>
      </c>
      <c r="H1300" t="s">
        <v>125</v>
      </c>
      <c r="I1300" t="s">
        <v>125</v>
      </c>
      <c r="J1300" t="s">
        <v>125</v>
      </c>
      <c r="K1300" t="s">
        <v>125</v>
      </c>
      <c r="L1300" t="s">
        <v>125</v>
      </c>
      <c r="M1300" t="s">
        <v>1960</v>
      </c>
      <c r="N1300" t="b">
        <v>0</v>
      </c>
    </row>
    <row r="1301" spans="1:14">
      <c r="A1301">
        <v>87</v>
      </c>
      <c r="B1301">
        <v>13</v>
      </c>
      <c r="C1301" t="s">
        <v>125</v>
      </c>
      <c r="D1301" t="s">
        <v>723</v>
      </c>
      <c r="E1301" t="s">
        <v>125</v>
      </c>
      <c r="F1301">
        <v>0</v>
      </c>
      <c r="G1301" t="s">
        <v>125</v>
      </c>
      <c r="H1301" t="s">
        <v>125</v>
      </c>
      <c r="I1301" t="s">
        <v>125</v>
      </c>
      <c r="J1301" t="s">
        <v>125</v>
      </c>
      <c r="K1301" t="s">
        <v>125</v>
      </c>
      <c r="L1301" t="s">
        <v>125</v>
      </c>
      <c r="M1301" t="s">
        <v>1961</v>
      </c>
      <c r="N1301" t="b">
        <v>0</v>
      </c>
    </row>
    <row r="1302" spans="1:14">
      <c r="A1302">
        <v>87</v>
      </c>
      <c r="B1302">
        <v>14</v>
      </c>
      <c r="C1302" t="s">
        <v>125</v>
      </c>
      <c r="D1302" t="s">
        <v>723</v>
      </c>
      <c r="E1302" t="s">
        <v>125</v>
      </c>
      <c r="F1302">
        <v>0</v>
      </c>
      <c r="G1302" t="s">
        <v>125</v>
      </c>
      <c r="H1302" t="s">
        <v>125</v>
      </c>
      <c r="I1302" t="s">
        <v>125</v>
      </c>
      <c r="J1302" t="s">
        <v>125</v>
      </c>
      <c r="K1302" t="s">
        <v>125</v>
      </c>
      <c r="L1302" t="s">
        <v>125</v>
      </c>
      <c r="M1302" t="s">
        <v>1962</v>
      </c>
      <c r="N1302" t="b">
        <v>0</v>
      </c>
    </row>
    <row r="1303" spans="1:14">
      <c r="A1303">
        <v>87</v>
      </c>
      <c r="B1303">
        <v>15</v>
      </c>
      <c r="C1303" t="s">
        <v>125</v>
      </c>
      <c r="D1303" t="s">
        <v>723</v>
      </c>
      <c r="E1303" t="s">
        <v>125</v>
      </c>
      <c r="F1303">
        <v>0</v>
      </c>
      <c r="G1303" t="s">
        <v>125</v>
      </c>
      <c r="H1303" t="s">
        <v>125</v>
      </c>
      <c r="I1303" t="s">
        <v>125</v>
      </c>
      <c r="J1303" t="s">
        <v>125</v>
      </c>
      <c r="K1303" t="s">
        <v>125</v>
      </c>
      <c r="L1303" t="s">
        <v>125</v>
      </c>
      <c r="M1303" t="s">
        <v>1963</v>
      </c>
      <c r="N1303" t="b">
        <v>0</v>
      </c>
    </row>
    <row r="1304" spans="1:14">
      <c r="A1304">
        <v>87</v>
      </c>
      <c r="B1304">
        <v>16</v>
      </c>
      <c r="C1304" t="s">
        <v>125</v>
      </c>
      <c r="D1304" t="s">
        <v>740</v>
      </c>
      <c r="E1304" t="s">
        <v>125</v>
      </c>
      <c r="F1304">
        <v>0</v>
      </c>
      <c r="G1304" t="s">
        <v>125</v>
      </c>
      <c r="H1304" t="s">
        <v>125</v>
      </c>
      <c r="I1304" t="s">
        <v>125</v>
      </c>
      <c r="J1304" t="s">
        <v>125</v>
      </c>
      <c r="K1304" t="s">
        <v>125</v>
      </c>
      <c r="L1304" t="s">
        <v>125</v>
      </c>
      <c r="M1304" t="s">
        <v>1964</v>
      </c>
      <c r="N1304" t="b">
        <v>0</v>
      </c>
    </row>
    <row r="1305" spans="1:14">
      <c r="A1305">
        <v>87</v>
      </c>
      <c r="B1305">
        <v>17</v>
      </c>
      <c r="C1305" t="s">
        <v>125</v>
      </c>
      <c r="D1305" t="s">
        <v>740</v>
      </c>
      <c r="E1305" t="s">
        <v>125</v>
      </c>
      <c r="F1305">
        <v>0</v>
      </c>
      <c r="G1305" t="s">
        <v>125</v>
      </c>
      <c r="H1305" t="s">
        <v>125</v>
      </c>
      <c r="I1305" t="s">
        <v>125</v>
      </c>
      <c r="J1305" t="s">
        <v>125</v>
      </c>
      <c r="K1305" t="s">
        <v>125</v>
      </c>
      <c r="L1305" t="s">
        <v>125</v>
      </c>
      <c r="M1305" t="s">
        <v>1965</v>
      </c>
      <c r="N1305" t="b">
        <v>0</v>
      </c>
    </row>
    <row r="1306" spans="1:14">
      <c r="A1306">
        <v>87</v>
      </c>
      <c r="B1306">
        <v>18</v>
      </c>
      <c r="C1306" t="s">
        <v>125</v>
      </c>
      <c r="D1306" t="s">
        <v>740</v>
      </c>
      <c r="E1306" t="s">
        <v>125</v>
      </c>
      <c r="F1306">
        <v>0</v>
      </c>
      <c r="G1306" t="s">
        <v>125</v>
      </c>
      <c r="H1306" t="s">
        <v>125</v>
      </c>
      <c r="I1306" t="s">
        <v>125</v>
      </c>
      <c r="J1306" t="s">
        <v>125</v>
      </c>
      <c r="K1306" t="s">
        <v>125</v>
      </c>
      <c r="L1306" t="s">
        <v>125</v>
      </c>
      <c r="M1306" t="s">
        <v>1966</v>
      </c>
      <c r="N1306" t="b">
        <v>0</v>
      </c>
    </row>
    <row r="1307" spans="1:14">
      <c r="A1307">
        <v>87</v>
      </c>
      <c r="B1307">
        <v>19</v>
      </c>
      <c r="C1307" t="s">
        <v>125</v>
      </c>
      <c r="D1307" t="s">
        <v>740</v>
      </c>
      <c r="E1307" t="s">
        <v>125</v>
      </c>
      <c r="F1307">
        <v>0</v>
      </c>
      <c r="G1307" t="s">
        <v>125</v>
      </c>
      <c r="H1307" t="s">
        <v>125</v>
      </c>
      <c r="I1307" t="s">
        <v>125</v>
      </c>
      <c r="J1307" t="s">
        <v>125</v>
      </c>
      <c r="K1307" t="s">
        <v>125</v>
      </c>
      <c r="L1307" t="s">
        <v>125</v>
      </c>
      <c r="M1307" t="s">
        <v>1967</v>
      </c>
      <c r="N1307" t="b">
        <v>0</v>
      </c>
    </row>
    <row r="1308" spans="1:14">
      <c r="A1308">
        <v>87</v>
      </c>
      <c r="B1308">
        <v>20</v>
      </c>
      <c r="C1308" t="s">
        <v>125</v>
      </c>
      <c r="D1308" t="s">
        <v>740</v>
      </c>
      <c r="E1308" t="s">
        <v>125</v>
      </c>
      <c r="F1308">
        <v>0</v>
      </c>
      <c r="G1308" t="s">
        <v>125</v>
      </c>
      <c r="H1308" t="s">
        <v>125</v>
      </c>
      <c r="I1308" t="s">
        <v>125</v>
      </c>
      <c r="J1308" t="s">
        <v>125</v>
      </c>
      <c r="K1308" t="s">
        <v>125</v>
      </c>
      <c r="L1308" t="s">
        <v>125</v>
      </c>
      <c r="M1308" t="s">
        <v>1968</v>
      </c>
      <c r="N1308" t="b">
        <v>0</v>
      </c>
    </row>
    <row r="1309" spans="1:14">
      <c r="A1309">
        <v>87</v>
      </c>
      <c r="B1309">
        <v>21</v>
      </c>
      <c r="C1309" t="s">
        <v>125</v>
      </c>
      <c r="D1309" t="s">
        <v>740</v>
      </c>
      <c r="E1309" t="s">
        <v>125</v>
      </c>
      <c r="F1309">
        <v>0</v>
      </c>
      <c r="G1309" t="s">
        <v>125</v>
      </c>
      <c r="H1309" t="s">
        <v>125</v>
      </c>
      <c r="I1309" t="s">
        <v>125</v>
      </c>
      <c r="J1309" t="s">
        <v>125</v>
      </c>
      <c r="K1309" t="s">
        <v>125</v>
      </c>
      <c r="L1309" t="s">
        <v>125</v>
      </c>
      <c r="M1309" t="s">
        <v>1969</v>
      </c>
      <c r="N1309" t="b">
        <v>0</v>
      </c>
    </row>
    <row r="1310" spans="1:14">
      <c r="A1310">
        <v>87</v>
      </c>
      <c r="B1310">
        <v>22</v>
      </c>
      <c r="C1310" t="s">
        <v>125</v>
      </c>
      <c r="D1310" t="s">
        <v>740</v>
      </c>
      <c r="E1310" t="s">
        <v>125</v>
      </c>
      <c r="F1310">
        <v>0</v>
      </c>
      <c r="G1310" t="s">
        <v>125</v>
      </c>
      <c r="H1310" t="s">
        <v>125</v>
      </c>
      <c r="I1310" t="s">
        <v>125</v>
      </c>
      <c r="J1310" t="s">
        <v>125</v>
      </c>
      <c r="K1310" t="s">
        <v>125</v>
      </c>
      <c r="L1310" t="s">
        <v>125</v>
      </c>
      <c r="M1310" t="s">
        <v>1970</v>
      </c>
      <c r="N1310" t="b">
        <v>0</v>
      </c>
    </row>
    <row r="1311" spans="1:14">
      <c r="A1311">
        <v>87</v>
      </c>
      <c r="B1311">
        <v>23</v>
      </c>
      <c r="C1311" t="s">
        <v>125</v>
      </c>
      <c r="D1311" t="s">
        <v>740</v>
      </c>
      <c r="E1311" t="s">
        <v>125</v>
      </c>
      <c r="F1311">
        <v>0</v>
      </c>
      <c r="G1311" t="s">
        <v>125</v>
      </c>
      <c r="H1311" t="s">
        <v>125</v>
      </c>
      <c r="I1311" t="s">
        <v>125</v>
      </c>
      <c r="J1311" t="s">
        <v>125</v>
      </c>
      <c r="K1311" t="s">
        <v>125</v>
      </c>
      <c r="L1311" t="s">
        <v>125</v>
      </c>
      <c r="M1311" t="s">
        <v>1971</v>
      </c>
      <c r="N1311" t="b">
        <v>0</v>
      </c>
    </row>
    <row r="1312" spans="1:14">
      <c r="A1312">
        <v>87</v>
      </c>
      <c r="B1312">
        <v>24</v>
      </c>
      <c r="C1312" t="s">
        <v>125</v>
      </c>
      <c r="D1312" t="s">
        <v>740</v>
      </c>
      <c r="E1312" t="s">
        <v>125</v>
      </c>
      <c r="F1312">
        <v>0</v>
      </c>
      <c r="G1312" t="s">
        <v>125</v>
      </c>
      <c r="H1312" t="s">
        <v>125</v>
      </c>
      <c r="I1312" t="s">
        <v>125</v>
      </c>
      <c r="J1312" t="s">
        <v>125</v>
      </c>
      <c r="K1312" t="s">
        <v>125</v>
      </c>
      <c r="L1312" t="s">
        <v>125</v>
      </c>
      <c r="M1312" t="s">
        <v>1972</v>
      </c>
      <c r="N1312" t="b">
        <v>0</v>
      </c>
    </row>
    <row r="1313" spans="1:14">
      <c r="A1313">
        <v>87</v>
      </c>
      <c r="B1313">
        <v>25</v>
      </c>
      <c r="C1313" t="s">
        <v>125</v>
      </c>
      <c r="D1313" t="s">
        <v>740</v>
      </c>
      <c r="E1313" t="s">
        <v>125</v>
      </c>
      <c r="F1313">
        <v>0</v>
      </c>
      <c r="G1313" t="s">
        <v>125</v>
      </c>
      <c r="H1313" t="s">
        <v>125</v>
      </c>
      <c r="I1313" t="s">
        <v>125</v>
      </c>
      <c r="J1313" t="s">
        <v>125</v>
      </c>
      <c r="K1313" t="s">
        <v>125</v>
      </c>
      <c r="L1313" t="s">
        <v>125</v>
      </c>
      <c r="M1313" t="s">
        <v>1973</v>
      </c>
      <c r="N1313" t="b">
        <v>0</v>
      </c>
    </row>
    <row r="1314" spans="1:14">
      <c r="A1314">
        <v>87</v>
      </c>
      <c r="B1314">
        <v>26</v>
      </c>
      <c r="C1314" t="s">
        <v>125</v>
      </c>
      <c r="D1314" t="s">
        <v>740</v>
      </c>
      <c r="E1314" t="s">
        <v>125</v>
      </c>
      <c r="F1314">
        <v>0</v>
      </c>
      <c r="G1314" t="s">
        <v>125</v>
      </c>
      <c r="H1314" t="s">
        <v>125</v>
      </c>
      <c r="I1314" t="s">
        <v>125</v>
      </c>
      <c r="J1314" t="s">
        <v>125</v>
      </c>
      <c r="K1314" t="s">
        <v>125</v>
      </c>
      <c r="L1314" t="s">
        <v>125</v>
      </c>
      <c r="M1314" t="s">
        <v>1974</v>
      </c>
      <c r="N1314" t="b">
        <v>0</v>
      </c>
    </row>
    <row r="1315" spans="1:14">
      <c r="A1315">
        <v>90</v>
      </c>
      <c r="B1315">
        <v>0</v>
      </c>
      <c r="C1315" t="s">
        <v>185</v>
      </c>
      <c r="D1315" t="s">
        <v>723</v>
      </c>
      <c r="E1315" t="s">
        <v>64</v>
      </c>
      <c r="F1315">
        <v>50</v>
      </c>
      <c r="G1315" t="s">
        <v>125</v>
      </c>
      <c r="H1315" t="s">
        <v>125</v>
      </c>
      <c r="I1315" t="s">
        <v>64</v>
      </c>
      <c r="J1315" t="s">
        <v>125</v>
      </c>
      <c r="K1315" t="s">
        <v>125</v>
      </c>
      <c r="L1315" t="s">
        <v>125</v>
      </c>
      <c r="M1315" t="s">
        <v>1975</v>
      </c>
      <c r="N1315" t="b">
        <v>0</v>
      </c>
    </row>
    <row r="1316" spans="1:14">
      <c r="A1316">
        <v>90</v>
      </c>
      <c r="B1316">
        <v>1</v>
      </c>
      <c r="C1316" t="s">
        <v>157</v>
      </c>
      <c r="D1316" t="s">
        <v>723</v>
      </c>
      <c r="E1316" t="s">
        <v>82</v>
      </c>
      <c r="F1316">
        <v>40</v>
      </c>
      <c r="G1316" t="s">
        <v>125</v>
      </c>
      <c r="H1316" t="s">
        <v>125</v>
      </c>
      <c r="I1316" t="s">
        <v>82</v>
      </c>
      <c r="J1316" t="s">
        <v>125</v>
      </c>
      <c r="K1316" t="s">
        <v>125</v>
      </c>
      <c r="L1316" t="s">
        <v>125</v>
      </c>
      <c r="M1316" t="s">
        <v>1976</v>
      </c>
      <c r="N1316" t="b">
        <v>0</v>
      </c>
    </row>
    <row r="1317" spans="1:14">
      <c r="A1317">
        <v>90</v>
      </c>
      <c r="B1317">
        <v>2</v>
      </c>
      <c r="C1317" t="s">
        <v>186</v>
      </c>
      <c r="D1317" t="s">
        <v>723</v>
      </c>
      <c r="E1317" t="s">
        <v>92</v>
      </c>
      <c r="F1317">
        <v>50</v>
      </c>
      <c r="G1317" t="s">
        <v>125</v>
      </c>
      <c r="H1317" t="s">
        <v>125</v>
      </c>
      <c r="I1317" t="s">
        <v>92</v>
      </c>
      <c r="J1317" t="s">
        <v>125</v>
      </c>
      <c r="K1317" t="s">
        <v>125</v>
      </c>
      <c r="L1317" t="s">
        <v>125</v>
      </c>
      <c r="M1317" t="s">
        <v>1977</v>
      </c>
      <c r="N1317" t="b">
        <v>0</v>
      </c>
    </row>
    <row r="1318" spans="1:14">
      <c r="A1318">
        <v>90</v>
      </c>
      <c r="B1318">
        <v>3</v>
      </c>
      <c r="C1318" t="s">
        <v>187</v>
      </c>
      <c r="D1318" t="s">
        <v>723</v>
      </c>
      <c r="E1318" t="s">
        <v>98</v>
      </c>
      <c r="F1318">
        <v>50</v>
      </c>
      <c r="G1318" t="s">
        <v>125</v>
      </c>
      <c r="H1318" t="s">
        <v>125</v>
      </c>
      <c r="I1318" t="s">
        <v>98</v>
      </c>
      <c r="J1318" t="s">
        <v>125</v>
      </c>
      <c r="K1318" t="s">
        <v>125</v>
      </c>
      <c r="L1318" t="s">
        <v>125</v>
      </c>
      <c r="M1318" t="s">
        <v>1978</v>
      </c>
      <c r="N1318" t="b">
        <v>0</v>
      </c>
    </row>
    <row r="1319" spans="1:14">
      <c r="A1319">
        <v>90</v>
      </c>
      <c r="B1319">
        <v>4</v>
      </c>
      <c r="C1319" t="s">
        <v>188</v>
      </c>
      <c r="D1319" t="s">
        <v>723</v>
      </c>
      <c r="E1319" t="s">
        <v>100</v>
      </c>
      <c r="F1319">
        <v>50</v>
      </c>
      <c r="G1319" t="s">
        <v>125</v>
      </c>
      <c r="H1319" t="s">
        <v>125</v>
      </c>
      <c r="I1319" t="s">
        <v>100</v>
      </c>
      <c r="J1319" t="s">
        <v>125</v>
      </c>
      <c r="K1319" t="s">
        <v>125</v>
      </c>
      <c r="L1319" t="s">
        <v>125</v>
      </c>
      <c r="M1319" t="s">
        <v>1979</v>
      </c>
      <c r="N1319" t="b">
        <v>0</v>
      </c>
    </row>
    <row r="1320" spans="1:14">
      <c r="A1320">
        <v>90</v>
      </c>
      <c r="B1320">
        <v>5</v>
      </c>
      <c r="C1320" t="s">
        <v>240</v>
      </c>
      <c r="D1320" t="s">
        <v>723</v>
      </c>
      <c r="E1320" t="s">
        <v>102</v>
      </c>
      <c r="F1320">
        <v>50</v>
      </c>
      <c r="G1320" t="s">
        <v>125</v>
      </c>
      <c r="H1320" t="s">
        <v>125</v>
      </c>
      <c r="I1320" t="s">
        <v>102</v>
      </c>
      <c r="J1320" t="s">
        <v>125</v>
      </c>
      <c r="K1320" t="s">
        <v>125</v>
      </c>
      <c r="L1320" t="s">
        <v>125</v>
      </c>
      <c r="M1320" t="s">
        <v>1980</v>
      </c>
      <c r="N1320" t="b">
        <v>0</v>
      </c>
    </row>
    <row r="1321" spans="1:14">
      <c r="A1321">
        <v>90</v>
      </c>
      <c r="B1321">
        <v>6</v>
      </c>
      <c r="C1321" t="s">
        <v>189</v>
      </c>
      <c r="D1321" t="s">
        <v>723</v>
      </c>
      <c r="E1321" t="s">
        <v>108</v>
      </c>
      <c r="F1321">
        <v>30</v>
      </c>
      <c r="G1321" t="s">
        <v>125</v>
      </c>
      <c r="H1321" t="s">
        <v>125</v>
      </c>
      <c r="I1321" t="s">
        <v>108</v>
      </c>
      <c r="J1321" t="s">
        <v>125</v>
      </c>
      <c r="K1321" t="s">
        <v>125</v>
      </c>
      <c r="L1321" t="s">
        <v>125</v>
      </c>
      <c r="M1321" t="s">
        <v>1981</v>
      </c>
      <c r="N1321" t="b">
        <v>0</v>
      </c>
    </row>
    <row r="1322" spans="1:14">
      <c r="A1322">
        <v>90</v>
      </c>
      <c r="B1322">
        <v>7</v>
      </c>
      <c r="C1322" t="s">
        <v>190</v>
      </c>
      <c r="D1322" t="s">
        <v>723</v>
      </c>
      <c r="E1322" t="s">
        <v>114</v>
      </c>
      <c r="F1322">
        <v>60</v>
      </c>
      <c r="G1322" t="s">
        <v>125</v>
      </c>
      <c r="H1322" t="s">
        <v>125</v>
      </c>
      <c r="I1322" t="s">
        <v>114</v>
      </c>
      <c r="J1322" t="s">
        <v>125</v>
      </c>
      <c r="K1322" t="s">
        <v>125</v>
      </c>
      <c r="L1322" t="s">
        <v>125</v>
      </c>
      <c r="M1322" t="s">
        <v>1982</v>
      </c>
      <c r="N1322" t="b">
        <v>0</v>
      </c>
    </row>
    <row r="1323" spans="1:14">
      <c r="A1323">
        <v>90</v>
      </c>
      <c r="B1323">
        <v>8</v>
      </c>
      <c r="C1323" t="s">
        <v>191</v>
      </c>
      <c r="D1323" t="s">
        <v>723</v>
      </c>
      <c r="E1323" t="s">
        <v>60</v>
      </c>
      <c r="F1323">
        <v>30</v>
      </c>
      <c r="G1323" t="s">
        <v>125</v>
      </c>
      <c r="H1323" t="s">
        <v>125</v>
      </c>
      <c r="I1323" t="s">
        <v>60</v>
      </c>
      <c r="J1323" t="s">
        <v>125</v>
      </c>
      <c r="K1323" t="s">
        <v>125</v>
      </c>
      <c r="L1323" t="s">
        <v>125</v>
      </c>
      <c r="M1323" t="s">
        <v>1983</v>
      </c>
      <c r="N1323" t="b">
        <v>0</v>
      </c>
    </row>
    <row r="1324" spans="1:14">
      <c r="A1324">
        <v>90</v>
      </c>
      <c r="B1324">
        <v>9</v>
      </c>
      <c r="C1324" t="s">
        <v>452</v>
      </c>
      <c r="D1324" t="s">
        <v>723</v>
      </c>
      <c r="E1324" t="s">
        <v>65</v>
      </c>
      <c r="F1324">
        <v>30</v>
      </c>
      <c r="G1324" t="s">
        <v>125</v>
      </c>
      <c r="H1324" t="s">
        <v>125</v>
      </c>
      <c r="I1324" t="s">
        <v>65</v>
      </c>
      <c r="J1324" t="s">
        <v>125</v>
      </c>
      <c r="K1324" t="s">
        <v>125</v>
      </c>
      <c r="L1324" t="s">
        <v>125</v>
      </c>
      <c r="M1324" t="s">
        <v>1984</v>
      </c>
      <c r="N1324" t="b">
        <v>0</v>
      </c>
    </row>
    <row r="1325" spans="1:14">
      <c r="A1325">
        <v>90</v>
      </c>
      <c r="B1325">
        <v>10</v>
      </c>
      <c r="C1325" t="s">
        <v>317</v>
      </c>
      <c r="D1325" t="s">
        <v>723</v>
      </c>
      <c r="E1325" t="s">
        <v>330</v>
      </c>
      <c r="F1325">
        <v>30</v>
      </c>
      <c r="G1325" t="s">
        <v>125</v>
      </c>
      <c r="H1325" t="s">
        <v>547</v>
      </c>
      <c r="I1325" t="s">
        <v>444</v>
      </c>
      <c r="J1325" t="s">
        <v>125</v>
      </c>
      <c r="K1325" t="s">
        <v>920</v>
      </c>
      <c r="L1325" t="s">
        <v>921</v>
      </c>
      <c r="M1325" t="s">
        <v>1985</v>
      </c>
      <c r="N1325" t="b">
        <v>0</v>
      </c>
    </row>
    <row r="1326" spans="1:14">
      <c r="A1326">
        <v>90</v>
      </c>
      <c r="B1326">
        <v>11</v>
      </c>
      <c r="C1326" t="s">
        <v>192</v>
      </c>
      <c r="D1326" t="s">
        <v>723</v>
      </c>
      <c r="E1326" t="s">
        <v>77</v>
      </c>
      <c r="F1326">
        <v>50</v>
      </c>
      <c r="G1326" t="s">
        <v>125</v>
      </c>
      <c r="H1326" t="s">
        <v>125</v>
      </c>
      <c r="I1326" t="s">
        <v>77</v>
      </c>
      <c r="J1326" t="s">
        <v>125</v>
      </c>
      <c r="K1326" t="s">
        <v>125</v>
      </c>
      <c r="L1326" t="s">
        <v>125</v>
      </c>
      <c r="M1326" t="s">
        <v>1986</v>
      </c>
      <c r="N1326" t="b">
        <v>0</v>
      </c>
    </row>
    <row r="1327" spans="1:14">
      <c r="A1327">
        <v>90</v>
      </c>
      <c r="B1327">
        <v>12</v>
      </c>
      <c r="C1327" t="s">
        <v>198</v>
      </c>
      <c r="D1327" t="s">
        <v>723</v>
      </c>
      <c r="E1327" t="s">
        <v>83</v>
      </c>
      <c r="F1327">
        <v>50</v>
      </c>
      <c r="G1327" t="s">
        <v>125</v>
      </c>
      <c r="H1327" t="s">
        <v>125</v>
      </c>
      <c r="I1327" t="s">
        <v>83</v>
      </c>
      <c r="J1327" t="s">
        <v>125</v>
      </c>
      <c r="K1327" t="s">
        <v>125</v>
      </c>
      <c r="L1327" t="s">
        <v>125</v>
      </c>
      <c r="M1327" t="s">
        <v>1987</v>
      </c>
      <c r="N1327" t="b">
        <v>0</v>
      </c>
    </row>
    <row r="1328" spans="1:14">
      <c r="A1328">
        <v>90</v>
      </c>
      <c r="B1328">
        <v>13</v>
      </c>
      <c r="C1328" t="s">
        <v>193</v>
      </c>
      <c r="D1328" t="s">
        <v>723</v>
      </c>
      <c r="E1328" t="s">
        <v>97</v>
      </c>
      <c r="F1328">
        <v>50</v>
      </c>
      <c r="G1328" t="s">
        <v>125</v>
      </c>
      <c r="H1328" t="s">
        <v>125</v>
      </c>
      <c r="I1328" t="s">
        <v>97</v>
      </c>
      <c r="J1328" t="s">
        <v>125</v>
      </c>
      <c r="K1328" t="s">
        <v>125</v>
      </c>
      <c r="L1328" t="s">
        <v>125</v>
      </c>
      <c r="M1328" t="s">
        <v>1988</v>
      </c>
      <c r="N1328" t="b">
        <v>0</v>
      </c>
    </row>
    <row r="1329" spans="1:14">
      <c r="A1329">
        <v>90</v>
      </c>
      <c r="B1329">
        <v>14</v>
      </c>
      <c r="C1329" t="s">
        <v>194</v>
      </c>
      <c r="D1329" t="s">
        <v>723</v>
      </c>
      <c r="E1329" t="s">
        <v>107</v>
      </c>
      <c r="F1329">
        <v>60</v>
      </c>
      <c r="G1329" t="s">
        <v>125</v>
      </c>
      <c r="H1329" t="s">
        <v>125</v>
      </c>
      <c r="I1329" t="s">
        <v>107</v>
      </c>
      <c r="J1329" t="s">
        <v>125</v>
      </c>
      <c r="K1329" t="s">
        <v>125</v>
      </c>
      <c r="L1329" t="s">
        <v>125</v>
      </c>
      <c r="M1329" t="s">
        <v>1989</v>
      </c>
      <c r="N1329" t="b">
        <v>0</v>
      </c>
    </row>
    <row r="1330" spans="1:14">
      <c r="A1330">
        <v>90</v>
      </c>
      <c r="B1330">
        <v>15</v>
      </c>
      <c r="C1330" t="s">
        <v>125</v>
      </c>
      <c r="D1330" t="s">
        <v>723</v>
      </c>
      <c r="E1330" t="s">
        <v>125</v>
      </c>
      <c r="F1330">
        <v>0</v>
      </c>
      <c r="G1330" t="s">
        <v>125</v>
      </c>
      <c r="H1330" t="s">
        <v>125</v>
      </c>
      <c r="I1330" t="s">
        <v>125</v>
      </c>
      <c r="J1330" t="s">
        <v>125</v>
      </c>
      <c r="K1330" t="s">
        <v>125</v>
      </c>
      <c r="L1330" t="s">
        <v>125</v>
      </c>
      <c r="M1330" t="s">
        <v>1990</v>
      </c>
      <c r="N1330" t="b">
        <v>0</v>
      </c>
    </row>
    <row r="1331" spans="1:14">
      <c r="A1331">
        <v>90</v>
      </c>
      <c r="B1331">
        <v>16</v>
      </c>
      <c r="C1331" t="s">
        <v>125</v>
      </c>
      <c r="D1331" t="s">
        <v>740</v>
      </c>
      <c r="E1331" t="s">
        <v>125</v>
      </c>
      <c r="F1331">
        <v>0</v>
      </c>
      <c r="G1331" t="s">
        <v>125</v>
      </c>
      <c r="H1331" t="s">
        <v>125</v>
      </c>
      <c r="I1331" t="s">
        <v>125</v>
      </c>
      <c r="J1331" t="s">
        <v>125</v>
      </c>
      <c r="K1331" t="s">
        <v>125</v>
      </c>
      <c r="L1331" t="s">
        <v>125</v>
      </c>
      <c r="M1331" t="s">
        <v>1991</v>
      </c>
      <c r="N1331" t="b">
        <v>0</v>
      </c>
    </row>
    <row r="1332" spans="1:14">
      <c r="A1332">
        <v>90</v>
      </c>
      <c r="B1332">
        <v>17</v>
      </c>
      <c r="C1332" t="s">
        <v>125</v>
      </c>
      <c r="D1332" t="s">
        <v>740</v>
      </c>
      <c r="E1332" t="s">
        <v>125</v>
      </c>
      <c r="F1332">
        <v>0</v>
      </c>
      <c r="G1332" t="s">
        <v>125</v>
      </c>
      <c r="H1332" t="s">
        <v>125</v>
      </c>
      <c r="I1332" t="s">
        <v>125</v>
      </c>
      <c r="J1332" t="s">
        <v>125</v>
      </c>
      <c r="K1332" t="s">
        <v>125</v>
      </c>
      <c r="L1332" t="s">
        <v>125</v>
      </c>
      <c r="M1332" t="s">
        <v>1992</v>
      </c>
      <c r="N1332" t="b">
        <v>0</v>
      </c>
    </row>
    <row r="1333" spans="1:14">
      <c r="A1333">
        <v>90</v>
      </c>
      <c r="B1333">
        <v>18</v>
      </c>
      <c r="C1333" t="s">
        <v>125</v>
      </c>
      <c r="D1333" t="s">
        <v>740</v>
      </c>
      <c r="E1333" t="s">
        <v>125</v>
      </c>
      <c r="F1333">
        <v>0</v>
      </c>
      <c r="G1333" t="s">
        <v>125</v>
      </c>
      <c r="H1333" t="s">
        <v>125</v>
      </c>
      <c r="I1333" t="s">
        <v>125</v>
      </c>
      <c r="J1333" t="s">
        <v>125</v>
      </c>
      <c r="K1333" t="s">
        <v>125</v>
      </c>
      <c r="L1333" t="s">
        <v>125</v>
      </c>
      <c r="M1333" t="s">
        <v>1993</v>
      </c>
      <c r="N1333" t="b">
        <v>0</v>
      </c>
    </row>
    <row r="1334" spans="1:14">
      <c r="A1334">
        <v>90</v>
      </c>
      <c r="B1334">
        <v>19</v>
      </c>
      <c r="C1334" t="s">
        <v>125</v>
      </c>
      <c r="D1334" t="s">
        <v>740</v>
      </c>
      <c r="E1334" t="s">
        <v>125</v>
      </c>
      <c r="F1334">
        <v>0</v>
      </c>
      <c r="G1334" t="s">
        <v>125</v>
      </c>
      <c r="H1334" t="s">
        <v>125</v>
      </c>
      <c r="I1334" t="s">
        <v>125</v>
      </c>
      <c r="J1334" t="s">
        <v>125</v>
      </c>
      <c r="K1334" t="s">
        <v>125</v>
      </c>
      <c r="L1334" t="s">
        <v>125</v>
      </c>
      <c r="M1334" t="s">
        <v>1994</v>
      </c>
      <c r="N1334" t="b">
        <v>0</v>
      </c>
    </row>
    <row r="1335" spans="1:14">
      <c r="A1335">
        <v>90</v>
      </c>
      <c r="B1335">
        <v>20</v>
      </c>
      <c r="C1335" t="s">
        <v>125</v>
      </c>
      <c r="D1335" t="s">
        <v>740</v>
      </c>
      <c r="E1335" t="s">
        <v>125</v>
      </c>
      <c r="F1335">
        <v>0</v>
      </c>
      <c r="G1335" t="s">
        <v>125</v>
      </c>
      <c r="H1335" t="s">
        <v>125</v>
      </c>
      <c r="I1335" t="s">
        <v>125</v>
      </c>
      <c r="J1335" t="s">
        <v>125</v>
      </c>
      <c r="K1335" t="s">
        <v>125</v>
      </c>
      <c r="L1335" t="s">
        <v>125</v>
      </c>
      <c r="M1335" t="s">
        <v>1995</v>
      </c>
      <c r="N1335" t="b">
        <v>0</v>
      </c>
    </row>
    <row r="1336" spans="1:14">
      <c r="A1336">
        <v>90</v>
      </c>
      <c r="B1336">
        <v>21</v>
      </c>
      <c r="C1336" t="s">
        <v>125</v>
      </c>
      <c r="D1336" t="s">
        <v>740</v>
      </c>
      <c r="E1336" t="s">
        <v>125</v>
      </c>
      <c r="F1336">
        <v>0</v>
      </c>
      <c r="G1336" t="s">
        <v>125</v>
      </c>
      <c r="H1336" t="s">
        <v>125</v>
      </c>
      <c r="I1336" t="s">
        <v>125</v>
      </c>
      <c r="J1336" t="s">
        <v>125</v>
      </c>
      <c r="K1336" t="s">
        <v>125</v>
      </c>
      <c r="L1336" t="s">
        <v>125</v>
      </c>
      <c r="M1336" t="s">
        <v>1996</v>
      </c>
      <c r="N1336" t="b">
        <v>0</v>
      </c>
    </row>
    <row r="1337" spans="1:14">
      <c r="A1337">
        <v>90</v>
      </c>
      <c r="B1337">
        <v>22</v>
      </c>
      <c r="C1337" t="s">
        <v>125</v>
      </c>
      <c r="D1337" t="s">
        <v>740</v>
      </c>
      <c r="E1337" t="s">
        <v>125</v>
      </c>
      <c r="F1337">
        <v>0</v>
      </c>
      <c r="G1337" t="s">
        <v>125</v>
      </c>
      <c r="H1337" t="s">
        <v>125</v>
      </c>
      <c r="I1337" t="s">
        <v>125</v>
      </c>
      <c r="J1337" t="s">
        <v>125</v>
      </c>
      <c r="K1337" t="s">
        <v>125</v>
      </c>
      <c r="L1337" t="s">
        <v>125</v>
      </c>
      <c r="M1337" t="s">
        <v>1997</v>
      </c>
      <c r="N1337" t="b">
        <v>0</v>
      </c>
    </row>
    <row r="1338" spans="1:14">
      <c r="A1338">
        <v>90</v>
      </c>
      <c r="B1338">
        <v>23</v>
      </c>
      <c r="C1338" t="s">
        <v>125</v>
      </c>
      <c r="D1338" t="s">
        <v>740</v>
      </c>
      <c r="E1338" t="s">
        <v>125</v>
      </c>
      <c r="F1338">
        <v>0</v>
      </c>
      <c r="G1338" t="s">
        <v>125</v>
      </c>
      <c r="H1338" t="s">
        <v>125</v>
      </c>
      <c r="I1338" t="s">
        <v>125</v>
      </c>
      <c r="J1338" t="s">
        <v>125</v>
      </c>
      <c r="K1338" t="s">
        <v>125</v>
      </c>
      <c r="L1338" t="s">
        <v>125</v>
      </c>
      <c r="M1338" t="s">
        <v>1998</v>
      </c>
      <c r="N1338" t="b">
        <v>0</v>
      </c>
    </row>
    <row r="1339" spans="1:14">
      <c r="A1339">
        <v>90</v>
      </c>
      <c r="B1339">
        <v>24</v>
      </c>
      <c r="C1339" t="s">
        <v>125</v>
      </c>
      <c r="D1339" t="s">
        <v>740</v>
      </c>
      <c r="E1339" t="s">
        <v>125</v>
      </c>
      <c r="F1339">
        <v>0</v>
      </c>
      <c r="G1339" t="s">
        <v>125</v>
      </c>
      <c r="H1339" t="s">
        <v>125</v>
      </c>
      <c r="I1339" t="s">
        <v>125</v>
      </c>
      <c r="J1339" t="s">
        <v>125</v>
      </c>
      <c r="K1339" t="s">
        <v>125</v>
      </c>
      <c r="L1339" t="s">
        <v>125</v>
      </c>
      <c r="M1339" t="s">
        <v>1999</v>
      </c>
      <c r="N1339" t="b">
        <v>0</v>
      </c>
    </row>
    <row r="1340" spans="1:14">
      <c r="A1340">
        <v>90</v>
      </c>
      <c r="B1340">
        <v>25</v>
      </c>
      <c r="C1340" t="s">
        <v>125</v>
      </c>
      <c r="D1340" t="s">
        <v>740</v>
      </c>
      <c r="E1340" t="s">
        <v>125</v>
      </c>
      <c r="F1340">
        <v>0</v>
      </c>
      <c r="G1340" t="s">
        <v>125</v>
      </c>
      <c r="H1340" t="s">
        <v>125</v>
      </c>
      <c r="I1340" t="s">
        <v>125</v>
      </c>
      <c r="J1340" t="s">
        <v>125</v>
      </c>
      <c r="K1340" t="s">
        <v>125</v>
      </c>
      <c r="L1340" t="s">
        <v>125</v>
      </c>
      <c r="M1340" t="s">
        <v>2000</v>
      </c>
      <c r="N1340" t="b">
        <v>0</v>
      </c>
    </row>
    <row r="1341" spans="1:14">
      <c r="A1341">
        <v>90</v>
      </c>
      <c r="B1341">
        <v>26</v>
      </c>
      <c r="C1341" t="s">
        <v>125</v>
      </c>
      <c r="D1341" t="s">
        <v>740</v>
      </c>
      <c r="E1341" t="s">
        <v>125</v>
      </c>
      <c r="F1341">
        <v>0</v>
      </c>
      <c r="G1341" t="s">
        <v>125</v>
      </c>
      <c r="H1341" t="s">
        <v>125</v>
      </c>
      <c r="I1341" t="s">
        <v>125</v>
      </c>
      <c r="J1341" t="s">
        <v>125</v>
      </c>
      <c r="K1341" t="s">
        <v>125</v>
      </c>
      <c r="L1341" t="s">
        <v>125</v>
      </c>
      <c r="M1341" t="s">
        <v>2001</v>
      </c>
      <c r="N1341" t="b">
        <v>0</v>
      </c>
    </row>
    <row r="1342" spans="1:14">
      <c r="A1342">
        <v>91</v>
      </c>
      <c r="B1342">
        <v>0</v>
      </c>
      <c r="C1342" t="s">
        <v>215</v>
      </c>
      <c r="D1342" t="s">
        <v>723</v>
      </c>
      <c r="E1342" t="s">
        <v>64</v>
      </c>
      <c r="F1342">
        <v>60</v>
      </c>
      <c r="G1342" t="s">
        <v>125</v>
      </c>
      <c r="H1342" t="s">
        <v>125</v>
      </c>
      <c r="I1342" t="s">
        <v>64</v>
      </c>
      <c r="J1342" t="s">
        <v>125</v>
      </c>
      <c r="K1342" t="s">
        <v>125</v>
      </c>
      <c r="L1342" t="s">
        <v>125</v>
      </c>
      <c r="M1342" t="s">
        <v>2002</v>
      </c>
      <c r="N1342" t="b">
        <v>0</v>
      </c>
    </row>
    <row r="1343" spans="1:14">
      <c r="A1343">
        <v>91</v>
      </c>
      <c r="B1343">
        <v>1</v>
      </c>
      <c r="C1343" t="s">
        <v>216</v>
      </c>
      <c r="D1343" t="s">
        <v>723</v>
      </c>
      <c r="E1343" t="s">
        <v>76</v>
      </c>
      <c r="F1343">
        <v>60</v>
      </c>
      <c r="G1343" t="s">
        <v>125</v>
      </c>
      <c r="H1343" t="s">
        <v>125</v>
      </c>
      <c r="I1343" t="s">
        <v>76</v>
      </c>
      <c r="J1343" t="s">
        <v>125</v>
      </c>
      <c r="K1343" t="s">
        <v>125</v>
      </c>
      <c r="L1343" t="s">
        <v>125</v>
      </c>
      <c r="M1343" t="s">
        <v>2003</v>
      </c>
      <c r="N1343" t="b">
        <v>0</v>
      </c>
    </row>
    <row r="1344" spans="1:14">
      <c r="A1344">
        <v>91</v>
      </c>
      <c r="B1344">
        <v>2</v>
      </c>
      <c r="C1344" t="s">
        <v>239</v>
      </c>
      <c r="D1344" t="s">
        <v>723</v>
      </c>
      <c r="E1344" t="s">
        <v>94</v>
      </c>
      <c r="F1344">
        <v>50</v>
      </c>
      <c r="G1344" t="s">
        <v>125</v>
      </c>
      <c r="H1344" t="s">
        <v>125</v>
      </c>
      <c r="I1344" t="s">
        <v>94</v>
      </c>
      <c r="J1344" t="s">
        <v>125</v>
      </c>
      <c r="K1344" t="s">
        <v>125</v>
      </c>
      <c r="L1344" t="s">
        <v>125</v>
      </c>
      <c r="M1344" t="s">
        <v>2004</v>
      </c>
      <c r="N1344" t="b">
        <v>0</v>
      </c>
    </row>
    <row r="1345" spans="1:14">
      <c r="A1345">
        <v>91</v>
      </c>
      <c r="B1345">
        <v>3</v>
      </c>
      <c r="C1345" t="s">
        <v>455</v>
      </c>
      <c r="D1345" t="s">
        <v>723</v>
      </c>
      <c r="E1345" t="s">
        <v>96</v>
      </c>
      <c r="F1345">
        <v>60</v>
      </c>
      <c r="G1345" t="s">
        <v>125</v>
      </c>
      <c r="H1345" t="s">
        <v>125</v>
      </c>
      <c r="I1345" t="s">
        <v>96</v>
      </c>
      <c r="J1345" t="s">
        <v>125</v>
      </c>
      <c r="K1345" t="s">
        <v>125</v>
      </c>
      <c r="L1345" t="s">
        <v>125</v>
      </c>
      <c r="M1345" t="s">
        <v>2005</v>
      </c>
      <c r="N1345" t="b">
        <v>0</v>
      </c>
    </row>
    <row r="1346" spans="1:14">
      <c r="A1346">
        <v>91</v>
      </c>
      <c r="B1346">
        <v>4</v>
      </c>
      <c r="C1346" t="s">
        <v>218</v>
      </c>
      <c r="D1346" t="s">
        <v>723</v>
      </c>
      <c r="E1346" t="s">
        <v>100</v>
      </c>
      <c r="F1346">
        <v>60</v>
      </c>
      <c r="G1346" t="s">
        <v>125</v>
      </c>
      <c r="H1346" t="s">
        <v>125</v>
      </c>
      <c r="I1346" t="s">
        <v>100</v>
      </c>
      <c r="J1346" t="s">
        <v>125</v>
      </c>
      <c r="K1346" t="s">
        <v>125</v>
      </c>
      <c r="L1346" t="s">
        <v>125</v>
      </c>
      <c r="M1346" t="s">
        <v>2006</v>
      </c>
      <c r="N1346" t="b">
        <v>0</v>
      </c>
    </row>
    <row r="1347" spans="1:14">
      <c r="A1347">
        <v>91</v>
      </c>
      <c r="B1347">
        <v>5</v>
      </c>
      <c r="C1347" t="s">
        <v>286</v>
      </c>
      <c r="D1347" t="s">
        <v>723</v>
      </c>
      <c r="E1347" t="s">
        <v>102</v>
      </c>
      <c r="F1347">
        <v>40</v>
      </c>
      <c r="G1347" t="s">
        <v>125</v>
      </c>
      <c r="H1347" t="s">
        <v>125</v>
      </c>
      <c r="I1347" t="s">
        <v>102</v>
      </c>
      <c r="J1347" t="s">
        <v>125</v>
      </c>
      <c r="K1347" t="s">
        <v>125</v>
      </c>
      <c r="L1347" t="s">
        <v>125</v>
      </c>
      <c r="M1347" t="s">
        <v>2007</v>
      </c>
      <c r="N1347" t="b">
        <v>0</v>
      </c>
    </row>
    <row r="1348" spans="1:14">
      <c r="A1348">
        <v>91</v>
      </c>
      <c r="B1348">
        <v>6</v>
      </c>
      <c r="C1348" t="s">
        <v>197</v>
      </c>
      <c r="D1348" t="s">
        <v>723</v>
      </c>
      <c r="E1348" t="s">
        <v>112</v>
      </c>
      <c r="F1348">
        <v>50</v>
      </c>
      <c r="G1348" t="s">
        <v>125</v>
      </c>
      <c r="H1348" t="s">
        <v>125</v>
      </c>
      <c r="I1348" t="s">
        <v>112</v>
      </c>
      <c r="J1348" t="s">
        <v>125</v>
      </c>
      <c r="K1348" t="s">
        <v>125</v>
      </c>
      <c r="L1348" t="s">
        <v>125</v>
      </c>
      <c r="M1348" t="s">
        <v>2008</v>
      </c>
      <c r="N1348" t="b">
        <v>0</v>
      </c>
    </row>
    <row r="1349" spans="1:14">
      <c r="A1349">
        <v>91</v>
      </c>
      <c r="B1349">
        <v>7</v>
      </c>
      <c r="C1349" t="s">
        <v>219</v>
      </c>
      <c r="D1349" t="s">
        <v>723</v>
      </c>
      <c r="E1349" t="s">
        <v>67</v>
      </c>
      <c r="F1349">
        <v>50</v>
      </c>
      <c r="G1349" t="s">
        <v>125</v>
      </c>
      <c r="H1349" t="s">
        <v>125</v>
      </c>
      <c r="I1349" t="s">
        <v>67</v>
      </c>
      <c r="J1349" t="s">
        <v>125</v>
      </c>
      <c r="K1349" t="s">
        <v>125</v>
      </c>
      <c r="L1349" t="s">
        <v>125</v>
      </c>
      <c r="M1349" t="s">
        <v>2009</v>
      </c>
      <c r="N1349" t="b">
        <v>0</v>
      </c>
    </row>
    <row r="1350" spans="1:14">
      <c r="A1350">
        <v>91</v>
      </c>
      <c r="B1350">
        <v>8</v>
      </c>
      <c r="C1350" t="s">
        <v>317</v>
      </c>
      <c r="D1350" t="s">
        <v>723</v>
      </c>
      <c r="E1350" t="s">
        <v>330</v>
      </c>
      <c r="F1350">
        <v>30</v>
      </c>
      <c r="G1350" t="s">
        <v>125</v>
      </c>
      <c r="H1350" t="s">
        <v>547</v>
      </c>
      <c r="I1350" t="s">
        <v>444</v>
      </c>
      <c r="J1350" t="s">
        <v>125</v>
      </c>
      <c r="K1350" t="s">
        <v>920</v>
      </c>
      <c r="L1350" t="s">
        <v>921</v>
      </c>
      <c r="M1350" t="s">
        <v>2010</v>
      </c>
      <c r="N1350" t="b">
        <v>0</v>
      </c>
    </row>
    <row r="1351" spans="1:14">
      <c r="A1351">
        <v>91</v>
      </c>
      <c r="B1351">
        <v>9</v>
      </c>
      <c r="C1351" t="s">
        <v>166</v>
      </c>
      <c r="D1351" t="s">
        <v>723</v>
      </c>
      <c r="E1351" t="s">
        <v>73</v>
      </c>
      <c r="F1351">
        <v>50</v>
      </c>
      <c r="G1351" t="s">
        <v>125</v>
      </c>
      <c r="H1351" t="s">
        <v>125</v>
      </c>
      <c r="I1351" t="s">
        <v>73</v>
      </c>
      <c r="J1351" t="s">
        <v>125</v>
      </c>
      <c r="K1351" t="s">
        <v>125</v>
      </c>
      <c r="L1351" t="s">
        <v>125</v>
      </c>
      <c r="M1351" t="s">
        <v>2011</v>
      </c>
      <c r="N1351" t="b">
        <v>0</v>
      </c>
    </row>
    <row r="1352" spans="1:14">
      <c r="A1352">
        <v>91</v>
      </c>
      <c r="B1352">
        <v>10</v>
      </c>
      <c r="C1352" t="s">
        <v>390</v>
      </c>
      <c r="D1352" t="s">
        <v>723</v>
      </c>
      <c r="E1352" t="s">
        <v>101</v>
      </c>
      <c r="F1352">
        <v>60</v>
      </c>
      <c r="G1352" t="s">
        <v>125</v>
      </c>
      <c r="H1352" t="s">
        <v>125</v>
      </c>
      <c r="I1352" t="s">
        <v>101</v>
      </c>
      <c r="J1352" t="s">
        <v>125</v>
      </c>
      <c r="K1352" t="s">
        <v>125</v>
      </c>
      <c r="L1352" t="s">
        <v>125</v>
      </c>
      <c r="M1352" t="s">
        <v>2012</v>
      </c>
      <c r="N1352" t="b">
        <v>0</v>
      </c>
    </row>
    <row r="1353" spans="1:14">
      <c r="A1353">
        <v>91</v>
      </c>
      <c r="B1353">
        <v>11</v>
      </c>
      <c r="C1353" t="s">
        <v>169</v>
      </c>
      <c r="D1353" t="s">
        <v>723</v>
      </c>
      <c r="E1353" t="s">
        <v>105</v>
      </c>
      <c r="F1353">
        <v>50</v>
      </c>
      <c r="G1353" t="s">
        <v>125</v>
      </c>
      <c r="H1353" t="s">
        <v>125</v>
      </c>
      <c r="I1353" t="s">
        <v>105</v>
      </c>
      <c r="J1353" t="s">
        <v>125</v>
      </c>
      <c r="K1353" t="s">
        <v>125</v>
      </c>
      <c r="L1353" t="s">
        <v>125</v>
      </c>
      <c r="M1353" t="s">
        <v>2013</v>
      </c>
      <c r="N1353" t="b">
        <v>0</v>
      </c>
    </row>
    <row r="1354" spans="1:14">
      <c r="A1354">
        <v>91</v>
      </c>
      <c r="B1354">
        <v>12</v>
      </c>
      <c r="C1354" t="s">
        <v>222</v>
      </c>
      <c r="D1354" t="s">
        <v>723</v>
      </c>
      <c r="E1354" t="s">
        <v>106</v>
      </c>
      <c r="F1354">
        <v>50</v>
      </c>
      <c r="G1354" t="s">
        <v>125</v>
      </c>
      <c r="H1354" t="s">
        <v>125</v>
      </c>
      <c r="I1354" t="s">
        <v>106</v>
      </c>
      <c r="J1354" t="s">
        <v>125</v>
      </c>
      <c r="K1354" t="s">
        <v>125</v>
      </c>
      <c r="L1354" t="s">
        <v>125</v>
      </c>
      <c r="M1354" t="s">
        <v>2014</v>
      </c>
      <c r="N1354" t="b">
        <v>0</v>
      </c>
    </row>
    <row r="1355" spans="1:14">
      <c r="A1355">
        <v>91</v>
      </c>
      <c r="B1355">
        <v>13</v>
      </c>
      <c r="C1355" t="s">
        <v>194</v>
      </c>
      <c r="D1355" t="s">
        <v>723</v>
      </c>
      <c r="E1355" t="s">
        <v>107</v>
      </c>
      <c r="F1355">
        <v>60</v>
      </c>
      <c r="G1355" t="s">
        <v>125</v>
      </c>
      <c r="H1355" t="s">
        <v>125</v>
      </c>
      <c r="I1355" t="s">
        <v>107</v>
      </c>
      <c r="J1355" t="s">
        <v>125</v>
      </c>
      <c r="K1355" t="s">
        <v>125</v>
      </c>
      <c r="L1355" t="s">
        <v>125</v>
      </c>
      <c r="M1355" t="s">
        <v>2015</v>
      </c>
      <c r="N1355" t="b">
        <v>0</v>
      </c>
    </row>
    <row r="1356" spans="1:14">
      <c r="A1356">
        <v>91</v>
      </c>
      <c r="B1356">
        <v>14</v>
      </c>
      <c r="C1356" t="s">
        <v>125</v>
      </c>
      <c r="D1356" t="s">
        <v>723</v>
      </c>
      <c r="E1356" t="s">
        <v>125</v>
      </c>
      <c r="F1356">
        <v>0</v>
      </c>
      <c r="G1356" t="s">
        <v>125</v>
      </c>
      <c r="H1356" t="s">
        <v>125</v>
      </c>
      <c r="I1356" t="s">
        <v>125</v>
      </c>
      <c r="J1356" t="s">
        <v>125</v>
      </c>
      <c r="K1356" t="s">
        <v>125</v>
      </c>
      <c r="L1356" t="s">
        <v>125</v>
      </c>
      <c r="M1356" t="s">
        <v>2016</v>
      </c>
      <c r="N1356" t="b">
        <v>0</v>
      </c>
    </row>
    <row r="1357" spans="1:14">
      <c r="A1357">
        <v>91</v>
      </c>
      <c r="B1357">
        <v>15</v>
      </c>
      <c r="C1357" t="s">
        <v>125</v>
      </c>
      <c r="D1357" t="s">
        <v>723</v>
      </c>
      <c r="E1357" t="s">
        <v>125</v>
      </c>
      <c r="F1357">
        <v>0</v>
      </c>
      <c r="G1357" t="s">
        <v>125</v>
      </c>
      <c r="H1357" t="s">
        <v>125</v>
      </c>
      <c r="I1357" t="s">
        <v>125</v>
      </c>
      <c r="J1357" t="s">
        <v>125</v>
      </c>
      <c r="K1357" t="s">
        <v>125</v>
      </c>
      <c r="L1357" t="s">
        <v>125</v>
      </c>
      <c r="M1357" t="s">
        <v>2017</v>
      </c>
      <c r="N1357" t="b">
        <v>0</v>
      </c>
    </row>
    <row r="1358" spans="1:14">
      <c r="A1358">
        <v>91</v>
      </c>
      <c r="B1358">
        <v>16</v>
      </c>
      <c r="C1358" t="s">
        <v>125</v>
      </c>
      <c r="D1358" t="s">
        <v>740</v>
      </c>
      <c r="E1358" t="s">
        <v>125</v>
      </c>
      <c r="F1358">
        <v>0</v>
      </c>
      <c r="G1358" t="s">
        <v>125</v>
      </c>
      <c r="H1358" t="s">
        <v>125</v>
      </c>
      <c r="I1358" t="s">
        <v>125</v>
      </c>
      <c r="J1358" t="s">
        <v>125</v>
      </c>
      <c r="K1358" t="s">
        <v>125</v>
      </c>
      <c r="L1358" t="s">
        <v>125</v>
      </c>
      <c r="M1358" t="s">
        <v>2018</v>
      </c>
      <c r="N1358" t="b">
        <v>0</v>
      </c>
    </row>
    <row r="1359" spans="1:14">
      <c r="A1359">
        <v>91</v>
      </c>
      <c r="B1359">
        <v>17</v>
      </c>
      <c r="C1359" t="s">
        <v>125</v>
      </c>
      <c r="D1359" t="s">
        <v>740</v>
      </c>
      <c r="E1359" t="s">
        <v>125</v>
      </c>
      <c r="F1359">
        <v>0</v>
      </c>
      <c r="G1359" t="s">
        <v>125</v>
      </c>
      <c r="H1359" t="s">
        <v>125</v>
      </c>
      <c r="I1359" t="s">
        <v>125</v>
      </c>
      <c r="J1359" t="s">
        <v>125</v>
      </c>
      <c r="K1359" t="s">
        <v>125</v>
      </c>
      <c r="L1359" t="s">
        <v>125</v>
      </c>
      <c r="M1359" t="s">
        <v>2019</v>
      </c>
      <c r="N1359" t="b">
        <v>0</v>
      </c>
    </row>
    <row r="1360" spans="1:14">
      <c r="A1360">
        <v>91</v>
      </c>
      <c r="B1360">
        <v>18</v>
      </c>
      <c r="C1360" t="s">
        <v>125</v>
      </c>
      <c r="D1360" t="s">
        <v>740</v>
      </c>
      <c r="E1360" t="s">
        <v>125</v>
      </c>
      <c r="F1360">
        <v>0</v>
      </c>
      <c r="G1360" t="s">
        <v>125</v>
      </c>
      <c r="H1360" t="s">
        <v>125</v>
      </c>
      <c r="I1360" t="s">
        <v>125</v>
      </c>
      <c r="J1360" t="s">
        <v>125</v>
      </c>
      <c r="K1360" t="s">
        <v>125</v>
      </c>
      <c r="L1360" t="s">
        <v>125</v>
      </c>
      <c r="M1360" t="s">
        <v>2020</v>
      </c>
      <c r="N1360" t="b">
        <v>0</v>
      </c>
    </row>
    <row r="1361" spans="1:14">
      <c r="A1361">
        <v>91</v>
      </c>
      <c r="B1361">
        <v>19</v>
      </c>
      <c r="C1361" t="s">
        <v>125</v>
      </c>
      <c r="D1361" t="s">
        <v>740</v>
      </c>
      <c r="E1361" t="s">
        <v>125</v>
      </c>
      <c r="F1361">
        <v>0</v>
      </c>
      <c r="G1361" t="s">
        <v>125</v>
      </c>
      <c r="H1361" t="s">
        <v>125</v>
      </c>
      <c r="I1361" t="s">
        <v>125</v>
      </c>
      <c r="J1361" t="s">
        <v>125</v>
      </c>
      <c r="K1361" t="s">
        <v>125</v>
      </c>
      <c r="L1361" t="s">
        <v>125</v>
      </c>
      <c r="M1361" t="s">
        <v>2021</v>
      </c>
      <c r="N1361" t="b">
        <v>0</v>
      </c>
    </row>
    <row r="1362" spans="1:14">
      <c r="A1362">
        <v>91</v>
      </c>
      <c r="B1362">
        <v>20</v>
      </c>
      <c r="C1362" t="s">
        <v>125</v>
      </c>
      <c r="D1362" t="s">
        <v>740</v>
      </c>
      <c r="E1362" t="s">
        <v>125</v>
      </c>
      <c r="F1362">
        <v>0</v>
      </c>
      <c r="G1362" t="s">
        <v>125</v>
      </c>
      <c r="H1362" t="s">
        <v>125</v>
      </c>
      <c r="I1362" t="s">
        <v>125</v>
      </c>
      <c r="J1362" t="s">
        <v>125</v>
      </c>
      <c r="K1362" t="s">
        <v>125</v>
      </c>
      <c r="L1362" t="s">
        <v>125</v>
      </c>
      <c r="M1362" t="s">
        <v>2022</v>
      </c>
      <c r="N1362" t="b">
        <v>0</v>
      </c>
    </row>
    <row r="1363" spans="1:14">
      <c r="A1363">
        <v>91</v>
      </c>
      <c r="B1363">
        <v>21</v>
      </c>
      <c r="C1363" t="s">
        <v>125</v>
      </c>
      <c r="D1363" t="s">
        <v>740</v>
      </c>
      <c r="E1363" t="s">
        <v>125</v>
      </c>
      <c r="F1363">
        <v>0</v>
      </c>
      <c r="G1363" t="s">
        <v>125</v>
      </c>
      <c r="H1363" t="s">
        <v>125</v>
      </c>
      <c r="I1363" t="s">
        <v>125</v>
      </c>
      <c r="J1363" t="s">
        <v>125</v>
      </c>
      <c r="K1363" t="s">
        <v>125</v>
      </c>
      <c r="L1363" t="s">
        <v>125</v>
      </c>
      <c r="M1363" t="s">
        <v>2023</v>
      </c>
      <c r="N1363" t="b">
        <v>0</v>
      </c>
    </row>
    <row r="1364" spans="1:14">
      <c r="A1364">
        <v>91</v>
      </c>
      <c r="B1364">
        <v>22</v>
      </c>
      <c r="C1364" t="s">
        <v>125</v>
      </c>
      <c r="D1364" t="s">
        <v>740</v>
      </c>
      <c r="E1364" t="s">
        <v>125</v>
      </c>
      <c r="F1364">
        <v>0</v>
      </c>
      <c r="G1364" t="s">
        <v>125</v>
      </c>
      <c r="H1364" t="s">
        <v>125</v>
      </c>
      <c r="I1364" t="s">
        <v>125</v>
      </c>
      <c r="J1364" t="s">
        <v>125</v>
      </c>
      <c r="K1364" t="s">
        <v>125</v>
      </c>
      <c r="L1364" t="s">
        <v>125</v>
      </c>
      <c r="M1364" t="s">
        <v>2024</v>
      </c>
      <c r="N1364" t="b">
        <v>0</v>
      </c>
    </row>
    <row r="1365" spans="1:14">
      <c r="A1365">
        <v>91</v>
      </c>
      <c r="B1365">
        <v>23</v>
      </c>
      <c r="C1365" t="s">
        <v>125</v>
      </c>
      <c r="D1365" t="s">
        <v>740</v>
      </c>
      <c r="E1365" t="s">
        <v>125</v>
      </c>
      <c r="F1365">
        <v>0</v>
      </c>
      <c r="G1365" t="s">
        <v>125</v>
      </c>
      <c r="H1365" t="s">
        <v>125</v>
      </c>
      <c r="I1365" t="s">
        <v>125</v>
      </c>
      <c r="J1365" t="s">
        <v>125</v>
      </c>
      <c r="K1365" t="s">
        <v>125</v>
      </c>
      <c r="L1365" t="s">
        <v>125</v>
      </c>
      <c r="M1365" t="s">
        <v>2025</v>
      </c>
      <c r="N1365" t="b">
        <v>0</v>
      </c>
    </row>
    <row r="1366" spans="1:14">
      <c r="A1366">
        <v>91</v>
      </c>
      <c r="B1366">
        <v>24</v>
      </c>
      <c r="C1366" t="s">
        <v>125</v>
      </c>
      <c r="D1366" t="s">
        <v>740</v>
      </c>
      <c r="E1366" t="s">
        <v>125</v>
      </c>
      <c r="F1366">
        <v>0</v>
      </c>
      <c r="G1366" t="s">
        <v>125</v>
      </c>
      <c r="H1366" t="s">
        <v>125</v>
      </c>
      <c r="I1366" t="s">
        <v>125</v>
      </c>
      <c r="J1366" t="s">
        <v>125</v>
      </c>
      <c r="K1366" t="s">
        <v>125</v>
      </c>
      <c r="L1366" t="s">
        <v>125</v>
      </c>
      <c r="M1366" t="s">
        <v>2026</v>
      </c>
      <c r="N1366" t="b">
        <v>0</v>
      </c>
    </row>
    <row r="1367" spans="1:14">
      <c r="A1367">
        <v>91</v>
      </c>
      <c r="B1367">
        <v>25</v>
      </c>
      <c r="C1367" t="s">
        <v>125</v>
      </c>
      <c r="D1367" t="s">
        <v>740</v>
      </c>
      <c r="E1367" t="s">
        <v>125</v>
      </c>
      <c r="F1367">
        <v>0</v>
      </c>
      <c r="G1367" t="s">
        <v>125</v>
      </c>
      <c r="H1367" t="s">
        <v>125</v>
      </c>
      <c r="I1367" t="s">
        <v>125</v>
      </c>
      <c r="J1367" t="s">
        <v>125</v>
      </c>
      <c r="K1367" t="s">
        <v>125</v>
      </c>
      <c r="L1367" t="s">
        <v>125</v>
      </c>
      <c r="M1367" t="s">
        <v>2027</v>
      </c>
      <c r="N1367" t="b">
        <v>0</v>
      </c>
    </row>
    <row r="1368" spans="1:14">
      <c r="A1368">
        <v>91</v>
      </c>
      <c r="B1368">
        <v>26</v>
      </c>
      <c r="C1368" t="s">
        <v>125</v>
      </c>
      <c r="D1368" t="s">
        <v>740</v>
      </c>
      <c r="E1368" t="s">
        <v>125</v>
      </c>
      <c r="F1368">
        <v>0</v>
      </c>
      <c r="G1368" t="s">
        <v>125</v>
      </c>
      <c r="H1368" t="s">
        <v>125</v>
      </c>
      <c r="I1368" t="s">
        <v>125</v>
      </c>
      <c r="J1368" t="s">
        <v>125</v>
      </c>
      <c r="K1368" t="s">
        <v>125</v>
      </c>
      <c r="L1368" t="s">
        <v>125</v>
      </c>
      <c r="M1368" t="s">
        <v>2028</v>
      </c>
      <c r="N1368" t="b">
        <v>0</v>
      </c>
    </row>
    <row r="1369" spans="1:14">
      <c r="A1369">
        <v>93</v>
      </c>
      <c r="B1369">
        <v>0</v>
      </c>
      <c r="C1369" t="s">
        <v>157</v>
      </c>
      <c r="D1369" t="s">
        <v>723</v>
      </c>
      <c r="E1369" t="s">
        <v>82</v>
      </c>
      <c r="F1369">
        <v>40</v>
      </c>
      <c r="G1369" t="s">
        <v>125</v>
      </c>
      <c r="H1369" t="s">
        <v>125</v>
      </c>
      <c r="I1369" t="s">
        <v>82</v>
      </c>
      <c r="J1369" t="s">
        <v>125</v>
      </c>
      <c r="K1369" t="s">
        <v>125</v>
      </c>
      <c r="L1369" t="s">
        <v>125</v>
      </c>
      <c r="M1369" t="s">
        <v>2029</v>
      </c>
      <c r="N1369" t="b">
        <v>0</v>
      </c>
    </row>
    <row r="1370" spans="1:14">
      <c r="A1370">
        <v>93</v>
      </c>
      <c r="B1370">
        <v>1</v>
      </c>
      <c r="C1370" t="s">
        <v>209</v>
      </c>
      <c r="D1370" t="s">
        <v>723</v>
      </c>
      <c r="E1370" t="s">
        <v>86</v>
      </c>
      <c r="F1370">
        <v>40</v>
      </c>
      <c r="G1370" t="s">
        <v>125</v>
      </c>
      <c r="H1370" t="s">
        <v>125</v>
      </c>
      <c r="I1370" t="s">
        <v>86</v>
      </c>
      <c r="J1370" t="s">
        <v>125</v>
      </c>
      <c r="K1370" t="s">
        <v>125</v>
      </c>
      <c r="L1370" t="s">
        <v>125</v>
      </c>
      <c r="M1370" t="s">
        <v>2030</v>
      </c>
      <c r="N1370" t="b">
        <v>0</v>
      </c>
    </row>
    <row r="1371" spans="1:14">
      <c r="A1371">
        <v>93</v>
      </c>
      <c r="B1371">
        <v>2</v>
      </c>
      <c r="C1371" t="s">
        <v>186</v>
      </c>
      <c r="D1371" t="s">
        <v>723</v>
      </c>
      <c r="E1371" t="s">
        <v>92</v>
      </c>
      <c r="F1371">
        <v>50</v>
      </c>
      <c r="G1371" t="s">
        <v>125</v>
      </c>
      <c r="H1371" t="s">
        <v>125</v>
      </c>
      <c r="I1371" t="s">
        <v>92</v>
      </c>
      <c r="J1371" t="s">
        <v>125</v>
      </c>
      <c r="K1371" t="s">
        <v>125</v>
      </c>
      <c r="L1371" t="s">
        <v>125</v>
      </c>
      <c r="M1371" t="s">
        <v>2031</v>
      </c>
      <c r="N1371" t="b">
        <v>0</v>
      </c>
    </row>
    <row r="1372" spans="1:14">
      <c r="A1372">
        <v>93</v>
      </c>
      <c r="B1372">
        <v>3</v>
      </c>
      <c r="C1372" t="s">
        <v>443</v>
      </c>
      <c r="D1372" t="s">
        <v>723</v>
      </c>
      <c r="E1372" t="s">
        <v>296</v>
      </c>
      <c r="F1372">
        <v>40</v>
      </c>
      <c r="G1372" t="s">
        <v>125</v>
      </c>
      <c r="H1372" t="s">
        <v>1896</v>
      </c>
      <c r="I1372" t="s">
        <v>1897</v>
      </c>
      <c r="J1372" t="s">
        <v>125</v>
      </c>
      <c r="K1372" t="s">
        <v>761</v>
      </c>
      <c r="L1372" t="s">
        <v>762</v>
      </c>
      <c r="M1372" t="s">
        <v>2032</v>
      </c>
      <c r="N1372" t="b">
        <v>0</v>
      </c>
    </row>
    <row r="1373" spans="1:14">
      <c r="A1373">
        <v>93</v>
      </c>
      <c r="B1373">
        <v>4</v>
      </c>
      <c r="C1373" t="s">
        <v>190</v>
      </c>
      <c r="D1373" t="s">
        <v>723</v>
      </c>
      <c r="E1373" t="s">
        <v>114</v>
      </c>
      <c r="F1373">
        <v>60</v>
      </c>
      <c r="G1373" t="s">
        <v>125</v>
      </c>
      <c r="H1373" t="s">
        <v>125</v>
      </c>
      <c r="I1373" t="s">
        <v>114</v>
      </c>
      <c r="J1373" t="s">
        <v>125</v>
      </c>
      <c r="K1373" t="s">
        <v>125</v>
      </c>
      <c r="L1373" t="s">
        <v>125</v>
      </c>
      <c r="M1373" t="s">
        <v>2033</v>
      </c>
      <c r="N1373" t="b">
        <v>0</v>
      </c>
    </row>
    <row r="1374" spans="1:14">
      <c r="A1374">
        <v>93</v>
      </c>
      <c r="B1374">
        <v>5</v>
      </c>
      <c r="C1374" t="s">
        <v>211</v>
      </c>
      <c r="D1374" t="s">
        <v>723</v>
      </c>
      <c r="E1374" t="s">
        <v>108</v>
      </c>
      <c r="F1374">
        <v>40</v>
      </c>
      <c r="G1374" t="s">
        <v>125</v>
      </c>
      <c r="H1374" t="s">
        <v>125</v>
      </c>
      <c r="I1374" t="s">
        <v>108</v>
      </c>
      <c r="J1374" t="s">
        <v>125</v>
      </c>
      <c r="K1374" t="s">
        <v>125</v>
      </c>
      <c r="L1374" t="s">
        <v>125</v>
      </c>
      <c r="M1374" t="s">
        <v>2034</v>
      </c>
      <c r="N1374" t="b">
        <v>0</v>
      </c>
    </row>
    <row r="1375" spans="1:14">
      <c r="A1375">
        <v>93</v>
      </c>
      <c r="B1375">
        <v>6</v>
      </c>
      <c r="C1375" t="s">
        <v>181</v>
      </c>
      <c r="D1375" t="s">
        <v>723</v>
      </c>
      <c r="E1375" t="s">
        <v>60</v>
      </c>
      <c r="F1375">
        <v>40</v>
      </c>
      <c r="G1375" t="s">
        <v>125</v>
      </c>
      <c r="H1375" t="s">
        <v>125</v>
      </c>
      <c r="I1375" t="s">
        <v>60</v>
      </c>
      <c r="J1375" t="s">
        <v>125</v>
      </c>
      <c r="K1375" t="s">
        <v>125</v>
      </c>
      <c r="L1375" t="s">
        <v>125</v>
      </c>
      <c r="M1375" t="s">
        <v>2035</v>
      </c>
      <c r="N1375" t="b">
        <v>0</v>
      </c>
    </row>
    <row r="1376" spans="1:14">
      <c r="A1376">
        <v>93</v>
      </c>
      <c r="B1376">
        <v>7</v>
      </c>
      <c r="C1376" t="s">
        <v>458</v>
      </c>
      <c r="D1376" t="s">
        <v>723</v>
      </c>
      <c r="E1376" t="s">
        <v>90</v>
      </c>
      <c r="F1376">
        <v>30</v>
      </c>
      <c r="G1376" t="s">
        <v>125</v>
      </c>
      <c r="H1376" t="s">
        <v>125</v>
      </c>
      <c r="I1376" t="s">
        <v>90</v>
      </c>
      <c r="J1376" t="s">
        <v>125</v>
      </c>
      <c r="K1376" t="s">
        <v>125</v>
      </c>
      <c r="L1376" t="s">
        <v>125</v>
      </c>
      <c r="M1376" t="s">
        <v>2036</v>
      </c>
      <c r="N1376" t="b">
        <v>0</v>
      </c>
    </row>
    <row r="1377" spans="1:14">
      <c r="A1377">
        <v>93</v>
      </c>
      <c r="B1377">
        <v>8</v>
      </c>
      <c r="C1377" t="s">
        <v>459</v>
      </c>
      <c r="D1377" t="s">
        <v>723</v>
      </c>
      <c r="E1377" t="s">
        <v>544</v>
      </c>
      <c r="F1377">
        <v>50</v>
      </c>
      <c r="G1377" t="s">
        <v>125</v>
      </c>
      <c r="H1377" t="s">
        <v>579</v>
      </c>
      <c r="I1377" t="s">
        <v>372</v>
      </c>
      <c r="J1377" t="s">
        <v>125</v>
      </c>
      <c r="K1377" t="s">
        <v>800</v>
      </c>
      <c r="L1377" t="s">
        <v>801</v>
      </c>
      <c r="M1377" t="s">
        <v>2037</v>
      </c>
      <c r="N1377" t="b">
        <v>0</v>
      </c>
    </row>
    <row r="1378" spans="1:14">
      <c r="A1378">
        <v>93</v>
      </c>
      <c r="B1378">
        <v>9</v>
      </c>
      <c r="C1378" t="s">
        <v>446</v>
      </c>
      <c r="D1378" t="s">
        <v>723</v>
      </c>
      <c r="E1378" t="s">
        <v>544</v>
      </c>
      <c r="F1378">
        <v>50</v>
      </c>
      <c r="G1378" t="s">
        <v>125</v>
      </c>
      <c r="H1378" t="s">
        <v>554</v>
      </c>
      <c r="I1378" t="s">
        <v>331</v>
      </c>
      <c r="J1378" t="s">
        <v>125</v>
      </c>
      <c r="K1378" t="s">
        <v>824</v>
      </c>
      <c r="L1378" t="s">
        <v>825</v>
      </c>
      <c r="M1378" t="s">
        <v>2038</v>
      </c>
      <c r="N1378" t="b">
        <v>0</v>
      </c>
    </row>
    <row r="1379" spans="1:14">
      <c r="A1379">
        <v>93</v>
      </c>
      <c r="B1379">
        <v>10</v>
      </c>
      <c r="C1379" t="s">
        <v>125</v>
      </c>
      <c r="D1379" t="s">
        <v>723</v>
      </c>
      <c r="E1379" t="s">
        <v>125</v>
      </c>
      <c r="F1379">
        <v>0</v>
      </c>
      <c r="G1379" t="s">
        <v>125</v>
      </c>
      <c r="H1379" t="s">
        <v>125</v>
      </c>
      <c r="I1379" t="s">
        <v>125</v>
      </c>
      <c r="J1379" t="s">
        <v>125</v>
      </c>
      <c r="K1379" t="s">
        <v>125</v>
      </c>
      <c r="L1379" t="s">
        <v>125</v>
      </c>
      <c r="M1379" t="s">
        <v>2039</v>
      </c>
      <c r="N1379" t="b">
        <v>0</v>
      </c>
    </row>
    <row r="1380" spans="1:14">
      <c r="A1380">
        <v>93</v>
      </c>
      <c r="B1380">
        <v>11</v>
      </c>
      <c r="C1380" t="s">
        <v>125</v>
      </c>
      <c r="D1380" t="s">
        <v>723</v>
      </c>
      <c r="E1380" t="s">
        <v>125</v>
      </c>
      <c r="F1380">
        <v>0</v>
      </c>
      <c r="G1380" t="s">
        <v>125</v>
      </c>
      <c r="H1380" t="s">
        <v>125</v>
      </c>
      <c r="I1380" t="s">
        <v>125</v>
      </c>
      <c r="J1380" t="s">
        <v>125</v>
      </c>
      <c r="K1380" t="s">
        <v>125</v>
      </c>
      <c r="L1380" t="s">
        <v>125</v>
      </c>
      <c r="M1380" t="s">
        <v>2040</v>
      </c>
      <c r="N1380" t="b">
        <v>0</v>
      </c>
    </row>
    <row r="1381" spans="1:14">
      <c r="A1381">
        <v>93</v>
      </c>
      <c r="B1381">
        <v>12</v>
      </c>
      <c r="C1381" t="s">
        <v>125</v>
      </c>
      <c r="D1381" t="s">
        <v>723</v>
      </c>
      <c r="E1381" t="s">
        <v>125</v>
      </c>
      <c r="F1381">
        <v>0</v>
      </c>
      <c r="G1381" t="s">
        <v>125</v>
      </c>
      <c r="H1381" t="s">
        <v>125</v>
      </c>
      <c r="I1381" t="s">
        <v>125</v>
      </c>
      <c r="J1381" t="s">
        <v>125</v>
      </c>
      <c r="K1381" t="s">
        <v>125</v>
      </c>
      <c r="L1381" t="s">
        <v>125</v>
      </c>
      <c r="M1381" t="s">
        <v>2041</v>
      </c>
      <c r="N1381" t="b">
        <v>0</v>
      </c>
    </row>
    <row r="1382" spans="1:14">
      <c r="A1382">
        <v>93</v>
      </c>
      <c r="B1382">
        <v>13</v>
      </c>
      <c r="C1382" t="s">
        <v>125</v>
      </c>
      <c r="D1382" t="s">
        <v>723</v>
      </c>
      <c r="E1382" t="s">
        <v>125</v>
      </c>
      <c r="F1382">
        <v>0</v>
      </c>
      <c r="G1382" t="s">
        <v>125</v>
      </c>
      <c r="H1382" t="s">
        <v>125</v>
      </c>
      <c r="I1382" t="s">
        <v>125</v>
      </c>
      <c r="J1382" t="s">
        <v>125</v>
      </c>
      <c r="K1382" t="s">
        <v>125</v>
      </c>
      <c r="L1382" t="s">
        <v>125</v>
      </c>
      <c r="M1382" t="s">
        <v>2042</v>
      </c>
      <c r="N1382" t="b">
        <v>0</v>
      </c>
    </row>
    <row r="1383" spans="1:14">
      <c r="A1383">
        <v>93</v>
      </c>
      <c r="B1383">
        <v>14</v>
      </c>
      <c r="C1383" t="s">
        <v>125</v>
      </c>
      <c r="D1383" t="s">
        <v>723</v>
      </c>
      <c r="E1383" t="s">
        <v>125</v>
      </c>
      <c r="F1383">
        <v>0</v>
      </c>
      <c r="G1383" t="s">
        <v>125</v>
      </c>
      <c r="H1383" t="s">
        <v>125</v>
      </c>
      <c r="I1383" t="s">
        <v>125</v>
      </c>
      <c r="J1383" t="s">
        <v>125</v>
      </c>
      <c r="K1383" t="s">
        <v>125</v>
      </c>
      <c r="L1383" t="s">
        <v>125</v>
      </c>
      <c r="M1383" t="s">
        <v>2043</v>
      </c>
      <c r="N1383" t="b">
        <v>0</v>
      </c>
    </row>
    <row r="1384" spans="1:14">
      <c r="A1384">
        <v>93</v>
      </c>
      <c r="B1384">
        <v>15</v>
      </c>
      <c r="C1384" t="s">
        <v>125</v>
      </c>
      <c r="D1384" t="s">
        <v>723</v>
      </c>
      <c r="E1384" t="s">
        <v>125</v>
      </c>
      <c r="F1384">
        <v>0</v>
      </c>
      <c r="G1384" t="s">
        <v>125</v>
      </c>
      <c r="H1384" t="s">
        <v>125</v>
      </c>
      <c r="I1384" t="s">
        <v>125</v>
      </c>
      <c r="J1384" t="s">
        <v>125</v>
      </c>
      <c r="K1384" t="s">
        <v>125</v>
      </c>
      <c r="L1384" t="s">
        <v>125</v>
      </c>
      <c r="M1384" t="s">
        <v>2044</v>
      </c>
      <c r="N1384" t="b">
        <v>0</v>
      </c>
    </row>
    <row r="1385" spans="1:14">
      <c r="A1385">
        <v>93</v>
      </c>
      <c r="B1385">
        <v>16</v>
      </c>
      <c r="C1385" t="s">
        <v>125</v>
      </c>
      <c r="D1385" t="s">
        <v>740</v>
      </c>
      <c r="E1385" t="s">
        <v>125</v>
      </c>
      <c r="F1385">
        <v>0</v>
      </c>
      <c r="G1385" t="s">
        <v>125</v>
      </c>
      <c r="H1385" t="s">
        <v>125</v>
      </c>
      <c r="I1385" t="s">
        <v>125</v>
      </c>
      <c r="J1385" t="s">
        <v>125</v>
      </c>
      <c r="K1385" t="s">
        <v>125</v>
      </c>
      <c r="L1385" t="s">
        <v>125</v>
      </c>
      <c r="M1385" t="s">
        <v>2045</v>
      </c>
      <c r="N1385" t="b">
        <v>0</v>
      </c>
    </row>
    <row r="1386" spans="1:14">
      <c r="A1386">
        <v>93</v>
      </c>
      <c r="B1386">
        <v>17</v>
      </c>
      <c r="C1386" t="s">
        <v>125</v>
      </c>
      <c r="D1386" t="s">
        <v>740</v>
      </c>
      <c r="E1386" t="s">
        <v>125</v>
      </c>
      <c r="F1386">
        <v>0</v>
      </c>
      <c r="G1386" t="s">
        <v>125</v>
      </c>
      <c r="H1386" t="s">
        <v>125</v>
      </c>
      <c r="I1386" t="s">
        <v>125</v>
      </c>
      <c r="J1386" t="s">
        <v>125</v>
      </c>
      <c r="K1386" t="s">
        <v>125</v>
      </c>
      <c r="L1386" t="s">
        <v>125</v>
      </c>
      <c r="M1386" t="s">
        <v>2046</v>
      </c>
      <c r="N1386" t="b">
        <v>0</v>
      </c>
    </row>
    <row r="1387" spans="1:14">
      <c r="A1387">
        <v>93</v>
      </c>
      <c r="B1387">
        <v>18</v>
      </c>
      <c r="C1387" t="s">
        <v>125</v>
      </c>
      <c r="D1387" t="s">
        <v>740</v>
      </c>
      <c r="E1387" t="s">
        <v>125</v>
      </c>
      <c r="F1387">
        <v>0</v>
      </c>
      <c r="G1387" t="s">
        <v>125</v>
      </c>
      <c r="H1387" t="s">
        <v>125</v>
      </c>
      <c r="I1387" t="s">
        <v>125</v>
      </c>
      <c r="J1387" t="s">
        <v>125</v>
      </c>
      <c r="K1387" t="s">
        <v>125</v>
      </c>
      <c r="L1387" t="s">
        <v>125</v>
      </c>
      <c r="M1387" t="s">
        <v>2047</v>
      </c>
      <c r="N1387" t="b">
        <v>0</v>
      </c>
    </row>
    <row r="1388" spans="1:14">
      <c r="A1388">
        <v>93</v>
      </c>
      <c r="B1388">
        <v>19</v>
      </c>
      <c r="C1388" t="s">
        <v>125</v>
      </c>
      <c r="D1388" t="s">
        <v>740</v>
      </c>
      <c r="E1388" t="s">
        <v>125</v>
      </c>
      <c r="F1388">
        <v>0</v>
      </c>
      <c r="G1388" t="s">
        <v>125</v>
      </c>
      <c r="H1388" t="s">
        <v>125</v>
      </c>
      <c r="I1388" t="s">
        <v>125</v>
      </c>
      <c r="J1388" t="s">
        <v>125</v>
      </c>
      <c r="K1388" t="s">
        <v>125</v>
      </c>
      <c r="L1388" t="s">
        <v>125</v>
      </c>
      <c r="M1388" t="s">
        <v>2048</v>
      </c>
      <c r="N1388" t="b">
        <v>0</v>
      </c>
    </row>
    <row r="1389" spans="1:14">
      <c r="A1389">
        <v>93</v>
      </c>
      <c r="B1389">
        <v>20</v>
      </c>
      <c r="C1389" t="s">
        <v>125</v>
      </c>
      <c r="D1389" t="s">
        <v>740</v>
      </c>
      <c r="E1389" t="s">
        <v>125</v>
      </c>
      <c r="F1389">
        <v>0</v>
      </c>
      <c r="G1389" t="s">
        <v>125</v>
      </c>
      <c r="H1389" t="s">
        <v>125</v>
      </c>
      <c r="I1389" t="s">
        <v>125</v>
      </c>
      <c r="J1389" t="s">
        <v>125</v>
      </c>
      <c r="K1389" t="s">
        <v>125</v>
      </c>
      <c r="L1389" t="s">
        <v>125</v>
      </c>
      <c r="M1389" t="s">
        <v>2049</v>
      </c>
      <c r="N1389" t="b">
        <v>0</v>
      </c>
    </row>
    <row r="1390" spans="1:14">
      <c r="A1390">
        <v>93</v>
      </c>
      <c r="B1390">
        <v>21</v>
      </c>
      <c r="C1390" t="s">
        <v>125</v>
      </c>
      <c r="D1390" t="s">
        <v>740</v>
      </c>
      <c r="E1390" t="s">
        <v>125</v>
      </c>
      <c r="F1390">
        <v>0</v>
      </c>
      <c r="G1390" t="s">
        <v>125</v>
      </c>
      <c r="H1390" t="s">
        <v>125</v>
      </c>
      <c r="I1390" t="s">
        <v>125</v>
      </c>
      <c r="J1390" t="s">
        <v>125</v>
      </c>
      <c r="K1390" t="s">
        <v>125</v>
      </c>
      <c r="L1390" t="s">
        <v>125</v>
      </c>
      <c r="M1390" t="s">
        <v>2050</v>
      </c>
      <c r="N1390" t="b">
        <v>0</v>
      </c>
    </row>
    <row r="1391" spans="1:14">
      <c r="A1391">
        <v>93</v>
      </c>
      <c r="B1391">
        <v>22</v>
      </c>
      <c r="C1391" t="s">
        <v>125</v>
      </c>
      <c r="D1391" t="s">
        <v>740</v>
      </c>
      <c r="E1391" t="s">
        <v>125</v>
      </c>
      <c r="F1391">
        <v>0</v>
      </c>
      <c r="G1391" t="s">
        <v>125</v>
      </c>
      <c r="H1391" t="s">
        <v>125</v>
      </c>
      <c r="I1391" t="s">
        <v>125</v>
      </c>
      <c r="J1391" t="s">
        <v>125</v>
      </c>
      <c r="K1391" t="s">
        <v>125</v>
      </c>
      <c r="L1391" t="s">
        <v>125</v>
      </c>
      <c r="M1391" t="s">
        <v>2051</v>
      </c>
      <c r="N1391" t="b">
        <v>0</v>
      </c>
    </row>
    <row r="1392" spans="1:14">
      <c r="A1392">
        <v>93</v>
      </c>
      <c r="B1392">
        <v>23</v>
      </c>
      <c r="C1392" t="s">
        <v>125</v>
      </c>
      <c r="D1392" t="s">
        <v>740</v>
      </c>
      <c r="E1392" t="s">
        <v>125</v>
      </c>
      <c r="F1392">
        <v>0</v>
      </c>
      <c r="G1392" t="s">
        <v>125</v>
      </c>
      <c r="H1392" t="s">
        <v>125</v>
      </c>
      <c r="I1392" t="s">
        <v>125</v>
      </c>
      <c r="J1392" t="s">
        <v>125</v>
      </c>
      <c r="K1392" t="s">
        <v>125</v>
      </c>
      <c r="L1392" t="s">
        <v>125</v>
      </c>
      <c r="M1392" t="s">
        <v>2052</v>
      </c>
      <c r="N1392" t="b">
        <v>0</v>
      </c>
    </row>
    <row r="1393" spans="1:14">
      <c r="A1393">
        <v>93</v>
      </c>
      <c r="B1393">
        <v>24</v>
      </c>
      <c r="C1393" t="s">
        <v>125</v>
      </c>
      <c r="D1393" t="s">
        <v>740</v>
      </c>
      <c r="E1393" t="s">
        <v>125</v>
      </c>
      <c r="F1393">
        <v>0</v>
      </c>
      <c r="G1393" t="s">
        <v>125</v>
      </c>
      <c r="H1393" t="s">
        <v>125</v>
      </c>
      <c r="I1393" t="s">
        <v>125</v>
      </c>
      <c r="J1393" t="s">
        <v>125</v>
      </c>
      <c r="K1393" t="s">
        <v>125</v>
      </c>
      <c r="L1393" t="s">
        <v>125</v>
      </c>
      <c r="M1393" t="s">
        <v>2053</v>
      </c>
      <c r="N1393" t="b">
        <v>0</v>
      </c>
    </row>
    <row r="1394" spans="1:14">
      <c r="A1394">
        <v>93</v>
      </c>
      <c r="B1394">
        <v>25</v>
      </c>
      <c r="C1394" t="s">
        <v>125</v>
      </c>
      <c r="D1394" t="s">
        <v>740</v>
      </c>
      <c r="E1394" t="s">
        <v>125</v>
      </c>
      <c r="F1394">
        <v>0</v>
      </c>
      <c r="G1394" t="s">
        <v>125</v>
      </c>
      <c r="H1394" t="s">
        <v>125</v>
      </c>
      <c r="I1394" t="s">
        <v>125</v>
      </c>
      <c r="J1394" t="s">
        <v>125</v>
      </c>
      <c r="K1394" t="s">
        <v>125</v>
      </c>
      <c r="L1394" t="s">
        <v>125</v>
      </c>
      <c r="M1394" t="s">
        <v>2054</v>
      </c>
      <c r="N1394" t="b">
        <v>0</v>
      </c>
    </row>
    <row r="1395" spans="1:14">
      <c r="A1395">
        <v>93</v>
      </c>
      <c r="B1395">
        <v>26</v>
      </c>
      <c r="C1395" t="s">
        <v>125</v>
      </c>
      <c r="D1395" t="s">
        <v>740</v>
      </c>
      <c r="E1395" t="s">
        <v>125</v>
      </c>
      <c r="F1395">
        <v>0</v>
      </c>
      <c r="G1395" t="s">
        <v>125</v>
      </c>
      <c r="H1395" t="s">
        <v>125</v>
      </c>
      <c r="I1395" t="s">
        <v>125</v>
      </c>
      <c r="J1395" t="s">
        <v>125</v>
      </c>
      <c r="K1395" t="s">
        <v>125</v>
      </c>
      <c r="L1395" t="s">
        <v>125</v>
      </c>
      <c r="M1395" t="s">
        <v>2055</v>
      </c>
      <c r="N1395" t="b">
        <v>0</v>
      </c>
    </row>
    <row r="1396" spans="1:14">
      <c r="A1396">
        <v>94</v>
      </c>
      <c r="B1396">
        <v>0</v>
      </c>
      <c r="C1396" t="s">
        <v>215</v>
      </c>
      <c r="D1396" t="s">
        <v>723</v>
      </c>
      <c r="E1396" t="s">
        <v>64</v>
      </c>
      <c r="F1396">
        <v>60</v>
      </c>
      <c r="G1396" t="s">
        <v>125</v>
      </c>
      <c r="H1396" t="s">
        <v>125</v>
      </c>
      <c r="I1396" t="s">
        <v>64</v>
      </c>
      <c r="J1396" t="s">
        <v>125</v>
      </c>
      <c r="K1396" t="s">
        <v>125</v>
      </c>
      <c r="L1396" t="s">
        <v>125</v>
      </c>
      <c r="M1396" t="s">
        <v>2056</v>
      </c>
      <c r="N1396" t="b">
        <v>0</v>
      </c>
    </row>
    <row r="1397" spans="1:14">
      <c r="A1397">
        <v>94</v>
      </c>
      <c r="B1397">
        <v>1</v>
      </c>
      <c r="C1397" t="s">
        <v>216</v>
      </c>
      <c r="D1397" t="s">
        <v>723</v>
      </c>
      <c r="E1397" t="s">
        <v>76</v>
      </c>
      <c r="F1397">
        <v>60</v>
      </c>
      <c r="G1397" t="s">
        <v>125</v>
      </c>
      <c r="H1397" t="s">
        <v>125</v>
      </c>
      <c r="I1397" t="s">
        <v>76</v>
      </c>
      <c r="J1397" t="s">
        <v>125</v>
      </c>
      <c r="K1397" t="s">
        <v>125</v>
      </c>
      <c r="L1397" t="s">
        <v>125</v>
      </c>
      <c r="M1397" t="s">
        <v>2057</v>
      </c>
      <c r="N1397" t="b">
        <v>0</v>
      </c>
    </row>
    <row r="1398" spans="1:14">
      <c r="A1398">
        <v>94</v>
      </c>
      <c r="B1398">
        <v>2</v>
      </c>
      <c r="C1398" t="s">
        <v>289</v>
      </c>
      <c r="D1398" t="s">
        <v>723</v>
      </c>
      <c r="E1398" t="s">
        <v>74</v>
      </c>
      <c r="F1398">
        <v>40</v>
      </c>
      <c r="G1398" t="s">
        <v>125</v>
      </c>
      <c r="H1398" t="s">
        <v>125</v>
      </c>
      <c r="I1398" t="s">
        <v>74</v>
      </c>
      <c r="J1398" t="s">
        <v>125</v>
      </c>
      <c r="K1398" t="s">
        <v>125</v>
      </c>
      <c r="L1398" t="s">
        <v>125</v>
      </c>
      <c r="M1398" t="s">
        <v>2058</v>
      </c>
      <c r="N1398" t="b">
        <v>0</v>
      </c>
    </row>
    <row r="1399" spans="1:14">
      <c r="A1399">
        <v>94</v>
      </c>
      <c r="B1399">
        <v>3</v>
      </c>
      <c r="C1399" t="s">
        <v>380</v>
      </c>
      <c r="D1399" t="s">
        <v>723</v>
      </c>
      <c r="E1399" t="s">
        <v>94</v>
      </c>
      <c r="F1399">
        <v>60</v>
      </c>
      <c r="G1399" t="s">
        <v>125</v>
      </c>
      <c r="H1399" t="s">
        <v>125</v>
      </c>
      <c r="I1399" t="s">
        <v>94</v>
      </c>
      <c r="J1399" t="s">
        <v>125</v>
      </c>
      <c r="K1399" t="s">
        <v>125</v>
      </c>
      <c r="L1399" t="s">
        <v>125</v>
      </c>
      <c r="M1399" t="s">
        <v>2059</v>
      </c>
      <c r="N1399" t="b">
        <v>0</v>
      </c>
    </row>
    <row r="1400" spans="1:14">
      <c r="A1400">
        <v>94</v>
      </c>
      <c r="B1400">
        <v>4</v>
      </c>
      <c r="C1400" t="s">
        <v>455</v>
      </c>
      <c r="D1400" t="s">
        <v>723</v>
      </c>
      <c r="E1400" t="s">
        <v>96</v>
      </c>
      <c r="F1400">
        <v>60</v>
      </c>
      <c r="G1400" t="s">
        <v>125</v>
      </c>
      <c r="H1400" t="s">
        <v>125</v>
      </c>
      <c r="I1400" t="s">
        <v>96</v>
      </c>
      <c r="J1400" t="s">
        <v>125</v>
      </c>
      <c r="K1400" t="s">
        <v>125</v>
      </c>
      <c r="L1400" t="s">
        <v>125</v>
      </c>
      <c r="M1400" t="s">
        <v>2060</v>
      </c>
      <c r="N1400" t="b">
        <v>0</v>
      </c>
    </row>
    <row r="1401" spans="1:14">
      <c r="A1401">
        <v>94</v>
      </c>
      <c r="B1401">
        <v>5</v>
      </c>
      <c r="C1401" t="s">
        <v>188</v>
      </c>
      <c r="D1401" t="s">
        <v>723</v>
      </c>
      <c r="E1401" t="s">
        <v>100</v>
      </c>
      <c r="F1401">
        <v>50</v>
      </c>
      <c r="G1401" t="s">
        <v>125</v>
      </c>
      <c r="H1401" t="s">
        <v>125</v>
      </c>
      <c r="I1401" t="s">
        <v>100</v>
      </c>
      <c r="J1401" t="s">
        <v>125</v>
      </c>
      <c r="K1401" t="s">
        <v>125</v>
      </c>
      <c r="L1401" t="s">
        <v>125</v>
      </c>
      <c r="M1401" t="s">
        <v>2061</v>
      </c>
      <c r="N1401" t="b">
        <v>0</v>
      </c>
    </row>
    <row r="1402" spans="1:14">
      <c r="A1402">
        <v>94</v>
      </c>
      <c r="B1402">
        <v>6</v>
      </c>
      <c r="C1402" t="s">
        <v>286</v>
      </c>
      <c r="D1402" t="s">
        <v>723</v>
      </c>
      <c r="E1402" t="s">
        <v>102</v>
      </c>
      <c r="F1402">
        <v>40</v>
      </c>
      <c r="G1402" t="s">
        <v>125</v>
      </c>
      <c r="H1402" t="s">
        <v>125</v>
      </c>
      <c r="I1402" t="s">
        <v>102</v>
      </c>
      <c r="J1402" t="s">
        <v>125</v>
      </c>
      <c r="K1402" t="s">
        <v>125</v>
      </c>
      <c r="L1402" t="s">
        <v>125</v>
      </c>
      <c r="M1402" t="s">
        <v>2062</v>
      </c>
      <c r="N1402" t="b">
        <v>0</v>
      </c>
    </row>
    <row r="1403" spans="1:14">
      <c r="A1403">
        <v>94</v>
      </c>
      <c r="B1403">
        <v>7</v>
      </c>
      <c r="C1403" t="s">
        <v>276</v>
      </c>
      <c r="D1403" t="s">
        <v>723</v>
      </c>
      <c r="E1403" t="s">
        <v>111</v>
      </c>
      <c r="F1403">
        <v>60</v>
      </c>
      <c r="G1403" t="s">
        <v>125</v>
      </c>
      <c r="H1403" t="s">
        <v>125</v>
      </c>
      <c r="I1403" t="s">
        <v>111</v>
      </c>
      <c r="J1403" t="s">
        <v>125</v>
      </c>
      <c r="K1403" t="s">
        <v>125</v>
      </c>
      <c r="L1403" t="s">
        <v>125</v>
      </c>
      <c r="M1403" t="s">
        <v>2063</v>
      </c>
      <c r="N1403" t="b">
        <v>0</v>
      </c>
    </row>
    <row r="1404" spans="1:14">
      <c r="A1404">
        <v>94</v>
      </c>
      <c r="B1404">
        <v>8</v>
      </c>
      <c r="C1404" t="s">
        <v>197</v>
      </c>
      <c r="D1404" t="s">
        <v>723</v>
      </c>
      <c r="E1404" t="s">
        <v>112</v>
      </c>
      <c r="F1404">
        <v>50</v>
      </c>
      <c r="G1404" t="s">
        <v>125</v>
      </c>
      <c r="H1404" t="s">
        <v>125</v>
      </c>
      <c r="I1404" t="s">
        <v>112</v>
      </c>
      <c r="J1404" t="s">
        <v>125</v>
      </c>
      <c r="K1404" t="s">
        <v>125</v>
      </c>
      <c r="L1404" t="s">
        <v>125</v>
      </c>
      <c r="M1404" t="s">
        <v>2064</v>
      </c>
      <c r="N1404" t="b">
        <v>0</v>
      </c>
    </row>
    <row r="1405" spans="1:14">
      <c r="A1405">
        <v>94</v>
      </c>
      <c r="B1405">
        <v>9</v>
      </c>
      <c r="C1405" t="s">
        <v>353</v>
      </c>
      <c r="D1405" t="s">
        <v>723</v>
      </c>
      <c r="E1405" t="s">
        <v>330</v>
      </c>
      <c r="F1405">
        <v>20</v>
      </c>
      <c r="G1405" t="s">
        <v>125</v>
      </c>
      <c r="H1405" t="s">
        <v>547</v>
      </c>
      <c r="I1405" t="s">
        <v>444</v>
      </c>
      <c r="J1405" t="s">
        <v>125</v>
      </c>
      <c r="K1405" t="s">
        <v>920</v>
      </c>
      <c r="L1405" t="s">
        <v>921</v>
      </c>
      <c r="M1405" t="s">
        <v>2065</v>
      </c>
      <c r="N1405" t="b">
        <v>0</v>
      </c>
    </row>
    <row r="1406" spans="1:14">
      <c r="A1406">
        <v>94</v>
      </c>
      <c r="B1406">
        <v>10</v>
      </c>
      <c r="C1406" t="s">
        <v>221</v>
      </c>
      <c r="D1406" t="s">
        <v>723</v>
      </c>
      <c r="E1406" t="s">
        <v>101</v>
      </c>
      <c r="F1406">
        <v>50</v>
      </c>
      <c r="G1406" t="s">
        <v>125</v>
      </c>
      <c r="H1406" t="s">
        <v>125</v>
      </c>
      <c r="I1406" t="s">
        <v>101</v>
      </c>
      <c r="J1406" t="s">
        <v>125</v>
      </c>
      <c r="K1406" t="s">
        <v>125</v>
      </c>
      <c r="L1406" t="s">
        <v>125</v>
      </c>
      <c r="M1406" t="s">
        <v>2066</v>
      </c>
      <c r="N1406" t="b">
        <v>0</v>
      </c>
    </row>
    <row r="1407" spans="1:14">
      <c r="A1407">
        <v>94</v>
      </c>
      <c r="B1407">
        <v>11</v>
      </c>
      <c r="C1407" t="s">
        <v>169</v>
      </c>
      <c r="D1407" t="s">
        <v>723</v>
      </c>
      <c r="E1407" t="s">
        <v>105</v>
      </c>
      <c r="F1407">
        <v>50</v>
      </c>
      <c r="G1407" t="s">
        <v>125</v>
      </c>
      <c r="H1407" t="s">
        <v>125</v>
      </c>
      <c r="I1407" t="s">
        <v>105</v>
      </c>
      <c r="J1407" t="s">
        <v>125</v>
      </c>
      <c r="K1407" t="s">
        <v>125</v>
      </c>
      <c r="L1407" t="s">
        <v>125</v>
      </c>
      <c r="M1407" t="s">
        <v>2067</v>
      </c>
      <c r="N1407" t="b">
        <v>0</v>
      </c>
    </row>
    <row r="1408" spans="1:14">
      <c r="A1408">
        <v>94</v>
      </c>
      <c r="B1408">
        <v>12</v>
      </c>
      <c r="C1408" t="s">
        <v>222</v>
      </c>
      <c r="D1408" t="s">
        <v>723</v>
      </c>
      <c r="E1408" t="s">
        <v>106</v>
      </c>
      <c r="F1408">
        <v>50</v>
      </c>
      <c r="G1408" t="s">
        <v>125</v>
      </c>
      <c r="H1408" t="s">
        <v>125</v>
      </c>
      <c r="I1408" t="s">
        <v>106</v>
      </c>
      <c r="J1408" t="s">
        <v>125</v>
      </c>
      <c r="K1408" t="s">
        <v>125</v>
      </c>
      <c r="L1408" t="s">
        <v>125</v>
      </c>
      <c r="M1408" t="s">
        <v>2068</v>
      </c>
      <c r="N1408" t="b">
        <v>0</v>
      </c>
    </row>
    <row r="1409" spans="1:14">
      <c r="A1409">
        <v>94</v>
      </c>
      <c r="B1409">
        <v>13</v>
      </c>
      <c r="C1409" t="s">
        <v>231</v>
      </c>
      <c r="D1409" t="s">
        <v>723</v>
      </c>
      <c r="E1409" t="s">
        <v>107</v>
      </c>
      <c r="F1409">
        <v>50</v>
      </c>
      <c r="G1409" t="s">
        <v>125</v>
      </c>
      <c r="H1409" t="s">
        <v>125</v>
      </c>
      <c r="I1409" t="s">
        <v>107</v>
      </c>
      <c r="J1409" t="s">
        <v>125</v>
      </c>
      <c r="K1409" t="s">
        <v>125</v>
      </c>
      <c r="L1409" t="s">
        <v>125</v>
      </c>
      <c r="M1409" t="s">
        <v>2069</v>
      </c>
      <c r="N1409" t="b">
        <v>0</v>
      </c>
    </row>
    <row r="1410" spans="1:14">
      <c r="A1410">
        <v>94</v>
      </c>
      <c r="B1410">
        <v>14</v>
      </c>
      <c r="C1410" t="s">
        <v>125</v>
      </c>
      <c r="D1410" t="s">
        <v>723</v>
      </c>
      <c r="E1410" t="s">
        <v>125</v>
      </c>
      <c r="F1410">
        <v>0</v>
      </c>
      <c r="G1410" t="s">
        <v>125</v>
      </c>
      <c r="H1410" t="s">
        <v>125</v>
      </c>
      <c r="I1410" t="s">
        <v>125</v>
      </c>
      <c r="J1410" t="s">
        <v>125</v>
      </c>
      <c r="K1410" t="s">
        <v>125</v>
      </c>
      <c r="L1410" t="s">
        <v>125</v>
      </c>
      <c r="M1410" t="s">
        <v>2070</v>
      </c>
      <c r="N1410" t="b">
        <v>0</v>
      </c>
    </row>
    <row r="1411" spans="1:14">
      <c r="A1411">
        <v>94</v>
      </c>
      <c r="B1411">
        <v>15</v>
      </c>
      <c r="C1411" t="s">
        <v>125</v>
      </c>
      <c r="D1411" t="s">
        <v>723</v>
      </c>
      <c r="E1411" t="s">
        <v>125</v>
      </c>
      <c r="F1411">
        <v>0</v>
      </c>
      <c r="G1411" t="s">
        <v>125</v>
      </c>
      <c r="H1411" t="s">
        <v>125</v>
      </c>
      <c r="I1411" t="s">
        <v>125</v>
      </c>
      <c r="J1411" t="s">
        <v>125</v>
      </c>
      <c r="K1411" t="s">
        <v>125</v>
      </c>
      <c r="L1411" t="s">
        <v>125</v>
      </c>
      <c r="M1411" t="s">
        <v>2071</v>
      </c>
      <c r="N1411" t="b">
        <v>0</v>
      </c>
    </row>
    <row r="1412" spans="1:14">
      <c r="A1412">
        <v>94</v>
      </c>
      <c r="B1412">
        <v>16</v>
      </c>
      <c r="C1412" t="s">
        <v>125</v>
      </c>
      <c r="D1412" t="s">
        <v>740</v>
      </c>
      <c r="E1412" t="s">
        <v>125</v>
      </c>
      <c r="F1412">
        <v>0</v>
      </c>
      <c r="G1412" t="s">
        <v>125</v>
      </c>
      <c r="H1412" t="s">
        <v>125</v>
      </c>
      <c r="I1412" t="s">
        <v>125</v>
      </c>
      <c r="J1412" t="s">
        <v>125</v>
      </c>
      <c r="K1412" t="s">
        <v>125</v>
      </c>
      <c r="L1412" t="s">
        <v>125</v>
      </c>
      <c r="M1412" t="s">
        <v>2072</v>
      </c>
      <c r="N1412" t="b">
        <v>0</v>
      </c>
    </row>
    <row r="1413" spans="1:14">
      <c r="A1413">
        <v>94</v>
      </c>
      <c r="B1413">
        <v>17</v>
      </c>
      <c r="C1413" t="s">
        <v>125</v>
      </c>
      <c r="D1413" t="s">
        <v>740</v>
      </c>
      <c r="E1413" t="s">
        <v>125</v>
      </c>
      <c r="F1413">
        <v>0</v>
      </c>
      <c r="G1413" t="s">
        <v>125</v>
      </c>
      <c r="H1413" t="s">
        <v>125</v>
      </c>
      <c r="I1413" t="s">
        <v>125</v>
      </c>
      <c r="J1413" t="s">
        <v>125</v>
      </c>
      <c r="K1413" t="s">
        <v>125</v>
      </c>
      <c r="L1413" t="s">
        <v>125</v>
      </c>
      <c r="M1413" t="s">
        <v>2073</v>
      </c>
      <c r="N1413" t="b">
        <v>0</v>
      </c>
    </row>
    <row r="1414" spans="1:14">
      <c r="A1414">
        <v>94</v>
      </c>
      <c r="B1414">
        <v>18</v>
      </c>
      <c r="C1414" t="s">
        <v>125</v>
      </c>
      <c r="D1414" t="s">
        <v>740</v>
      </c>
      <c r="E1414" t="s">
        <v>125</v>
      </c>
      <c r="F1414">
        <v>0</v>
      </c>
      <c r="G1414" t="s">
        <v>125</v>
      </c>
      <c r="H1414" t="s">
        <v>125</v>
      </c>
      <c r="I1414" t="s">
        <v>125</v>
      </c>
      <c r="J1414" t="s">
        <v>125</v>
      </c>
      <c r="K1414" t="s">
        <v>125</v>
      </c>
      <c r="L1414" t="s">
        <v>125</v>
      </c>
      <c r="M1414" t="s">
        <v>2074</v>
      </c>
      <c r="N1414" t="b">
        <v>0</v>
      </c>
    </row>
    <row r="1415" spans="1:14">
      <c r="A1415">
        <v>94</v>
      </c>
      <c r="B1415">
        <v>19</v>
      </c>
      <c r="C1415" t="s">
        <v>125</v>
      </c>
      <c r="D1415" t="s">
        <v>740</v>
      </c>
      <c r="E1415" t="s">
        <v>125</v>
      </c>
      <c r="F1415">
        <v>0</v>
      </c>
      <c r="G1415" t="s">
        <v>125</v>
      </c>
      <c r="H1415" t="s">
        <v>125</v>
      </c>
      <c r="I1415" t="s">
        <v>125</v>
      </c>
      <c r="J1415" t="s">
        <v>125</v>
      </c>
      <c r="K1415" t="s">
        <v>125</v>
      </c>
      <c r="L1415" t="s">
        <v>125</v>
      </c>
      <c r="M1415" t="s">
        <v>2075</v>
      </c>
      <c r="N1415" t="b">
        <v>0</v>
      </c>
    </row>
    <row r="1416" spans="1:14">
      <c r="A1416">
        <v>94</v>
      </c>
      <c r="B1416">
        <v>20</v>
      </c>
      <c r="C1416" t="s">
        <v>125</v>
      </c>
      <c r="D1416" t="s">
        <v>740</v>
      </c>
      <c r="E1416" t="s">
        <v>125</v>
      </c>
      <c r="F1416">
        <v>0</v>
      </c>
      <c r="G1416" t="s">
        <v>125</v>
      </c>
      <c r="H1416" t="s">
        <v>125</v>
      </c>
      <c r="I1416" t="s">
        <v>125</v>
      </c>
      <c r="J1416" t="s">
        <v>125</v>
      </c>
      <c r="K1416" t="s">
        <v>125</v>
      </c>
      <c r="L1416" t="s">
        <v>125</v>
      </c>
      <c r="M1416" t="s">
        <v>2076</v>
      </c>
      <c r="N1416" t="b">
        <v>0</v>
      </c>
    </row>
    <row r="1417" spans="1:14">
      <c r="A1417">
        <v>94</v>
      </c>
      <c r="B1417">
        <v>21</v>
      </c>
      <c r="C1417" t="s">
        <v>125</v>
      </c>
      <c r="D1417" t="s">
        <v>740</v>
      </c>
      <c r="E1417" t="s">
        <v>125</v>
      </c>
      <c r="F1417">
        <v>0</v>
      </c>
      <c r="G1417" t="s">
        <v>125</v>
      </c>
      <c r="H1417" t="s">
        <v>125</v>
      </c>
      <c r="I1417" t="s">
        <v>125</v>
      </c>
      <c r="J1417" t="s">
        <v>125</v>
      </c>
      <c r="K1417" t="s">
        <v>125</v>
      </c>
      <c r="L1417" t="s">
        <v>125</v>
      </c>
      <c r="M1417" t="s">
        <v>2077</v>
      </c>
      <c r="N1417" t="b">
        <v>0</v>
      </c>
    </row>
    <row r="1418" spans="1:14">
      <c r="A1418">
        <v>94</v>
      </c>
      <c r="B1418">
        <v>22</v>
      </c>
      <c r="C1418" t="s">
        <v>125</v>
      </c>
      <c r="D1418" t="s">
        <v>740</v>
      </c>
      <c r="E1418" t="s">
        <v>125</v>
      </c>
      <c r="F1418">
        <v>0</v>
      </c>
      <c r="G1418" t="s">
        <v>125</v>
      </c>
      <c r="H1418" t="s">
        <v>125</v>
      </c>
      <c r="I1418" t="s">
        <v>125</v>
      </c>
      <c r="J1418" t="s">
        <v>125</v>
      </c>
      <c r="K1418" t="s">
        <v>125</v>
      </c>
      <c r="L1418" t="s">
        <v>125</v>
      </c>
      <c r="M1418" t="s">
        <v>2078</v>
      </c>
      <c r="N1418" t="b">
        <v>0</v>
      </c>
    </row>
    <row r="1419" spans="1:14">
      <c r="A1419">
        <v>94</v>
      </c>
      <c r="B1419">
        <v>23</v>
      </c>
      <c r="C1419" t="s">
        <v>125</v>
      </c>
      <c r="D1419" t="s">
        <v>740</v>
      </c>
      <c r="E1419" t="s">
        <v>125</v>
      </c>
      <c r="F1419">
        <v>0</v>
      </c>
      <c r="G1419" t="s">
        <v>125</v>
      </c>
      <c r="H1419" t="s">
        <v>125</v>
      </c>
      <c r="I1419" t="s">
        <v>125</v>
      </c>
      <c r="J1419" t="s">
        <v>125</v>
      </c>
      <c r="K1419" t="s">
        <v>125</v>
      </c>
      <c r="L1419" t="s">
        <v>125</v>
      </c>
      <c r="M1419" t="s">
        <v>2079</v>
      </c>
      <c r="N1419" t="b">
        <v>0</v>
      </c>
    </row>
    <row r="1420" spans="1:14">
      <c r="A1420">
        <v>94</v>
      </c>
      <c r="B1420">
        <v>24</v>
      </c>
      <c r="C1420" t="s">
        <v>125</v>
      </c>
      <c r="D1420" t="s">
        <v>740</v>
      </c>
      <c r="E1420" t="s">
        <v>125</v>
      </c>
      <c r="F1420">
        <v>0</v>
      </c>
      <c r="G1420" t="s">
        <v>125</v>
      </c>
      <c r="H1420" t="s">
        <v>125</v>
      </c>
      <c r="I1420" t="s">
        <v>125</v>
      </c>
      <c r="J1420" t="s">
        <v>125</v>
      </c>
      <c r="K1420" t="s">
        <v>125</v>
      </c>
      <c r="L1420" t="s">
        <v>125</v>
      </c>
      <c r="M1420" t="s">
        <v>2080</v>
      </c>
      <c r="N1420" t="b">
        <v>0</v>
      </c>
    </row>
    <row r="1421" spans="1:14">
      <c r="A1421">
        <v>94</v>
      </c>
      <c r="B1421">
        <v>25</v>
      </c>
      <c r="C1421" t="s">
        <v>125</v>
      </c>
      <c r="D1421" t="s">
        <v>740</v>
      </c>
      <c r="E1421" t="s">
        <v>125</v>
      </c>
      <c r="F1421">
        <v>0</v>
      </c>
      <c r="G1421" t="s">
        <v>125</v>
      </c>
      <c r="H1421" t="s">
        <v>125</v>
      </c>
      <c r="I1421" t="s">
        <v>125</v>
      </c>
      <c r="J1421" t="s">
        <v>125</v>
      </c>
      <c r="K1421" t="s">
        <v>125</v>
      </c>
      <c r="L1421" t="s">
        <v>125</v>
      </c>
      <c r="M1421" t="s">
        <v>2081</v>
      </c>
      <c r="N1421" t="b">
        <v>0</v>
      </c>
    </row>
    <row r="1422" spans="1:14">
      <c r="A1422">
        <v>94</v>
      </c>
      <c r="B1422">
        <v>26</v>
      </c>
      <c r="C1422" t="s">
        <v>125</v>
      </c>
      <c r="D1422" t="s">
        <v>740</v>
      </c>
      <c r="E1422" t="s">
        <v>125</v>
      </c>
      <c r="F1422">
        <v>0</v>
      </c>
      <c r="G1422" t="s">
        <v>125</v>
      </c>
      <c r="H1422" t="s">
        <v>125</v>
      </c>
      <c r="I1422" t="s">
        <v>125</v>
      </c>
      <c r="J1422" t="s">
        <v>125</v>
      </c>
      <c r="K1422" t="s">
        <v>125</v>
      </c>
      <c r="L1422" t="s">
        <v>125</v>
      </c>
      <c r="M1422" t="s">
        <v>2082</v>
      </c>
      <c r="N1422" t="b">
        <v>0</v>
      </c>
    </row>
    <row r="1423" spans="1:14">
      <c r="A1423">
        <v>96</v>
      </c>
      <c r="B1423">
        <v>0</v>
      </c>
      <c r="C1423" t="s">
        <v>215</v>
      </c>
      <c r="D1423" t="s">
        <v>723</v>
      </c>
      <c r="E1423" t="s">
        <v>64</v>
      </c>
      <c r="F1423">
        <v>60</v>
      </c>
      <c r="G1423" t="s">
        <v>125</v>
      </c>
      <c r="H1423" t="s">
        <v>125</v>
      </c>
      <c r="I1423" t="s">
        <v>64</v>
      </c>
      <c r="J1423" t="s">
        <v>125</v>
      </c>
      <c r="K1423" t="s">
        <v>125</v>
      </c>
      <c r="L1423" t="s">
        <v>125</v>
      </c>
      <c r="M1423" t="s">
        <v>2083</v>
      </c>
      <c r="N1423" t="b">
        <v>0</v>
      </c>
    </row>
    <row r="1424" spans="1:14">
      <c r="A1424">
        <v>96</v>
      </c>
      <c r="B1424">
        <v>1</v>
      </c>
      <c r="C1424" t="s">
        <v>225</v>
      </c>
      <c r="D1424" t="s">
        <v>723</v>
      </c>
      <c r="E1424" t="s">
        <v>76</v>
      </c>
      <c r="F1424">
        <v>50</v>
      </c>
      <c r="G1424" t="s">
        <v>125</v>
      </c>
      <c r="H1424" t="s">
        <v>125</v>
      </c>
      <c r="I1424" t="s">
        <v>76</v>
      </c>
      <c r="J1424" t="s">
        <v>125</v>
      </c>
      <c r="K1424" t="s">
        <v>125</v>
      </c>
      <c r="L1424" t="s">
        <v>125</v>
      </c>
      <c r="M1424" t="s">
        <v>2084</v>
      </c>
      <c r="N1424" t="b">
        <v>0</v>
      </c>
    </row>
    <row r="1425" spans="1:14">
      <c r="A1425">
        <v>96</v>
      </c>
      <c r="B1425">
        <v>2</v>
      </c>
      <c r="C1425" t="s">
        <v>279</v>
      </c>
      <c r="D1425" t="s">
        <v>723</v>
      </c>
      <c r="E1425" t="s">
        <v>92</v>
      </c>
      <c r="F1425">
        <v>30</v>
      </c>
      <c r="G1425" t="s">
        <v>125</v>
      </c>
      <c r="H1425" t="s">
        <v>125</v>
      </c>
      <c r="I1425" t="s">
        <v>92</v>
      </c>
      <c r="J1425" t="s">
        <v>125</v>
      </c>
      <c r="K1425" t="s">
        <v>125</v>
      </c>
      <c r="L1425" t="s">
        <v>125</v>
      </c>
      <c r="M1425" t="s">
        <v>2085</v>
      </c>
      <c r="N1425" t="b">
        <v>0</v>
      </c>
    </row>
    <row r="1426" spans="1:14">
      <c r="A1426">
        <v>96</v>
      </c>
      <c r="B1426">
        <v>3</v>
      </c>
      <c r="C1426" t="s">
        <v>217</v>
      </c>
      <c r="D1426" t="s">
        <v>723</v>
      </c>
      <c r="E1426" t="s">
        <v>94</v>
      </c>
      <c r="F1426">
        <v>40</v>
      </c>
      <c r="G1426" t="s">
        <v>125</v>
      </c>
      <c r="H1426" t="s">
        <v>125</v>
      </c>
      <c r="I1426" t="s">
        <v>94</v>
      </c>
      <c r="J1426" t="s">
        <v>125</v>
      </c>
      <c r="K1426" t="s">
        <v>125</v>
      </c>
      <c r="L1426" t="s">
        <v>125</v>
      </c>
      <c r="M1426" t="s">
        <v>2086</v>
      </c>
      <c r="N1426" t="b">
        <v>0</v>
      </c>
    </row>
    <row r="1427" spans="1:14">
      <c r="A1427">
        <v>96</v>
      </c>
      <c r="B1427">
        <v>4</v>
      </c>
      <c r="C1427" t="s">
        <v>187</v>
      </c>
      <c r="D1427" t="s">
        <v>723</v>
      </c>
      <c r="E1427" t="s">
        <v>98</v>
      </c>
      <c r="F1427">
        <v>50</v>
      </c>
      <c r="G1427" t="s">
        <v>125</v>
      </c>
      <c r="H1427" t="s">
        <v>125</v>
      </c>
      <c r="I1427" t="s">
        <v>98</v>
      </c>
      <c r="J1427" t="s">
        <v>125</v>
      </c>
      <c r="K1427" t="s">
        <v>125</v>
      </c>
      <c r="L1427" t="s">
        <v>125</v>
      </c>
      <c r="M1427" t="s">
        <v>2087</v>
      </c>
      <c r="N1427" t="b">
        <v>0</v>
      </c>
    </row>
    <row r="1428" spans="1:14">
      <c r="A1428">
        <v>96</v>
      </c>
      <c r="B1428">
        <v>5</v>
      </c>
      <c r="C1428" t="s">
        <v>218</v>
      </c>
      <c r="D1428" t="s">
        <v>723</v>
      </c>
      <c r="E1428" t="s">
        <v>100</v>
      </c>
      <c r="F1428">
        <v>60</v>
      </c>
      <c r="G1428" t="s">
        <v>125</v>
      </c>
      <c r="H1428" t="s">
        <v>125</v>
      </c>
      <c r="I1428" t="s">
        <v>100</v>
      </c>
      <c r="J1428" t="s">
        <v>125</v>
      </c>
      <c r="K1428" t="s">
        <v>125</v>
      </c>
      <c r="L1428" t="s">
        <v>125</v>
      </c>
      <c r="M1428" t="s">
        <v>2088</v>
      </c>
      <c r="N1428" t="b">
        <v>0</v>
      </c>
    </row>
    <row r="1429" spans="1:14">
      <c r="A1429">
        <v>96</v>
      </c>
      <c r="B1429">
        <v>6</v>
      </c>
      <c r="C1429" t="s">
        <v>197</v>
      </c>
      <c r="D1429" t="s">
        <v>723</v>
      </c>
      <c r="E1429" t="s">
        <v>112</v>
      </c>
      <c r="F1429">
        <v>50</v>
      </c>
      <c r="G1429" t="s">
        <v>125</v>
      </c>
      <c r="H1429" t="s">
        <v>125</v>
      </c>
      <c r="I1429" t="s">
        <v>112</v>
      </c>
      <c r="J1429" t="s">
        <v>125</v>
      </c>
      <c r="K1429" t="s">
        <v>125</v>
      </c>
      <c r="L1429" t="s">
        <v>125</v>
      </c>
      <c r="M1429" t="s">
        <v>2089</v>
      </c>
      <c r="N1429" t="b">
        <v>0</v>
      </c>
    </row>
    <row r="1430" spans="1:14">
      <c r="A1430">
        <v>96</v>
      </c>
      <c r="B1430">
        <v>7</v>
      </c>
      <c r="C1430" t="s">
        <v>190</v>
      </c>
      <c r="D1430" t="s">
        <v>723</v>
      </c>
      <c r="E1430" t="s">
        <v>114</v>
      </c>
      <c r="F1430">
        <v>60</v>
      </c>
      <c r="G1430" t="s">
        <v>125</v>
      </c>
      <c r="H1430" t="s">
        <v>125</v>
      </c>
      <c r="I1430" t="s">
        <v>114</v>
      </c>
      <c r="J1430" t="s">
        <v>125</v>
      </c>
      <c r="K1430" t="s">
        <v>125</v>
      </c>
      <c r="L1430" t="s">
        <v>125</v>
      </c>
      <c r="M1430" t="s">
        <v>2090</v>
      </c>
      <c r="N1430" t="b">
        <v>0</v>
      </c>
    </row>
    <row r="1431" spans="1:14">
      <c r="A1431">
        <v>96</v>
      </c>
      <c r="B1431">
        <v>8</v>
      </c>
      <c r="C1431" t="s">
        <v>229</v>
      </c>
      <c r="D1431" t="s">
        <v>723</v>
      </c>
      <c r="E1431" t="s">
        <v>60</v>
      </c>
      <c r="F1431">
        <v>20</v>
      </c>
      <c r="G1431" t="s">
        <v>125</v>
      </c>
      <c r="H1431" t="s">
        <v>125</v>
      </c>
      <c r="I1431" t="s">
        <v>60</v>
      </c>
      <c r="J1431" t="s">
        <v>125</v>
      </c>
      <c r="K1431" t="s">
        <v>125</v>
      </c>
      <c r="L1431" t="s">
        <v>125</v>
      </c>
      <c r="M1431" t="s">
        <v>2091</v>
      </c>
      <c r="N1431" t="b">
        <v>0</v>
      </c>
    </row>
    <row r="1432" spans="1:14">
      <c r="A1432">
        <v>96</v>
      </c>
      <c r="B1432">
        <v>9</v>
      </c>
      <c r="C1432" t="s">
        <v>219</v>
      </c>
      <c r="D1432" t="s">
        <v>723</v>
      </c>
      <c r="E1432" t="s">
        <v>67</v>
      </c>
      <c r="F1432">
        <v>50</v>
      </c>
      <c r="G1432" t="s">
        <v>125</v>
      </c>
      <c r="H1432" t="s">
        <v>125</v>
      </c>
      <c r="I1432" t="s">
        <v>67</v>
      </c>
      <c r="J1432" t="s">
        <v>125</v>
      </c>
      <c r="K1432" t="s">
        <v>125</v>
      </c>
      <c r="L1432" t="s">
        <v>125</v>
      </c>
      <c r="M1432" t="s">
        <v>2092</v>
      </c>
      <c r="N1432" t="b">
        <v>0</v>
      </c>
    </row>
    <row r="1433" spans="1:14">
      <c r="A1433">
        <v>96</v>
      </c>
      <c r="B1433">
        <v>10</v>
      </c>
      <c r="C1433" t="s">
        <v>166</v>
      </c>
      <c r="D1433" t="s">
        <v>723</v>
      </c>
      <c r="E1433" t="s">
        <v>73</v>
      </c>
      <c r="F1433">
        <v>50</v>
      </c>
      <c r="G1433" t="s">
        <v>125</v>
      </c>
      <c r="H1433" t="s">
        <v>125</v>
      </c>
      <c r="I1433" t="s">
        <v>73</v>
      </c>
      <c r="J1433" t="s">
        <v>125</v>
      </c>
      <c r="K1433" t="s">
        <v>125</v>
      </c>
      <c r="L1433" t="s">
        <v>125</v>
      </c>
      <c r="M1433" t="s">
        <v>2093</v>
      </c>
      <c r="N1433" t="b">
        <v>0</v>
      </c>
    </row>
    <row r="1434" spans="1:14">
      <c r="A1434">
        <v>96</v>
      </c>
      <c r="B1434">
        <v>11</v>
      </c>
      <c r="C1434" t="s">
        <v>221</v>
      </c>
      <c r="D1434" t="s">
        <v>723</v>
      </c>
      <c r="E1434" t="s">
        <v>101</v>
      </c>
      <c r="F1434">
        <v>50</v>
      </c>
      <c r="G1434" t="s">
        <v>125</v>
      </c>
      <c r="H1434" t="s">
        <v>125</v>
      </c>
      <c r="I1434" t="s">
        <v>101</v>
      </c>
      <c r="J1434" t="s">
        <v>125</v>
      </c>
      <c r="K1434" t="s">
        <v>125</v>
      </c>
      <c r="L1434" t="s">
        <v>125</v>
      </c>
      <c r="M1434" t="s">
        <v>2094</v>
      </c>
      <c r="N1434" t="b">
        <v>0</v>
      </c>
    </row>
    <row r="1435" spans="1:14">
      <c r="A1435">
        <v>96</v>
      </c>
      <c r="B1435">
        <v>12</v>
      </c>
      <c r="C1435" t="s">
        <v>169</v>
      </c>
      <c r="D1435" t="s">
        <v>723</v>
      </c>
      <c r="E1435" t="s">
        <v>105</v>
      </c>
      <c r="F1435">
        <v>50</v>
      </c>
      <c r="G1435" t="s">
        <v>125</v>
      </c>
      <c r="H1435" t="s">
        <v>125</v>
      </c>
      <c r="I1435" t="s">
        <v>105</v>
      </c>
      <c r="J1435" t="s">
        <v>125</v>
      </c>
      <c r="K1435" t="s">
        <v>125</v>
      </c>
      <c r="L1435" t="s">
        <v>125</v>
      </c>
      <c r="M1435" t="s">
        <v>2095</v>
      </c>
      <c r="N1435" t="b">
        <v>0</v>
      </c>
    </row>
    <row r="1436" spans="1:14">
      <c r="A1436">
        <v>96</v>
      </c>
      <c r="B1436">
        <v>13</v>
      </c>
      <c r="C1436" t="s">
        <v>222</v>
      </c>
      <c r="D1436" t="s">
        <v>723</v>
      </c>
      <c r="E1436" t="s">
        <v>106</v>
      </c>
      <c r="F1436">
        <v>50</v>
      </c>
      <c r="G1436" t="s">
        <v>125</v>
      </c>
      <c r="H1436" t="s">
        <v>125</v>
      </c>
      <c r="I1436" t="s">
        <v>106</v>
      </c>
      <c r="J1436" t="s">
        <v>125</v>
      </c>
      <c r="K1436" t="s">
        <v>125</v>
      </c>
      <c r="L1436" t="s">
        <v>125</v>
      </c>
      <c r="M1436" t="s">
        <v>2096</v>
      </c>
      <c r="N1436" t="b">
        <v>0</v>
      </c>
    </row>
    <row r="1437" spans="1:14">
      <c r="A1437">
        <v>96</v>
      </c>
      <c r="B1437">
        <v>14</v>
      </c>
      <c r="C1437" t="s">
        <v>194</v>
      </c>
      <c r="D1437" t="s">
        <v>723</v>
      </c>
      <c r="E1437" t="s">
        <v>107</v>
      </c>
      <c r="F1437">
        <v>60</v>
      </c>
      <c r="G1437" t="s">
        <v>125</v>
      </c>
      <c r="H1437" t="s">
        <v>125</v>
      </c>
      <c r="I1437" t="s">
        <v>107</v>
      </c>
      <c r="J1437" t="s">
        <v>125</v>
      </c>
      <c r="K1437" t="s">
        <v>125</v>
      </c>
      <c r="L1437" t="s">
        <v>125</v>
      </c>
      <c r="M1437" t="s">
        <v>2097</v>
      </c>
      <c r="N1437" t="b">
        <v>0</v>
      </c>
    </row>
    <row r="1438" spans="1:14">
      <c r="A1438">
        <v>96</v>
      </c>
      <c r="B1438">
        <v>15</v>
      </c>
      <c r="C1438" t="s">
        <v>125</v>
      </c>
      <c r="D1438" t="s">
        <v>723</v>
      </c>
      <c r="E1438" t="s">
        <v>125</v>
      </c>
      <c r="F1438">
        <v>0</v>
      </c>
      <c r="G1438" t="s">
        <v>125</v>
      </c>
      <c r="H1438" t="s">
        <v>125</v>
      </c>
      <c r="I1438" t="s">
        <v>125</v>
      </c>
      <c r="J1438" t="s">
        <v>125</v>
      </c>
      <c r="K1438" t="s">
        <v>125</v>
      </c>
      <c r="L1438" t="s">
        <v>125</v>
      </c>
      <c r="M1438" t="s">
        <v>2098</v>
      </c>
      <c r="N1438" t="b">
        <v>0</v>
      </c>
    </row>
    <row r="1439" spans="1:14">
      <c r="A1439">
        <v>96</v>
      </c>
      <c r="B1439">
        <v>16</v>
      </c>
      <c r="C1439" t="s">
        <v>125</v>
      </c>
      <c r="D1439" t="s">
        <v>740</v>
      </c>
      <c r="E1439" t="s">
        <v>125</v>
      </c>
      <c r="F1439">
        <v>0</v>
      </c>
      <c r="G1439" t="s">
        <v>125</v>
      </c>
      <c r="H1439" t="s">
        <v>125</v>
      </c>
      <c r="I1439" t="s">
        <v>125</v>
      </c>
      <c r="J1439" t="s">
        <v>125</v>
      </c>
      <c r="K1439" t="s">
        <v>125</v>
      </c>
      <c r="L1439" t="s">
        <v>125</v>
      </c>
      <c r="M1439" t="s">
        <v>2099</v>
      </c>
      <c r="N1439" t="b">
        <v>0</v>
      </c>
    </row>
    <row r="1440" spans="1:14">
      <c r="A1440">
        <v>96</v>
      </c>
      <c r="B1440">
        <v>17</v>
      </c>
      <c r="C1440" t="s">
        <v>125</v>
      </c>
      <c r="D1440" t="s">
        <v>740</v>
      </c>
      <c r="E1440" t="s">
        <v>125</v>
      </c>
      <c r="F1440">
        <v>0</v>
      </c>
      <c r="G1440" t="s">
        <v>125</v>
      </c>
      <c r="H1440" t="s">
        <v>125</v>
      </c>
      <c r="I1440" t="s">
        <v>125</v>
      </c>
      <c r="J1440" t="s">
        <v>125</v>
      </c>
      <c r="K1440" t="s">
        <v>125</v>
      </c>
      <c r="L1440" t="s">
        <v>125</v>
      </c>
      <c r="M1440" t="s">
        <v>2100</v>
      </c>
      <c r="N1440" t="b">
        <v>0</v>
      </c>
    </row>
    <row r="1441" spans="1:14">
      <c r="A1441">
        <v>96</v>
      </c>
      <c r="B1441">
        <v>18</v>
      </c>
      <c r="C1441" t="s">
        <v>125</v>
      </c>
      <c r="D1441" t="s">
        <v>740</v>
      </c>
      <c r="E1441" t="s">
        <v>125</v>
      </c>
      <c r="F1441">
        <v>0</v>
      </c>
      <c r="G1441" t="s">
        <v>125</v>
      </c>
      <c r="H1441" t="s">
        <v>125</v>
      </c>
      <c r="I1441" t="s">
        <v>125</v>
      </c>
      <c r="J1441" t="s">
        <v>125</v>
      </c>
      <c r="K1441" t="s">
        <v>125</v>
      </c>
      <c r="L1441" t="s">
        <v>125</v>
      </c>
      <c r="M1441" t="s">
        <v>2101</v>
      </c>
      <c r="N1441" t="b">
        <v>0</v>
      </c>
    </row>
    <row r="1442" spans="1:14">
      <c r="A1442">
        <v>96</v>
      </c>
      <c r="B1442">
        <v>19</v>
      </c>
      <c r="C1442" t="s">
        <v>125</v>
      </c>
      <c r="D1442" t="s">
        <v>740</v>
      </c>
      <c r="E1442" t="s">
        <v>125</v>
      </c>
      <c r="F1442">
        <v>0</v>
      </c>
      <c r="G1442" t="s">
        <v>125</v>
      </c>
      <c r="H1442" t="s">
        <v>125</v>
      </c>
      <c r="I1442" t="s">
        <v>125</v>
      </c>
      <c r="J1442" t="s">
        <v>125</v>
      </c>
      <c r="K1442" t="s">
        <v>125</v>
      </c>
      <c r="L1442" t="s">
        <v>125</v>
      </c>
      <c r="M1442" t="s">
        <v>2102</v>
      </c>
      <c r="N1442" t="b">
        <v>0</v>
      </c>
    </row>
    <row r="1443" spans="1:14">
      <c r="A1443">
        <v>96</v>
      </c>
      <c r="B1443">
        <v>20</v>
      </c>
      <c r="C1443" t="s">
        <v>125</v>
      </c>
      <c r="D1443" t="s">
        <v>740</v>
      </c>
      <c r="E1443" t="s">
        <v>125</v>
      </c>
      <c r="F1443">
        <v>0</v>
      </c>
      <c r="G1443" t="s">
        <v>125</v>
      </c>
      <c r="H1443" t="s">
        <v>125</v>
      </c>
      <c r="I1443" t="s">
        <v>125</v>
      </c>
      <c r="J1443" t="s">
        <v>125</v>
      </c>
      <c r="K1443" t="s">
        <v>125</v>
      </c>
      <c r="L1443" t="s">
        <v>125</v>
      </c>
      <c r="M1443" t="s">
        <v>2103</v>
      </c>
      <c r="N1443" t="b">
        <v>0</v>
      </c>
    </row>
    <row r="1444" spans="1:14">
      <c r="A1444">
        <v>96</v>
      </c>
      <c r="B1444">
        <v>21</v>
      </c>
      <c r="C1444" t="s">
        <v>125</v>
      </c>
      <c r="D1444" t="s">
        <v>740</v>
      </c>
      <c r="E1444" t="s">
        <v>125</v>
      </c>
      <c r="F1444">
        <v>0</v>
      </c>
      <c r="G1444" t="s">
        <v>125</v>
      </c>
      <c r="H1444" t="s">
        <v>125</v>
      </c>
      <c r="I1444" t="s">
        <v>125</v>
      </c>
      <c r="J1444" t="s">
        <v>125</v>
      </c>
      <c r="K1444" t="s">
        <v>125</v>
      </c>
      <c r="L1444" t="s">
        <v>125</v>
      </c>
      <c r="M1444" t="s">
        <v>2104</v>
      </c>
      <c r="N1444" t="b">
        <v>0</v>
      </c>
    </row>
    <row r="1445" spans="1:14">
      <c r="A1445">
        <v>96</v>
      </c>
      <c r="B1445">
        <v>22</v>
      </c>
      <c r="C1445" t="s">
        <v>125</v>
      </c>
      <c r="D1445" t="s">
        <v>740</v>
      </c>
      <c r="E1445" t="s">
        <v>125</v>
      </c>
      <c r="F1445">
        <v>0</v>
      </c>
      <c r="G1445" t="s">
        <v>125</v>
      </c>
      <c r="H1445" t="s">
        <v>125</v>
      </c>
      <c r="I1445" t="s">
        <v>125</v>
      </c>
      <c r="J1445" t="s">
        <v>125</v>
      </c>
      <c r="K1445" t="s">
        <v>125</v>
      </c>
      <c r="L1445" t="s">
        <v>125</v>
      </c>
      <c r="M1445" t="s">
        <v>2105</v>
      </c>
      <c r="N1445" t="b">
        <v>0</v>
      </c>
    </row>
    <row r="1446" spans="1:14">
      <c r="A1446">
        <v>96</v>
      </c>
      <c r="B1446">
        <v>23</v>
      </c>
      <c r="C1446" t="s">
        <v>125</v>
      </c>
      <c r="D1446" t="s">
        <v>740</v>
      </c>
      <c r="E1446" t="s">
        <v>125</v>
      </c>
      <c r="F1446">
        <v>0</v>
      </c>
      <c r="G1446" t="s">
        <v>125</v>
      </c>
      <c r="H1446" t="s">
        <v>125</v>
      </c>
      <c r="I1446" t="s">
        <v>125</v>
      </c>
      <c r="J1446" t="s">
        <v>125</v>
      </c>
      <c r="K1446" t="s">
        <v>125</v>
      </c>
      <c r="L1446" t="s">
        <v>125</v>
      </c>
      <c r="M1446" t="s">
        <v>2106</v>
      </c>
      <c r="N1446" t="b">
        <v>0</v>
      </c>
    </row>
    <row r="1447" spans="1:14">
      <c r="A1447">
        <v>96</v>
      </c>
      <c r="B1447">
        <v>24</v>
      </c>
      <c r="C1447" t="s">
        <v>125</v>
      </c>
      <c r="D1447" t="s">
        <v>740</v>
      </c>
      <c r="E1447" t="s">
        <v>125</v>
      </c>
      <c r="F1447">
        <v>0</v>
      </c>
      <c r="G1447" t="s">
        <v>125</v>
      </c>
      <c r="H1447" t="s">
        <v>125</v>
      </c>
      <c r="I1447" t="s">
        <v>125</v>
      </c>
      <c r="J1447" t="s">
        <v>125</v>
      </c>
      <c r="K1447" t="s">
        <v>125</v>
      </c>
      <c r="L1447" t="s">
        <v>125</v>
      </c>
      <c r="M1447" t="s">
        <v>2107</v>
      </c>
      <c r="N1447" t="b">
        <v>0</v>
      </c>
    </row>
    <row r="1448" spans="1:14">
      <c r="A1448">
        <v>96</v>
      </c>
      <c r="B1448">
        <v>25</v>
      </c>
      <c r="C1448" t="s">
        <v>125</v>
      </c>
      <c r="D1448" t="s">
        <v>740</v>
      </c>
      <c r="E1448" t="s">
        <v>125</v>
      </c>
      <c r="F1448">
        <v>0</v>
      </c>
      <c r="G1448" t="s">
        <v>125</v>
      </c>
      <c r="H1448" t="s">
        <v>125</v>
      </c>
      <c r="I1448" t="s">
        <v>125</v>
      </c>
      <c r="J1448" t="s">
        <v>125</v>
      </c>
      <c r="K1448" t="s">
        <v>125</v>
      </c>
      <c r="L1448" t="s">
        <v>125</v>
      </c>
      <c r="M1448" t="s">
        <v>2108</v>
      </c>
      <c r="N1448" t="b">
        <v>0</v>
      </c>
    </row>
    <row r="1449" spans="1:14">
      <c r="A1449">
        <v>96</v>
      </c>
      <c r="B1449">
        <v>26</v>
      </c>
      <c r="C1449" t="s">
        <v>125</v>
      </c>
      <c r="D1449" t="s">
        <v>740</v>
      </c>
      <c r="E1449" t="s">
        <v>125</v>
      </c>
      <c r="F1449">
        <v>0</v>
      </c>
      <c r="G1449" t="s">
        <v>125</v>
      </c>
      <c r="H1449" t="s">
        <v>125</v>
      </c>
      <c r="I1449" t="s">
        <v>125</v>
      </c>
      <c r="J1449" t="s">
        <v>125</v>
      </c>
      <c r="K1449" t="s">
        <v>125</v>
      </c>
      <c r="L1449" t="s">
        <v>125</v>
      </c>
      <c r="M1449" t="s">
        <v>2109</v>
      </c>
      <c r="N1449" t="b">
        <v>0</v>
      </c>
    </row>
    <row r="1450" spans="1:14">
      <c r="A1450">
        <v>97</v>
      </c>
      <c r="B1450">
        <v>0</v>
      </c>
      <c r="C1450" t="s">
        <v>215</v>
      </c>
      <c r="D1450" t="s">
        <v>723</v>
      </c>
      <c r="E1450" t="s">
        <v>64</v>
      </c>
      <c r="F1450">
        <v>60</v>
      </c>
      <c r="G1450" t="s">
        <v>125</v>
      </c>
      <c r="H1450" t="s">
        <v>125</v>
      </c>
      <c r="I1450" t="s">
        <v>64</v>
      </c>
      <c r="J1450" t="s">
        <v>125</v>
      </c>
      <c r="K1450" t="s">
        <v>125</v>
      </c>
      <c r="L1450" t="s">
        <v>125</v>
      </c>
      <c r="M1450" t="s">
        <v>2110</v>
      </c>
      <c r="N1450" t="b">
        <v>0</v>
      </c>
    </row>
    <row r="1451" spans="1:14">
      <c r="A1451">
        <v>97</v>
      </c>
      <c r="B1451">
        <v>1</v>
      </c>
      <c r="C1451" t="s">
        <v>216</v>
      </c>
      <c r="D1451" t="s">
        <v>723</v>
      </c>
      <c r="E1451" t="s">
        <v>76</v>
      </c>
      <c r="F1451">
        <v>60</v>
      </c>
      <c r="G1451" t="s">
        <v>125</v>
      </c>
      <c r="H1451" t="s">
        <v>125</v>
      </c>
      <c r="I1451" t="s">
        <v>76</v>
      </c>
      <c r="J1451" t="s">
        <v>125</v>
      </c>
      <c r="K1451" t="s">
        <v>125</v>
      </c>
      <c r="L1451" t="s">
        <v>125</v>
      </c>
      <c r="M1451" t="s">
        <v>2111</v>
      </c>
      <c r="N1451" t="b">
        <v>0</v>
      </c>
    </row>
    <row r="1452" spans="1:14">
      <c r="A1452">
        <v>97</v>
      </c>
      <c r="B1452">
        <v>2</v>
      </c>
      <c r="C1452" t="s">
        <v>217</v>
      </c>
      <c r="D1452" t="s">
        <v>723</v>
      </c>
      <c r="E1452" t="s">
        <v>94</v>
      </c>
      <c r="F1452">
        <v>40</v>
      </c>
      <c r="G1452" t="s">
        <v>125</v>
      </c>
      <c r="H1452" t="s">
        <v>125</v>
      </c>
      <c r="I1452" t="s">
        <v>94</v>
      </c>
      <c r="J1452" t="s">
        <v>125</v>
      </c>
      <c r="K1452" t="s">
        <v>125</v>
      </c>
      <c r="L1452" t="s">
        <v>125</v>
      </c>
      <c r="M1452" t="s">
        <v>2112</v>
      </c>
      <c r="N1452" t="b">
        <v>0</v>
      </c>
    </row>
    <row r="1453" spans="1:14">
      <c r="A1453">
        <v>97</v>
      </c>
      <c r="B1453">
        <v>3</v>
      </c>
      <c r="C1453" t="s">
        <v>187</v>
      </c>
      <c r="D1453" t="s">
        <v>723</v>
      </c>
      <c r="E1453" t="s">
        <v>98</v>
      </c>
      <c r="F1453">
        <v>50</v>
      </c>
      <c r="G1453" t="s">
        <v>125</v>
      </c>
      <c r="H1453" t="s">
        <v>125</v>
      </c>
      <c r="I1453" t="s">
        <v>98</v>
      </c>
      <c r="J1453" t="s">
        <v>125</v>
      </c>
      <c r="K1453" t="s">
        <v>125</v>
      </c>
      <c r="L1453" t="s">
        <v>125</v>
      </c>
      <c r="M1453" t="s">
        <v>2113</v>
      </c>
      <c r="N1453" t="b">
        <v>0</v>
      </c>
    </row>
    <row r="1454" spans="1:14">
      <c r="A1454">
        <v>97</v>
      </c>
      <c r="B1454">
        <v>4</v>
      </c>
      <c r="C1454" t="s">
        <v>218</v>
      </c>
      <c r="D1454" t="s">
        <v>723</v>
      </c>
      <c r="E1454" t="s">
        <v>100</v>
      </c>
      <c r="F1454">
        <v>60</v>
      </c>
      <c r="G1454" t="s">
        <v>125</v>
      </c>
      <c r="H1454" t="s">
        <v>125</v>
      </c>
      <c r="I1454" t="s">
        <v>100</v>
      </c>
      <c r="J1454" t="s">
        <v>125</v>
      </c>
      <c r="K1454" t="s">
        <v>125</v>
      </c>
      <c r="L1454" t="s">
        <v>125</v>
      </c>
      <c r="M1454" t="s">
        <v>2114</v>
      </c>
      <c r="N1454" t="b">
        <v>0</v>
      </c>
    </row>
    <row r="1455" spans="1:14">
      <c r="A1455">
        <v>97</v>
      </c>
      <c r="B1455">
        <v>5</v>
      </c>
      <c r="C1455" t="s">
        <v>286</v>
      </c>
      <c r="D1455" t="s">
        <v>723</v>
      </c>
      <c r="E1455" t="s">
        <v>102</v>
      </c>
      <c r="F1455">
        <v>40</v>
      </c>
      <c r="G1455" t="s">
        <v>125</v>
      </c>
      <c r="H1455" t="s">
        <v>125</v>
      </c>
      <c r="I1455" t="s">
        <v>102</v>
      </c>
      <c r="J1455" t="s">
        <v>125</v>
      </c>
      <c r="K1455" t="s">
        <v>125</v>
      </c>
      <c r="L1455" t="s">
        <v>125</v>
      </c>
      <c r="M1455" t="s">
        <v>2115</v>
      </c>
      <c r="N1455" t="b">
        <v>0</v>
      </c>
    </row>
    <row r="1456" spans="1:14">
      <c r="A1456">
        <v>97</v>
      </c>
      <c r="B1456">
        <v>6</v>
      </c>
      <c r="C1456" t="s">
        <v>197</v>
      </c>
      <c r="D1456" t="s">
        <v>723</v>
      </c>
      <c r="E1456" t="s">
        <v>112</v>
      </c>
      <c r="F1456">
        <v>50</v>
      </c>
      <c r="G1456" t="s">
        <v>125</v>
      </c>
      <c r="H1456" t="s">
        <v>125</v>
      </c>
      <c r="I1456" t="s">
        <v>112</v>
      </c>
      <c r="J1456" t="s">
        <v>125</v>
      </c>
      <c r="K1456" t="s">
        <v>125</v>
      </c>
      <c r="L1456" t="s">
        <v>125</v>
      </c>
      <c r="M1456" t="s">
        <v>2116</v>
      </c>
      <c r="N1456" t="b">
        <v>0</v>
      </c>
    </row>
    <row r="1457" spans="1:14">
      <c r="A1457">
        <v>97</v>
      </c>
      <c r="B1457">
        <v>7</v>
      </c>
      <c r="C1457" t="s">
        <v>219</v>
      </c>
      <c r="D1457" t="s">
        <v>723</v>
      </c>
      <c r="E1457" t="s">
        <v>67</v>
      </c>
      <c r="F1457">
        <v>50</v>
      </c>
      <c r="G1457" t="s">
        <v>125</v>
      </c>
      <c r="H1457" t="s">
        <v>125</v>
      </c>
      <c r="I1457" t="s">
        <v>67</v>
      </c>
      <c r="J1457" t="s">
        <v>125</v>
      </c>
      <c r="K1457" t="s">
        <v>125</v>
      </c>
      <c r="L1457" t="s">
        <v>125</v>
      </c>
      <c r="M1457" t="s">
        <v>2117</v>
      </c>
      <c r="N1457" t="b">
        <v>0</v>
      </c>
    </row>
    <row r="1458" spans="1:14">
      <c r="A1458">
        <v>97</v>
      </c>
      <c r="B1458">
        <v>8</v>
      </c>
      <c r="C1458" t="s">
        <v>220</v>
      </c>
      <c r="D1458" t="s">
        <v>723</v>
      </c>
      <c r="E1458" t="s">
        <v>330</v>
      </c>
      <c r="F1458">
        <v>60</v>
      </c>
      <c r="G1458" t="s">
        <v>125</v>
      </c>
      <c r="H1458" t="s">
        <v>547</v>
      </c>
      <c r="I1458" t="s">
        <v>444</v>
      </c>
      <c r="J1458" t="s">
        <v>125</v>
      </c>
      <c r="K1458" t="s">
        <v>920</v>
      </c>
      <c r="L1458" t="s">
        <v>921</v>
      </c>
      <c r="M1458" t="s">
        <v>2118</v>
      </c>
      <c r="N1458" t="b">
        <v>0</v>
      </c>
    </row>
    <row r="1459" spans="1:14">
      <c r="A1459">
        <v>97</v>
      </c>
      <c r="B1459">
        <v>9</v>
      </c>
      <c r="C1459" t="s">
        <v>166</v>
      </c>
      <c r="D1459" t="s">
        <v>723</v>
      </c>
      <c r="E1459" t="s">
        <v>73</v>
      </c>
      <c r="F1459">
        <v>50</v>
      </c>
      <c r="G1459" t="s">
        <v>125</v>
      </c>
      <c r="H1459" t="s">
        <v>125</v>
      </c>
      <c r="I1459" t="s">
        <v>73</v>
      </c>
      <c r="J1459" t="s">
        <v>125</v>
      </c>
      <c r="K1459" t="s">
        <v>125</v>
      </c>
      <c r="L1459" t="s">
        <v>125</v>
      </c>
      <c r="M1459" t="s">
        <v>2119</v>
      </c>
      <c r="N1459" t="b">
        <v>0</v>
      </c>
    </row>
    <row r="1460" spans="1:14">
      <c r="A1460">
        <v>97</v>
      </c>
      <c r="B1460">
        <v>10</v>
      </c>
      <c r="C1460" t="s">
        <v>221</v>
      </c>
      <c r="D1460" t="s">
        <v>723</v>
      </c>
      <c r="E1460" t="s">
        <v>101</v>
      </c>
      <c r="F1460">
        <v>50</v>
      </c>
      <c r="G1460" t="s">
        <v>125</v>
      </c>
      <c r="H1460" t="s">
        <v>125</v>
      </c>
      <c r="I1460" t="s">
        <v>101</v>
      </c>
      <c r="J1460" t="s">
        <v>125</v>
      </c>
      <c r="K1460" t="s">
        <v>125</v>
      </c>
      <c r="L1460" t="s">
        <v>125</v>
      </c>
      <c r="M1460" t="s">
        <v>2120</v>
      </c>
      <c r="N1460" t="b">
        <v>0</v>
      </c>
    </row>
    <row r="1461" spans="1:14">
      <c r="A1461">
        <v>97</v>
      </c>
      <c r="B1461">
        <v>11</v>
      </c>
      <c r="C1461" t="s">
        <v>169</v>
      </c>
      <c r="D1461" t="s">
        <v>723</v>
      </c>
      <c r="E1461" t="s">
        <v>105</v>
      </c>
      <c r="F1461">
        <v>50</v>
      </c>
      <c r="G1461" t="s">
        <v>125</v>
      </c>
      <c r="H1461" t="s">
        <v>125</v>
      </c>
      <c r="I1461" t="s">
        <v>105</v>
      </c>
      <c r="J1461" t="s">
        <v>125</v>
      </c>
      <c r="K1461" t="s">
        <v>125</v>
      </c>
      <c r="L1461" t="s">
        <v>125</v>
      </c>
      <c r="M1461" t="s">
        <v>2121</v>
      </c>
      <c r="N1461" t="b">
        <v>0</v>
      </c>
    </row>
    <row r="1462" spans="1:14">
      <c r="A1462">
        <v>97</v>
      </c>
      <c r="B1462">
        <v>12</v>
      </c>
      <c r="C1462" t="s">
        <v>222</v>
      </c>
      <c r="D1462" t="s">
        <v>723</v>
      </c>
      <c r="E1462" t="s">
        <v>106</v>
      </c>
      <c r="F1462">
        <v>50</v>
      </c>
      <c r="G1462" t="s">
        <v>125</v>
      </c>
      <c r="H1462" t="s">
        <v>125</v>
      </c>
      <c r="I1462" t="s">
        <v>106</v>
      </c>
      <c r="J1462" t="s">
        <v>125</v>
      </c>
      <c r="K1462" t="s">
        <v>125</v>
      </c>
      <c r="L1462" t="s">
        <v>125</v>
      </c>
      <c r="M1462" t="s">
        <v>2122</v>
      </c>
      <c r="N1462" t="b">
        <v>0</v>
      </c>
    </row>
    <row r="1463" spans="1:14">
      <c r="A1463">
        <v>97</v>
      </c>
      <c r="B1463">
        <v>13</v>
      </c>
      <c r="C1463" t="s">
        <v>194</v>
      </c>
      <c r="D1463" t="s">
        <v>723</v>
      </c>
      <c r="E1463" t="s">
        <v>107</v>
      </c>
      <c r="F1463">
        <v>60</v>
      </c>
      <c r="G1463" t="s">
        <v>125</v>
      </c>
      <c r="H1463" t="s">
        <v>125</v>
      </c>
      <c r="I1463" t="s">
        <v>107</v>
      </c>
      <c r="J1463" t="s">
        <v>125</v>
      </c>
      <c r="K1463" t="s">
        <v>125</v>
      </c>
      <c r="L1463" t="s">
        <v>125</v>
      </c>
      <c r="M1463" t="s">
        <v>2123</v>
      </c>
      <c r="N1463" t="b">
        <v>0</v>
      </c>
    </row>
    <row r="1464" spans="1:14">
      <c r="A1464">
        <v>97</v>
      </c>
      <c r="B1464">
        <v>14</v>
      </c>
      <c r="C1464" t="s">
        <v>125</v>
      </c>
      <c r="D1464" t="s">
        <v>723</v>
      </c>
      <c r="E1464" t="s">
        <v>125</v>
      </c>
      <c r="F1464">
        <v>0</v>
      </c>
      <c r="G1464" t="s">
        <v>125</v>
      </c>
      <c r="H1464" t="s">
        <v>125</v>
      </c>
      <c r="I1464" t="s">
        <v>125</v>
      </c>
      <c r="J1464" t="s">
        <v>125</v>
      </c>
      <c r="K1464" t="s">
        <v>125</v>
      </c>
      <c r="L1464" t="s">
        <v>125</v>
      </c>
      <c r="M1464" t="s">
        <v>2124</v>
      </c>
      <c r="N1464" t="b">
        <v>0</v>
      </c>
    </row>
    <row r="1465" spans="1:14">
      <c r="A1465">
        <v>97</v>
      </c>
      <c r="B1465">
        <v>15</v>
      </c>
      <c r="C1465" t="s">
        <v>125</v>
      </c>
      <c r="D1465" t="s">
        <v>723</v>
      </c>
      <c r="E1465" t="s">
        <v>125</v>
      </c>
      <c r="F1465">
        <v>0</v>
      </c>
      <c r="G1465" t="s">
        <v>125</v>
      </c>
      <c r="H1465" t="s">
        <v>125</v>
      </c>
      <c r="I1465" t="s">
        <v>125</v>
      </c>
      <c r="J1465" t="s">
        <v>125</v>
      </c>
      <c r="K1465" t="s">
        <v>125</v>
      </c>
      <c r="L1465" t="s">
        <v>125</v>
      </c>
      <c r="M1465" t="s">
        <v>2125</v>
      </c>
      <c r="N1465" t="b">
        <v>0</v>
      </c>
    </row>
    <row r="1466" spans="1:14">
      <c r="A1466">
        <v>97</v>
      </c>
      <c r="B1466">
        <v>16</v>
      </c>
      <c r="C1466" t="s">
        <v>125</v>
      </c>
      <c r="D1466" t="s">
        <v>740</v>
      </c>
      <c r="E1466" t="s">
        <v>125</v>
      </c>
      <c r="F1466">
        <v>0</v>
      </c>
      <c r="G1466" t="s">
        <v>125</v>
      </c>
      <c r="H1466" t="s">
        <v>125</v>
      </c>
      <c r="I1466" t="s">
        <v>125</v>
      </c>
      <c r="J1466" t="s">
        <v>125</v>
      </c>
      <c r="K1466" t="s">
        <v>125</v>
      </c>
      <c r="L1466" t="s">
        <v>125</v>
      </c>
      <c r="M1466" t="s">
        <v>2126</v>
      </c>
      <c r="N1466" t="b">
        <v>0</v>
      </c>
    </row>
    <row r="1467" spans="1:14">
      <c r="A1467">
        <v>97</v>
      </c>
      <c r="B1467">
        <v>17</v>
      </c>
      <c r="C1467" t="s">
        <v>125</v>
      </c>
      <c r="D1467" t="s">
        <v>740</v>
      </c>
      <c r="E1467" t="s">
        <v>125</v>
      </c>
      <c r="F1467">
        <v>0</v>
      </c>
      <c r="G1467" t="s">
        <v>125</v>
      </c>
      <c r="H1467" t="s">
        <v>125</v>
      </c>
      <c r="I1467" t="s">
        <v>125</v>
      </c>
      <c r="J1467" t="s">
        <v>125</v>
      </c>
      <c r="K1467" t="s">
        <v>125</v>
      </c>
      <c r="L1467" t="s">
        <v>125</v>
      </c>
      <c r="M1467" t="s">
        <v>2127</v>
      </c>
      <c r="N1467" t="b">
        <v>0</v>
      </c>
    </row>
    <row r="1468" spans="1:14">
      <c r="A1468">
        <v>97</v>
      </c>
      <c r="B1468">
        <v>18</v>
      </c>
      <c r="C1468" t="s">
        <v>125</v>
      </c>
      <c r="D1468" t="s">
        <v>740</v>
      </c>
      <c r="E1468" t="s">
        <v>125</v>
      </c>
      <c r="F1468">
        <v>0</v>
      </c>
      <c r="G1468" t="s">
        <v>125</v>
      </c>
      <c r="H1468" t="s">
        <v>125</v>
      </c>
      <c r="I1468" t="s">
        <v>125</v>
      </c>
      <c r="J1468" t="s">
        <v>125</v>
      </c>
      <c r="K1468" t="s">
        <v>125</v>
      </c>
      <c r="L1468" t="s">
        <v>125</v>
      </c>
      <c r="M1468" t="s">
        <v>2128</v>
      </c>
      <c r="N1468" t="b">
        <v>0</v>
      </c>
    </row>
    <row r="1469" spans="1:14">
      <c r="A1469">
        <v>97</v>
      </c>
      <c r="B1469">
        <v>19</v>
      </c>
      <c r="C1469" t="s">
        <v>125</v>
      </c>
      <c r="D1469" t="s">
        <v>740</v>
      </c>
      <c r="E1469" t="s">
        <v>125</v>
      </c>
      <c r="F1469">
        <v>0</v>
      </c>
      <c r="G1469" t="s">
        <v>125</v>
      </c>
      <c r="H1469" t="s">
        <v>125</v>
      </c>
      <c r="I1469" t="s">
        <v>125</v>
      </c>
      <c r="J1469" t="s">
        <v>125</v>
      </c>
      <c r="K1469" t="s">
        <v>125</v>
      </c>
      <c r="L1469" t="s">
        <v>125</v>
      </c>
      <c r="M1469" t="s">
        <v>2129</v>
      </c>
      <c r="N1469" t="b">
        <v>0</v>
      </c>
    </row>
    <row r="1470" spans="1:14">
      <c r="A1470">
        <v>97</v>
      </c>
      <c r="B1470">
        <v>20</v>
      </c>
      <c r="C1470" t="s">
        <v>125</v>
      </c>
      <c r="D1470" t="s">
        <v>740</v>
      </c>
      <c r="E1470" t="s">
        <v>125</v>
      </c>
      <c r="F1470">
        <v>0</v>
      </c>
      <c r="G1470" t="s">
        <v>125</v>
      </c>
      <c r="H1470" t="s">
        <v>125</v>
      </c>
      <c r="I1470" t="s">
        <v>125</v>
      </c>
      <c r="J1470" t="s">
        <v>125</v>
      </c>
      <c r="K1470" t="s">
        <v>125</v>
      </c>
      <c r="L1470" t="s">
        <v>125</v>
      </c>
      <c r="M1470" t="s">
        <v>2130</v>
      </c>
      <c r="N1470" t="b">
        <v>0</v>
      </c>
    </row>
    <row r="1471" spans="1:14">
      <c r="A1471">
        <v>97</v>
      </c>
      <c r="B1471">
        <v>21</v>
      </c>
      <c r="C1471" t="s">
        <v>125</v>
      </c>
      <c r="D1471" t="s">
        <v>740</v>
      </c>
      <c r="E1471" t="s">
        <v>125</v>
      </c>
      <c r="F1471">
        <v>0</v>
      </c>
      <c r="G1471" t="s">
        <v>125</v>
      </c>
      <c r="H1471" t="s">
        <v>125</v>
      </c>
      <c r="I1471" t="s">
        <v>125</v>
      </c>
      <c r="J1471" t="s">
        <v>125</v>
      </c>
      <c r="K1471" t="s">
        <v>125</v>
      </c>
      <c r="L1471" t="s">
        <v>125</v>
      </c>
      <c r="M1471" t="s">
        <v>2131</v>
      </c>
      <c r="N1471" t="b">
        <v>0</v>
      </c>
    </row>
    <row r="1472" spans="1:14">
      <c r="A1472">
        <v>97</v>
      </c>
      <c r="B1472">
        <v>22</v>
      </c>
      <c r="C1472" t="s">
        <v>125</v>
      </c>
      <c r="D1472" t="s">
        <v>740</v>
      </c>
      <c r="E1472" t="s">
        <v>125</v>
      </c>
      <c r="F1472">
        <v>0</v>
      </c>
      <c r="G1472" t="s">
        <v>125</v>
      </c>
      <c r="H1472" t="s">
        <v>125</v>
      </c>
      <c r="I1472" t="s">
        <v>125</v>
      </c>
      <c r="J1472" t="s">
        <v>125</v>
      </c>
      <c r="K1472" t="s">
        <v>125</v>
      </c>
      <c r="L1472" t="s">
        <v>125</v>
      </c>
      <c r="M1472" t="s">
        <v>2132</v>
      </c>
      <c r="N1472" t="b">
        <v>0</v>
      </c>
    </row>
    <row r="1473" spans="1:14">
      <c r="A1473">
        <v>97</v>
      </c>
      <c r="B1473">
        <v>23</v>
      </c>
      <c r="C1473" t="s">
        <v>125</v>
      </c>
      <c r="D1473" t="s">
        <v>740</v>
      </c>
      <c r="E1473" t="s">
        <v>125</v>
      </c>
      <c r="F1473">
        <v>0</v>
      </c>
      <c r="G1473" t="s">
        <v>125</v>
      </c>
      <c r="H1473" t="s">
        <v>125</v>
      </c>
      <c r="I1473" t="s">
        <v>125</v>
      </c>
      <c r="J1473" t="s">
        <v>125</v>
      </c>
      <c r="K1473" t="s">
        <v>125</v>
      </c>
      <c r="L1473" t="s">
        <v>125</v>
      </c>
      <c r="M1473" t="s">
        <v>2133</v>
      </c>
      <c r="N1473" t="b">
        <v>0</v>
      </c>
    </row>
    <row r="1474" spans="1:14">
      <c r="A1474">
        <v>97</v>
      </c>
      <c r="B1474">
        <v>24</v>
      </c>
      <c r="C1474" t="s">
        <v>125</v>
      </c>
      <c r="D1474" t="s">
        <v>740</v>
      </c>
      <c r="E1474" t="s">
        <v>125</v>
      </c>
      <c r="F1474">
        <v>0</v>
      </c>
      <c r="G1474" t="s">
        <v>125</v>
      </c>
      <c r="H1474" t="s">
        <v>125</v>
      </c>
      <c r="I1474" t="s">
        <v>125</v>
      </c>
      <c r="J1474" t="s">
        <v>125</v>
      </c>
      <c r="K1474" t="s">
        <v>125</v>
      </c>
      <c r="L1474" t="s">
        <v>125</v>
      </c>
      <c r="M1474" t="s">
        <v>2134</v>
      </c>
      <c r="N1474" t="b">
        <v>0</v>
      </c>
    </row>
    <row r="1475" spans="1:14">
      <c r="A1475">
        <v>97</v>
      </c>
      <c r="B1475">
        <v>25</v>
      </c>
      <c r="C1475" t="s">
        <v>125</v>
      </c>
      <c r="D1475" t="s">
        <v>740</v>
      </c>
      <c r="E1475" t="s">
        <v>125</v>
      </c>
      <c r="F1475">
        <v>0</v>
      </c>
      <c r="G1475" t="s">
        <v>125</v>
      </c>
      <c r="H1475" t="s">
        <v>125</v>
      </c>
      <c r="I1475" t="s">
        <v>125</v>
      </c>
      <c r="J1475" t="s">
        <v>125</v>
      </c>
      <c r="K1475" t="s">
        <v>125</v>
      </c>
      <c r="L1475" t="s">
        <v>125</v>
      </c>
      <c r="M1475" t="s">
        <v>2135</v>
      </c>
      <c r="N1475" t="b">
        <v>0</v>
      </c>
    </row>
    <row r="1476" spans="1:14">
      <c r="A1476">
        <v>97</v>
      </c>
      <c r="B1476">
        <v>26</v>
      </c>
      <c r="C1476" t="s">
        <v>125</v>
      </c>
      <c r="D1476" t="s">
        <v>740</v>
      </c>
      <c r="E1476" t="s">
        <v>125</v>
      </c>
      <c r="F1476">
        <v>0</v>
      </c>
      <c r="G1476" t="s">
        <v>125</v>
      </c>
      <c r="H1476" t="s">
        <v>125</v>
      </c>
      <c r="I1476" t="s">
        <v>125</v>
      </c>
      <c r="J1476" t="s">
        <v>125</v>
      </c>
      <c r="K1476" t="s">
        <v>125</v>
      </c>
      <c r="L1476" t="s">
        <v>125</v>
      </c>
      <c r="M1476" t="s">
        <v>2136</v>
      </c>
      <c r="N1476" t="b">
        <v>0</v>
      </c>
    </row>
    <row r="1477" spans="1:14">
      <c r="A1477">
        <v>99</v>
      </c>
      <c r="B1477">
        <v>0</v>
      </c>
      <c r="C1477" t="s">
        <v>215</v>
      </c>
      <c r="D1477" t="s">
        <v>723</v>
      </c>
      <c r="E1477" t="s">
        <v>64</v>
      </c>
      <c r="F1477">
        <v>60</v>
      </c>
      <c r="G1477" t="s">
        <v>125</v>
      </c>
      <c r="H1477" t="s">
        <v>125</v>
      </c>
      <c r="I1477" t="s">
        <v>64</v>
      </c>
      <c r="J1477" t="s">
        <v>125</v>
      </c>
      <c r="K1477" t="s">
        <v>125</v>
      </c>
      <c r="L1477" t="s">
        <v>125</v>
      </c>
      <c r="M1477" t="s">
        <v>2137</v>
      </c>
      <c r="N1477" t="b">
        <v>0</v>
      </c>
    </row>
    <row r="1478" spans="1:14">
      <c r="A1478">
        <v>99</v>
      </c>
      <c r="B1478">
        <v>1</v>
      </c>
      <c r="C1478" t="s">
        <v>216</v>
      </c>
      <c r="D1478" t="s">
        <v>723</v>
      </c>
      <c r="E1478" t="s">
        <v>76</v>
      </c>
      <c r="F1478">
        <v>60</v>
      </c>
      <c r="G1478" t="s">
        <v>125</v>
      </c>
      <c r="H1478" t="s">
        <v>125</v>
      </c>
      <c r="I1478" t="s">
        <v>76</v>
      </c>
      <c r="J1478" t="s">
        <v>125</v>
      </c>
      <c r="K1478" t="s">
        <v>125</v>
      </c>
      <c r="L1478" t="s">
        <v>125</v>
      </c>
      <c r="M1478" t="s">
        <v>2138</v>
      </c>
      <c r="N1478" t="b">
        <v>0</v>
      </c>
    </row>
    <row r="1479" spans="1:14">
      <c r="A1479">
        <v>99</v>
      </c>
      <c r="B1479">
        <v>2</v>
      </c>
      <c r="C1479" t="s">
        <v>237</v>
      </c>
      <c r="D1479" t="s">
        <v>723</v>
      </c>
      <c r="E1479" t="s">
        <v>543</v>
      </c>
      <c r="F1479">
        <v>40</v>
      </c>
      <c r="G1479" t="s">
        <v>125</v>
      </c>
      <c r="H1479" t="s">
        <v>546</v>
      </c>
      <c r="I1479" t="s">
        <v>507</v>
      </c>
      <c r="J1479" t="s">
        <v>125</v>
      </c>
      <c r="K1479" t="s">
        <v>791</v>
      </c>
      <c r="L1479" t="s">
        <v>792</v>
      </c>
      <c r="M1479" t="s">
        <v>2139</v>
      </c>
      <c r="N1479" t="b">
        <v>0</v>
      </c>
    </row>
    <row r="1480" spans="1:14">
      <c r="A1480">
        <v>99</v>
      </c>
      <c r="B1480">
        <v>3</v>
      </c>
      <c r="C1480" t="s">
        <v>238</v>
      </c>
      <c r="D1480" t="s">
        <v>723</v>
      </c>
      <c r="E1480" t="s">
        <v>543</v>
      </c>
      <c r="F1480">
        <v>40</v>
      </c>
      <c r="G1480" t="s">
        <v>125</v>
      </c>
      <c r="H1480" t="s">
        <v>556</v>
      </c>
      <c r="I1480" t="s">
        <v>485</v>
      </c>
      <c r="J1480" t="s">
        <v>125</v>
      </c>
      <c r="K1480" t="s">
        <v>794</v>
      </c>
      <c r="L1480" t="s">
        <v>795</v>
      </c>
      <c r="M1480" t="s">
        <v>2140</v>
      </c>
      <c r="N1480" t="b">
        <v>0</v>
      </c>
    </row>
    <row r="1481" spans="1:14">
      <c r="A1481">
        <v>99</v>
      </c>
      <c r="B1481">
        <v>4</v>
      </c>
      <c r="C1481" t="s">
        <v>240</v>
      </c>
      <c r="D1481" t="s">
        <v>723</v>
      </c>
      <c r="E1481" t="s">
        <v>102</v>
      </c>
      <c r="F1481">
        <v>50</v>
      </c>
      <c r="G1481" t="s">
        <v>125</v>
      </c>
      <c r="H1481" t="s">
        <v>125</v>
      </c>
      <c r="I1481" t="s">
        <v>102</v>
      </c>
      <c r="J1481" t="s">
        <v>125</v>
      </c>
      <c r="K1481" t="s">
        <v>125</v>
      </c>
      <c r="L1481" t="s">
        <v>125</v>
      </c>
      <c r="M1481" t="s">
        <v>2141</v>
      </c>
      <c r="N1481" t="b">
        <v>0</v>
      </c>
    </row>
    <row r="1482" spans="1:14">
      <c r="A1482">
        <v>99</v>
      </c>
      <c r="B1482">
        <v>5</v>
      </c>
      <c r="C1482" t="s">
        <v>471</v>
      </c>
      <c r="D1482" t="s">
        <v>723</v>
      </c>
      <c r="E1482" t="s">
        <v>296</v>
      </c>
      <c r="F1482">
        <v>20</v>
      </c>
      <c r="G1482" t="s">
        <v>125</v>
      </c>
      <c r="H1482" t="s">
        <v>1896</v>
      </c>
      <c r="I1482" t="s">
        <v>1897</v>
      </c>
      <c r="J1482" t="s">
        <v>125</v>
      </c>
      <c r="K1482" t="s">
        <v>761</v>
      </c>
      <c r="L1482" t="s">
        <v>762</v>
      </c>
      <c r="M1482" t="s">
        <v>2142</v>
      </c>
      <c r="N1482" t="b">
        <v>0</v>
      </c>
    </row>
    <row r="1483" spans="1:14">
      <c r="A1483">
        <v>99</v>
      </c>
      <c r="B1483">
        <v>6</v>
      </c>
      <c r="C1483" t="s">
        <v>253</v>
      </c>
      <c r="D1483" t="s">
        <v>723</v>
      </c>
      <c r="E1483" t="s">
        <v>114</v>
      </c>
      <c r="F1483">
        <v>40</v>
      </c>
      <c r="G1483" t="s">
        <v>125</v>
      </c>
      <c r="H1483" t="s">
        <v>125</v>
      </c>
      <c r="I1483" t="s">
        <v>114</v>
      </c>
      <c r="J1483" t="s">
        <v>125</v>
      </c>
      <c r="K1483" t="s">
        <v>125</v>
      </c>
      <c r="L1483" t="s">
        <v>125</v>
      </c>
      <c r="M1483" t="s">
        <v>2143</v>
      </c>
      <c r="N1483" t="b">
        <v>0</v>
      </c>
    </row>
    <row r="1484" spans="1:14">
      <c r="A1484">
        <v>99</v>
      </c>
      <c r="B1484">
        <v>7</v>
      </c>
      <c r="C1484" t="s">
        <v>166</v>
      </c>
      <c r="D1484" t="s">
        <v>723</v>
      </c>
      <c r="E1484" t="s">
        <v>73</v>
      </c>
      <c r="F1484">
        <v>50</v>
      </c>
      <c r="G1484" t="s">
        <v>125</v>
      </c>
      <c r="H1484" t="s">
        <v>125</v>
      </c>
      <c r="I1484" t="s">
        <v>73</v>
      </c>
      <c r="J1484" t="s">
        <v>125</v>
      </c>
      <c r="K1484" t="s">
        <v>125</v>
      </c>
      <c r="L1484" t="s">
        <v>125</v>
      </c>
      <c r="M1484" t="s">
        <v>2144</v>
      </c>
      <c r="N1484" t="b">
        <v>0</v>
      </c>
    </row>
    <row r="1485" spans="1:14">
      <c r="A1485">
        <v>99</v>
      </c>
      <c r="B1485">
        <v>8</v>
      </c>
      <c r="C1485" t="s">
        <v>472</v>
      </c>
      <c r="D1485" t="s">
        <v>723</v>
      </c>
      <c r="E1485" t="s">
        <v>357</v>
      </c>
      <c r="F1485">
        <v>50</v>
      </c>
      <c r="G1485" t="s">
        <v>125</v>
      </c>
      <c r="H1485" t="s">
        <v>562</v>
      </c>
      <c r="I1485" t="s">
        <v>1622</v>
      </c>
      <c r="J1485" t="s">
        <v>125</v>
      </c>
      <c r="K1485" t="s">
        <v>1163</v>
      </c>
      <c r="L1485" t="s">
        <v>1164</v>
      </c>
      <c r="M1485" t="s">
        <v>2145</v>
      </c>
      <c r="N1485" t="b">
        <v>0</v>
      </c>
    </row>
    <row r="1486" spans="1:14">
      <c r="A1486">
        <v>99</v>
      </c>
      <c r="B1486">
        <v>9</v>
      </c>
      <c r="C1486" t="s">
        <v>473</v>
      </c>
      <c r="D1486" t="s">
        <v>723</v>
      </c>
      <c r="E1486" t="s">
        <v>357</v>
      </c>
      <c r="F1486">
        <v>30</v>
      </c>
      <c r="G1486" t="s">
        <v>125</v>
      </c>
      <c r="H1486" t="s">
        <v>558</v>
      </c>
      <c r="I1486" t="s">
        <v>362</v>
      </c>
      <c r="J1486" t="s">
        <v>125</v>
      </c>
      <c r="K1486" t="s">
        <v>1177</v>
      </c>
      <c r="L1486" t="s">
        <v>1178</v>
      </c>
      <c r="M1486" t="s">
        <v>2146</v>
      </c>
      <c r="N1486" t="b">
        <v>0</v>
      </c>
    </row>
    <row r="1487" spans="1:14">
      <c r="A1487">
        <v>99</v>
      </c>
      <c r="B1487">
        <v>10</v>
      </c>
      <c r="C1487" t="s">
        <v>356</v>
      </c>
      <c r="D1487" t="s">
        <v>723</v>
      </c>
      <c r="E1487" t="s">
        <v>544</v>
      </c>
      <c r="F1487">
        <v>50</v>
      </c>
      <c r="G1487" t="s">
        <v>125</v>
      </c>
      <c r="H1487" t="s">
        <v>582</v>
      </c>
      <c r="I1487" t="s">
        <v>495</v>
      </c>
      <c r="J1487" t="s">
        <v>125</v>
      </c>
      <c r="K1487" t="s">
        <v>800</v>
      </c>
      <c r="L1487" t="s">
        <v>801</v>
      </c>
      <c r="M1487" t="s">
        <v>2147</v>
      </c>
      <c r="N1487" t="b">
        <v>0</v>
      </c>
    </row>
    <row r="1488" spans="1:14">
      <c r="A1488">
        <v>99</v>
      </c>
      <c r="B1488">
        <v>11</v>
      </c>
      <c r="C1488" t="s">
        <v>291</v>
      </c>
      <c r="D1488" t="s">
        <v>723</v>
      </c>
      <c r="E1488" t="s">
        <v>106</v>
      </c>
      <c r="F1488">
        <v>60</v>
      </c>
      <c r="G1488" t="s">
        <v>125</v>
      </c>
      <c r="H1488" t="s">
        <v>125</v>
      </c>
      <c r="I1488" t="s">
        <v>106</v>
      </c>
      <c r="J1488" t="s">
        <v>125</v>
      </c>
      <c r="K1488" t="s">
        <v>125</v>
      </c>
      <c r="L1488" t="s">
        <v>125</v>
      </c>
      <c r="M1488" t="s">
        <v>2148</v>
      </c>
      <c r="N1488" t="b">
        <v>0</v>
      </c>
    </row>
    <row r="1489" spans="1:14">
      <c r="A1489">
        <v>99</v>
      </c>
      <c r="B1489">
        <v>12</v>
      </c>
      <c r="C1489" t="s">
        <v>125</v>
      </c>
      <c r="D1489" t="s">
        <v>723</v>
      </c>
      <c r="E1489" t="s">
        <v>125</v>
      </c>
      <c r="F1489">
        <v>0</v>
      </c>
      <c r="G1489" t="s">
        <v>125</v>
      </c>
      <c r="H1489" t="s">
        <v>125</v>
      </c>
      <c r="I1489" t="s">
        <v>125</v>
      </c>
      <c r="J1489" t="s">
        <v>125</v>
      </c>
      <c r="K1489" t="s">
        <v>125</v>
      </c>
      <c r="L1489" t="s">
        <v>125</v>
      </c>
      <c r="M1489" t="s">
        <v>2149</v>
      </c>
      <c r="N1489" t="b">
        <v>0</v>
      </c>
    </row>
    <row r="1490" spans="1:14">
      <c r="A1490">
        <v>99</v>
      </c>
      <c r="B1490">
        <v>13</v>
      </c>
      <c r="C1490" t="s">
        <v>125</v>
      </c>
      <c r="D1490" t="s">
        <v>723</v>
      </c>
      <c r="E1490" t="s">
        <v>125</v>
      </c>
      <c r="F1490">
        <v>0</v>
      </c>
      <c r="G1490" t="s">
        <v>125</v>
      </c>
      <c r="H1490" t="s">
        <v>125</v>
      </c>
      <c r="I1490" t="s">
        <v>125</v>
      </c>
      <c r="J1490" t="s">
        <v>125</v>
      </c>
      <c r="K1490" t="s">
        <v>125</v>
      </c>
      <c r="L1490" t="s">
        <v>125</v>
      </c>
      <c r="M1490" t="s">
        <v>2150</v>
      </c>
      <c r="N1490" t="b">
        <v>0</v>
      </c>
    </row>
    <row r="1491" spans="1:14">
      <c r="A1491">
        <v>99</v>
      </c>
      <c r="B1491">
        <v>14</v>
      </c>
      <c r="C1491" t="s">
        <v>125</v>
      </c>
      <c r="D1491" t="s">
        <v>723</v>
      </c>
      <c r="E1491" t="s">
        <v>125</v>
      </c>
      <c r="F1491">
        <v>0</v>
      </c>
      <c r="G1491" t="s">
        <v>125</v>
      </c>
      <c r="H1491" t="s">
        <v>125</v>
      </c>
      <c r="I1491" t="s">
        <v>125</v>
      </c>
      <c r="J1491" t="s">
        <v>125</v>
      </c>
      <c r="K1491" t="s">
        <v>125</v>
      </c>
      <c r="L1491" t="s">
        <v>125</v>
      </c>
      <c r="M1491" t="s">
        <v>2151</v>
      </c>
      <c r="N1491" t="b">
        <v>0</v>
      </c>
    </row>
    <row r="1492" spans="1:14">
      <c r="A1492">
        <v>99</v>
      </c>
      <c r="B1492">
        <v>15</v>
      </c>
      <c r="C1492" t="s">
        <v>125</v>
      </c>
      <c r="D1492" t="s">
        <v>723</v>
      </c>
      <c r="E1492" t="s">
        <v>125</v>
      </c>
      <c r="F1492">
        <v>0</v>
      </c>
      <c r="G1492" t="s">
        <v>125</v>
      </c>
      <c r="H1492" t="s">
        <v>125</v>
      </c>
      <c r="I1492" t="s">
        <v>125</v>
      </c>
      <c r="J1492" t="s">
        <v>125</v>
      </c>
      <c r="K1492" t="s">
        <v>125</v>
      </c>
      <c r="L1492" t="s">
        <v>125</v>
      </c>
      <c r="M1492" t="s">
        <v>2152</v>
      </c>
      <c r="N1492" t="b">
        <v>0</v>
      </c>
    </row>
    <row r="1493" spans="1:14">
      <c r="A1493">
        <v>99</v>
      </c>
      <c r="B1493">
        <v>16</v>
      </c>
      <c r="C1493" t="s">
        <v>125</v>
      </c>
      <c r="D1493" t="s">
        <v>740</v>
      </c>
      <c r="E1493" t="s">
        <v>125</v>
      </c>
      <c r="F1493">
        <v>0</v>
      </c>
      <c r="G1493" t="s">
        <v>125</v>
      </c>
      <c r="H1493" t="s">
        <v>125</v>
      </c>
      <c r="I1493" t="s">
        <v>125</v>
      </c>
      <c r="J1493" t="s">
        <v>125</v>
      </c>
      <c r="K1493" t="s">
        <v>125</v>
      </c>
      <c r="L1493" t="s">
        <v>125</v>
      </c>
      <c r="M1493" t="s">
        <v>2153</v>
      </c>
      <c r="N1493" t="b">
        <v>0</v>
      </c>
    </row>
    <row r="1494" spans="1:14">
      <c r="A1494">
        <v>99</v>
      </c>
      <c r="B1494">
        <v>17</v>
      </c>
      <c r="C1494" t="s">
        <v>125</v>
      </c>
      <c r="D1494" t="s">
        <v>740</v>
      </c>
      <c r="E1494" t="s">
        <v>125</v>
      </c>
      <c r="F1494">
        <v>0</v>
      </c>
      <c r="G1494" t="s">
        <v>125</v>
      </c>
      <c r="H1494" t="s">
        <v>125</v>
      </c>
      <c r="I1494" t="s">
        <v>125</v>
      </c>
      <c r="J1494" t="s">
        <v>125</v>
      </c>
      <c r="K1494" t="s">
        <v>125</v>
      </c>
      <c r="L1494" t="s">
        <v>125</v>
      </c>
      <c r="M1494" t="s">
        <v>2154</v>
      </c>
      <c r="N1494" t="b">
        <v>0</v>
      </c>
    </row>
    <row r="1495" spans="1:14">
      <c r="A1495">
        <v>99</v>
      </c>
      <c r="B1495">
        <v>18</v>
      </c>
      <c r="C1495" t="s">
        <v>125</v>
      </c>
      <c r="D1495" t="s">
        <v>740</v>
      </c>
      <c r="E1495" t="s">
        <v>125</v>
      </c>
      <c r="F1495">
        <v>0</v>
      </c>
      <c r="G1495" t="s">
        <v>125</v>
      </c>
      <c r="H1495" t="s">
        <v>125</v>
      </c>
      <c r="I1495" t="s">
        <v>125</v>
      </c>
      <c r="J1495" t="s">
        <v>125</v>
      </c>
      <c r="K1495" t="s">
        <v>125</v>
      </c>
      <c r="L1495" t="s">
        <v>125</v>
      </c>
      <c r="M1495" t="s">
        <v>2155</v>
      </c>
      <c r="N1495" t="b">
        <v>0</v>
      </c>
    </row>
    <row r="1496" spans="1:14">
      <c r="A1496">
        <v>99</v>
      </c>
      <c r="B1496">
        <v>19</v>
      </c>
      <c r="C1496" t="s">
        <v>125</v>
      </c>
      <c r="D1496" t="s">
        <v>740</v>
      </c>
      <c r="E1496" t="s">
        <v>125</v>
      </c>
      <c r="F1496">
        <v>0</v>
      </c>
      <c r="G1496" t="s">
        <v>125</v>
      </c>
      <c r="H1496" t="s">
        <v>125</v>
      </c>
      <c r="I1496" t="s">
        <v>125</v>
      </c>
      <c r="J1496" t="s">
        <v>125</v>
      </c>
      <c r="K1496" t="s">
        <v>125</v>
      </c>
      <c r="L1496" t="s">
        <v>125</v>
      </c>
      <c r="M1496" t="s">
        <v>2156</v>
      </c>
      <c r="N1496" t="b">
        <v>0</v>
      </c>
    </row>
    <row r="1497" spans="1:14">
      <c r="A1497">
        <v>99</v>
      </c>
      <c r="B1497">
        <v>20</v>
      </c>
      <c r="C1497" t="s">
        <v>125</v>
      </c>
      <c r="D1497" t="s">
        <v>740</v>
      </c>
      <c r="E1497" t="s">
        <v>125</v>
      </c>
      <c r="F1497">
        <v>0</v>
      </c>
      <c r="G1497" t="s">
        <v>125</v>
      </c>
      <c r="H1497" t="s">
        <v>125</v>
      </c>
      <c r="I1497" t="s">
        <v>125</v>
      </c>
      <c r="J1497" t="s">
        <v>125</v>
      </c>
      <c r="K1497" t="s">
        <v>125</v>
      </c>
      <c r="L1497" t="s">
        <v>125</v>
      </c>
      <c r="M1497" t="s">
        <v>2157</v>
      </c>
      <c r="N1497" t="b">
        <v>0</v>
      </c>
    </row>
    <row r="1498" spans="1:14">
      <c r="A1498">
        <v>99</v>
      </c>
      <c r="B1498">
        <v>21</v>
      </c>
      <c r="C1498" t="s">
        <v>125</v>
      </c>
      <c r="D1498" t="s">
        <v>740</v>
      </c>
      <c r="E1498" t="s">
        <v>125</v>
      </c>
      <c r="F1498">
        <v>0</v>
      </c>
      <c r="G1498" t="s">
        <v>125</v>
      </c>
      <c r="H1498" t="s">
        <v>125</v>
      </c>
      <c r="I1498" t="s">
        <v>125</v>
      </c>
      <c r="J1498" t="s">
        <v>125</v>
      </c>
      <c r="K1498" t="s">
        <v>125</v>
      </c>
      <c r="L1498" t="s">
        <v>125</v>
      </c>
      <c r="M1498" t="s">
        <v>2158</v>
      </c>
      <c r="N1498" t="b">
        <v>0</v>
      </c>
    </row>
    <row r="1499" spans="1:14">
      <c r="A1499">
        <v>99</v>
      </c>
      <c r="B1499">
        <v>22</v>
      </c>
      <c r="C1499" t="s">
        <v>125</v>
      </c>
      <c r="D1499" t="s">
        <v>740</v>
      </c>
      <c r="E1499" t="s">
        <v>125</v>
      </c>
      <c r="F1499">
        <v>0</v>
      </c>
      <c r="G1499" t="s">
        <v>125</v>
      </c>
      <c r="H1499" t="s">
        <v>125</v>
      </c>
      <c r="I1499" t="s">
        <v>125</v>
      </c>
      <c r="J1499" t="s">
        <v>125</v>
      </c>
      <c r="K1499" t="s">
        <v>125</v>
      </c>
      <c r="L1499" t="s">
        <v>125</v>
      </c>
      <c r="M1499" t="s">
        <v>2159</v>
      </c>
      <c r="N1499" t="b">
        <v>0</v>
      </c>
    </row>
    <row r="1500" spans="1:14">
      <c r="A1500">
        <v>99</v>
      </c>
      <c r="B1500">
        <v>23</v>
      </c>
      <c r="C1500" t="s">
        <v>125</v>
      </c>
      <c r="D1500" t="s">
        <v>740</v>
      </c>
      <c r="E1500" t="s">
        <v>125</v>
      </c>
      <c r="F1500">
        <v>0</v>
      </c>
      <c r="G1500" t="s">
        <v>125</v>
      </c>
      <c r="H1500" t="s">
        <v>125</v>
      </c>
      <c r="I1500" t="s">
        <v>125</v>
      </c>
      <c r="J1500" t="s">
        <v>125</v>
      </c>
      <c r="K1500" t="s">
        <v>125</v>
      </c>
      <c r="L1500" t="s">
        <v>125</v>
      </c>
      <c r="M1500" t="s">
        <v>2160</v>
      </c>
      <c r="N1500" t="b">
        <v>0</v>
      </c>
    </row>
    <row r="1501" spans="1:14">
      <c r="A1501">
        <v>99</v>
      </c>
      <c r="B1501">
        <v>24</v>
      </c>
      <c r="C1501" t="s">
        <v>125</v>
      </c>
      <c r="D1501" t="s">
        <v>740</v>
      </c>
      <c r="E1501" t="s">
        <v>125</v>
      </c>
      <c r="F1501">
        <v>0</v>
      </c>
      <c r="G1501" t="s">
        <v>125</v>
      </c>
      <c r="H1501" t="s">
        <v>125</v>
      </c>
      <c r="I1501" t="s">
        <v>125</v>
      </c>
      <c r="J1501" t="s">
        <v>125</v>
      </c>
      <c r="K1501" t="s">
        <v>125</v>
      </c>
      <c r="L1501" t="s">
        <v>125</v>
      </c>
      <c r="M1501" t="s">
        <v>2161</v>
      </c>
      <c r="N1501" t="b">
        <v>0</v>
      </c>
    </row>
    <row r="1502" spans="1:14">
      <c r="A1502">
        <v>99</v>
      </c>
      <c r="B1502">
        <v>25</v>
      </c>
      <c r="C1502" t="s">
        <v>125</v>
      </c>
      <c r="D1502" t="s">
        <v>740</v>
      </c>
      <c r="E1502" t="s">
        <v>125</v>
      </c>
      <c r="F1502">
        <v>0</v>
      </c>
      <c r="G1502" t="s">
        <v>125</v>
      </c>
      <c r="H1502" t="s">
        <v>125</v>
      </c>
      <c r="I1502" t="s">
        <v>125</v>
      </c>
      <c r="J1502" t="s">
        <v>125</v>
      </c>
      <c r="K1502" t="s">
        <v>125</v>
      </c>
      <c r="L1502" t="s">
        <v>125</v>
      </c>
      <c r="M1502" t="s">
        <v>2162</v>
      </c>
      <c r="N1502" t="b">
        <v>0</v>
      </c>
    </row>
    <row r="1503" spans="1:14">
      <c r="A1503">
        <v>99</v>
      </c>
      <c r="B1503">
        <v>26</v>
      </c>
      <c r="C1503" t="s">
        <v>125</v>
      </c>
      <c r="D1503" t="s">
        <v>740</v>
      </c>
      <c r="E1503" t="s">
        <v>125</v>
      </c>
      <c r="F1503">
        <v>0</v>
      </c>
      <c r="G1503" t="s">
        <v>125</v>
      </c>
      <c r="H1503" t="s">
        <v>125</v>
      </c>
      <c r="I1503" t="s">
        <v>125</v>
      </c>
      <c r="J1503" t="s">
        <v>125</v>
      </c>
      <c r="K1503" t="s">
        <v>125</v>
      </c>
      <c r="L1503" t="s">
        <v>125</v>
      </c>
      <c r="M1503" t="s">
        <v>2163</v>
      </c>
      <c r="N1503" t="b">
        <v>0</v>
      </c>
    </row>
    <row r="1504" spans="1:14">
      <c r="A1504">
        <v>102</v>
      </c>
      <c r="B1504">
        <v>0</v>
      </c>
      <c r="C1504" t="s">
        <v>215</v>
      </c>
      <c r="D1504" t="s">
        <v>723</v>
      </c>
      <c r="E1504" t="s">
        <v>64</v>
      </c>
      <c r="F1504">
        <v>60</v>
      </c>
      <c r="G1504" t="s">
        <v>125</v>
      </c>
      <c r="H1504" t="s">
        <v>125</v>
      </c>
      <c r="I1504" t="s">
        <v>64</v>
      </c>
      <c r="J1504" t="s">
        <v>125</v>
      </c>
      <c r="K1504" t="s">
        <v>125</v>
      </c>
      <c r="L1504" t="s">
        <v>125</v>
      </c>
      <c r="M1504" t="s">
        <v>2164</v>
      </c>
      <c r="N1504" t="b">
        <v>0</v>
      </c>
    </row>
    <row r="1505" spans="1:14">
      <c r="A1505">
        <v>102</v>
      </c>
      <c r="B1505">
        <v>1</v>
      </c>
      <c r="C1505" t="s">
        <v>328</v>
      </c>
      <c r="D1505" t="s">
        <v>723</v>
      </c>
      <c r="E1505" t="s">
        <v>76</v>
      </c>
      <c r="F1505">
        <v>40</v>
      </c>
      <c r="G1505" t="s">
        <v>125</v>
      </c>
      <c r="H1505" t="s">
        <v>125</v>
      </c>
      <c r="I1505" t="s">
        <v>76</v>
      </c>
      <c r="J1505" t="s">
        <v>125</v>
      </c>
      <c r="K1505" t="s">
        <v>125</v>
      </c>
      <c r="L1505" t="s">
        <v>125</v>
      </c>
      <c r="M1505" t="s">
        <v>2165</v>
      </c>
      <c r="N1505" t="b">
        <v>0</v>
      </c>
    </row>
    <row r="1506" spans="1:14">
      <c r="A1506">
        <v>102</v>
      </c>
      <c r="B1506">
        <v>2</v>
      </c>
      <c r="C1506" t="s">
        <v>267</v>
      </c>
      <c r="D1506" t="s">
        <v>723</v>
      </c>
      <c r="E1506" t="s">
        <v>82</v>
      </c>
      <c r="F1506">
        <v>30</v>
      </c>
      <c r="G1506" t="s">
        <v>125</v>
      </c>
      <c r="H1506" t="s">
        <v>125</v>
      </c>
      <c r="I1506" t="s">
        <v>82</v>
      </c>
      <c r="J1506" t="s">
        <v>125</v>
      </c>
      <c r="K1506" t="s">
        <v>125</v>
      </c>
      <c r="L1506" t="s">
        <v>125</v>
      </c>
      <c r="M1506" t="s">
        <v>2166</v>
      </c>
      <c r="N1506" t="b">
        <v>0</v>
      </c>
    </row>
    <row r="1507" spans="1:14">
      <c r="A1507">
        <v>102</v>
      </c>
      <c r="B1507">
        <v>3</v>
      </c>
      <c r="C1507" t="s">
        <v>482</v>
      </c>
      <c r="D1507" t="s">
        <v>723</v>
      </c>
      <c r="E1507" t="s">
        <v>543</v>
      </c>
      <c r="F1507">
        <v>50</v>
      </c>
      <c r="G1507" t="s">
        <v>125</v>
      </c>
      <c r="H1507" t="s">
        <v>546</v>
      </c>
      <c r="I1507" t="s">
        <v>507</v>
      </c>
      <c r="J1507" t="s">
        <v>125</v>
      </c>
      <c r="K1507" t="s">
        <v>791</v>
      </c>
      <c r="L1507" t="s">
        <v>792</v>
      </c>
      <c r="M1507" t="s">
        <v>2167</v>
      </c>
      <c r="N1507" t="b">
        <v>0</v>
      </c>
    </row>
    <row r="1508" spans="1:14">
      <c r="A1508">
        <v>102</v>
      </c>
      <c r="B1508">
        <v>4</v>
      </c>
      <c r="C1508" t="s">
        <v>483</v>
      </c>
      <c r="D1508" t="s">
        <v>723</v>
      </c>
      <c r="E1508" t="s">
        <v>543</v>
      </c>
      <c r="F1508">
        <v>50</v>
      </c>
      <c r="G1508" t="s">
        <v>125</v>
      </c>
      <c r="H1508" t="s">
        <v>556</v>
      </c>
      <c r="I1508" t="s">
        <v>485</v>
      </c>
      <c r="J1508" t="s">
        <v>125</v>
      </c>
      <c r="K1508" t="s">
        <v>794</v>
      </c>
      <c r="L1508" t="s">
        <v>795</v>
      </c>
      <c r="M1508" t="s">
        <v>2168</v>
      </c>
      <c r="N1508" t="b">
        <v>0</v>
      </c>
    </row>
    <row r="1509" spans="1:14">
      <c r="A1509">
        <v>102</v>
      </c>
      <c r="B1509">
        <v>5</v>
      </c>
      <c r="C1509" t="s">
        <v>218</v>
      </c>
      <c r="D1509" t="s">
        <v>723</v>
      </c>
      <c r="E1509" t="s">
        <v>100</v>
      </c>
      <c r="F1509">
        <v>60</v>
      </c>
      <c r="G1509" t="s">
        <v>125</v>
      </c>
      <c r="H1509" t="s">
        <v>125</v>
      </c>
      <c r="I1509" t="s">
        <v>100</v>
      </c>
      <c r="J1509" t="s">
        <v>125</v>
      </c>
      <c r="K1509" t="s">
        <v>125</v>
      </c>
      <c r="L1509" t="s">
        <v>125</v>
      </c>
      <c r="M1509" t="s">
        <v>2169</v>
      </c>
      <c r="N1509" t="b">
        <v>0</v>
      </c>
    </row>
    <row r="1510" spans="1:14">
      <c r="A1510">
        <v>102</v>
      </c>
      <c r="B1510">
        <v>6</v>
      </c>
      <c r="C1510" t="s">
        <v>338</v>
      </c>
      <c r="D1510" t="s">
        <v>723</v>
      </c>
      <c r="E1510" t="s">
        <v>111</v>
      </c>
      <c r="F1510">
        <v>40</v>
      </c>
      <c r="G1510" t="s">
        <v>125</v>
      </c>
      <c r="H1510" t="s">
        <v>125</v>
      </c>
      <c r="I1510" t="s">
        <v>111</v>
      </c>
      <c r="J1510" t="s">
        <v>125</v>
      </c>
      <c r="K1510" t="s">
        <v>125</v>
      </c>
      <c r="L1510" t="s">
        <v>125</v>
      </c>
      <c r="M1510" t="s">
        <v>2170</v>
      </c>
      <c r="N1510" t="b">
        <v>0</v>
      </c>
    </row>
    <row r="1511" spans="1:14">
      <c r="A1511">
        <v>102</v>
      </c>
      <c r="B1511">
        <v>7</v>
      </c>
      <c r="C1511" t="s">
        <v>381</v>
      </c>
      <c r="D1511" t="s">
        <v>723</v>
      </c>
      <c r="E1511" t="s">
        <v>330</v>
      </c>
      <c r="F1511">
        <v>50</v>
      </c>
      <c r="G1511" t="s">
        <v>125</v>
      </c>
      <c r="H1511" t="s">
        <v>557</v>
      </c>
      <c r="I1511" t="s">
        <v>476</v>
      </c>
      <c r="J1511" t="s">
        <v>125</v>
      </c>
      <c r="K1511" t="s">
        <v>920</v>
      </c>
      <c r="L1511" t="s">
        <v>921</v>
      </c>
      <c r="M1511" t="s">
        <v>2171</v>
      </c>
      <c r="N1511" t="b">
        <v>0</v>
      </c>
    </row>
    <row r="1512" spans="1:14">
      <c r="A1512">
        <v>102</v>
      </c>
      <c r="B1512">
        <v>8</v>
      </c>
      <c r="C1512" t="s">
        <v>166</v>
      </c>
      <c r="D1512" t="s">
        <v>723</v>
      </c>
      <c r="E1512" t="s">
        <v>73</v>
      </c>
      <c r="F1512">
        <v>50</v>
      </c>
      <c r="G1512" t="s">
        <v>125</v>
      </c>
      <c r="H1512" t="s">
        <v>125</v>
      </c>
      <c r="I1512" t="s">
        <v>73</v>
      </c>
      <c r="J1512" t="s">
        <v>125</v>
      </c>
      <c r="K1512" t="s">
        <v>125</v>
      </c>
      <c r="L1512" t="s">
        <v>125</v>
      </c>
      <c r="M1512" t="s">
        <v>2172</v>
      </c>
      <c r="N1512" t="b">
        <v>0</v>
      </c>
    </row>
    <row r="1513" spans="1:14">
      <c r="A1513">
        <v>102</v>
      </c>
      <c r="B1513">
        <v>9</v>
      </c>
      <c r="C1513" t="s">
        <v>484</v>
      </c>
      <c r="D1513" t="s">
        <v>723</v>
      </c>
      <c r="E1513" t="s">
        <v>357</v>
      </c>
      <c r="F1513">
        <v>50</v>
      </c>
      <c r="G1513" t="s">
        <v>125</v>
      </c>
      <c r="H1513" t="s">
        <v>558</v>
      </c>
      <c r="I1513" t="s">
        <v>362</v>
      </c>
      <c r="J1513" t="s">
        <v>125</v>
      </c>
      <c r="K1513" t="s">
        <v>1163</v>
      </c>
      <c r="L1513" t="s">
        <v>1164</v>
      </c>
      <c r="M1513" t="s">
        <v>2173</v>
      </c>
      <c r="N1513" t="b">
        <v>0</v>
      </c>
    </row>
    <row r="1514" spans="1:14">
      <c r="A1514">
        <v>102</v>
      </c>
      <c r="B1514">
        <v>10</v>
      </c>
      <c r="C1514" t="s">
        <v>269</v>
      </c>
      <c r="D1514" t="s">
        <v>723</v>
      </c>
      <c r="E1514" t="s">
        <v>544</v>
      </c>
      <c r="F1514">
        <v>40</v>
      </c>
      <c r="G1514" t="s">
        <v>125</v>
      </c>
      <c r="H1514" t="s">
        <v>582</v>
      </c>
      <c r="I1514" t="s">
        <v>495</v>
      </c>
      <c r="J1514" t="s">
        <v>125</v>
      </c>
      <c r="K1514" t="s">
        <v>800</v>
      </c>
      <c r="L1514" t="s">
        <v>801</v>
      </c>
      <c r="M1514" t="s">
        <v>2174</v>
      </c>
      <c r="N1514" t="b">
        <v>0</v>
      </c>
    </row>
    <row r="1515" spans="1:14">
      <c r="A1515">
        <v>102</v>
      </c>
      <c r="B1515">
        <v>11</v>
      </c>
      <c r="C1515" t="s">
        <v>222</v>
      </c>
      <c r="D1515" t="s">
        <v>723</v>
      </c>
      <c r="E1515" t="s">
        <v>106</v>
      </c>
      <c r="F1515">
        <v>50</v>
      </c>
      <c r="G1515" t="s">
        <v>125</v>
      </c>
      <c r="H1515" t="s">
        <v>125</v>
      </c>
      <c r="I1515" t="s">
        <v>106</v>
      </c>
      <c r="J1515" t="s">
        <v>125</v>
      </c>
      <c r="K1515" t="s">
        <v>125</v>
      </c>
      <c r="L1515" t="s">
        <v>125</v>
      </c>
      <c r="M1515" t="s">
        <v>2175</v>
      </c>
      <c r="N1515" t="b">
        <v>0</v>
      </c>
    </row>
    <row r="1516" spans="1:14">
      <c r="A1516">
        <v>102</v>
      </c>
      <c r="B1516">
        <v>12</v>
      </c>
      <c r="C1516" t="s">
        <v>125</v>
      </c>
      <c r="D1516" t="s">
        <v>723</v>
      </c>
      <c r="E1516" t="s">
        <v>125</v>
      </c>
      <c r="F1516">
        <v>0</v>
      </c>
      <c r="G1516" t="s">
        <v>125</v>
      </c>
      <c r="H1516" t="s">
        <v>125</v>
      </c>
      <c r="I1516" t="s">
        <v>125</v>
      </c>
      <c r="J1516" t="s">
        <v>125</v>
      </c>
      <c r="K1516" t="s">
        <v>125</v>
      </c>
      <c r="L1516" t="s">
        <v>125</v>
      </c>
      <c r="M1516" t="s">
        <v>2176</v>
      </c>
      <c r="N1516" t="b">
        <v>0</v>
      </c>
    </row>
    <row r="1517" spans="1:14">
      <c r="A1517">
        <v>102</v>
      </c>
      <c r="B1517">
        <v>13</v>
      </c>
      <c r="C1517" t="s">
        <v>125</v>
      </c>
      <c r="D1517" t="s">
        <v>723</v>
      </c>
      <c r="E1517" t="s">
        <v>125</v>
      </c>
      <c r="F1517">
        <v>0</v>
      </c>
      <c r="G1517" t="s">
        <v>125</v>
      </c>
      <c r="H1517" t="s">
        <v>125</v>
      </c>
      <c r="I1517" t="s">
        <v>125</v>
      </c>
      <c r="J1517" t="s">
        <v>125</v>
      </c>
      <c r="K1517" t="s">
        <v>125</v>
      </c>
      <c r="L1517" t="s">
        <v>125</v>
      </c>
      <c r="M1517" t="s">
        <v>2177</v>
      </c>
      <c r="N1517" t="b">
        <v>0</v>
      </c>
    </row>
    <row r="1518" spans="1:14">
      <c r="A1518">
        <v>102</v>
      </c>
      <c r="B1518">
        <v>14</v>
      </c>
      <c r="C1518" t="s">
        <v>125</v>
      </c>
      <c r="D1518" t="s">
        <v>723</v>
      </c>
      <c r="E1518" t="s">
        <v>125</v>
      </c>
      <c r="F1518">
        <v>0</v>
      </c>
      <c r="G1518" t="s">
        <v>125</v>
      </c>
      <c r="H1518" t="s">
        <v>125</v>
      </c>
      <c r="I1518" t="s">
        <v>125</v>
      </c>
      <c r="J1518" t="s">
        <v>125</v>
      </c>
      <c r="K1518" t="s">
        <v>125</v>
      </c>
      <c r="L1518" t="s">
        <v>125</v>
      </c>
      <c r="M1518" t="s">
        <v>2178</v>
      </c>
      <c r="N1518" t="b">
        <v>0</v>
      </c>
    </row>
    <row r="1519" spans="1:14">
      <c r="A1519">
        <v>102</v>
      </c>
      <c r="B1519">
        <v>15</v>
      </c>
      <c r="C1519" t="s">
        <v>125</v>
      </c>
      <c r="D1519" t="s">
        <v>723</v>
      </c>
      <c r="E1519" t="s">
        <v>125</v>
      </c>
      <c r="F1519">
        <v>0</v>
      </c>
      <c r="G1519" t="s">
        <v>125</v>
      </c>
      <c r="H1519" t="s">
        <v>125</v>
      </c>
      <c r="I1519" t="s">
        <v>125</v>
      </c>
      <c r="J1519" t="s">
        <v>125</v>
      </c>
      <c r="K1519" t="s">
        <v>125</v>
      </c>
      <c r="L1519" t="s">
        <v>125</v>
      </c>
      <c r="M1519" t="s">
        <v>2179</v>
      </c>
      <c r="N1519" t="b">
        <v>0</v>
      </c>
    </row>
    <row r="1520" spans="1:14">
      <c r="A1520">
        <v>102</v>
      </c>
      <c r="B1520">
        <v>16</v>
      </c>
      <c r="C1520" t="s">
        <v>125</v>
      </c>
      <c r="D1520" t="s">
        <v>740</v>
      </c>
      <c r="E1520" t="s">
        <v>125</v>
      </c>
      <c r="F1520">
        <v>0</v>
      </c>
      <c r="G1520" t="s">
        <v>125</v>
      </c>
      <c r="H1520" t="s">
        <v>125</v>
      </c>
      <c r="I1520" t="s">
        <v>125</v>
      </c>
      <c r="J1520" t="s">
        <v>125</v>
      </c>
      <c r="K1520" t="s">
        <v>125</v>
      </c>
      <c r="L1520" t="s">
        <v>125</v>
      </c>
      <c r="M1520" t="s">
        <v>2180</v>
      </c>
      <c r="N1520" t="b">
        <v>0</v>
      </c>
    </row>
    <row r="1521" spans="1:14">
      <c r="A1521">
        <v>102</v>
      </c>
      <c r="B1521">
        <v>17</v>
      </c>
      <c r="C1521" t="s">
        <v>125</v>
      </c>
      <c r="D1521" t="s">
        <v>740</v>
      </c>
      <c r="E1521" t="s">
        <v>125</v>
      </c>
      <c r="F1521">
        <v>0</v>
      </c>
      <c r="G1521" t="s">
        <v>125</v>
      </c>
      <c r="H1521" t="s">
        <v>125</v>
      </c>
      <c r="I1521" t="s">
        <v>125</v>
      </c>
      <c r="J1521" t="s">
        <v>125</v>
      </c>
      <c r="K1521" t="s">
        <v>125</v>
      </c>
      <c r="L1521" t="s">
        <v>125</v>
      </c>
      <c r="M1521" t="s">
        <v>2181</v>
      </c>
      <c r="N1521" t="b">
        <v>0</v>
      </c>
    </row>
    <row r="1522" spans="1:14">
      <c r="A1522">
        <v>102</v>
      </c>
      <c r="B1522">
        <v>18</v>
      </c>
      <c r="C1522" t="s">
        <v>125</v>
      </c>
      <c r="D1522" t="s">
        <v>740</v>
      </c>
      <c r="E1522" t="s">
        <v>125</v>
      </c>
      <c r="F1522">
        <v>0</v>
      </c>
      <c r="G1522" t="s">
        <v>125</v>
      </c>
      <c r="H1522" t="s">
        <v>125</v>
      </c>
      <c r="I1522" t="s">
        <v>125</v>
      </c>
      <c r="J1522" t="s">
        <v>125</v>
      </c>
      <c r="K1522" t="s">
        <v>125</v>
      </c>
      <c r="L1522" t="s">
        <v>125</v>
      </c>
      <c r="M1522" t="s">
        <v>2182</v>
      </c>
      <c r="N1522" t="b">
        <v>0</v>
      </c>
    </row>
    <row r="1523" spans="1:14">
      <c r="A1523">
        <v>102</v>
      </c>
      <c r="B1523">
        <v>19</v>
      </c>
      <c r="C1523" t="s">
        <v>125</v>
      </c>
      <c r="D1523" t="s">
        <v>740</v>
      </c>
      <c r="E1523" t="s">
        <v>125</v>
      </c>
      <c r="F1523">
        <v>0</v>
      </c>
      <c r="G1523" t="s">
        <v>125</v>
      </c>
      <c r="H1523" t="s">
        <v>125</v>
      </c>
      <c r="I1523" t="s">
        <v>125</v>
      </c>
      <c r="J1523" t="s">
        <v>125</v>
      </c>
      <c r="K1523" t="s">
        <v>125</v>
      </c>
      <c r="L1523" t="s">
        <v>125</v>
      </c>
      <c r="M1523" t="s">
        <v>2183</v>
      </c>
      <c r="N1523" t="b">
        <v>0</v>
      </c>
    </row>
    <row r="1524" spans="1:14">
      <c r="A1524">
        <v>102</v>
      </c>
      <c r="B1524">
        <v>20</v>
      </c>
      <c r="C1524" t="s">
        <v>125</v>
      </c>
      <c r="D1524" t="s">
        <v>740</v>
      </c>
      <c r="E1524" t="s">
        <v>125</v>
      </c>
      <c r="F1524">
        <v>0</v>
      </c>
      <c r="G1524" t="s">
        <v>125</v>
      </c>
      <c r="H1524" t="s">
        <v>125</v>
      </c>
      <c r="I1524" t="s">
        <v>125</v>
      </c>
      <c r="J1524" t="s">
        <v>125</v>
      </c>
      <c r="K1524" t="s">
        <v>125</v>
      </c>
      <c r="L1524" t="s">
        <v>125</v>
      </c>
      <c r="M1524" t="s">
        <v>2184</v>
      </c>
      <c r="N1524" t="b">
        <v>0</v>
      </c>
    </row>
    <row r="1525" spans="1:14">
      <c r="A1525">
        <v>102</v>
      </c>
      <c r="B1525">
        <v>21</v>
      </c>
      <c r="C1525" t="s">
        <v>125</v>
      </c>
      <c r="D1525" t="s">
        <v>740</v>
      </c>
      <c r="E1525" t="s">
        <v>125</v>
      </c>
      <c r="F1525">
        <v>0</v>
      </c>
      <c r="G1525" t="s">
        <v>125</v>
      </c>
      <c r="H1525" t="s">
        <v>125</v>
      </c>
      <c r="I1525" t="s">
        <v>125</v>
      </c>
      <c r="J1525" t="s">
        <v>125</v>
      </c>
      <c r="K1525" t="s">
        <v>125</v>
      </c>
      <c r="L1525" t="s">
        <v>125</v>
      </c>
      <c r="M1525" t="s">
        <v>2185</v>
      </c>
      <c r="N1525" t="b">
        <v>0</v>
      </c>
    </row>
    <row r="1526" spans="1:14">
      <c r="A1526">
        <v>102</v>
      </c>
      <c r="B1526">
        <v>22</v>
      </c>
      <c r="C1526" t="s">
        <v>125</v>
      </c>
      <c r="D1526" t="s">
        <v>740</v>
      </c>
      <c r="E1526" t="s">
        <v>125</v>
      </c>
      <c r="F1526">
        <v>0</v>
      </c>
      <c r="G1526" t="s">
        <v>125</v>
      </c>
      <c r="H1526" t="s">
        <v>125</v>
      </c>
      <c r="I1526" t="s">
        <v>125</v>
      </c>
      <c r="J1526" t="s">
        <v>125</v>
      </c>
      <c r="K1526" t="s">
        <v>125</v>
      </c>
      <c r="L1526" t="s">
        <v>125</v>
      </c>
      <c r="M1526" t="s">
        <v>2186</v>
      </c>
      <c r="N1526" t="b">
        <v>0</v>
      </c>
    </row>
    <row r="1527" spans="1:14">
      <c r="A1527">
        <v>102</v>
      </c>
      <c r="B1527">
        <v>23</v>
      </c>
      <c r="C1527" t="s">
        <v>125</v>
      </c>
      <c r="D1527" t="s">
        <v>740</v>
      </c>
      <c r="E1527" t="s">
        <v>125</v>
      </c>
      <c r="F1527">
        <v>0</v>
      </c>
      <c r="G1527" t="s">
        <v>125</v>
      </c>
      <c r="H1527" t="s">
        <v>125</v>
      </c>
      <c r="I1527" t="s">
        <v>125</v>
      </c>
      <c r="J1527" t="s">
        <v>125</v>
      </c>
      <c r="K1527" t="s">
        <v>125</v>
      </c>
      <c r="L1527" t="s">
        <v>125</v>
      </c>
      <c r="M1527" t="s">
        <v>2187</v>
      </c>
      <c r="N1527" t="b">
        <v>0</v>
      </c>
    </row>
    <row r="1528" spans="1:14">
      <c r="A1528">
        <v>102</v>
      </c>
      <c r="B1528">
        <v>24</v>
      </c>
      <c r="C1528" t="s">
        <v>125</v>
      </c>
      <c r="D1528" t="s">
        <v>740</v>
      </c>
      <c r="E1528" t="s">
        <v>125</v>
      </c>
      <c r="F1528">
        <v>0</v>
      </c>
      <c r="G1528" t="s">
        <v>125</v>
      </c>
      <c r="H1528" t="s">
        <v>125</v>
      </c>
      <c r="I1528" t="s">
        <v>125</v>
      </c>
      <c r="J1528" t="s">
        <v>125</v>
      </c>
      <c r="K1528" t="s">
        <v>125</v>
      </c>
      <c r="L1528" t="s">
        <v>125</v>
      </c>
      <c r="M1528" t="s">
        <v>2188</v>
      </c>
      <c r="N1528" t="b">
        <v>0</v>
      </c>
    </row>
    <row r="1529" spans="1:14">
      <c r="A1529">
        <v>102</v>
      </c>
      <c r="B1529">
        <v>25</v>
      </c>
      <c r="C1529" t="s">
        <v>125</v>
      </c>
      <c r="D1529" t="s">
        <v>740</v>
      </c>
      <c r="E1529" t="s">
        <v>125</v>
      </c>
      <c r="F1529">
        <v>0</v>
      </c>
      <c r="G1529" t="s">
        <v>125</v>
      </c>
      <c r="H1529" t="s">
        <v>125</v>
      </c>
      <c r="I1529" t="s">
        <v>125</v>
      </c>
      <c r="J1529" t="s">
        <v>125</v>
      </c>
      <c r="K1529" t="s">
        <v>125</v>
      </c>
      <c r="L1529" t="s">
        <v>125</v>
      </c>
      <c r="M1529" t="s">
        <v>2189</v>
      </c>
      <c r="N1529" t="b">
        <v>0</v>
      </c>
    </row>
    <row r="1530" spans="1:14">
      <c r="A1530">
        <v>102</v>
      </c>
      <c r="B1530">
        <v>26</v>
      </c>
      <c r="C1530" t="s">
        <v>125</v>
      </c>
      <c r="D1530" t="s">
        <v>740</v>
      </c>
      <c r="E1530" t="s">
        <v>125</v>
      </c>
      <c r="F1530">
        <v>0</v>
      </c>
      <c r="G1530" t="s">
        <v>125</v>
      </c>
      <c r="H1530" t="s">
        <v>125</v>
      </c>
      <c r="I1530" t="s">
        <v>125</v>
      </c>
      <c r="J1530" t="s">
        <v>125</v>
      </c>
      <c r="K1530" t="s">
        <v>125</v>
      </c>
      <c r="L1530" t="s">
        <v>125</v>
      </c>
      <c r="M1530" t="s">
        <v>2190</v>
      </c>
      <c r="N1530" t="b">
        <v>0</v>
      </c>
    </row>
    <row r="1531" spans="1:14">
      <c r="A1531">
        <v>103</v>
      </c>
      <c r="B1531">
        <v>0</v>
      </c>
      <c r="C1531" t="s">
        <v>185</v>
      </c>
      <c r="D1531" t="s">
        <v>723</v>
      </c>
      <c r="E1531" t="s">
        <v>64</v>
      </c>
      <c r="F1531">
        <v>50</v>
      </c>
      <c r="G1531" t="s">
        <v>125</v>
      </c>
      <c r="H1531" t="s">
        <v>125</v>
      </c>
      <c r="I1531" t="s">
        <v>64</v>
      </c>
      <c r="J1531" t="s">
        <v>125</v>
      </c>
      <c r="K1531" t="s">
        <v>125</v>
      </c>
      <c r="L1531" t="s">
        <v>125</v>
      </c>
      <c r="M1531" t="s">
        <v>2191</v>
      </c>
      <c r="N1531" t="b">
        <v>0</v>
      </c>
    </row>
    <row r="1532" spans="1:14">
      <c r="A1532">
        <v>103</v>
      </c>
      <c r="B1532">
        <v>1</v>
      </c>
      <c r="C1532" t="s">
        <v>328</v>
      </c>
      <c r="D1532" t="s">
        <v>723</v>
      </c>
      <c r="E1532" t="s">
        <v>76</v>
      </c>
      <c r="F1532">
        <v>40</v>
      </c>
      <c r="G1532" t="s">
        <v>125</v>
      </c>
      <c r="H1532" t="s">
        <v>125</v>
      </c>
      <c r="I1532" t="s">
        <v>76</v>
      </c>
      <c r="J1532" t="s">
        <v>125</v>
      </c>
      <c r="K1532" t="s">
        <v>125</v>
      </c>
      <c r="L1532" t="s">
        <v>125</v>
      </c>
      <c r="M1532" t="s">
        <v>2192</v>
      </c>
      <c r="N1532" t="b">
        <v>0</v>
      </c>
    </row>
    <row r="1533" spans="1:14">
      <c r="A1533">
        <v>103</v>
      </c>
      <c r="B1533">
        <v>2</v>
      </c>
      <c r="C1533" t="s">
        <v>157</v>
      </c>
      <c r="D1533" t="s">
        <v>723</v>
      </c>
      <c r="E1533" t="s">
        <v>82</v>
      </c>
      <c r="F1533">
        <v>40</v>
      </c>
      <c r="G1533" t="s">
        <v>125</v>
      </c>
      <c r="H1533" t="s">
        <v>125</v>
      </c>
      <c r="I1533" t="s">
        <v>82</v>
      </c>
      <c r="J1533" t="s">
        <v>125</v>
      </c>
      <c r="K1533" t="s">
        <v>125</v>
      </c>
      <c r="L1533" t="s">
        <v>125</v>
      </c>
      <c r="M1533" t="s">
        <v>2193</v>
      </c>
      <c r="N1533" t="b">
        <v>0</v>
      </c>
    </row>
    <row r="1534" spans="1:14">
      <c r="A1534">
        <v>103</v>
      </c>
      <c r="B1534">
        <v>3</v>
      </c>
      <c r="C1534" t="s">
        <v>186</v>
      </c>
      <c r="D1534" t="s">
        <v>723</v>
      </c>
      <c r="E1534" t="s">
        <v>92</v>
      </c>
      <c r="F1534">
        <v>50</v>
      </c>
      <c r="G1534" t="s">
        <v>125</v>
      </c>
      <c r="H1534" t="s">
        <v>125</v>
      </c>
      <c r="I1534" t="s">
        <v>92</v>
      </c>
      <c r="J1534" t="s">
        <v>125</v>
      </c>
      <c r="K1534" t="s">
        <v>125</v>
      </c>
      <c r="L1534" t="s">
        <v>125</v>
      </c>
      <c r="M1534" t="s">
        <v>2194</v>
      </c>
      <c r="N1534" t="b">
        <v>0</v>
      </c>
    </row>
    <row r="1535" spans="1:14">
      <c r="A1535">
        <v>103</v>
      </c>
      <c r="B1535">
        <v>4</v>
      </c>
      <c r="C1535" t="s">
        <v>187</v>
      </c>
      <c r="D1535" t="s">
        <v>723</v>
      </c>
      <c r="E1535" t="s">
        <v>98</v>
      </c>
      <c r="F1535">
        <v>50</v>
      </c>
      <c r="G1535" t="s">
        <v>125</v>
      </c>
      <c r="H1535" t="s">
        <v>125</v>
      </c>
      <c r="I1535" t="s">
        <v>98</v>
      </c>
      <c r="J1535" t="s">
        <v>125</v>
      </c>
      <c r="K1535" t="s">
        <v>125</v>
      </c>
      <c r="L1535" t="s">
        <v>125</v>
      </c>
      <c r="M1535" t="s">
        <v>2195</v>
      </c>
      <c r="N1535" t="b">
        <v>0</v>
      </c>
    </row>
    <row r="1536" spans="1:14">
      <c r="A1536">
        <v>103</v>
      </c>
      <c r="B1536">
        <v>5</v>
      </c>
      <c r="C1536" t="s">
        <v>188</v>
      </c>
      <c r="D1536" t="s">
        <v>723</v>
      </c>
      <c r="E1536" t="s">
        <v>100</v>
      </c>
      <c r="F1536">
        <v>50</v>
      </c>
      <c r="G1536" t="s">
        <v>125</v>
      </c>
      <c r="H1536" t="s">
        <v>125</v>
      </c>
      <c r="I1536" t="s">
        <v>100</v>
      </c>
      <c r="J1536" t="s">
        <v>125</v>
      </c>
      <c r="K1536" t="s">
        <v>125</v>
      </c>
      <c r="L1536" t="s">
        <v>125</v>
      </c>
      <c r="M1536" t="s">
        <v>2196</v>
      </c>
      <c r="N1536" t="b">
        <v>0</v>
      </c>
    </row>
    <row r="1537" spans="1:14">
      <c r="A1537">
        <v>103</v>
      </c>
      <c r="B1537">
        <v>6</v>
      </c>
      <c r="C1537" t="s">
        <v>435</v>
      </c>
      <c r="D1537" t="s">
        <v>723</v>
      </c>
      <c r="E1537" t="s">
        <v>296</v>
      </c>
      <c r="F1537">
        <v>50</v>
      </c>
      <c r="G1537" t="s">
        <v>125</v>
      </c>
      <c r="H1537" t="s">
        <v>1896</v>
      </c>
      <c r="I1537" t="s">
        <v>1897</v>
      </c>
      <c r="J1537" t="s">
        <v>125</v>
      </c>
      <c r="K1537" t="s">
        <v>761</v>
      </c>
      <c r="L1537" t="s">
        <v>762</v>
      </c>
      <c r="M1537" t="s">
        <v>2197</v>
      </c>
      <c r="N1537" t="b">
        <v>0</v>
      </c>
    </row>
    <row r="1538" spans="1:14">
      <c r="A1538">
        <v>103</v>
      </c>
      <c r="B1538">
        <v>7</v>
      </c>
      <c r="C1538" t="s">
        <v>189</v>
      </c>
      <c r="D1538" t="s">
        <v>723</v>
      </c>
      <c r="E1538" t="s">
        <v>108</v>
      </c>
      <c r="F1538">
        <v>30</v>
      </c>
      <c r="G1538" t="s">
        <v>125</v>
      </c>
      <c r="H1538" t="s">
        <v>125</v>
      </c>
      <c r="I1538" t="s">
        <v>108</v>
      </c>
      <c r="J1538" t="s">
        <v>125</v>
      </c>
      <c r="K1538" t="s">
        <v>125</v>
      </c>
      <c r="L1538" t="s">
        <v>125</v>
      </c>
      <c r="M1538" t="s">
        <v>2198</v>
      </c>
      <c r="N1538" t="b">
        <v>0</v>
      </c>
    </row>
    <row r="1539" spans="1:14">
      <c r="A1539">
        <v>103</v>
      </c>
      <c r="B1539">
        <v>8</v>
      </c>
      <c r="C1539" t="s">
        <v>197</v>
      </c>
      <c r="D1539" t="s">
        <v>723</v>
      </c>
      <c r="E1539" t="s">
        <v>112</v>
      </c>
      <c r="F1539">
        <v>50</v>
      </c>
      <c r="G1539" t="s">
        <v>125</v>
      </c>
      <c r="H1539" t="s">
        <v>125</v>
      </c>
      <c r="I1539" t="s">
        <v>112</v>
      </c>
      <c r="J1539" t="s">
        <v>125</v>
      </c>
      <c r="K1539" t="s">
        <v>125</v>
      </c>
      <c r="L1539" t="s">
        <v>125</v>
      </c>
      <c r="M1539" t="s">
        <v>2199</v>
      </c>
      <c r="N1539" t="b">
        <v>0</v>
      </c>
    </row>
    <row r="1540" spans="1:14">
      <c r="A1540">
        <v>103</v>
      </c>
      <c r="B1540">
        <v>9</v>
      </c>
      <c r="C1540" t="s">
        <v>190</v>
      </c>
      <c r="D1540" t="s">
        <v>723</v>
      </c>
      <c r="E1540" t="s">
        <v>114</v>
      </c>
      <c r="F1540">
        <v>60</v>
      </c>
      <c r="G1540" t="s">
        <v>125</v>
      </c>
      <c r="H1540" t="s">
        <v>125</v>
      </c>
      <c r="I1540" t="s">
        <v>114</v>
      </c>
      <c r="J1540" t="s">
        <v>125</v>
      </c>
      <c r="K1540" t="s">
        <v>125</v>
      </c>
      <c r="L1540" t="s">
        <v>125</v>
      </c>
      <c r="M1540" t="s">
        <v>2200</v>
      </c>
      <c r="N1540" t="b">
        <v>0</v>
      </c>
    </row>
    <row r="1541" spans="1:14">
      <c r="A1541">
        <v>103</v>
      </c>
      <c r="B1541">
        <v>10</v>
      </c>
      <c r="C1541" t="s">
        <v>191</v>
      </c>
      <c r="D1541" t="s">
        <v>723</v>
      </c>
      <c r="E1541" t="s">
        <v>60</v>
      </c>
      <c r="F1541">
        <v>30</v>
      </c>
      <c r="G1541" t="s">
        <v>125</v>
      </c>
      <c r="H1541" t="s">
        <v>125</v>
      </c>
      <c r="I1541" t="s">
        <v>60</v>
      </c>
      <c r="J1541" t="s">
        <v>125</v>
      </c>
      <c r="K1541" t="s">
        <v>125</v>
      </c>
      <c r="L1541" t="s">
        <v>125</v>
      </c>
      <c r="M1541" t="s">
        <v>2201</v>
      </c>
      <c r="N1541" t="b">
        <v>0</v>
      </c>
    </row>
    <row r="1542" spans="1:14">
      <c r="A1542">
        <v>103</v>
      </c>
      <c r="B1542">
        <v>11</v>
      </c>
      <c r="C1542" t="s">
        <v>192</v>
      </c>
      <c r="D1542" t="s">
        <v>723</v>
      </c>
      <c r="E1542" t="s">
        <v>77</v>
      </c>
      <c r="F1542">
        <v>50</v>
      </c>
      <c r="G1542" t="s">
        <v>125</v>
      </c>
      <c r="H1542" t="s">
        <v>125</v>
      </c>
      <c r="I1542" t="s">
        <v>77</v>
      </c>
      <c r="J1542" t="s">
        <v>125</v>
      </c>
      <c r="K1542" t="s">
        <v>125</v>
      </c>
      <c r="L1542" t="s">
        <v>125</v>
      </c>
      <c r="M1542" t="s">
        <v>2202</v>
      </c>
      <c r="N1542" t="b">
        <v>0</v>
      </c>
    </row>
    <row r="1543" spans="1:14">
      <c r="A1543">
        <v>103</v>
      </c>
      <c r="B1543">
        <v>12</v>
      </c>
      <c r="C1543" t="s">
        <v>193</v>
      </c>
      <c r="D1543" t="s">
        <v>723</v>
      </c>
      <c r="E1543" t="s">
        <v>97</v>
      </c>
      <c r="F1543">
        <v>50</v>
      </c>
      <c r="G1543" t="s">
        <v>125</v>
      </c>
      <c r="H1543" t="s">
        <v>125</v>
      </c>
      <c r="I1543" t="s">
        <v>97</v>
      </c>
      <c r="J1543" t="s">
        <v>125</v>
      </c>
      <c r="K1543" t="s">
        <v>125</v>
      </c>
      <c r="L1543" t="s">
        <v>125</v>
      </c>
      <c r="M1543" t="s">
        <v>2203</v>
      </c>
      <c r="N1543" t="b">
        <v>0</v>
      </c>
    </row>
    <row r="1544" spans="1:14">
      <c r="A1544">
        <v>103</v>
      </c>
      <c r="B1544">
        <v>13</v>
      </c>
      <c r="C1544" t="s">
        <v>291</v>
      </c>
      <c r="D1544" t="s">
        <v>723</v>
      </c>
      <c r="E1544" t="s">
        <v>106</v>
      </c>
      <c r="F1544">
        <v>60</v>
      </c>
      <c r="G1544" t="s">
        <v>125</v>
      </c>
      <c r="H1544" t="s">
        <v>125</v>
      </c>
      <c r="I1544" t="s">
        <v>106</v>
      </c>
      <c r="J1544" t="s">
        <v>125</v>
      </c>
      <c r="K1544" t="s">
        <v>125</v>
      </c>
      <c r="L1544" t="s">
        <v>125</v>
      </c>
      <c r="M1544" t="s">
        <v>2204</v>
      </c>
      <c r="N1544" t="b">
        <v>0</v>
      </c>
    </row>
    <row r="1545" spans="1:14">
      <c r="A1545">
        <v>103</v>
      </c>
      <c r="B1545">
        <v>14</v>
      </c>
      <c r="C1545" t="s">
        <v>194</v>
      </c>
      <c r="D1545" t="s">
        <v>723</v>
      </c>
      <c r="E1545" t="s">
        <v>107</v>
      </c>
      <c r="F1545">
        <v>60</v>
      </c>
      <c r="G1545" t="s">
        <v>125</v>
      </c>
      <c r="H1545" t="s">
        <v>125</v>
      </c>
      <c r="I1545" t="s">
        <v>107</v>
      </c>
      <c r="J1545" t="s">
        <v>125</v>
      </c>
      <c r="K1545" t="s">
        <v>125</v>
      </c>
      <c r="L1545" t="s">
        <v>125</v>
      </c>
      <c r="M1545" t="s">
        <v>2205</v>
      </c>
      <c r="N1545" t="b">
        <v>0</v>
      </c>
    </row>
    <row r="1546" spans="1:14">
      <c r="A1546">
        <v>103</v>
      </c>
      <c r="B1546">
        <v>15</v>
      </c>
      <c r="C1546" t="s">
        <v>125</v>
      </c>
      <c r="D1546" t="s">
        <v>723</v>
      </c>
      <c r="E1546" t="s">
        <v>125</v>
      </c>
      <c r="F1546">
        <v>0</v>
      </c>
      <c r="G1546" t="s">
        <v>125</v>
      </c>
      <c r="H1546" t="s">
        <v>125</v>
      </c>
      <c r="I1546" t="s">
        <v>125</v>
      </c>
      <c r="J1546" t="s">
        <v>125</v>
      </c>
      <c r="K1546" t="s">
        <v>125</v>
      </c>
      <c r="L1546" t="s">
        <v>125</v>
      </c>
      <c r="M1546" t="s">
        <v>2206</v>
      </c>
      <c r="N1546" t="b">
        <v>0</v>
      </c>
    </row>
    <row r="1547" spans="1:14">
      <c r="A1547">
        <v>103</v>
      </c>
      <c r="B1547">
        <v>16</v>
      </c>
      <c r="C1547" t="s">
        <v>125</v>
      </c>
      <c r="D1547" t="s">
        <v>740</v>
      </c>
      <c r="E1547" t="s">
        <v>125</v>
      </c>
      <c r="F1547">
        <v>0</v>
      </c>
      <c r="G1547" t="s">
        <v>125</v>
      </c>
      <c r="H1547" t="s">
        <v>125</v>
      </c>
      <c r="I1547" t="s">
        <v>125</v>
      </c>
      <c r="J1547" t="s">
        <v>125</v>
      </c>
      <c r="K1547" t="s">
        <v>125</v>
      </c>
      <c r="L1547" t="s">
        <v>125</v>
      </c>
      <c r="M1547" t="s">
        <v>2207</v>
      </c>
      <c r="N1547" t="b">
        <v>0</v>
      </c>
    </row>
    <row r="1548" spans="1:14">
      <c r="A1548">
        <v>103</v>
      </c>
      <c r="B1548">
        <v>17</v>
      </c>
      <c r="C1548" t="s">
        <v>125</v>
      </c>
      <c r="D1548" t="s">
        <v>740</v>
      </c>
      <c r="E1548" t="s">
        <v>125</v>
      </c>
      <c r="F1548">
        <v>0</v>
      </c>
      <c r="G1548" t="s">
        <v>125</v>
      </c>
      <c r="H1548" t="s">
        <v>125</v>
      </c>
      <c r="I1548" t="s">
        <v>125</v>
      </c>
      <c r="J1548" t="s">
        <v>125</v>
      </c>
      <c r="K1548" t="s">
        <v>125</v>
      </c>
      <c r="L1548" t="s">
        <v>125</v>
      </c>
      <c r="M1548" t="s">
        <v>2208</v>
      </c>
      <c r="N1548" t="b">
        <v>0</v>
      </c>
    </row>
    <row r="1549" spans="1:14">
      <c r="A1549">
        <v>103</v>
      </c>
      <c r="B1549">
        <v>18</v>
      </c>
      <c r="C1549" t="s">
        <v>125</v>
      </c>
      <c r="D1549" t="s">
        <v>740</v>
      </c>
      <c r="E1549" t="s">
        <v>125</v>
      </c>
      <c r="F1549">
        <v>0</v>
      </c>
      <c r="G1549" t="s">
        <v>125</v>
      </c>
      <c r="H1549" t="s">
        <v>125</v>
      </c>
      <c r="I1549" t="s">
        <v>125</v>
      </c>
      <c r="J1549" t="s">
        <v>125</v>
      </c>
      <c r="K1549" t="s">
        <v>125</v>
      </c>
      <c r="L1549" t="s">
        <v>125</v>
      </c>
      <c r="M1549" t="s">
        <v>2209</v>
      </c>
      <c r="N1549" t="b">
        <v>0</v>
      </c>
    </row>
    <row r="1550" spans="1:14">
      <c r="A1550">
        <v>103</v>
      </c>
      <c r="B1550">
        <v>19</v>
      </c>
      <c r="C1550" t="s">
        <v>125</v>
      </c>
      <c r="D1550" t="s">
        <v>740</v>
      </c>
      <c r="E1550" t="s">
        <v>125</v>
      </c>
      <c r="F1550">
        <v>0</v>
      </c>
      <c r="G1550" t="s">
        <v>125</v>
      </c>
      <c r="H1550" t="s">
        <v>125</v>
      </c>
      <c r="I1550" t="s">
        <v>125</v>
      </c>
      <c r="J1550" t="s">
        <v>125</v>
      </c>
      <c r="K1550" t="s">
        <v>125</v>
      </c>
      <c r="L1550" t="s">
        <v>125</v>
      </c>
      <c r="M1550" t="s">
        <v>2210</v>
      </c>
      <c r="N1550" t="b">
        <v>0</v>
      </c>
    </row>
    <row r="1551" spans="1:14">
      <c r="A1551">
        <v>103</v>
      </c>
      <c r="B1551">
        <v>20</v>
      </c>
      <c r="C1551" t="s">
        <v>125</v>
      </c>
      <c r="D1551" t="s">
        <v>740</v>
      </c>
      <c r="E1551" t="s">
        <v>125</v>
      </c>
      <c r="F1551">
        <v>0</v>
      </c>
      <c r="G1551" t="s">
        <v>125</v>
      </c>
      <c r="H1551" t="s">
        <v>125</v>
      </c>
      <c r="I1551" t="s">
        <v>125</v>
      </c>
      <c r="J1551" t="s">
        <v>125</v>
      </c>
      <c r="K1551" t="s">
        <v>125</v>
      </c>
      <c r="L1551" t="s">
        <v>125</v>
      </c>
      <c r="M1551" t="s">
        <v>2211</v>
      </c>
      <c r="N1551" t="b">
        <v>0</v>
      </c>
    </row>
    <row r="1552" spans="1:14">
      <c r="A1552">
        <v>103</v>
      </c>
      <c r="B1552">
        <v>21</v>
      </c>
      <c r="C1552" t="s">
        <v>125</v>
      </c>
      <c r="D1552" t="s">
        <v>740</v>
      </c>
      <c r="E1552" t="s">
        <v>125</v>
      </c>
      <c r="F1552">
        <v>0</v>
      </c>
      <c r="G1552" t="s">
        <v>125</v>
      </c>
      <c r="H1552" t="s">
        <v>125</v>
      </c>
      <c r="I1552" t="s">
        <v>125</v>
      </c>
      <c r="J1552" t="s">
        <v>125</v>
      </c>
      <c r="K1552" t="s">
        <v>125</v>
      </c>
      <c r="L1552" t="s">
        <v>125</v>
      </c>
      <c r="M1552" t="s">
        <v>2212</v>
      </c>
      <c r="N1552" t="b">
        <v>0</v>
      </c>
    </row>
    <row r="1553" spans="1:14">
      <c r="A1553">
        <v>103</v>
      </c>
      <c r="B1553">
        <v>22</v>
      </c>
      <c r="C1553" t="s">
        <v>125</v>
      </c>
      <c r="D1553" t="s">
        <v>740</v>
      </c>
      <c r="E1553" t="s">
        <v>125</v>
      </c>
      <c r="F1553">
        <v>0</v>
      </c>
      <c r="G1553" t="s">
        <v>125</v>
      </c>
      <c r="H1553" t="s">
        <v>125</v>
      </c>
      <c r="I1553" t="s">
        <v>125</v>
      </c>
      <c r="J1553" t="s">
        <v>125</v>
      </c>
      <c r="K1553" t="s">
        <v>125</v>
      </c>
      <c r="L1553" t="s">
        <v>125</v>
      </c>
      <c r="M1553" t="s">
        <v>2213</v>
      </c>
      <c r="N1553" t="b">
        <v>0</v>
      </c>
    </row>
    <row r="1554" spans="1:14">
      <c r="A1554">
        <v>103</v>
      </c>
      <c r="B1554">
        <v>23</v>
      </c>
      <c r="C1554" t="s">
        <v>125</v>
      </c>
      <c r="D1554" t="s">
        <v>740</v>
      </c>
      <c r="E1554" t="s">
        <v>125</v>
      </c>
      <c r="F1554">
        <v>0</v>
      </c>
      <c r="G1554" t="s">
        <v>125</v>
      </c>
      <c r="H1554" t="s">
        <v>125</v>
      </c>
      <c r="I1554" t="s">
        <v>125</v>
      </c>
      <c r="J1554" t="s">
        <v>125</v>
      </c>
      <c r="K1554" t="s">
        <v>125</v>
      </c>
      <c r="L1554" t="s">
        <v>125</v>
      </c>
      <c r="M1554" t="s">
        <v>2214</v>
      </c>
      <c r="N1554" t="b">
        <v>0</v>
      </c>
    </row>
    <row r="1555" spans="1:14">
      <c r="A1555">
        <v>103</v>
      </c>
      <c r="B1555">
        <v>24</v>
      </c>
      <c r="C1555" t="s">
        <v>125</v>
      </c>
      <c r="D1555" t="s">
        <v>740</v>
      </c>
      <c r="E1555" t="s">
        <v>125</v>
      </c>
      <c r="F1555">
        <v>0</v>
      </c>
      <c r="G1555" t="s">
        <v>125</v>
      </c>
      <c r="H1555" t="s">
        <v>125</v>
      </c>
      <c r="I1555" t="s">
        <v>125</v>
      </c>
      <c r="J1555" t="s">
        <v>125</v>
      </c>
      <c r="K1555" t="s">
        <v>125</v>
      </c>
      <c r="L1555" t="s">
        <v>125</v>
      </c>
      <c r="M1555" t="s">
        <v>2215</v>
      </c>
      <c r="N1555" t="b">
        <v>0</v>
      </c>
    </row>
    <row r="1556" spans="1:14">
      <c r="A1556">
        <v>103</v>
      </c>
      <c r="B1556">
        <v>25</v>
      </c>
      <c r="C1556" t="s">
        <v>125</v>
      </c>
      <c r="D1556" t="s">
        <v>740</v>
      </c>
      <c r="E1556" t="s">
        <v>125</v>
      </c>
      <c r="F1556">
        <v>0</v>
      </c>
      <c r="G1556" t="s">
        <v>125</v>
      </c>
      <c r="H1556" t="s">
        <v>125</v>
      </c>
      <c r="I1556" t="s">
        <v>125</v>
      </c>
      <c r="J1556" t="s">
        <v>125</v>
      </c>
      <c r="K1556" t="s">
        <v>125</v>
      </c>
      <c r="L1556" t="s">
        <v>125</v>
      </c>
      <c r="M1556" t="s">
        <v>2216</v>
      </c>
      <c r="N1556" t="b">
        <v>0</v>
      </c>
    </row>
    <row r="1557" spans="1:14">
      <c r="A1557">
        <v>103</v>
      </c>
      <c r="B1557">
        <v>26</v>
      </c>
      <c r="C1557" t="s">
        <v>125</v>
      </c>
      <c r="D1557" t="s">
        <v>740</v>
      </c>
      <c r="E1557" t="s">
        <v>125</v>
      </c>
      <c r="F1557">
        <v>0</v>
      </c>
      <c r="G1557" t="s">
        <v>125</v>
      </c>
      <c r="H1557" t="s">
        <v>125</v>
      </c>
      <c r="I1557" t="s">
        <v>125</v>
      </c>
      <c r="J1557" t="s">
        <v>125</v>
      </c>
      <c r="K1557" t="s">
        <v>125</v>
      </c>
      <c r="L1557" t="s">
        <v>125</v>
      </c>
      <c r="M1557" t="s">
        <v>2217</v>
      </c>
      <c r="N1557" t="b">
        <v>0</v>
      </c>
    </row>
    <row r="1558" spans="1:14">
      <c r="A1558">
        <v>104</v>
      </c>
      <c r="B1558">
        <v>0</v>
      </c>
      <c r="C1558" t="s">
        <v>215</v>
      </c>
      <c r="D1558" t="s">
        <v>723</v>
      </c>
      <c r="E1558" t="s">
        <v>64</v>
      </c>
      <c r="F1558">
        <v>60</v>
      </c>
      <c r="G1558" t="s">
        <v>125</v>
      </c>
      <c r="H1558" t="s">
        <v>125</v>
      </c>
      <c r="I1558" t="s">
        <v>64</v>
      </c>
      <c r="J1558" t="s">
        <v>125</v>
      </c>
      <c r="K1558" t="s">
        <v>125</v>
      </c>
      <c r="L1558" t="s">
        <v>125</v>
      </c>
      <c r="M1558" t="s">
        <v>2218</v>
      </c>
      <c r="N1558" t="b">
        <v>0</v>
      </c>
    </row>
    <row r="1559" spans="1:14">
      <c r="A1559">
        <v>104</v>
      </c>
      <c r="B1559">
        <v>1</v>
      </c>
      <c r="C1559" t="s">
        <v>225</v>
      </c>
      <c r="D1559" t="s">
        <v>723</v>
      </c>
      <c r="E1559" t="s">
        <v>76</v>
      </c>
      <c r="F1559">
        <v>50</v>
      </c>
      <c r="G1559" t="s">
        <v>125</v>
      </c>
      <c r="H1559" t="s">
        <v>125</v>
      </c>
      <c r="I1559" t="s">
        <v>76</v>
      </c>
      <c r="J1559" t="s">
        <v>125</v>
      </c>
      <c r="K1559" t="s">
        <v>125</v>
      </c>
      <c r="L1559" t="s">
        <v>125</v>
      </c>
      <c r="M1559" t="s">
        <v>2219</v>
      </c>
      <c r="N1559" t="b">
        <v>0</v>
      </c>
    </row>
    <row r="1560" spans="1:14">
      <c r="A1560">
        <v>104</v>
      </c>
      <c r="B1560">
        <v>2</v>
      </c>
      <c r="C1560" t="s">
        <v>267</v>
      </c>
      <c r="D1560" t="s">
        <v>723</v>
      </c>
      <c r="E1560" t="s">
        <v>82</v>
      </c>
      <c r="F1560">
        <v>30</v>
      </c>
      <c r="G1560" t="s">
        <v>125</v>
      </c>
      <c r="H1560" t="s">
        <v>125</v>
      </c>
      <c r="I1560" t="s">
        <v>82</v>
      </c>
      <c r="J1560" t="s">
        <v>125</v>
      </c>
      <c r="K1560" t="s">
        <v>125</v>
      </c>
      <c r="L1560" t="s">
        <v>125</v>
      </c>
      <c r="M1560" t="s">
        <v>2220</v>
      </c>
      <c r="N1560" t="b">
        <v>0</v>
      </c>
    </row>
    <row r="1561" spans="1:14">
      <c r="A1561">
        <v>104</v>
      </c>
      <c r="B1561">
        <v>3</v>
      </c>
      <c r="C1561" t="s">
        <v>238</v>
      </c>
      <c r="D1561" t="s">
        <v>723</v>
      </c>
      <c r="E1561" t="s">
        <v>543</v>
      </c>
      <c r="F1561">
        <v>40</v>
      </c>
      <c r="G1561" t="s">
        <v>125</v>
      </c>
      <c r="H1561" t="s">
        <v>556</v>
      </c>
      <c r="I1561" t="s">
        <v>485</v>
      </c>
      <c r="J1561" t="s">
        <v>125</v>
      </c>
      <c r="K1561" t="s">
        <v>791</v>
      </c>
      <c r="L1561" t="s">
        <v>792</v>
      </c>
      <c r="M1561" t="s">
        <v>2221</v>
      </c>
      <c r="N1561" t="b">
        <v>0</v>
      </c>
    </row>
    <row r="1562" spans="1:14">
      <c r="A1562">
        <v>104</v>
      </c>
      <c r="B1562">
        <v>4</v>
      </c>
      <c r="C1562" t="s">
        <v>247</v>
      </c>
      <c r="D1562" t="s">
        <v>723</v>
      </c>
      <c r="E1562" t="s">
        <v>92</v>
      </c>
      <c r="F1562">
        <v>40</v>
      </c>
      <c r="G1562" t="s">
        <v>125</v>
      </c>
      <c r="H1562" t="s">
        <v>125</v>
      </c>
      <c r="I1562" t="s">
        <v>92</v>
      </c>
      <c r="J1562" t="s">
        <v>125</v>
      </c>
      <c r="K1562" t="s">
        <v>125</v>
      </c>
      <c r="L1562" t="s">
        <v>125</v>
      </c>
      <c r="M1562" t="s">
        <v>2222</v>
      </c>
      <c r="N1562" t="b">
        <v>0</v>
      </c>
    </row>
    <row r="1563" spans="1:14">
      <c r="A1563">
        <v>104</v>
      </c>
      <c r="B1563">
        <v>5</v>
      </c>
      <c r="C1563" t="s">
        <v>228</v>
      </c>
      <c r="D1563" t="s">
        <v>723</v>
      </c>
      <c r="E1563" t="s">
        <v>100</v>
      </c>
      <c r="F1563">
        <v>40</v>
      </c>
      <c r="G1563" t="s">
        <v>125</v>
      </c>
      <c r="H1563" t="s">
        <v>125</v>
      </c>
      <c r="I1563" t="s">
        <v>100</v>
      </c>
      <c r="J1563" t="s">
        <v>125</v>
      </c>
      <c r="K1563" t="s">
        <v>125</v>
      </c>
      <c r="L1563" t="s">
        <v>125</v>
      </c>
      <c r="M1563" t="s">
        <v>2223</v>
      </c>
      <c r="N1563" t="b">
        <v>0</v>
      </c>
    </row>
    <row r="1564" spans="1:14">
      <c r="A1564">
        <v>104</v>
      </c>
      <c r="B1564">
        <v>6</v>
      </c>
      <c r="C1564" t="s">
        <v>197</v>
      </c>
      <c r="D1564" t="s">
        <v>723</v>
      </c>
      <c r="E1564" t="s">
        <v>112</v>
      </c>
      <c r="F1564">
        <v>50</v>
      </c>
      <c r="G1564" t="s">
        <v>125</v>
      </c>
      <c r="H1564" t="s">
        <v>125</v>
      </c>
      <c r="I1564" t="s">
        <v>112</v>
      </c>
      <c r="J1564" t="s">
        <v>125</v>
      </c>
      <c r="K1564" t="s">
        <v>125</v>
      </c>
      <c r="L1564" t="s">
        <v>125</v>
      </c>
      <c r="M1564" t="s">
        <v>2224</v>
      </c>
      <c r="N1564" t="b">
        <v>0</v>
      </c>
    </row>
    <row r="1565" spans="1:14">
      <c r="A1565">
        <v>104</v>
      </c>
      <c r="B1565">
        <v>7</v>
      </c>
      <c r="C1565" t="s">
        <v>181</v>
      </c>
      <c r="D1565" t="s">
        <v>723</v>
      </c>
      <c r="E1565" t="s">
        <v>60</v>
      </c>
      <c r="F1565">
        <v>40</v>
      </c>
      <c r="G1565" t="s">
        <v>125</v>
      </c>
      <c r="H1565" t="s">
        <v>125</v>
      </c>
      <c r="I1565" t="s">
        <v>60</v>
      </c>
      <c r="J1565" t="s">
        <v>125</v>
      </c>
      <c r="K1565" t="s">
        <v>125</v>
      </c>
      <c r="L1565" t="s">
        <v>125</v>
      </c>
      <c r="M1565" t="s">
        <v>2225</v>
      </c>
      <c r="N1565" t="b">
        <v>0</v>
      </c>
    </row>
    <row r="1566" spans="1:14">
      <c r="A1566">
        <v>104</v>
      </c>
      <c r="B1566">
        <v>8</v>
      </c>
      <c r="C1566" t="s">
        <v>381</v>
      </c>
      <c r="D1566" t="s">
        <v>723</v>
      </c>
      <c r="E1566" t="s">
        <v>330</v>
      </c>
      <c r="F1566">
        <v>50</v>
      </c>
      <c r="G1566" t="s">
        <v>125</v>
      </c>
      <c r="H1566" t="s">
        <v>557</v>
      </c>
      <c r="I1566" t="s">
        <v>476</v>
      </c>
      <c r="J1566" t="s">
        <v>125</v>
      </c>
      <c r="K1566" t="s">
        <v>920</v>
      </c>
      <c r="L1566" t="s">
        <v>921</v>
      </c>
      <c r="M1566" t="s">
        <v>2226</v>
      </c>
      <c r="N1566" t="b">
        <v>0</v>
      </c>
    </row>
    <row r="1567" spans="1:14">
      <c r="A1567">
        <v>104</v>
      </c>
      <c r="B1567">
        <v>9</v>
      </c>
      <c r="C1567" t="s">
        <v>166</v>
      </c>
      <c r="D1567" t="s">
        <v>723</v>
      </c>
      <c r="E1567" t="s">
        <v>73</v>
      </c>
      <c r="F1567">
        <v>50</v>
      </c>
      <c r="G1567" t="s">
        <v>125</v>
      </c>
      <c r="H1567" t="s">
        <v>125</v>
      </c>
      <c r="I1567" t="s">
        <v>73</v>
      </c>
      <c r="J1567" t="s">
        <v>125</v>
      </c>
      <c r="K1567" t="s">
        <v>125</v>
      </c>
      <c r="L1567" t="s">
        <v>125</v>
      </c>
      <c r="M1567" t="s">
        <v>2227</v>
      </c>
      <c r="N1567" t="b">
        <v>0</v>
      </c>
    </row>
    <row r="1568" spans="1:14">
      <c r="A1568">
        <v>104</v>
      </c>
      <c r="B1568">
        <v>10</v>
      </c>
      <c r="C1568" t="s">
        <v>489</v>
      </c>
      <c r="D1568" t="s">
        <v>723</v>
      </c>
      <c r="E1568" t="s">
        <v>357</v>
      </c>
      <c r="F1568">
        <v>60</v>
      </c>
      <c r="G1568" t="s">
        <v>125</v>
      </c>
      <c r="H1568" t="s">
        <v>562</v>
      </c>
      <c r="I1568" t="s">
        <v>1622</v>
      </c>
      <c r="J1568" t="s">
        <v>125</v>
      </c>
      <c r="K1568" t="s">
        <v>1163</v>
      </c>
      <c r="L1568" t="s">
        <v>1164</v>
      </c>
      <c r="M1568" t="s">
        <v>2228</v>
      </c>
      <c r="N1568" t="b">
        <v>0</v>
      </c>
    </row>
    <row r="1569" spans="1:14">
      <c r="A1569">
        <v>104</v>
      </c>
      <c r="B1569">
        <v>11</v>
      </c>
      <c r="C1569" t="s">
        <v>269</v>
      </c>
      <c r="D1569" t="s">
        <v>723</v>
      </c>
      <c r="E1569" t="s">
        <v>544</v>
      </c>
      <c r="F1569">
        <v>40</v>
      </c>
      <c r="G1569" t="s">
        <v>125</v>
      </c>
      <c r="H1569" t="s">
        <v>582</v>
      </c>
      <c r="I1569" t="s">
        <v>495</v>
      </c>
      <c r="J1569" t="s">
        <v>125</v>
      </c>
      <c r="K1569" t="s">
        <v>800</v>
      </c>
      <c r="L1569" t="s">
        <v>801</v>
      </c>
      <c r="M1569" t="s">
        <v>2229</v>
      </c>
      <c r="N1569" t="b">
        <v>0</v>
      </c>
    </row>
    <row r="1570" spans="1:14">
      <c r="A1570">
        <v>104</v>
      </c>
      <c r="B1570">
        <v>12</v>
      </c>
      <c r="C1570" t="s">
        <v>490</v>
      </c>
      <c r="D1570" t="s">
        <v>723</v>
      </c>
      <c r="E1570" t="s">
        <v>97</v>
      </c>
      <c r="F1570">
        <v>30</v>
      </c>
      <c r="G1570" t="s">
        <v>125</v>
      </c>
      <c r="H1570" t="s">
        <v>125</v>
      </c>
      <c r="I1570" t="s">
        <v>97</v>
      </c>
      <c r="J1570" t="s">
        <v>125</v>
      </c>
      <c r="K1570" t="s">
        <v>125</v>
      </c>
      <c r="L1570" t="s">
        <v>125</v>
      </c>
      <c r="M1570" t="s">
        <v>2230</v>
      </c>
      <c r="N1570" t="b">
        <v>0</v>
      </c>
    </row>
    <row r="1571" spans="1:14">
      <c r="A1571">
        <v>104</v>
      </c>
      <c r="B1571">
        <v>13</v>
      </c>
      <c r="C1571" t="s">
        <v>291</v>
      </c>
      <c r="D1571" t="s">
        <v>723</v>
      </c>
      <c r="E1571" t="s">
        <v>106</v>
      </c>
      <c r="F1571">
        <v>60</v>
      </c>
      <c r="G1571" t="s">
        <v>125</v>
      </c>
      <c r="H1571" t="s">
        <v>125</v>
      </c>
      <c r="I1571" t="s">
        <v>106</v>
      </c>
      <c r="J1571" t="s">
        <v>125</v>
      </c>
      <c r="K1571" t="s">
        <v>125</v>
      </c>
      <c r="L1571" t="s">
        <v>125</v>
      </c>
      <c r="M1571" t="s">
        <v>2231</v>
      </c>
      <c r="N1571" t="b">
        <v>0</v>
      </c>
    </row>
    <row r="1572" spans="1:14">
      <c r="A1572">
        <v>104</v>
      </c>
      <c r="B1572">
        <v>14</v>
      </c>
      <c r="C1572" t="s">
        <v>125</v>
      </c>
      <c r="D1572" t="s">
        <v>723</v>
      </c>
      <c r="E1572" t="s">
        <v>125</v>
      </c>
      <c r="F1572">
        <v>0</v>
      </c>
      <c r="G1572" t="s">
        <v>125</v>
      </c>
      <c r="H1572" t="s">
        <v>125</v>
      </c>
      <c r="I1572" t="s">
        <v>125</v>
      </c>
      <c r="J1572" t="s">
        <v>125</v>
      </c>
      <c r="K1572" t="s">
        <v>125</v>
      </c>
      <c r="L1572" t="s">
        <v>125</v>
      </c>
      <c r="M1572" t="s">
        <v>2232</v>
      </c>
      <c r="N1572" t="b">
        <v>0</v>
      </c>
    </row>
    <row r="1573" spans="1:14">
      <c r="A1573">
        <v>104</v>
      </c>
      <c r="B1573">
        <v>15</v>
      </c>
      <c r="C1573" t="s">
        <v>125</v>
      </c>
      <c r="D1573" t="s">
        <v>723</v>
      </c>
      <c r="E1573" t="s">
        <v>125</v>
      </c>
      <c r="F1573">
        <v>0</v>
      </c>
      <c r="G1573" t="s">
        <v>125</v>
      </c>
      <c r="H1573" t="s">
        <v>125</v>
      </c>
      <c r="I1573" t="s">
        <v>125</v>
      </c>
      <c r="J1573" t="s">
        <v>125</v>
      </c>
      <c r="K1573" t="s">
        <v>125</v>
      </c>
      <c r="L1573" t="s">
        <v>125</v>
      </c>
      <c r="M1573" t="s">
        <v>2233</v>
      </c>
      <c r="N1573" t="b">
        <v>0</v>
      </c>
    </row>
    <row r="1574" spans="1:14">
      <c r="A1574">
        <v>104</v>
      </c>
      <c r="B1574">
        <v>16</v>
      </c>
      <c r="C1574" t="s">
        <v>125</v>
      </c>
      <c r="D1574" t="s">
        <v>740</v>
      </c>
      <c r="E1574" t="s">
        <v>125</v>
      </c>
      <c r="F1574">
        <v>0</v>
      </c>
      <c r="G1574" t="s">
        <v>125</v>
      </c>
      <c r="H1574" t="s">
        <v>125</v>
      </c>
      <c r="I1574" t="s">
        <v>125</v>
      </c>
      <c r="J1574" t="s">
        <v>125</v>
      </c>
      <c r="K1574" t="s">
        <v>125</v>
      </c>
      <c r="L1574" t="s">
        <v>125</v>
      </c>
      <c r="M1574" t="s">
        <v>2234</v>
      </c>
      <c r="N1574" t="b">
        <v>0</v>
      </c>
    </row>
    <row r="1575" spans="1:14">
      <c r="A1575">
        <v>104</v>
      </c>
      <c r="B1575">
        <v>17</v>
      </c>
      <c r="C1575" t="s">
        <v>125</v>
      </c>
      <c r="D1575" t="s">
        <v>740</v>
      </c>
      <c r="E1575" t="s">
        <v>125</v>
      </c>
      <c r="F1575">
        <v>0</v>
      </c>
      <c r="G1575" t="s">
        <v>125</v>
      </c>
      <c r="H1575" t="s">
        <v>125</v>
      </c>
      <c r="I1575" t="s">
        <v>125</v>
      </c>
      <c r="J1575" t="s">
        <v>125</v>
      </c>
      <c r="K1575" t="s">
        <v>125</v>
      </c>
      <c r="L1575" t="s">
        <v>125</v>
      </c>
      <c r="M1575" t="s">
        <v>2235</v>
      </c>
      <c r="N1575" t="b">
        <v>0</v>
      </c>
    </row>
    <row r="1576" spans="1:14">
      <c r="A1576">
        <v>104</v>
      </c>
      <c r="B1576">
        <v>18</v>
      </c>
      <c r="C1576" t="s">
        <v>125</v>
      </c>
      <c r="D1576" t="s">
        <v>740</v>
      </c>
      <c r="E1576" t="s">
        <v>125</v>
      </c>
      <c r="F1576">
        <v>0</v>
      </c>
      <c r="G1576" t="s">
        <v>125</v>
      </c>
      <c r="H1576" t="s">
        <v>125</v>
      </c>
      <c r="I1576" t="s">
        <v>125</v>
      </c>
      <c r="J1576" t="s">
        <v>125</v>
      </c>
      <c r="K1576" t="s">
        <v>125</v>
      </c>
      <c r="L1576" t="s">
        <v>125</v>
      </c>
      <c r="M1576" t="s">
        <v>2236</v>
      </c>
      <c r="N1576" t="b">
        <v>0</v>
      </c>
    </row>
    <row r="1577" spans="1:14">
      <c r="A1577">
        <v>104</v>
      </c>
      <c r="B1577">
        <v>19</v>
      </c>
      <c r="C1577" t="s">
        <v>125</v>
      </c>
      <c r="D1577" t="s">
        <v>740</v>
      </c>
      <c r="E1577" t="s">
        <v>125</v>
      </c>
      <c r="F1577">
        <v>0</v>
      </c>
      <c r="G1577" t="s">
        <v>125</v>
      </c>
      <c r="H1577" t="s">
        <v>125</v>
      </c>
      <c r="I1577" t="s">
        <v>125</v>
      </c>
      <c r="J1577" t="s">
        <v>125</v>
      </c>
      <c r="K1577" t="s">
        <v>125</v>
      </c>
      <c r="L1577" t="s">
        <v>125</v>
      </c>
      <c r="M1577" t="s">
        <v>2237</v>
      </c>
      <c r="N1577" t="b">
        <v>0</v>
      </c>
    </row>
    <row r="1578" spans="1:14">
      <c r="A1578">
        <v>104</v>
      </c>
      <c r="B1578">
        <v>20</v>
      </c>
      <c r="C1578" t="s">
        <v>125</v>
      </c>
      <c r="D1578" t="s">
        <v>740</v>
      </c>
      <c r="E1578" t="s">
        <v>125</v>
      </c>
      <c r="F1578">
        <v>0</v>
      </c>
      <c r="G1578" t="s">
        <v>125</v>
      </c>
      <c r="H1578" t="s">
        <v>125</v>
      </c>
      <c r="I1578" t="s">
        <v>125</v>
      </c>
      <c r="J1578" t="s">
        <v>125</v>
      </c>
      <c r="K1578" t="s">
        <v>125</v>
      </c>
      <c r="L1578" t="s">
        <v>125</v>
      </c>
      <c r="M1578" t="s">
        <v>2238</v>
      </c>
      <c r="N1578" t="b">
        <v>0</v>
      </c>
    </row>
    <row r="1579" spans="1:14">
      <c r="A1579">
        <v>104</v>
      </c>
      <c r="B1579">
        <v>21</v>
      </c>
      <c r="C1579" t="s">
        <v>125</v>
      </c>
      <c r="D1579" t="s">
        <v>740</v>
      </c>
      <c r="E1579" t="s">
        <v>125</v>
      </c>
      <c r="F1579">
        <v>0</v>
      </c>
      <c r="G1579" t="s">
        <v>125</v>
      </c>
      <c r="H1579" t="s">
        <v>125</v>
      </c>
      <c r="I1579" t="s">
        <v>125</v>
      </c>
      <c r="J1579" t="s">
        <v>125</v>
      </c>
      <c r="K1579" t="s">
        <v>125</v>
      </c>
      <c r="L1579" t="s">
        <v>125</v>
      </c>
      <c r="M1579" t="s">
        <v>2239</v>
      </c>
      <c r="N1579" t="b">
        <v>0</v>
      </c>
    </row>
    <row r="1580" spans="1:14">
      <c r="A1580">
        <v>104</v>
      </c>
      <c r="B1580">
        <v>22</v>
      </c>
      <c r="C1580" t="s">
        <v>125</v>
      </c>
      <c r="D1580" t="s">
        <v>740</v>
      </c>
      <c r="E1580" t="s">
        <v>125</v>
      </c>
      <c r="F1580">
        <v>0</v>
      </c>
      <c r="G1580" t="s">
        <v>125</v>
      </c>
      <c r="H1580" t="s">
        <v>125</v>
      </c>
      <c r="I1580" t="s">
        <v>125</v>
      </c>
      <c r="J1580" t="s">
        <v>125</v>
      </c>
      <c r="K1580" t="s">
        <v>125</v>
      </c>
      <c r="L1580" t="s">
        <v>125</v>
      </c>
      <c r="M1580" t="s">
        <v>2240</v>
      </c>
      <c r="N1580" t="b">
        <v>0</v>
      </c>
    </row>
    <row r="1581" spans="1:14">
      <c r="A1581">
        <v>104</v>
      </c>
      <c r="B1581">
        <v>23</v>
      </c>
      <c r="C1581" t="s">
        <v>125</v>
      </c>
      <c r="D1581" t="s">
        <v>740</v>
      </c>
      <c r="E1581" t="s">
        <v>125</v>
      </c>
      <c r="F1581">
        <v>0</v>
      </c>
      <c r="G1581" t="s">
        <v>125</v>
      </c>
      <c r="H1581" t="s">
        <v>125</v>
      </c>
      <c r="I1581" t="s">
        <v>125</v>
      </c>
      <c r="J1581" t="s">
        <v>125</v>
      </c>
      <c r="K1581" t="s">
        <v>125</v>
      </c>
      <c r="L1581" t="s">
        <v>125</v>
      </c>
      <c r="M1581" t="s">
        <v>2241</v>
      </c>
      <c r="N1581" t="b">
        <v>0</v>
      </c>
    </row>
    <row r="1582" spans="1:14">
      <c r="A1582">
        <v>104</v>
      </c>
      <c r="B1582">
        <v>24</v>
      </c>
      <c r="C1582" t="s">
        <v>125</v>
      </c>
      <c r="D1582" t="s">
        <v>740</v>
      </c>
      <c r="E1582" t="s">
        <v>125</v>
      </c>
      <c r="F1582">
        <v>0</v>
      </c>
      <c r="G1582" t="s">
        <v>125</v>
      </c>
      <c r="H1582" t="s">
        <v>125</v>
      </c>
      <c r="I1582" t="s">
        <v>125</v>
      </c>
      <c r="J1582" t="s">
        <v>125</v>
      </c>
      <c r="K1582" t="s">
        <v>125</v>
      </c>
      <c r="L1582" t="s">
        <v>125</v>
      </c>
      <c r="M1582" t="s">
        <v>2242</v>
      </c>
      <c r="N1582" t="b">
        <v>0</v>
      </c>
    </row>
    <row r="1583" spans="1:14">
      <c r="A1583">
        <v>104</v>
      </c>
      <c r="B1583">
        <v>25</v>
      </c>
      <c r="C1583" t="s">
        <v>125</v>
      </c>
      <c r="D1583" t="s">
        <v>740</v>
      </c>
      <c r="E1583" t="s">
        <v>125</v>
      </c>
      <c r="F1583">
        <v>0</v>
      </c>
      <c r="G1583" t="s">
        <v>125</v>
      </c>
      <c r="H1583" t="s">
        <v>125</v>
      </c>
      <c r="I1583" t="s">
        <v>125</v>
      </c>
      <c r="J1583" t="s">
        <v>125</v>
      </c>
      <c r="K1583" t="s">
        <v>125</v>
      </c>
      <c r="L1583" t="s">
        <v>125</v>
      </c>
      <c r="M1583" t="s">
        <v>2243</v>
      </c>
      <c r="N1583" t="b">
        <v>0</v>
      </c>
    </row>
    <row r="1584" spans="1:14">
      <c r="A1584">
        <v>104</v>
      </c>
      <c r="B1584">
        <v>26</v>
      </c>
      <c r="C1584" t="s">
        <v>125</v>
      </c>
      <c r="D1584" t="s">
        <v>740</v>
      </c>
      <c r="E1584" t="s">
        <v>125</v>
      </c>
      <c r="F1584">
        <v>0</v>
      </c>
      <c r="G1584" t="s">
        <v>125</v>
      </c>
      <c r="H1584" t="s">
        <v>125</v>
      </c>
      <c r="I1584" t="s">
        <v>125</v>
      </c>
      <c r="J1584" t="s">
        <v>125</v>
      </c>
      <c r="K1584" t="s">
        <v>125</v>
      </c>
      <c r="L1584" t="s">
        <v>125</v>
      </c>
      <c r="M1584" t="s">
        <v>2244</v>
      </c>
      <c r="N1584" t="b">
        <v>0</v>
      </c>
    </row>
    <row r="1585" spans="1:14">
      <c r="A1585">
        <v>105</v>
      </c>
      <c r="B1585">
        <v>0</v>
      </c>
      <c r="C1585" t="s">
        <v>215</v>
      </c>
      <c r="D1585" t="s">
        <v>723</v>
      </c>
      <c r="E1585" t="s">
        <v>64</v>
      </c>
      <c r="F1585">
        <v>60</v>
      </c>
      <c r="G1585" t="s">
        <v>125</v>
      </c>
      <c r="H1585" t="s">
        <v>125</v>
      </c>
      <c r="I1585" t="s">
        <v>64</v>
      </c>
      <c r="J1585" t="s">
        <v>125</v>
      </c>
      <c r="K1585" t="s">
        <v>125</v>
      </c>
      <c r="L1585" t="s">
        <v>125</v>
      </c>
      <c r="M1585" t="s">
        <v>2245</v>
      </c>
      <c r="N1585" t="b">
        <v>0</v>
      </c>
    </row>
    <row r="1586" spans="1:14">
      <c r="A1586">
        <v>105</v>
      </c>
      <c r="B1586">
        <v>1</v>
      </c>
      <c r="C1586" t="s">
        <v>216</v>
      </c>
      <c r="D1586" t="s">
        <v>723</v>
      </c>
      <c r="E1586" t="s">
        <v>76</v>
      </c>
      <c r="F1586">
        <v>60</v>
      </c>
      <c r="G1586" t="s">
        <v>125</v>
      </c>
      <c r="H1586" t="s">
        <v>125</v>
      </c>
      <c r="I1586" t="s">
        <v>76</v>
      </c>
      <c r="J1586" t="s">
        <v>125</v>
      </c>
      <c r="K1586" t="s">
        <v>125</v>
      </c>
      <c r="L1586" t="s">
        <v>125</v>
      </c>
      <c r="M1586" t="s">
        <v>2246</v>
      </c>
      <c r="N1586" t="b">
        <v>0</v>
      </c>
    </row>
    <row r="1587" spans="1:14">
      <c r="A1587">
        <v>105</v>
      </c>
      <c r="B1587">
        <v>2</v>
      </c>
      <c r="C1587" t="s">
        <v>217</v>
      </c>
      <c r="D1587" t="s">
        <v>723</v>
      </c>
      <c r="E1587" t="s">
        <v>94</v>
      </c>
      <c r="F1587">
        <v>40</v>
      </c>
      <c r="G1587" t="s">
        <v>125</v>
      </c>
      <c r="H1587" t="s">
        <v>125</v>
      </c>
      <c r="I1587" t="s">
        <v>94</v>
      </c>
      <c r="J1587" t="s">
        <v>125</v>
      </c>
      <c r="K1587" t="s">
        <v>125</v>
      </c>
      <c r="L1587" t="s">
        <v>125</v>
      </c>
      <c r="M1587" t="s">
        <v>2247</v>
      </c>
      <c r="N1587" t="b">
        <v>0</v>
      </c>
    </row>
    <row r="1588" spans="1:14">
      <c r="A1588">
        <v>105</v>
      </c>
      <c r="B1588">
        <v>3</v>
      </c>
      <c r="C1588" t="s">
        <v>455</v>
      </c>
      <c r="D1588" t="s">
        <v>723</v>
      </c>
      <c r="E1588" t="s">
        <v>96</v>
      </c>
      <c r="F1588">
        <v>60</v>
      </c>
      <c r="G1588" t="s">
        <v>125</v>
      </c>
      <c r="H1588" t="s">
        <v>125</v>
      </c>
      <c r="I1588" t="s">
        <v>96</v>
      </c>
      <c r="J1588" t="s">
        <v>125</v>
      </c>
      <c r="K1588" t="s">
        <v>125</v>
      </c>
      <c r="L1588" t="s">
        <v>125</v>
      </c>
      <c r="M1588" t="s">
        <v>2248</v>
      </c>
      <c r="N1588" t="b">
        <v>0</v>
      </c>
    </row>
    <row r="1589" spans="1:14">
      <c r="A1589">
        <v>105</v>
      </c>
      <c r="B1589">
        <v>4</v>
      </c>
      <c r="C1589" t="s">
        <v>218</v>
      </c>
      <c r="D1589" t="s">
        <v>723</v>
      </c>
      <c r="E1589" t="s">
        <v>100</v>
      </c>
      <c r="F1589">
        <v>60</v>
      </c>
      <c r="G1589" t="s">
        <v>125</v>
      </c>
      <c r="H1589" t="s">
        <v>125</v>
      </c>
      <c r="I1589" t="s">
        <v>100</v>
      </c>
      <c r="J1589" t="s">
        <v>125</v>
      </c>
      <c r="K1589" t="s">
        <v>125</v>
      </c>
      <c r="L1589" t="s">
        <v>125</v>
      </c>
      <c r="M1589" t="s">
        <v>2249</v>
      </c>
      <c r="N1589" t="b">
        <v>0</v>
      </c>
    </row>
    <row r="1590" spans="1:14">
      <c r="A1590">
        <v>105</v>
      </c>
      <c r="B1590">
        <v>5</v>
      </c>
      <c r="C1590" t="s">
        <v>197</v>
      </c>
      <c r="D1590" t="s">
        <v>723</v>
      </c>
      <c r="E1590" t="s">
        <v>112</v>
      </c>
      <c r="F1590">
        <v>50</v>
      </c>
      <c r="G1590" t="s">
        <v>125</v>
      </c>
      <c r="H1590" t="s">
        <v>125</v>
      </c>
      <c r="I1590" t="s">
        <v>112</v>
      </c>
      <c r="J1590" t="s">
        <v>125</v>
      </c>
      <c r="K1590" t="s">
        <v>125</v>
      </c>
      <c r="L1590" t="s">
        <v>125</v>
      </c>
      <c r="M1590" t="s">
        <v>2250</v>
      </c>
      <c r="N1590" t="b">
        <v>0</v>
      </c>
    </row>
    <row r="1591" spans="1:14">
      <c r="A1591">
        <v>105</v>
      </c>
      <c r="B1591">
        <v>6</v>
      </c>
      <c r="C1591" t="s">
        <v>219</v>
      </c>
      <c r="D1591" t="s">
        <v>723</v>
      </c>
      <c r="E1591" t="s">
        <v>67</v>
      </c>
      <c r="F1591">
        <v>50</v>
      </c>
      <c r="G1591" t="s">
        <v>125</v>
      </c>
      <c r="H1591" t="s">
        <v>125</v>
      </c>
      <c r="I1591" t="s">
        <v>67</v>
      </c>
      <c r="J1591" t="s">
        <v>125</v>
      </c>
      <c r="K1591" t="s">
        <v>125</v>
      </c>
      <c r="L1591" t="s">
        <v>125</v>
      </c>
      <c r="M1591" t="s">
        <v>2251</v>
      </c>
      <c r="N1591" t="b">
        <v>0</v>
      </c>
    </row>
    <row r="1592" spans="1:14">
      <c r="A1592">
        <v>105</v>
      </c>
      <c r="B1592">
        <v>7</v>
      </c>
      <c r="C1592" t="s">
        <v>492</v>
      </c>
      <c r="D1592" t="s">
        <v>723</v>
      </c>
      <c r="E1592" t="s">
        <v>330</v>
      </c>
      <c r="F1592">
        <v>60</v>
      </c>
      <c r="G1592" t="s">
        <v>125</v>
      </c>
      <c r="H1592" t="s">
        <v>557</v>
      </c>
      <c r="I1592" t="s">
        <v>476</v>
      </c>
      <c r="J1592" t="s">
        <v>125</v>
      </c>
      <c r="K1592" t="s">
        <v>920</v>
      </c>
      <c r="L1592" t="s">
        <v>921</v>
      </c>
      <c r="M1592" t="s">
        <v>2252</v>
      </c>
      <c r="N1592" t="b">
        <v>0</v>
      </c>
    </row>
    <row r="1593" spans="1:14">
      <c r="A1593">
        <v>105</v>
      </c>
      <c r="B1593">
        <v>8</v>
      </c>
      <c r="C1593" t="s">
        <v>166</v>
      </c>
      <c r="D1593" t="s">
        <v>723</v>
      </c>
      <c r="E1593" t="s">
        <v>73</v>
      </c>
      <c r="F1593">
        <v>50</v>
      </c>
      <c r="G1593" t="s">
        <v>125</v>
      </c>
      <c r="H1593" t="s">
        <v>125</v>
      </c>
      <c r="I1593" t="s">
        <v>73</v>
      </c>
      <c r="J1593" t="s">
        <v>125</v>
      </c>
      <c r="K1593" t="s">
        <v>125</v>
      </c>
      <c r="L1593" t="s">
        <v>125</v>
      </c>
      <c r="M1593" t="s">
        <v>2253</v>
      </c>
      <c r="N1593" t="b">
        <v>0</v>
      </c>
    </row>
    <row r="1594" spans="1:14">
      <c r="A1594">
        <v>105</v>
      </c>
      <c r="B1594">
        <v>9</v>
      </c>
      <c r="C1594" t="s">
        <v>204</v>
      </c>
      <c r="D1594" t="s">
        <v>723</v>
      </c>
      <c r="E1594" t="s">
        <v>97</v>
      </c>
      <c r="F1594">
        <v>40</v>
      </c>
      <c r="G1594" t="s">
        <v>125</v>
      </c>
      <c r="H1594" t="s">
        <v>125</v>
      </c>
      <c r="I1594" t="s">
        <v>97</v>
      </c>
      <c r="J1594" t="s">
        <v>125</v>
      </c>
      <c r="K1594" t="s">
        <v>125</v>
      </c>
      <c r="L1594" t="s">
        <v>125</v>
      </c>
      <c r="M1594" t="s">
        <v>2254</v>
      </c>
      <c r="N1594" t="b">
        <v>0</v>
      </c>
    </row>
    <row r="1595" spans="1:14">
      <c r="A1595">
        <v>105</v>
      </c>
      <c r="B1595">
        <v>10</v>
      </c>
      <c r="C1595" t="s">
        <v>221</v>
      </c>
      <c r="D1595" t="s">
        <v>723</v>
      </c>
      <c r="E1595" t="s">
        <v>101</v>
      </c>
      <c r="F1595">
        <v>50</v>
      </c>
      <c r="G1595" t="s">
        <v>125</v>
      </c>
      <c r="H1595" t="s">
        <v>125</v>
      </c>
      <c r="I1595" t="s">
        <v>101</v>
      </c>
      <c r="J1595" t="s">
        <v>125</v>
      </c>
      <c r="K1595" t="s">
        <v>125</v>
      </c>
      <c r="L1595" t="s">
        <v>125</v>
      </c>
      <c r="M1595" t="s">
        <v>2255</v>
      </c>
      <c r="N1595" t="b">
        <v>0</v>
      </c>
    </row>
    <row r="1596" spans="1:14">
      <c r="A1596">
        <v>105</v>
      </c>
      <c r="B1596">
        <v>11</v>
      </c>
      <c r="C1596" t="s">
        <v>169</v>
      </c>
      <c r="D1596" t="s">
        <v>723</v>
      </c>
      <c r="E1596" t="s">
        <v>105</v>
      </c>
      <c r="F1596">
        <v>50</v>
      </c>
      <c r="G1596" t="s">
        <v>125</v>
      </c>
      <c r="H1596" t="s">
        <v>125</v>
      </c>
      <c r="I1596" t="s">
        <v>105</v>
      </c>
      <c r="J1596" t="s">
        <v>125</v>
      </c>
      <c r="K1596" t="s">
        <v>125</v>
      </c>
      <c r="L1596" t="s">
        <v>125</v>
      </c>
      <c r="M1596" t="s">
        <v>2256</v>
      </c>
      <c r="N1596" t="b">
        <v>0</v>
      </c>
    </row>
    <row r="1597" spans="1:14">
      <c r="A1597">
        <v>105</v>
      </c>
      <c r="B1597">
        <v>12</v>
      </c>
      <c r="C1597" t="s">
        <v>222</v>
      </c>
      <c r="D1597" t="s">
        <v>723</v>
      </c>
      <c r="E1597" t="s">
        <v>106</v>
      </c>
      <c r="F1597">
        <v>50</v>
      </c>
      <c r="G1597" t="s">
        <v>125</v>
      </c>
      <c r="H1597" t="s">
        <v>125</v>
      </c>
      <c r="I1597" t="s">
        <v>106</v>
      </c>
      <c r="J1597" t="s">
        <v>125</v>
      </c>
      <c r="K1597" t="s">
        <v>125</v>
      </c>
      <c r="L1597" t="s">
        <v>125</v>
      </c>
      <c r="M1597" t="s">
        <v>2257</v>
      </c>
      <c r="N1597" t="b">
        <v>0</v>
      </c>
    </row>
    <row r="1598" spans="1:14">
      <c r="A1598">
        <v>105</v>
      </c>
      <c r="B1598">
        <v>13</v>
      </c>
      <c r="C1598" t="s">
        <v>194</v>
      </c>
      <c r="D1598" t="s">
        <v>723</v>
      </c>
      <c r="E1598" t="s">
        <v>107</v>
      </c>
      <c r="F1598">
        <v>60</v>
      </c>
      <c r="G1598" t="s">
        <v>125</v>
      </c>
      <c r="H1598" t="s">
        <v>125</v>
      </c>
      <c r="I1598" t="s">
        <v>107</v>
      </c>
      <c r="J1598" t="s">
        <v>125</v>
      </c>
      <c r="K1598" t="s">
        <v>125</v>
      </c>
      <c r="L1598" t="s">
        <v>125</v>
      </c>
      <c r="M1598" t="s">
        <v>2258</v>
      </c>
      <c r="N1598" t="b">
        <v>0</v>
      </c>
    </row>
    <row r="1599" spans="1:14">
      <c r="A1599">
        <v>105</v>
      </c>
      <c r="B1599">
        <v>14</v>
      </c>
      <c r="C1599" t="s">
        <v>125</v>
      </c>
      <c r="D1599" t="s">
        <v>723</v>
      </c>
      <c r="E1599" t="s">
        <v>125</v>
      </c>
      <c r="F1599">
        <v>0</v>
      </c>
      <c r="G1599" t="s">
        <v>125</v>
      </c>
      <c r="H1599" t="s">
        <v>125</v>
      </c>
      <c r="I1599" t="s">
        <v>125</v>
      </c>
      <c r="J1599" t="s">
        <v>125</v>
      </c>
      <c r="K1599" t="s">
        <v>125</v>
      </c>
      <c r="L1599" t="s">
        <v>125</v>
      </c>
      <c r="M1599" t="s">
        <v>2259</v>
      </c>
      <c r="N1599" t="b">
        <v>0</v>
      </c>
    </row>
    <row r="1600" spans="1:14">
      <c r="A1600">
        <v>105</v>
      </c>
      <c r="B1600">
        <v>15</v>
      </c>
      <c r="C1600" t="s">
        <v>125</v>
      </c>
      <c r="D1600" t="s">
        <v>723</v>
      </c>
      <c r="E1600" t="s">
        <v>125</v>
      </c>
      <c r="F1600">
        <v>0</v>
      </c>
      <c r="G1600" t="s">
        <v>125</v>
      </c>
      <c r="H1600" t="s">
        <v>125</v>
      </c>
      <c r="I1600" t="s">
        <v>125</v>
      </c>
      <c r="J1600" t="s">
        <v>125</v>
      </c>
      <c r="K1600" t="s">
        <v>125</v>
      </c>
      <c r="L1600" t="s">
        <v>125</v>
      </c>
      <c r="M1600" t="s">
        <v>2260</v>
      </c>
      <c r="N1600" t="b">
        <v>0</v>
      </c>
    </row>
    <row r="1601" spans="1:14">
      <c r="A1601">
        <v>105</v>
      </c>
      <c r="B1601">
        <v>16</v>
      </c>
      <c r="C1601" t="s">
        <v>125</v>
      </c>
      <c r="D1601" t="s">
        <v>740</v>
      </c>
      <c r="E1601" t="s">
        <v>125</v>
      </c>
      <c r="F1601">
        <v>0</v>
      </c>
      <c r="G1601" t="s">
        <v>125</v>
      </c>
      <c r="H1601" t="s">
        <v>125</v>
      </c>
      <c r="I1601" t="s">
        <v>125</v>
      </c>
      <c r="J1601" t="s">
        <v>125</v>
      </c>
      <c r="K1601" t="s">
        <v>125</v>
      </c>
      <c r="L1601" t="s">
        <v>125</v>
      </c>
      <c r="M1601" t="s">
        <v>2261</v>
      </c>
      <c r="N1601" t="b">
        <v>0</v>
      </c>
    </row>
    <row r="1602" spans="1:14">
      <c r="A1602">
        <v>105</v>
      </c>
      <c r="B1602">
        <v>17</v>
      </c>
      <c r="C1602" t="s">
        <v>125</v>
      </c>
      <c r="D1602" t="s">
        <v>740</v>
      </c>
      <c r="E1602" t="s">
        <v>125</v>
      </c>
      <c r="F1602">
        <v>0</v>
      </c>
      <c r="G1602" t="s">
        <v>125</v>
      </c>
      <c r="H1602" t="s">
        <v>125</v>
      </c>
      <c r="I1602" t="s">
        <v>125</v>
      </c>
      <c r="J1602" t="s">
        <v>125</v>
      </c>
      <c r="K1602" t="s">
        <v>125</v>
      </c>
      <c r="L1602" t="s">
        <v>125</v>
      </c>
      <c r="M1602" t="s">
        <v>2262</v>
      </c>
      <c r="N1602" t="b">
        <v>0</v>
      </c>
    </row>
    <row r="1603" spans="1:14">
      <c r="A1603">
        <v>105</v>
      </c>
      <c r="B1603">
        <v>18</v>
      </c>
      <c r="C1603" t="s">
        <v>125</v>
      </c>
      <c r="D1603" t="s">
        <v>740</v>
      </c>
      <c r="E1603" t="s">
        <v>125</v>
      </c>
      <c r="F1603">
        <v>0</v>
      </c>
      <c r="G1603" t="s">
        <v>125</v>
      </c>
      <c r="H1603" t="s">
        <v>125</v>
      </c>
      <c r="I1603" t="s">
        <v>125</v>
      </c>
      <c r="J1603" t="s">
        <v>125</v>
      </c>
      <c r="K1603" t="s">
        <v>125</v>
      </c>
      <c r="L1603" t="s">
        <v>125</v>
      </c>
      <c r="M1603" t="s">
        <v>2263</v>
      </c>
      <c r="N1603" t="b">
        <v>0</v>
      </c>
    </row>
    <row r="1604" spans="1:14">
      <c r="A1604">
        <v>105</v>
      </c>
      <c r="B1604">
        <v>19</v>
      </c>
      <c r="C1604" t="s">
        <v>125</v>
      </c>
      <c r="D1604" t="s">
        <v>740</v>
      </c>
      <c r="E1604" t="s">
        <v>125</v>
      </c>
      <c r="F1604">
        <v>0</v>
      </c>
      <c r="G1604" t="s">
        <v>125</v>
      </c>
      <c r="H1604" t="s">
        <v>125</v>
      </c>
      <c r="I1604" t="s">
        <v>125</v>
      </c>
      <c r="J1604" t="s">
        <v>125</v>
      </c>
      <c r="K1604" t="s">
        <v>125</v>
      </c>
      <c r="L1604" t="s">
        <v>125</v>
      </c>
      <c r="M1604" t="s">
        <v>2264</v>
      </c>
      <c r="N1604" t="b">
        <v>0</v>
      </c>
    </row>
    <row r="1605" spans="1:14">
      <c r="A1605">
        <v>105</v>
      </c>
      <c r="B1605">
        <v>20</v>
      </c>
      <c r="C1605" t="s">
        <v>125</v>
      </c>
      <c r="D1605" t="s">
        <v>740</v>
      </c>
      <c r="E1605" t="s">
        <v>125</v>
      </c>
      <c r="F1605">
        <v>0</v>
      </c>
      <c r="G1605" t="s">
        <v>125</v>
      </c>
      <c r="H1605" t="s">
        <v>125</v>
      </c>
      <c r="I1605" t="s">
        <v>125</v>
      </c>
      <c r="J1605" t="s">
        <v>125</v>
      </c>
      <c r="K1605" t="s">
        <v>125</v>
      </c>
      <c r="L1605" t="s">
        <v>125</v>
      </c>
      <c r="M1605" t="s">
        <v>2265</v>
      </c>
      <c r="N1605" t="b">
        <v>0</v>
      </c>
    </row>
    <row r="1606" spans="1:14">
      <c r="A1606">
        <v>105</v>
      </c>
      <c r="B1606">
        <v>21</v>
      </c>
      <c r="C1606" t="s">
        <v>125</v>
      </c>
      <c r="D1606" t="s">
        <v>740</v>
      </c>
      <c r="E1606" t="s">
        <v>125</v>
      </c>
      <c r="F1606">
        <v>0</v>
      </c>
      <c r="G1606" t="s">
        <v>125</v>
      </c>
      <c r="H1606" t="s">
        <v>125</v>
      </c>
      <c r="I1606" t="s">
        <v>125</v>
      </c>
      <c r="J1606" t="s">
        <v>125</v>
      </c>
      <c r="K1606" t="s">
        <v>125</v>
      </c>
      <c r="L1606" t="s">
        <v>125</v>
      </c>
      <c r="M1606" t="s">
        <v>2266</v>
      </c>
      <c r="N1606" t="b">
        <v>0</v>
      </c>
    </row>
    <row r="1607" spans="1:14">
      <c r="A1607">
        <v>105</v>
      </c>
      <c r="B1607">
        <v>22</v>
      </c>
      <c r="C1607" t="s">
        <v>125</v>
      </c>
      <c r="D1607" t="s">
        <v>740</v>
      </c>
      <c r="E1607" t="s">
        <v>125</v>
      </c>
      <c r="F1607">
        <v>0</v>
      </c>
      <c r="G1607" t="s">
        <v>125</v>
      </c>
      <c r="H1607" t="s">
        <v>125</v>
      </c>
      <c r="I1607" t="s">
        <v>125</v>
      </c>
      <c r="J1607" t="s">
        <v>125</v>
      </c>
      <c r="K1607" t="s">
        <v>125</v>
      </c>
      <c r="L1607" t="s">
        <v>125</v>
      </c>
      <c r="M1607" t="s">
        <v>2267</v>
      </c>
      <c r="N1607" t="b">
        <v>0</v>
      </c>
    </row>
    <row r="1608" spans="1:14">
      <c r="A1608">
        <v>105</v>
      </c>
      <c r="B1608">
        <v>23</v>
      </c>
      <c r="C1608" t="s">
        <v>125</v>
      </c>
      <c r="D1608" t="s">
        <v>740</v>
      </c>
      <c r="E1608" t="s">
        <v>125</v>
      </c>
      <c r="F1608">
        <v>0</v>
      </c>
      <c r="G1608" t="s">
        <v>125</v>
      </c>
      <c r="H1608" t="s">
        <v>125</v>
      </c>
      <c r="I1608" t="s">
        <v>125</v>
      </c>
      <c r="J1608" t="s">
        <v>125</v>
      </c>
      <c r="K1608" t="s">
        <v>125</v>
      </c>
      <c r="L1608" t="s">
        <v>125</v>
      </c>
      <c r="M1608" t="s">
        <v>2268</v>
      </c>
      <c r="N1608" t="b">
        <v>0</v>
      </c>
    </row>
    <row r="1609" spans="1:14">
      <c r="A1609">
        <v>105</v>
      </c>
      <c r="B1609">
        <v>24</v>
      </c>
      <c r="C1609" t="s">
        <v>125</v>
      </c>
      <c r="D1609" t="s">
        <v>740</v>
      </c>
      <c r="E1609" t="s">
        <v>125</v>
      </c>
      <c r="F1609">
        <v>0</v>
      </c>
      <c r="G1609" t="s">
        <v>125</v>
      </c>
      <c r="H1609" t="s">
        <v>125</v>
      </c>
      <c r="I1609" t="s">
        <v>125</v>
      </c>
      <c r="J1609" t="s">
        <v>125</v>
      </c>
      <c r="K1609" t="s">
        <v>125</v>
      </c>
      <c r="L1609" t="s">
        <v>125</v>
      </c>
      <c r="M1609" t="s">
        <v>2269</v>
      </c>
      <c r="N1609" t="b">
        <v>0</v>
      </c>
    </row>
    <row r="1610" spans="1:14">
      <c r="A1610">
        <v>105</v>
      </c>
      <c r="B1610">
        <v>25</v>
      </c>
      <c r="C1610" t="s">
        <v>125</v>
      </c>
      <c r="D1610" t="s">
        <v>740</v>
      </c>
      <c r="E1610" t="s">
        <v>125</v>
      </c>
      <c r="F1610">
        <v>0</v>
      </c>
      <c r="G1610" t="s">
        <v>125</v>
      </c>
      <c r="H1610" t="s">
        <v>125</v>
      </c>
      <c r="I1610" t="s">
        <v>125</v>
      </c>
      <c r="J1610" t="s">
        <v>125</v>
      </c>
      <c r="K1610" t="s">
        <v>125</v>
      </c>
      <c r="L1610" t="s">
        <v>125</v>
      </c>
      <c r="M1610" t="s">
        <v>2270</v>
      </c>
      <c r="N1610" t="b">
        <v>0</v>
      </c>
    </row>
    <row r="1611" spans="1:14">
      <c r="A1611">
        <v>105</v>
      </c>
      <c r="B1611">
        <v>26</v>
      </c>
      <c r="C1611" t="s">
        <v>125</v>
      </c>
      <c r="D1611" t="s">
        <v>740</v>
      </c>
      <c r="E1611" t="s">
        <v>125</v>
      </c>
      <c r="F1611">
        <v>0</v>
      </c>
      <c r="G1611" t="s">
        <v>125</v>
      </c>
      <c r="H1611" t="s">
        <v>125</v>
      </c>
      <c r="I1611" t="s">
        <v>125</v>
      </c>
      <c r="J1611" t="s">
        <v>125</v>
      </c>
      <c r="K1611" t="s">
        <v>125</v>
      </c>
      <c r="L1611" t="s">
        <v>125</v>
      </c>
      <c r="M1611" t="s">
        <v>2271</v>
      </c>
      <c r="N1611" t="b">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44"/>
  <sheetViews>
    <sheetView workbookViewId="0">
      <selection activeCell="A1" sqref="A1"/>
    </sheetView>
  </sheetViews>
  <sheetFormatPr defaultColWidth="9" defaultRowHeight="14"/>
  <sheetData>
    <row r="1" spans="1:50">
      <c r="S1">
        <f>IFERROR(MATCH(人物卡!$BW$46,$A$100:$A$331,0)+99,0)</f>
        <v>100</v>
      </c>
    </row>
    <row r="2" spans="1:50">
      <c r="A2" t="str">
        <f ca="1">IF($S$1=0,"",IF(INDEX($C$1:$C$331,$S$1+0)="","",INDEX($C$1:$C$331,$S$1+0)))</f>
        <v>自选技能1（+20）</v>
      </c>
      <c r="B2" t="str">
        <f ca="1">IF($S$1=0,"",IF(INDEX($D$1:$D$331,$S$1+0)="","",INDEX($D$1:$D$331,$S$1+0)))</f>
        <v>any</v>
      </c>
      <c r="C2" t="str">
        <f ca="1">IF($S$1=0,"",IF(INDEX($E$1:$E$331,$S$1+0)="","",INDEX($E$1:$E$331,$S$1+0)))</f>
        <v/>
      </c>
      <c r="D2" t="str">
        <f ca="1">IF($S$1=0,"",IF(INDEX($F$1:$F$331,$S$1+0)="","",INDEX($F$1:$F$331,$S$1+0)))</f>
        <v/>
      </c>
      <c r="E2" t="str">
        <f ca="1">IF($S$1=0,"",IF(INDEX($G$1:$G$331,$S$1+0)="","",INDEX($G$1:$G$331,$S$1+0)))</f>
        <v/>
      </c>
      <c r="F2" t="str">
        <f>TRIM(人物卡!BZ49)</f>
        <v/>
      </c>
      <c r="G2" t="str">
        <f ca="1">IF(F2&lt;&gt;"",F2,IF(B2="fixed",C2,IF(B2="group",IF(E2="艺术",IFERROR(CHOOSE(COUNTIF($E$2:E2,E2),$A$24,$A$25,$A$26),""),IF(E2="工艺",IFERROR(CHOOSE(COUNTIF($E$2:E2,E2),$A$31,$A$32,$A$33,$A$34),""),IF(E2="外语",IFERROR(CHOOSE(COUNTIF($E$2:E2,E2),$A$42,$A$43,$A$44),""),IF(E2="军事科学",IFERROR(CHOOSE(COUNTIF($E$2:E2,E2),$A$53,$A$54,$A$55),""),IF(E2="特种载具",IFERROR(CHOOSE(COUNTIF($E$2:E2,E2),$A$60,$A$61,$A$62),""),IF(E2="科学",IFERROR(CHOOSE(COUNTIF($E$2:E2,E2),$A$65,$A$66,$A$67),""),"")))))),"")))</f>
        <v/>
      </c>
      <c r="H2" t="str">
        <f ca="1" t="shared" ref="H2:H9" si="0">IF(AND(G2&lt;&gt;"",G2&lt;&gt;"非自然知识",COUNTIF($A$20:$A$78,G2)&gt;0,OR(B2="any",B2="fixed",AND(B2="group",LEFT(G2,LEN(E2)+1)=E2&amp;"（"),IFERROR(OR(ISNUMBER(FIND("|"&amp;G2&amp;"|",D2)),AND(IFERROR(FIND("（",G2),0)&gt;0,ISNUMBER(FIND("|"&amp;LEFT(G2,FIND("（",G2)-1)&amp;"*|",D2)))),FALSE))),G2,"")</f>
        <v/>
      </c>
      <c r="I2" t="str">
        <f ca="1" t="shared" ref="I2:I9" si="1">IF(A2="","",IF(H2="","待选／填写主卡细项","已分配"))</f>
        <v>待选／填写主卡细项</v>
      </c>
      <c r="S2">
        <f ca="1">COUNTIF($H$2:$H$9,"?*")</f>
        <v>0</v>
      </c>
      <c r="AR2">
        <f ca="1">IF(AND(B2="fixed",E2="艺术",COUNTIF(职业选项!$G$2:$G$28,C2)=0,COUNTIF($C$2:C2,C2)=1),ROW()-1,999)</f>
        <v>999</v>
      </c>
      <c r="AS2">
        <f ca="1">IF(AND(B2="fixed",E2="工艺",COUNTIF(职业选项!$G$2:$G$28,C2)=0,COUNTIF($C$2:C2,C2)=1),ROW()-1,999)</f>
        <v>999</v>
      </c>
      <c r="AT2">
        <f ca="1">IF(AND(B2="fixed",E2="外语",COUNTIF(职业选项!$G$2:$G$28,C2)=0,COUNTIF($C$2:C2,C2)=1),ROW()-1,999)</f>
        <v>999</v>
      </c>
      <c r="AU2">
        <f ca="1">IF(AND(B2="fixed",E2="军事科学",COUNTIF(职业选项!$G$2:$G$28,C2)=0,COUNTIF($C$2:C2,C2)=1),ROW()-1,999)</f>
        <v>999</v>
      </c>
      <c r="AV2">
        <f ca="1">IF(AND(B2="fixed",E2="特种载具",COUNTIF(职业选项!$G$2:$G$28,C2)=0,COUNTIF($C$2:C2,C2)=1),ROW()-1,999)</f>
        <v>999</v>
      </c>
      <c r="AW2">
        <f ca="1">IF(AND(B2="fixed",E2="科学",COUNTIF(职业选项!$G$2:$G$28,C2)=0,COUNTIF($C$2:C2,C2)=1),ROW()-1,999)</f>
        <v>999</v>
      </c>
      <c r="AX2">
        <f ca="1">IF(AND(B2="fixed",E2&lt;&gt;"",COUNTIF($A$20:$A$74,C2)=0,COUNTIF($C$2:C2,C2)=1),ROW()-1,999)</f>
        <v>999</v>
      </c>
    </row>
    <row r="3" spans="1:50">
      <c r="A3" t="str">
        <f ca="1">IF($S$1=0,"",IF(INDEX($C$1:$C$331,$S$1+1)="","",INDEX($C$1:$C$331,$S$1+1)))</f>
        <v>自选技能2（+20）</v>
      </c>
      <c r="B3" t="str">
        <f ca="1">IF($S$1=0,"",IF(INDEX($D$1:$D$331,$S$1+1)="","",INDEX($D$1:$D$331,$S$1+1)))</f>
        <v>any</v>
      </c>
      <c r="C3" t="str">
        <f ca="1">IF($S$1=0,"",IF(INDEX($E$1:$E$331,$S$1+1)="","",INDEX($E$1:$E$331,$S$1+1)))</f>
        <v/>
      </c>
      <c r="D3" t="str">
        <f ca="1">IF($S$1=0,"",IF(INDEX($F$1:$F$331,$S$1+1)="","",INDEX($F$1:$F$331,$S$1+1)))</f>
        <v/>
      </c>
      <c r="E3" t="str">
        <f ca="1">IF($S$1=0,"",IF(INDEX($G$1:$G$331,$S$1+1)="","",INDEX($G$1:$G$331,$S$1+1)))</f>
        <v/>
      </c>
      <c r="F3" t="str">
        <f>TRIM(人物卡!BZ50)</f>
        <v/>
      </c>
      <c r="G3" t="str">
        <f ca="1">IF(F3&lt;&gt;"",F3,IF(B3="fixed",C3,IF(B3="group",IF(E3="艺术",IFERROR(CHOOSE(COUNTIF($E$2:E3,E3),$A$24,$A$25,$A$26),""),IF(E3="工艺",IFERROR(CHOOSE(COUNTIF($E$2:E3,E3),$A$31,$A$32,$A$33,$A$34),""),IF(E3="外语",IFERROR(CHOOSE(COUNTIF($E$2:E3,E3),$A$42,$A$43,$A$44),""),IF(E3="军事科学",IFERROR(CHOOSE(COUNTIF($E$2:E3,E3),$A$53,$A$54,$A$55),""),IF(E3="特种载具",IFERROR(CHOOSE(COUNTIF($E$2:E3,E3),$A$60,$A$61,$A$62),""),IF(E3="科学",IFERROR(CHOOSE(COUNTIF($E$2:E3,E3),$A$65,$A$66,$A$67),""),"")))))),"")))</f>
        <v/>
      </c>
      <c r="H3" t="str">
        <f ca="1" t="shared" si="0"/>
        <v/>
      </c>
      <c r="I3" t="str">
        <f ca="1" t="shared" si="1"/>
        <v>待选／填写主卡细项</v>
      </c>
      <c r="S3">
        <f ca="1">SUM($E$20:$E$78)</f>
        <v>0</v>
      </c>
      <c r="AR3">
        <f ca="1">IF(AND(B3="fixed",E3="艺术",COUNTIF(职业选项!$G$2:$G$28,C3)=0,COUNTIF($C$2:C3,C3)=1),ROW()-1,999)</f>
        <v>999</v>
      </c>
      <c r="AS3">
        <f ca="1">IF(AND(B3="fixed",E3="工艺",COUNTIF(职业选项!$G$2:$G$28,C3)=0,COUNTIF($C$2:C3,C3)=1),ROW()-1,999)</f>
        <v>999</v>
      </c>
      <c r="AT3">
        <f ca="1">IF(AND(B3="fixed",E3="外语",COUNTIF(职业选项!$G$2:$G$28,C3)=0,COUNTIF($C$2:C3,C3)=1),ROW()-1,999)</f>
        <v>999</v>
      </c>
      <c r="AU3">
        <f ca="1">IF(AND(B3="fixed",E3="军事科学",COUNTIF(职业选项!$G$2:$G$28,C3)=0,COUNTIF($C$2:C3,C3)=1),ROW()-1,999)</f>
        <v>999</v>
      </c>
      <c r="AV3">
        <f ca="1">IF(AND(B3="fixed",E3="特种载具",COUNTIF(职业选项!$G$2:$G$28,C3)=0,COUNTIF($C$2:C3,C3)=1),ROW()-1,999)</f>
        <v>999</v>
      </c>
      <c r="AW3">
        <f ca="1">IF(AND(B3="fixed",E3="科学",COUNTIF(职业选项!$G$2:$G$28,C3)=0,COUNTIF($C$2:C3,C3)=1),ROW()-1,999)</f>
        <v>999</v>
      </c>
      <c r="AX3">
        <f ca="1">IF(AND(B3="fixed",E3&lt;&gt;"",COUNTIF($A$20:$A$74,C3)=0,COUNTIF($C$2:C3,C3)=1),ROW()-1,999)</f>
        <v>999</v>
      </c>
    </row>
    <row r="4" spans="1:50">
      <c r="A4" t="str">
        <f ca="1">IF($S$1=0,"",IF(INDEX($C$1:$C$331,$S$1+2)="","",INDEX($C$1:$C$331,$S$1+2)))</f>
        <v>自选技能3（+20）</v>
      </c>
      <c r="B4" t="str">
        <f ca="1">IF($S$1=0,"",IF(INDEX($D$1:$D$331,$S$1+2)="","",INDEX($D$1:$D$331,$S$1+2)))</f>
        <v>any</v>
      </c>
      <c r="C4" t="str">
        <f ca="1">IF($S$1=0,"",IF(INDEX($E$1:$E$331,$S$1+2)="","",INDEX($E$1:$E$331,$S$1+2)))</f>
        <v/>
      </c>
      <c r="D4" t="str">
        <f ca="1">IF($S$1=0,"",IF(INDEX($F$1:$F$331,$S$1+2)="","",INDEX($F$1:$F$331,$S$1+2)))</f>
        <v/>
      </c>
      <c r="E4" t="str">
        <f ca="1">IF($S$1=0,"",IF(INDEX($G$1:$G$331,$S$1+2)="","",INDEX($G$1:$G$331,$S$1+2)))</f>
        <v/>
      </c>
      <c r="F4" t="str">
        <f>TRIM(人物卡!BZ51)</f>
        <v/>
      </c>
      <c r="G4" t="str">
        <f ca="1">IF(F4&lt;&gt;"",F4,IF(B4="fixed",C4,IF(B4="group",IF(E4="艺术",IFERROR(CHOOSE(COUNTIF($E$2:E4,E4),$A$24,$A$25,$A$26),""),IF(E4="工艺",IFERROR(CHOOSE(COUNTIF($E$2:E4,E4),$A$31,$A$32,$A$33,$A$34),""),IF(E4="外语",IFERROR(CHOOSE(COUNTIF($E$2:E4,E4),$A$42,$A$43,$A$44),""),IF(E4="军事科学",IFERROR(CHOOSE(COUNTIF($E$2:E4,E4),$A$53,$A$54,$A$55),""),IF(E4="特种载具",IFERROR(CHOOSE(COUNTIF($E$2:E4,E4),$A$60,$A$61,$A$62),""),IF(E4="科学",IFERROR(CHOOSE(COUNTIF($E$2:E4,E4),$A$65,$A$66,$A$67),""),"")))))),"")))</f>
        <v/>
      </c>
      <c r="H4" t="str">
        <f ca="1" t="shared" si="0"/>
        <v/>
      </c>
      <c r="I4" t="str">
        <f ca="1" t="shared" si="1"/>
        <v>待选／填写主卡细项</v>
      </c>
      <c r="S4">
        <f ca="1">SUM($D$20:$D$78)-S3</f>
        <v>0</v>
      </c>
      <c r="AR4">
        <f ca="1">IF(AND(B4="fixed",E4="艺术",COUNTIF(职业选项!$G$2:$G$28,C4)=0,COUNTIF($C$2:C4,C4)=1),ROW()-1,999)</f>
        <v>999</v>
      </c>
      <c r="AS4">
        <f ca="1">IF(AND(B4="fixed",E4="工艺",COUNTIF(职业选项!$G$2:$G$28,C4)=0,COUNTIF($C$2:C4,C4)=1),ROW()-1,999)</f>
        <v>999</v>
      </c>
      <c r="AT4">
        <f ca="1">IF(AND(B4="fixed",E4="外语",COUNTIF(职业选项!$G$2:$G$28,C4)=0,COUNTIF($C$2:C4,C4)=1),ROW()-1,999)</f>
        <v>999</v>
      </c>
      <c r="AU4">
        <f ca="1">IF(AND(B4="fixed",E4="军事科学",COUNTIF(职业选项!$G$2:$G$28,C4)=0,COUNTIF($C$2:C4,C4)=1),ROW()-1,999)</f>
        <v>999</v>
      </c>
      <c r="AV4">
        <f ca="1">IF(AND(B4="fixed",E4="特种载具",COUNTIF(职业选项!$G$2:$G$28,C4)=0,COUNTIF($C$2:C4,C4)=1),ROW()-1,999)</f>
        <v>999</v>
      </c>
      <c r="AW4">
        <f ca="1">IF(AND(B4="fixed",E4="科学",COUNTIF(职业选项!$G$2:$G$28,C4)=0,COUNTIF($C$2:C4,C4)=1),ROW()-1,999)</f>
        <v>999</v>
      </c>
      <c r="AX4">
        <f ca="1">IF(AND(B4="fixed",E4&lt;&gt;"",COUNTIF($A$20:$A$74,C4)=0,COUNTIF($C$2:C4,C4)=1),ROW()-1,999)</f>
        <v>999</v>
      </c>
    </row>
    <row r="5" spans="1:50">
      <c r="A5" t="str">
        <f ca="1">IF($S$1=0,"",IF(INDEX($C$1:$C$331,$S$1+3)="","",INDEX($C$1:$C$331,$S$1+3)))</f>
        <v>自选技能4（+20）</v>
      </c>
      <c r="B5" t="str">
        <f ca="1">IF($S$1=0,"",IF(INDEX($D$1:$D$331,$S$1+3)="","",INDEX($D$1:$D$331,$S$1+3)))</f>
        <v>any</v>
      </c>
      <c r="C5" t="str">
        <f ca="1">IF($S$1=0,"",IF(INDEX($E$1:$E$331,$S$1+3)="","",INDEX($E$1:$E$331,$S$1+3)))</f>
        <v/>
      </c>
      <c r="D5" t="str">
        <f ca="1">IF($S$1=0,"",IF(INDEX($F$1:$F$331,$S$1+3)="","",INDEX($F$1:$F$331,$S$1+3)))</f>
        <v/>
      </c>
      <c r="E5" t="str">
        <f ca="1">IF($S$1=0,"",IF(INDEX($G$1:$G$331,$S$1+3)="","",INDEX($G$1:$G$331,$S$1+3)))</f>
        <v/>
      </c>
      <c r="F5" t="str">
        <f>TRIM(人物卡!BZ52)</f>
        <v/>
      </c>
      <c r="G5" t="str">
        <f ca="1">IF(F5&lt;&gt;"",F5,IF(B5="fixed",C5,IF(B5="group",IF(E5="艺术",IFERROR(CHOOSE(COUNTIF($E$2:E5,E5),$A$24,$A$25,$A$26),""),IF(E5="工艺",IFERROR(CHOOSE(COUNTIF($E$2:E5,E5),$A$31,$A$32,$A$33,$A$34),""),IF(E5="外语",IFERROR(CHOOSE(COUNTIF($E$2:E5,E5),$A$42,$A$43,$A$44),""),IF(E5="军事科学",IFERROR(CHOOSE(COUNTIF($E$2:E5,E5),$A$53,$A$54,$A$55),""),IF(E5="特种载具",IFERROR(CHOOSE(COUNTIF($E$2:E5,E5),$A$60,$A$61,$A$62),""),IF(E5="科学",IFERROR(CHOOSE(COUNTIF($E$2:E5,E5),$A$65,$A$66,$A$67),""),"")))))),"")))</f>
        <v/>
      </c>
      <c r="H5" t="str">
        <f ca="1" t="shared" si="0"/>
        <v/>
      </c>
      <c r="I5" t="str">
        <f ca="1" t="shared" si="1"/>
        <v>待选／填写主卡细项</v>
      </c>
      <c r="S5">
        <f ca="1">COUNTIF($I$20:$I$78,"同名技能占多格")</f>
        <v>0</v>
      </c>
      <c r="AR5">
        <f ca="1">IF(AND(B5="fixed",E5="艺术",COUNTIF(职业选项!$G$2:$G$28,C5)=0,COUNTIF($C$2:C5,C5)=1),ROW()-1,999)</f>
        <v>999</v>
      </c>
      <c r="AS5">
        <f ca="1">IF(AND(B5="fixed",E5="工艺",COUNTIF(职业选项!$G$2:$G$28,C5)=0,COUNTIF($C$2:C5,C5)=1),ROW()-1,999)</f>
        <v>999</v>
      </c>
      <c r="AT5">
        <f ca="1">IF(AND(B5="fixed",E5="外语",COUNTIF(职业选项!$G$2:$G$28,C5)=0,COUNTIF($C$2:C5,C5)=1),ROW()-1,999)</f>
        <v>999</v>
      </c>
      <c r="AU5">
        <f ca="1">IF(AND(B5="fixed",E5="军事科学",COUNTIF(职业选项!$G$2:$G$28,C5)=0,COUNTIF($C$2:C5,C5)=1),ROW()-1,999)</f>
        <v>999</v>
      </c>
      <c r="AV5">
        <f ca="1">IF(AND(B5="fixed",E5="特种载具",COUNTIF(职业选项!$G$2:$G$28,C5)=0,COUNTIF($C$2:C5,C5)=1),ROW()-1,999)</f>
        <v>999</v>
      </c>
      <c r="AW5">
        <f ca="1">IF(AND(B5="fixed",E5="科学",COUNTIF(职业选项!$G$2:$G$28,C5)=0,COUNTIF($C$2:C5,C5)=1),ROW()-1,999)</f>
        <v>999</v>
      </c>
      <c r="AX5">
        <f ca="1">IF(AND(B5="fixed",E5&lt;&gt;"",COUNTIF($A$20:$A$74,C5)=0,COUNTIF($C$2:C5,C5)=1),ROW()-1,999)</f>
        <v>999</v>
      </c>
    </row>
    <row r="6" spans="1:50">
      <c r="A6" t="str">
        <f ca="1">IF($S$1=0,"",IF(INDEX($C$1:$C$331,$S$1+4)="","",INDEX($C$1:$C$331,$S$1+4)))</f>
        <v>自选技能5（+20）</v>
      </c>
      <c r="B6" t="str">
        <f ca="1">IF($S$1=0,"",IF(INDEX($D$1:$D$331,$S$1+4)="","",INDEX($D$1:$D$331,$S$1+4)))</f>
        <v>any</v>
      </c>
      <c r="C6" t="str">
        <f ca="1">IF($S$1=0,"",IF(INDEX($E$1:$E$331,$S$1+4)="","",INDEX($E$1:$E$331,$S$1+4)))</f>
        <v/>
      </c>
      <c r="D6" t="str">
        <f ca="1">IF($S$1=0,"",IF(INDEX($F$1:$F$331,$S$1+4)="","",INDEX($F$1:$F$331,$S$1+4)))</f>
        <v/>
      </c>
      <c r="E6" t="str">
        <f ca="1">IF($S$1=0,"",IF(INDEX($G$1:$G$331,$S$1+4)="","",INDEX($G$1:$G$331,$S$1+4)))</f>
        <v/>
      </c>
      <c r="F6" t="str">
        <f>TRIM(人物卡!BZ53)</f>
        <v/>
      </c>
      <c r="G6" t="str">
        <f ca="1">IF(F6&lt;&gt;"",F6,IF(B6="fixed",C6,IF(B6="group",IF(E6="艺术",IFERROR(CHOOSE(COUNTIF($E$2:E6,E6),$A$24,$A$25,$A$26),""),IF(E6="工艺",IFERROR(CHOOSE(COUNTIF($E$2:E6,E6),$A$31,$A$32,$A$33,$A$34),""),IF(E6="外语",IFERROR(CHOOSE(COUNTIF($E$2:E6,E6),$A$42,$A$43,$A$44),""),IF(E6="军事科学",IFERROR(CHOOSE(COUNTIF($E$2:E6,E6),$A$53,$A$54,$A$55),""),IF(E6="特种载具",IFERROR(CHOOSE(COUNTIF($E$2:E6,E6),$A$60,$A$61,$A$62),""),IF(E6="科学",IFERROR(CHOOSE(COUNTIF($E$2:E6,E6),$A$65,$A$66,$A$67),""),"")))))),"")))</f>
        <v/>
      </c>
      <c r="H6" t="str">
        <f ca="1" t="shared" si="0"/>
        <v/>
      </c>
      <c r="I6" t="str">
        <f ca="1" t="shared" si="1"/>
        <v>待选／填写主卡细项</v>
      </c>
      <c r="S6" t="str">
        <f ca="1">IF(S1=0,"请选择技能包",S2&amp;"/8项；已加"&amp;S3&amp;"/160点"&amp;IF(S4&gt;0,"；有超80点数","")&amp;IF(S5&gt;0,"；有同名格","")&amp;IF(S2&lt;8,"；待填细项／选择",""))</f>
        <v>0/8项；已加0/160点；待填细项／选择</v>
      </c>
      <c r="AR6">
        <f ca="1">IF(AND(B6="fixed",E6="艺术",COUNTIF(职业选项!$G$2:$G$28,C6)=0,COUNTIF($C$2:C6,C6)=1),ROW()-1,999)</f>
        <v>999</v>
      </c>
      <c r="AS6">
        <f ca="1">IF(AND(B6="fixed",E6="工艺",COUNTIF(职业选项!$G$2:$G$28,C6)=0,COUNTIF($C$2:C6,C6)=1),ROW()-1,999)</f>
        <v>999</v>
      </c>
      <c r="AT6">
        <f ca="1">IF(AND(B6="fixed",E6="外语",COUNTIF(职业选项!$G$2:$G$28,C6)=0,COUNTIF($C$2:C6,C6)=1),ROW()-1,999)</f>
        <v>999</v>
      </c>
      <c r="AU6">
        <f ca="1">IF(AND(B6="fixed",E6="军事科学",COUNTIF(职业选项!$G$2:$G$28,C6)=0,COUNTIF($C$2:C6,C6)=1),ROW()-1,999)</f>
        <v>999</v>
      </c>
      <c r="AV6">
        <f ca="1">IF(AND(B6="fixed",E6="特种载具",COUNTIF(职业选项!$G$2:$G$28,C6)=0,COUNTIF($C$2:C6,C6)=1),ROW()-1,999)</f>
        <v>999</v>
      </c>
      <c r="AW6">
        <f ca="1">IF(AND(B6="fixed",E6="科学",COUNTIF(职业选项!$G$2:$G$28,C6)=0,COUNTIF($C$2:C6,C6)=1),ROW()-1,999)</f>
        <v>999</v>
      </c>
      <c r="AX6">
        <f ca="1">IF(AND(B6="fixed",E6&lt;&gt;"",COUNTIF($A$20:$A$74,C6)=0,COUNTIF($C$2:C6,C6)=1),ROW()-1,999)</f>
        <v>999</v>
      </c>
    </row>
    <row r="7" spans="1:50">
      <c r="A7" t="str">
        <f ca="1">IF($S$1=0,"",IF(INDEX($C$1:$C$331,$S$1+5)="","",INDEX($C$1:$C$331,$S$1+5)))</f>
        <v>自选技能6（+20）</v>
      </c>
      <c r="B7" t="str">
        <f ca="1">IF($S$1=0,"",IF(INDEX($D$1:$D$331,$S$1+5)="","",INDEX($D$1:$D$331,$S$1+5)))</f>
        <v>any</v>
      </c>
      <c r="C7" t="str">
        <f ca="1">IF($S$1=0,"",IF(INDEX($E$1:$E$331,$S$1+5)="","",INDEX($E$1:$E$331,$S$1+5)))</f>
        <v/>
      </c>
      <c r="D7" t="str">
        <f ca="1">IF($S$1=0,"",IF(INDEX($F$1:$F$331,$S$1+5)="","",INDEX($F$1:$F$331,$S$1+5)))</f>
        <v/>
      </c>
      <c r="E7" t="str">
        <f ca="1">IF($S$1=0,"",IF(INDEX($G$1:$G$331,$S$1+5)="","",INDEX($G$1:$G$331,$S$1+5)))</f>
        <v/>
      </c>
      <c r="F7" t="str">
        <f>TRIM(人物卡!BZ54)</f>
        <v/>
      </c>
      <c r="G7" t="str">
        <f ca="1">IF(F7&lt;&gt;"",F7,IF(B7="fixed",C7,IF(B7="group",IF(E7="艺术",IFERROR(CHOOSE(COUNTIF($E$2:E7,E7),$A$24,$A$25,$A$26),""),IF(E7="工艺",IFERROR(CHOOSE(COUNTIF($E$2:E7,E7),$A$31,$A$32,$A$33,$A$34),""),IF(E7="外语",IFERROR(CHOOSE(COUNTIF($E$2:E7,E7),$A$42,$A$43,$A$44),""),IF(E7="军事科学",IFERROR(CHOOSE(COUNTIF($E$2:E7,E7),$A$53,$A$54,$A$55),""),IF(E7="特种载具",IFERROR(CHOOSE(COUNTIF($E$2:E7,E7),$A$60,$A$61,$A$62),""),IF(E7="科学",IFERROR(CHOOSE(COUNTIF($E$2:E7,E7),$A$65,$A$66,$A$67),""),"")))))),"")))</f>
        <v/>
      </c>
      <c r="H7" t="str">
        <f ca="1" t="shared" si="0"/>
        <v/>
      </c>
      <c r="I7" t="str">
        <f ca="1" t="shared" si="1"/>
        <v>待选／填写主卡细项</v>
      </c>
      <c r="S7">
        <f ca="1">COUNTIF($H$12:$H$16,"?*")</f>
        <v>0</v>
      </c>
      <c r="AR7">
        <f ca="1">IF(AND(B7="fixed",E7="艺术",COUNTIF(职业选项!$G$2:$G$28,C7)=0,COUNTIF($C$2:C7,C7)=1),ROW()-1,999)</f>
        <v>999</v>
      </c>
      <c r="AS7">
        <f ca="1">IF(AND(B7="fixed",E7="工艺",COUNTIF(职业选项!$G$2:$G$28,C7)=0,COUNTIF($C$2:C7,C7)=1),ROW()-1,999)</f>
        <v>999</v>
      </c>
      <c r="AT7">
        <f ca="1">IF(AND(B7="fixed",E7="外语",COUNTIF(职业选项!$G$2:$G$28,C7)=0,COUNTIF($C$2:C7,C7)=1),ROW()-1,999)</f>
        <v>999</v>
      </c>
      <c r="AU7">
        <f ca="1">IF(AND(B7="fixed",E7="军事科学",COUNTIF(职业选项!$G$2:$G$28,C7)=0,COUNTIF($C$2:C7,C7)=1),ROW()-1,999)</f>
        <v>999</v>
      </c>
      <c r="AV7">
        <f ca="1">IF(AND(B7="fixed",E7="特种载具",COUNTIF(职业选项!$G$2:$G$28,C7)=0,COUNTIF($C$2:C7,C7)=1),ROW()-1,999)</f>
        <v>999</v>
      </c>
      <c r="AW7">
        <f ca="1">IF(AND(B7="fixed",E7="科学",COUNTIF(职业选项!$G$2:$G$28,C7)=0,COUNTIF($C$2:C7,C7)=1),ROW()-1,999)</f>
        <v>999</v>
      </c>
      <c r="AX7">
        <f ca="1">IF(AND(B7="fixed",E7&lt;&gt;"",COUNTIF($A$20:$A$74,C7)=0,COUNTIF($C$2:C7,C7)=1),ROW()-1,999)</f>
        <v>999</v>
      </c>
    </row>
    <row r="8" spans="1:50">
      <c r="A8" t="str">
        <f ca="1">IF($S$1=0,"",IF(INDEX($C$1:$C$331,$S$1+6)="","",INDEX($C$1:$C$331,$S$1+6)))</f>
        <v>自选技能7（+20）</v>
      </c>
      <c r="B8" t="str">
        <f ca="1">IF($S$1=0,"",IF(INDEX($D$1:$D$331,$S$1+6)="","",INDEX($D$1:$D$331,$S$1+6)))</f>
        <v>any</v>
      </c>
      <c r="C8" t="str">
        <f ca="1">IF($S$1=0,"",IF(INDEX($E$1:$E$331,$S$1+6)="","",INDEX($E$1:$E$331,$S$1+6)))</f>
        <v/>
      </c>
      <c r="D8" t="str">
        <f ca="1">IF($S$1=0,"",IF(INDEX($F$1:$F$331,$S$1+6)="","",INDEX($F$1:$F$331,$S$1+6)))</f>
        <v/>
      </c>
      <c r="E8" t="str">
        <f ca="1">IF($S$1=0,"",IF(INDEX($G$1:$G$331,$S$1+6)="","",INDEX($G$1:$G$331,$S$1+6)))</f>
        <v/>
      </c>
      <c r="F8" t="str">
        <f>TRIM(人物卡!BZ55)</f>
        <v/>
      </c>
      <c r="G8" t="str">
        <f ca="1">IF(F8&lt;&gt;"",F8,IF(B8="fixed",C8,IF(B8="group",IF(E8="艺术",IFERROR(CHOOSE(COUNTIF($E$2:E8,E8),$A$24,$A$25,$A$26),""),IF(E8="工艺",IFERROR(CHOOSE(COUNTIF($E$2:E8,E8),$A$31,$A$32,$A$33,$A$34),""),IF(E8="外语",IFERROR(CHOOSE(COUNTIF($E$2:E8,E8),$A$42,$A$43,$A$44),""),IF(E8="军事科学",IFERROR(CHOOSE(COUNTIF($E$2:E8,E8),$A$53,$A$54,$A$55),""),IF(E8="特种载具",IFERROR(CHOOSE(COUNTIF($E$2:E8,E8),$A$60,$A$61,$A$62),""),IF(E8="科学",IFERROR(CHOOSE(COUNTIF($E$2:E8,E8),$A$65,$A$66,$A$67),""),"")))))),"")))</f>
        <v/>
      </c>
      <c r="H8" t="str">
        <f ca="1" t="shared" si="0"/>
        <v/>
      </c>
      <c r="I8" t="str">
        <f ca="1" t="shared" si="1"/>
        <v>待选／填写主卡细项</v>
      </c>
      <c r="S8" t="str">
        <f ca="1">IF(人物卡!$DF$46="艰苦经历","艰苦技能 "&amp;S7&amp;"/5；移除关系 "&amp;IF(人物卡!$DF$55="","待选",人物卡!$DF$55),IF(人物卡!$DF$46="人类不应知道之事",IF(人物卡!$DR$55="","待选／填写心理疾病","心理疾病已记录"),IF(OR(AND(人物卡!$DF$46="关押或入狱",人物卡!$DF$54&lt;4),AND(人物卡!$DF$46="极端暴力",人物卡!$DR$54&lt;4)),"原始属性不足以扣3，请核对","固定效果已计入")))</f>
        <v>固定效果已计入</v>
      </c>
      <c r="AR8">
        <f ca="1">IF(AND(B8="fixed",E8="艺术",COUNTIF(职业选项!$G$2:$G$28,C8)=0,COUNTIF($C$2:C8,C8)=1),ROW()-1,999)</f>
        <v>999</v>
      </c>
      <c r="AS8">
        <f ca="1">IF(AND(B8="fixed",E8="工艺",COUNTIF(职业选项!$G$2:$G$28,C8)=0,COUNTIF($C$2:C8,C8)=1),ROW()-1,999)</f>
        <v>999</v>
      </c>
      <c r="AT8">
        <f ca="1">IF(AND(B8="fixed",E8="外语",COUNTIF(职业选项!$G$2:$G$28,C8)=0,COUNTIF($C$2:C8,C8)=1),ROW()-1,999)</f>
        <v>999</v>
      </c>
      <c r="AU8">
        <f ca="1">IF(AND(B8="fixed",E8="军事科学",COUNTIF(职业选项!$G$2:$G$28,C8)=0,COUNTIF($C$2:C8,C8)=1),ROW()-1,999)</f>
        <v>999</v>
      </c>
      <c r="AV8">
        <f ca="1">IF(AND(B8="fixed",E8="特种载具",COUNTIF(职业选项!$G$2:$G$28,C8)=0,COUNTIF($C$2:C8,C8)=1),ROW()-1,999)</f>
        <v>999</v>
      </c>
      <c r="AW8">
        <f ca="1">IF(AND(B8="fixed",E8="科学",COUNTIF(职业选项!$G$2:$G$28,C8)=0,COUNTIF($C$2:C8,C8)=1),ROW()-1,999)</f>
        <v>999</v>
      </c>
      <c r="AX8">
        <f ca="1">IF(AND(B8="fixed",E8&lt;&gt;"",COUNTIF($A$20:$A$74,C8)=0,COUNTIF($C$2:C8,C8)=1),ROW()-1,999)</f>
        <v>999</v>
      </c>
    </row>
    <row r="9" spans="1:50">
      <c r="A9" t="str">
        <f ca="1">IF($S$1=0,"",IF(INDEX($C$1:$C$331,$S$1+7)="","",INDEX($C$1:$C$331,$S$1+7)))</f>
        <v>自选技能8（+20）</v>
      </c>
      <c r="B9" t="str">
        <f ca="1">IF($S$1=0,"",IF(INDEX($D$1:$D$331,$S$1+7)="","",INDEX($D$1:$D$331,$S$1+7)))</f>
        <v>any</v>
      </c>
      <c r="C9" t="str">
        <f ca="1">IF($S$1=0,"",IF(INDEX($E$1:$E$331,$S$1+7)="","",INDEX($E$1:$E$331,$S$1+7)))</f>
        <v/>
      </c>
      <c r="D9" t="str">
        <f ca="1">IF($S$1=0,"",IF(INDEX($F$1:$F$331,$S$1+7)="","",INDEX($F$1:$F$331,$S$1+7)))</f>
        <v/>
      </c>
      <c r="E9" t="str">
        <f ca="1">IF($S$1=0,"",IF(INDEX($G$1:$G$331,$S$1+7)="","",INDEX($G$1:$G$331,$S$1+7)))</f>
        <v/>
      </c>
      <c r="F9" t="str">
        <f>TRIM(人物卡!BZ56)</f>
        <v/>
      </c>
      <c r="G9" t="str">
        <f ca="1">IF(F9&lt;&gt;"",F9,IF(B9="fixed",C9,IF(B9="group",IF(E9="艺术",IFERROR(CHOOSE(COUNTIF($E$2:E9,E9),$A$24,$A$25,$A$26),""),IF(E9="工艺",IFERROR(CHOOSE(COUNTIF($E$2:E9,E9),$A$31,$A$32,$A$33,$A$34),""),IF(E9="外语",IFERROR(CHOOSE(COUNTIF($E$2:E9,E9),$A$42,$A$43,$A$44),""),IF(E9="军事科学",IFERROR(CHOOSE(COUNTIF($E$2:E9,E9),$A$53,$A$54,$A$55),""),IF(E9="特种载具",IFERROR(CHOOSE(COUNTIF($E$2:E9,E9),$A$60,$A$61,$A$62),""),IF(E9="科学",IFERROR(CHOOSE(COUNTIF($E$2:E9,E9),$A$65,$A$66,$A$67),""),"")))))),"")))</f>
        <v/>
      </c>
      <c r="H9" t="str">
        <f ca="1" t="shared" si="0"/>
        <v/>
      </c>
      <c r="I9" t="str">
        <f ca="1" t="shared" si="1"/>
        <v>待选／填写主卡细项</v>
      </c>
      <c r="AR9">
        <f ca="1">IF(AND(B9="fixed",E9="艺术",COUNTIF(职业选项!$G$2:$G$28,C9)=0,COUNTIF($C$2:C9,C9)=1),ROW()-1,999)</f>
        <v>999</v>
      </c>
      <c r="AS9">
        <f ca="1">IF(AND(B9="fixed",E9="工艺",COUNTIF(职业选项!$G$2:$G$28,C9)=0,COUNTIF($C$2:C9,C9)=1),ROW()-1,999)</f>
        <v>999</v>
      </c>
      <c r="AT9">
        <f ca="1">IF(AND(B9="fixed",E9="外语",COUNTIF(职业选项!$G$2:$G$28,C9)=0,COUNTIF($C$2:C9,C9)=1),ROW()-1,999)</f>
        <v>999</v>
      </c>
      <c r="AU9">
        <f ca="1">IF(AND(B9="fixed",E9="军事科学",COUNTIF(职业选项!$G$2:$G$28,C9)=0,COUNTIF($C$2:C9,C9)=1),ROW()-1,999)</f>
        <v>999</v>
      </c>
      <c r="AV9">
        <f ca="1">IF(AND(B9="fixed",E9="特种载具",COUNTIF(职业选项!$G$2:$G$28,C9)=0,COUNTIF($C$2:C9,C9)=1),ROW()-1,999)</f>
        <v>999</v>
      </c>
      <c r="AW9">
        <f ca="1">IF(AND(B9="fixed",E9="科学",COUNTIF(职业选项!$G$2:$G$28,C9)=0,COUNTIF($C$2:C9,C9)=1),ROW()-1,999)</f>
        <v>999</v>
      </c>
      <c r="AX9">
        <f ca="1">IF(AND(B9="fixed",E9&lt;&gt;"",COUNTIF($A$20:$A$74,C9)=0,COUNTIF($C$2:C9,C9)=1),ROW()-1,999)</f>
        <v>999</v>
      </c>
    </row>
    <row r="10" spans="1:50">
      <c r="S10"/>
    </row>
    <row r="12" spans="1:50">
      <c r="G12" t="str">
        <f>TRIM(人物卡!DF57)</f>
        <v/>
      </c>
      <c r="H12" t="str">
        <f ca="1">IF(AND(人物卡!$DF$46="艰苦经历",G12&lt;&gt;"",G12&lt;&gt;"非自然知识",COUNTIF($A$20:$A$78,G12)&gt;0,COUNTIF($G$12:$G$16,G12)=1),G12,"")</f>
        <v/>
      </c>
    </row>
    <row r="13" spans="1:50">
      <c r="G13" t="str">
        <f>TRIM(人物卡!DF58)</f>
        <v/>
      </c>
      <c r="H13" t="str">
        <f ca="1">IF(AND(人物卡!$DF$46="艰苦经历",G13&lt;&gt;"",G13&lt;&gt;"非自然知识",COUNTIF($A$20:$A$78,G13)&gt;0,COUNTIF($G$12:$G$16,G13)=1),G13,"")</f>
        <v/>
      </c>
    </row>
    <row r="14" spans="1:50">
      <c r="G14" t="str">
        <f>TRIM(人物卡!DF59)</f>
        <v/>
      </c>
      <c r="H14" t="str">
        <f ca="1">IF(AND(人物卡!$DF$46="艰苦经历",G14&lt;&gt;"",G14&lt;&gt;"非自然知识",COUNTIF($A$20:$A$78,G14)&gt;0,COUNTIF($G$12:$G$16,G14)=1),G14,"")</f>
        <v/>
      </c>
    </row>
    <row r="15" spans="1:50">
      <c r="G15" t="str">
        <f>TRIM(人物卡!DF60)</f>
        <v/>
      </c>
      <c r="H15" t="str">
        <f ca="1">IF(AND(人物卡!$DF$46="艰苦经历",G15&lt;&gt;"",G15&lt;&gt;"非自然知识",COUNTIF($A$20:$A$78,G15)&gt;0,COUNTIF($G$12:$G$16,G15)=1),G15,"")</f>
        <v/>
      </c>
    </row>
    <row r="16" spans="1:50">
      <c r="G16" t="str">
        <f>TRIM(人物卡!DF61)</f>
        <v/>
      </c>
      <c r="H16" t="str">
        <f ca="1">IF(AND(人物卡!$DF$46="艰苦经历",G16&lt;&gt;"",G16&lt;&gt;"非自然知识",COUNTIF($A$20:$A$78,G16)&gt;0,COUNTIF($G$12:$G$16,G16)=1),G16,"")</f>
        <v/>
      </c>
    </row>
    <row r="19" spans="1:42">
      <c r="Z19">
        <f ca="1">COUNTIF($Y$20:$Y$78,"&lt;999")</f>
        <v>36</v>
      </c>
      <c r="AA19">
        <f ca="1">COUNTIF($AB$20:$AB$78,"&lt;999")</f>
        <v>36</v>
      </c>
      <c r="AC19">
        <f ca="1">COUNTIF($AD$20:$AD$78,"&lt;999")</f>
        <v>36</v>
      </c>
      <c r="AE19">
        <f ca="1">COUNTIF($AF$20:$AF$78,"&lt;999")</f>
        <v>36</v>
      </c>
      <c r="AG19">
        <f ca="1">COUNTIF($AH$20:$AH$78,"&lt;999")</f>
        <v>36</v>
      </c>
      <c r="AI19">
        <f ca="1">COUNTIF($AJ$20:$AJ$78,"&lt;999")</f>
        <v>36</v>
      </c>
      <c r="AK19">
        <f ca="1">COUNTIF($AL$20:$AL$78,"&lt;999")</f>
        <v>36</v>
      </c>
      <c r="AM19">
        <f ca="1">COUNTIF($AN$20:$AN$78,"&lt;999")</f>
        <v>36</v>
      </c>
      <c r="AO19">
        <f ca="1">COUNTIF($AP$20:$AP$78,"&lt;999")</f>
        <v>36</v>
      </c>
    </row>
    <row r="20" spans="1:42">
      <c r="A20" t="str">
        <f>人物卡!D14</f>
        <v>会计学</v>
      </c>
      <c r="B20" t="str">
        <f t="shared" ref="B20:B78" si="2">IF(A20="","",IF(ISNUMBER(FIND("（",A20)),LEFT(A20,FIND("（",A20)-1),""))</f>
        <v/>
      </c>
      <c r="C20">
        <f ca="1">IF(人物卡!V14="",N(人物卡!S14),N(人物卡!V14))</f>
        <v>10</v>
      </c>
      <c r="D20">
        <f ca="1">IF(AND(A20&lt;&gt;"",COUNTIF($A$20:A20,A20)=1),COUNTIF($H$2:$H$9,A20)*20,0)</f>
        <v>0</v>
      </c>
      <c r="E20">
        <f ca="1" t="shared" ref="E20:E78" si="3">MIN(D20,MAX(0,80-C20))</f>
        <v>0</v>
      </c>
      <c r="F20">
        <f ca="1">IF(AND(A20&lt;&gt;"",COUNTIF($A$20:A20,A20)=1),IF(A20="神秘学",IF(人物卡!$DF$46="人类不应知道之事",20,IF(OR(人物卡!$DF$46="极端暴力",人物卡!$DF$46="关押或入狱",人物卡!$DF$46="艰苦经历"),10,0)),0)+IF(人物卡!$DF$46="艰苦经历",COUNTIF($H$12:$H$16,A20)*10,0),0)</f>
        <v>0</v>
      </c>
      <c r="G20">
        <f ca="1">IF(人物卡!$DF$46="艰苦经历",MIN(F20,MAX(0,90-C20-E20)),MIN(F20,MAX(0,99-C20-E20)))</f>
        <v>0</v>
      </c>
      <c r="H20" t="str">
        <f ca="1" t="shared" ref="H20:H78" si="4">IF(E20+G20=0,"",E20+G20)</f>
        <v/>
      </c>
      <c r="I20" t="str">
        <f ca="1" t="shared" ref="I20:I78" si="5">IF(AND(A20&lt;&gt;"",COUNTIF($A$20:$A$78,A20)&gt;1),"同名技能占多格","")</f>
        <v/>
      </c>
      <c r="J20" t="s">
        <v>955</v>
      </c>
      <c r="K20" t="s">
        <v>962</v>
      </c>
      <c r="Y20">
        <f>IF(AND($A20&lt;&gt;"",COUNTIF($A$20:A20,A20)=1,$A20&lt;&gt;"非自然知识"),ROW()-19,999)</f>
        <v>1</v>
      </c>
      <c r="Z20" t="str">
        <f ca="1">IFERROR(INDEX($A$20:$A$78,SMALL($Y$20:$Y$78,1)),"")</f>
        <v>会计学</v>
      </c>
      <c r="AA20" t="str">
        <f ca="1">IFERROR(INDEX($A$20:$A$78,SMALL($AB$20:$AB$78,1)),"")</f>
        <v>会计学</v>
      </c>
      <c r="AB20">
        <f ca="1">IF(AND($A20&lt;&gt;"",COUNTIF($A$20:A20,A20)=1,AND($A20&lt;&gt;"",$A20&lt;&gt;"非自然知识",COUNTIF($A$20:$A$78,$A20)&gt;0,OR($B$2="any",$B$2="fixed",AND($B$2="group",LEFT($A20,LEN($E$2)+1)=$E$2&amp;"（"),IFERROR(OR(ISNUMBER(FIND("|"&amp;$A20&amp;"|",$D$2)),AND(IFERROR(FIND("（",$A20),0)&gt;0,ISNUMBER(FIND("|"&amp;LEFT($A20,FIND("（",$A20)-1)&amp;"*|",$D$2)))),FALSE)))),ROW()-19,999)</f>
        <v>1</v>
      </c>
      <c r="AC20" t="str">
        <f ca="1">IFERROR(INDEX($A$20:$A$78,SMALL($AD$20:$AD$78,1)),"")</f>
        <v>会计学</v>
      </c>
      <c r="AD20">
        <f ca="1">IF(AND($A20&lt;&gt;"",COUNTIF($A$20:A20,A20)=1,AND($A20&lt;&gt;"",$A20&lt;&gt;"非自然知识",COUNTIF($A$20:$A$78,$A20)&gt;0,OR($B$3="any",$B$3="fixed",AND($B$3="group",LEFT($A20,LEN($E$3)+1)=$E$3&amp;"（"),IFERROR(OR(ISNUMBER(FIND("|"&amp;$A20&amp;"|",$D$3)),AND(IFERROR(FIND("（",$A20),0)&gt;0,ISNUMBER(FIND("|"&amp;LEFT($A20,FIND("（",$A20)-1)&amp;"*|",$D$3)))),FALSE)))),ROW()-19,999)</f>
        <v>1</v>
      </c>
      <c r="AE20" t="str">
        <f ca="1">IFERROR(INDEX($A$20:$A$78,SMALL($AF$20:$AF$78,1)),"")</f>
        <v>会计学</v>
      </c>
      <c r="AF20">
        <f ca="1">IF(AND($A20&lt;&gt;"",COUNTIF($A$20:A20,A20)=1,AND($A20&lt;&gt;"",$A20&lt;&gt;"非自然知识",COUNTIF($A$20:$A$78,$A20)&gt;0,OR($B$4="any",$B$4="fixed",AND($B$4="group",LEFT($A20,LEN($E$4)+1)=$E$4&amp;"（"),IFERROR(OR(ISNUMBER(FIND("|"&amp;$A20&amp;"|",$D$4)),AND(IFERROR(FIND("（",$A20),0)&gt;0,ISNUMBER(FIND("|"&amp;LEFT($A20,FIND("（",$A20)-1)&amp;"*|",$D$4)))),FALSE)))),ROW()-19,999)</f>
        <v>1</v>
      </c>
      <c r="AG20" t="str">
        <f ca="1">IFERROR(INDEX($A$20:$A$78,SMALL($AH$20:$AH$78,1)),"")</f>
        <v>会计学</v>
      </c>
      <c r="AH20">
        <f ca="1">IF(AND($A20&lt;&gt;"",COUNTIF($A$20:A20,A20)=1,AND($A20&lt;&gt;"",$A20&lt;&gt;"非自然知识",COUNTIF($A$20:$A$78,$A20)&gt;0,OR($B$5="any",$B$5="fixed",AND($B$5="group",LEFT($A20,LEN($E$5)+1)=$E$5&amp;"（"),IFERROR(OR(ISNUMBER(FIND("|"&amp;$A20&amp;"|",$D$5)),AND(IFERROR(FIND("（",$A20),0)&gt;0,ISNUMBER(FIND("|"&amp;LEFT($A20,FIND("（",$A20)-1)&amp;"*|",$D$5)))),FALSE)))),ROW()-19,999)</f>
        <v>1</v>
      </c>
      <c r="AI20" t="str">
        <f ca="1">IFERROR(INDEX($A$20:$A$78,SMALL($AJ$20:$AJ$78,1)),"")</f>
        <v>会计学</v>
      </c>
      <c r="AJ20">
        <f ca="1">IF(AND($A20&lt;&gt;"",COUNTIF($A$20:A20,A20)=1,AND($A20&lt;&gt;"",$A20&lt;&gt;"非自然知识",COUNTIF($A$20:$A$78,$A20)&gt;0,OR($B$6="any",$B$6="fixed",AND($B$6="group",LEFT($A20,LEN($E$6)+1)=$E$6&amp;"（"),IFERROR(OR(ISNUMBER(FIND("|"&amp;$A20&amp;"|",$D$6)),AND(IFERROR(FIND("（",$A20),0)&gt;0,ISNUMBER(FIND("|"&amp;LEFT($A20,FIND("（",$A20)-1)&amp;"*|",$D$6)))),FALSE)))),ROW()-19,999)</f>
        <v>1</v>
      </c>
      <c r="AK20" t="str">
        <f ca="1">IFERROR(INDEX($A$20:$A$78,SMALL($AL$20:$AL$78,1)),"")</f>
        <v>会计学</v>
      </c>
      <c r="AL20">
        <f ca="1">IF(AND($A20&lt;&gt;"",COUNTIF($A$20:A20,A20)=1,AND($A20&lt;&gt;"",$A20&lt;&gt;"非自然知识",COUNTIF($A$20:$A$78,$A20)&gt;0,OR($B$7="any",$B$7="fixed",AND($B$7="group",LEFT($A20,LEN($E$7)+1)=$E$7&amp;"（"),IFERROR(OR(ISNUMBER(FIND("|"&amp;$A20&amp;"|",$D$7)),AND(IFERROR(FIND("（",$A20),0)&gt;0,ISNUMBER(FIND("|"&amp;LEFT($A20,FIND("（",$A20)-1)&amp;"*|",$D$7)))),FALSE)))),ROW()-19,999)</f>
        <v>1</v>
      </c>
      <c r="AM20" t="str">
        <f ca="1">IFERROR(INDEX($A$20:$A$78,SMALL($AN$20:$AN$78,1)),"")</f>
        <v>会计学</v>
      </c>
      <c r="AN20">
        <f ca="1">IF(AND($A20&lt;&gt;"",COUNTIF($A$20:A20,A20)=1,AND($A20&lt;&gt;"",$A20&lt;&gt;"非自然知识",COUNTIF($A$20:$A$78,$A20)&gt;0,OR($B$8="any",$B$8="fixed",AND($B$8="group",LEFT($A20,LEN($E$8)+1)=$E$8&amp;"（"),IFERROR(OR(ISNUMBER(FIND("|"&amp;$A20&amp;"|",$D$8)),AND(IFERROR(FIND("（",$A20),0)&gt;0,ISNUMBER(FIND("|"&amp;LEFT($A20,FIND("（",$A20)-1)&amp;"*|",$D$8)))),FALSE)))),ROW()-19,999)</f>
        <v>1</v>
      </c>
      <c r="AO20" t="str">
        <f ca="1">IFERROR(INDEX($A$20:$A$78,SMALL($AP$20:$AP$78,1)),"")</f>
        <v>会计学</v>
      </c>
      <c r="AP20">
        <f ca="1">IF(AND($A20&lt;&gt;"",COUNTIF($A$20:A20,A20)=1,AND($A20&lt;&gt;"",$A20&lt;&gt;"非自然知识",COUNTIF($A$20:$A$78,$A20)&gt;0,OR($B$9="any",$B$9="fixed",AND($B$9="group",LEFT($A20,LEN($E$9)+1)=$E$9&amp;"（"),IFERROR(OR(ISNUMBER(FIND("|"&amp;$A20&amp;"|",$D$9)),AND(IFERROR(FIND("（",$A20),0)&gt;0,ISNUMBER(FIND("|"&amp;LEFT($A20,FIND("（",$A20)-1)&amp;"*|",$D$9)))),FALSE)))),ROW()-19,999)</f>
        <v>1</v>
      </c>
    </row>
    <row r="21" spans="1:42">
      <c r="A21" t="str">
        <f>人物卡!D15</f>
        <v>警觉</v>
      </c>
      <c r="B21" t="str">
        <f t="shared" si="2"/>
        <v/>
      </c>
      <c r="C21">
        <f ca="1">IF(人物卡!V15="",N(人物卡!S15),N(人物卡!V15))</f>
        <v>20</v>
      </c>
      <c r="D21">
        <f ca="1">IF(AND(A21&lt;&gt;"",COUNTIF($A$20:A21,A21)=1),COUNTIF($H$2:$H$9,A21)*20,0)</f>
        <v>0</v>
      </c>
      <c r="E21">
        <f ca="1" t="shared" si="3"/>
        <v>0</v>
      </c>
      <c r="F21">
        <f ca="1">IF(AND(A21&lt;&gt;"",COUNTIF($A$20:A21,A21)=1),IF(A21="神秘学",IF(人物卡!$DF$46="人类不应知道之事",20,IF(OR(人物卡!$DF$46="极端暴力",人物卡!$DF$46="关押或入狱",人物卡!$DF$46="艰苦经历"),10,0)),0)+IF(人物卡!$DF$46="艰苦经历",COUNTIF($H$12:$H$16,A21)*10,0),0)</f>
        <v>0</v>
      </c>
      <c r="G21">
        <f ca="1">IF(人物卡!$DF$46="艰苦经历",MIN(F21,MAX(0,90-C21-E21)),MIN(F21,MAX(0,99-C21-E21)))</f>
        <v>0</v>
      </c>
      <c r="H21" t="str">
        <f ca="1" t="shared" si="4"/>
        <v/>
      </c>
      <c r="I21" t="str">
        <f ca="1" t="shared" si="5"/>
        <v/>
      </c>
      <c r="J21" t="s">
        <v>981</v>
      </c>
      <c r="K21" t="s">
        <v>988</v>
      </c>
      <c r="Y21">
        <f>IF(AND($A21&lt;&gt;"",COUNTIF($A$20:A21,A21)=1,$A21&lt;&gt;"非自然知识"),ROW()-19,999)</f>
        <v>2</v>
      </c>
      <c r="Z21" t="str">
        <f ca="1">IFERROR(INDEX($A$20:$A$78,SMALL($Y$20:$Y$78,2)),"")</f>
        <v>警觉</v>
      </c>
      <c r="AA21" t="str">
        <f ca="1">IFERROR(INDEX($A$20:$A$78,SMALL($AB$20:$AB$78,2)),"")</f>
        <v>警觉</v>
      </c>
      <c r="AB21">
        <f ca="1">IF(AND($A21&lt;&gt;"",COUNTIF($A$20:A21,A21)=1,AND($A21&lt;&gt;"",$A21&lt;&gt;"非自然知识",COUNTIF($A$20:$A$78,$A21)&gt;0,OR($B$2="any",$B$2="fixed",AND($B$2="group",LEFT($A21,LEN($E$2)+1)=$E$2&amp;"（"),IFERROR(OR(ISNUMBER(FIND("|"&amp;$A21&amp;"|",$D$2)),AND(IFERROR(FIND("（",$A21),0)&gt;0,ISNUMBER(FIND("|"&amp;LEFT($A21,FIND("（",$A21)-1)&amp;"*|",$D$2)))),FALSE)))),ROW()-19,999)</f>
        <v>2</v>
      </c>
      <c r="AC21" t="str">
        <f ca="1">IFERROR(INDEX($A$20:$A$78,SMALL($AD$20:$AD$78,2)),"")</f>
        <v>警觉</v>
      </c>
      <c r="AD21">
        <f ca="1">IF(AND($A21&lt;&gt;"",COUNTIF($A$20:A21,A21)=1,AND($A21&lt;&gt;"",$A21&lt;&gt;"非自然知识",COUNTIF($A$20:$A$78,$A21)&gt;0,OR($B$3="any",$B$3="fixed",AND($B$3="group",LEFT($A21,LEN($E$3)+1)=$E$3&amp;"（"),IFERROR(OR(ISNUMBER(FIND("|"&amp;$A21&amp;"|",$D$3)),AND(IFERROR(FIND("（",$A21),0)&gt;0,ISNUMBER(FIND("|"&amp;LEFT($A21,FIND("（",$A21)-1)&amp;"*|",$D$3)))),FALSE)))),ROW()-19,999)</f>
        <v>2</v>
      </c>
      <c r="AE21" t="str">
        <f ca="1">IFERROR(INDEX($A$20:$A$78,SMALL($AF$20:$AF$78,2)),"")</f>
        <v>警觉</v>
      </c>
      <c r="AF21">
        <f ca="1">IF(AND($A21&lt;&gt;"",COUNTIF($A$20:A21,A21)=1,AND($A21&lt;&gt;"",$A21&lt;&gt;"非自然知识",COUNTIF($A$20:$A$78,$A21)&gt;0,OR($B$4="any",$B$4="fixed",AND($B$4="group",LEFT($A21,LEN($E$4)+1)=$E$4&amp;"（"),IFERROR(OR(ISNUMBER(FIND("|"&amp;$A21&amp;"|",$D$4)),AND(IFERROR(FIND("（",$A21),0)&gt;0,ISNUMBER(FIND("|"&amp;LEFT($A21,FIND("（",$A21)-1)&amp;"*|",$D$4)))),FALSE)))),ROW()-19,999)</f>
        <v>2</v>
      </c>
      <c r="AG21" t="str">
        <f ca="1">IFERROR(INDEX($A$20:$A$78,SMALL($AH$20:$AH$78,2)),"")</f>
        <v>警觉</v>
      </c>
      <c r="AH21">
        <f ca="1">IF(AND($A21&lt;&gt;"",COUNTIF($A$20:A21,A21)=1,AND($A21&lt;&gt;"",$A21&lt;&gt;"非自然知识",COUNTIF($A$20:$A$78,$A21)&gt;0,OR($B$5="any",$B$5="fixed",AND($B$5="group",LEFT($A21,LEN($E$5)+1)=$E$5&amp;"（"),IFERROR(OR(ISNUMBER(FIND("|"&amp;$A21&amp;"|",$D$5)),AND(IFERROR(FIND("（",$A21),0)&gt;0,ISNUMBER(FIND("|"&amp;LEFT($A21,FIND("（",$A21)-1)&amp;"*|",$D$5)))),FALSE)))),ROW()-19,999)</f>
        <v>2</v>
      </c>
      <c r="AI21" t="str">
        <f ca="1">IFERROR(INDEX($A$20:$A$78,SMALL($AJ$20:$AJ$78,2)),"")</f>
        <v>警觉</v>
      </c>
      <c r="AJ21">
        <f ca="1">IF(AND($A21&lt;&gt;"",COUNTIF($A$20:A21,A21)=1,AND($A21&lt;&gt;"",$A21&lt;&gt;"非自然知识",COUNTIF($A$20:$A$78,$A21)&gt;0,OR($B$6="any",$B$6="fixed",AND($B$6="group",LEFT($A21,LEN($E$6)+1)=$E$6&amp;"（"),IFERROR(OR(ISNUMBER(FIND("|"&amp;$A21&amp;"|",$D$6)),AND(IFERROR(FIND("（",$A21),0)&gt;0,ISNUMBER(FIND("|"&amp;LEFT($A21,FIND("（",$A21)-1)&amp;"*|",$D$6)))),FALSE)))),ROW()-19,999)</f>
        <v>2</v>
      </c>
      <c r="AK21" t="str">
        <f ca="1">IFERROR(INDEX($A$20:$A$78,SMALL($AL$20:$AL$78,2)),"")</f>
        <v>警觉</v>
      </c>
      <c r="AL21">
        <f ca="1">IF(AND($A21&lt;&gt;"",COUNTIF($A$20:A21,A21)=1,AND($A21&lt;&gt;"",$A21&lt;&gt;"非自然知识",COUNTIF($A$20:$A$78,$A21)&gt;0,OR($B$7="any",$B$7="fixed",AND($B$7="group",LEFT($A21,LEN($E$7)+1)=$E$7&amp;"（"),IFERROR(OR(ISNUMBER(FIND("|"&amp;$A21&amp;"|",$D$7)),AND(IFERROR(FIND("（",$A21),0)&gt;0,ISNUMBER(FIND("|"&amp;LEFT($A21,FIND("（",$A21)-1)&amp;"*|",$D$7)))),FALSE)))),ROW()-19,999)</f>
        <v>2</v>
      </c>
      <c r="AM21" t="str">
        <f ca="1">IFERROR(INDEX($A$20:$A$78,SMALL($AN$20:$AN$78,2)),"")</f>
        <v>警觉</v>
      </c>
      <c r="AN21">
        <f ca="1">IF(AND($A21&lt;&gt;"",COUNTIF($A$20:A21,A21)=1,AND($A21&lt;&gt;"",$A21&lt;&gt;"非自然知识",COUNTIF($A$20:$A$78,$A21)&gt;0,OR($B$8="any",$B$8="fixed",AND($B$8="group",LEFT($A21,LEN($E$8)+1)=$E$8&amp;"（"),IFERROR(OR(ISNUMBER(FIND("|"&amp;$A21&amp;"|",$D$8)),AND(IFERROR(FIND("（",$A21),0)&gt;0,ISNUMBER(FIND("|"&amp;LEFT($A21,FIND("（",$A21)-1)&amp;"*|",$D$8)))),FALSE)))),ROW()-19,999)</f>
        <v>2</v>
      </c>
      <c r="AO21" t="str">
        <f ca="1">IFERROR(INDEX($A$20:$A$78,SMALL($AP$20:$AP$78,2)),"")</f>
        <v>警觉</v>
      </c>
      <c r="AP21">
        <f ca="1">IF(AND($A21&lt;&gt;"",COUNTIF($A$20:A21,A21)=1,AND($A21&lt;&gt;"",$A21&lt;&gt;"非自然知识",COUNTIF($A$20:$A$78,$A21)&gt;0,OR($B$9="any",$B$9="fixed",AND($B$9="group",LEFT($A21,LEN($E$9)+1)=$E$9&amp;"（"),IFERROR(OR(ISNUMBER(FIND("|"&amp;$A21&amp;"|",$D$9)),AND(IFERROR(FIND("（",$A21),0)&gt;0,ISNUMBER(FIND("|"&amp;LEFT($A21,FIND("（",$A21)-1)&amp;"*|",$D$9)))),FALSE)))),ROW()-19,999)</f>
        <v>2</v>
      </c>
    </row>
    <row r="22" spans="1:42">
      <c r="A22" t="str">
        <f>人物卡!D16</f>
        <v>人类学</v>
      </c>
      <c r="B22" t="str">
        <f t="shared" si="2"/>
        <v/>
      </c>
      <c r="C22">
        <f ca="1">IF(人物卡!V16="",N(人物卡!S16),N(人物卡!V16))</f>
        <v>0</v>
      </c>
      <c r="D22">
        <f ca="1">IF(AND(A22&lt;&gt;"",COUNTIF($A$20:A22,A22)=1),COUNTIF($H$2:$H$9,A22)*20,0)</f>
        <v>0</v>
      </c>
      <c r="E22">
        <f ca="1" t="shared" si="3"/>
        <v>0</v>
      </c>
      <c r="F22">
        <f ca="1">IF(AND(A22&lt;&gt;"",COUNTIF($A$20:A22,A22)=1),IF(A22="神秘学",IF(人物卡!$DF$46="人类不应知道之事",20,IF(OR(人物卡!$DF$46="极端暴力",人物卡!$DF$46="关押或入狱",人物卡!$DF$46="艰苦经历"),10,0)),0)+IF(人物卡!$DF$46="艰苦经历",COUNTIF($H$12:$H$16,A22)*10,0),0)</f>
        <v>0</v>
      </c>
      <c r="G22">
        <f ca="1">IF(人物卡!$DF$46="艰苦经历",MIN(F22,MAX(0,90-C22-E22)),MIN(F22,MAX(0,99-C22-E22)))</f>
        <v>0</v>
      </c>
      <c r="H22" t="str">
        <f ca="1" t="shared" si="4"/>
        <v/>
      </c>
      <c r="I22" t="str">
        <f ca="1" t="shared" si="5"/>
        <v/>
      </c>
      <c r="J22" t="s">
        <v>1009</v>
      </c>
      <c r="K22" t="s">
        <v>1016</v>
      </c>
      <c r="Y22">
        <f>IF(AND($A22&lt;&gt;"",COUNTIF($A$20:A22,A22)=1,$A22&lt;&gt;"非自然知识"),ROW()-19,999)</f>
        <v>3</v>
      </c>
      <c r="Z22" t="str">
        <f ca="1">IFERROR(INDEX($A$20:$A$78,SMALL($Y$20:$Y$78,3)),"")</f>
        <v>人类学</v>
      </c>
      <c r="AA22" t="str">
        <f ca="1">IFERROR(INDEX($A$20:$A$78,SMALL($AB$20:$AB$78,3)),"")</f>
        <v>人类学</v>
      </c>
      <c r="AB22">
        <f ca="1">IF(AND($A22&lt;&gt;"",COUNTIF($A$20:A22,A22)=1,AND($A22&lt;&gt;"",$A22&lt;&gt;"非自然知识",COUNTIF($A$20:$A$78,$A22)&gt;0,OR($B$2="any",$B$2="fixed",AND($B$2="group",LEFT($A22,LEN($E$2)+1)=$E$2&amp;"（"),IFERROR(OR(ISNUMBER(FIND("|"&amp;$A22&amp;"|",$D$2)),AND(IFERROR(FIND("（",$A22),0)&gt;0,ISNUMBER(FIND("|"&amp;LEFT($A22,FIND("（",$A22)-1)&amp;"*|",$D$2)))),FALSE)))),ROW()-19,999)</f>
        <v>3</v>
      </c>
      <c r="AC22" t="str">
        <f ca="1">IFERROR(INDEX($A$20:$A$78,SMALL($AD$20:$AD$78,3)),"")</f>
        <v>人类学</v>
      </c>
      <c r="AD22">
        <f ca="1">IF(AND($A22&lt;&gt;"",COUNTIF($A$20:A22,A22)=1,AND($A22&lt;&gt;"",$A22&lt;&gt;"非自然知识",COUNTIF($A$20:$A$78,$A22)&gt;0,OR($B$3="any",$B$3="fixed",AND($B$3="group",LEFT($A22,LEN($E$3)+1)=$E$3&amp;"（"),IFERROR(OR(ISNUMBER(FIND("|"&amp;$A22&amp;"|",$D$3)),AND(IFERROR(FIND("（",$A22),0)&gt;0,ISNUMBER(FIND("|"&amp;LEFT($A22,FIND("（",$A22)-1)&amp;"*|",$D$3)))),FALSE)))),ROW()-19,999)</f>
        <v>3</v>
      </c>
      <c r="AE22" t="str">
        <f ca="1">IFERROR(INDEX($A$20:$A$78,SMALL($AF$20:$AF$78,3)),"")</f>
        <v>人类学</v>
      </c>
      <c r="AF22">
        <f ca="1">IF(AND($A22&lt;&gt;"",COUNTIF($A$20:A22,A22)=1,AND($A22&lt;&gt;"",$A22&lt;&gt;"非自然知识",COUNTIF($A$20:$A$78,$A22)&gt;0,OR($B$4="any",$B$4="fixed",AND($B$4="group",LEFT($A22,LEN($E$4)+1)=$E$4&amp;"（"),IFERROR(OR(ISNUMBER(FIND("|"&amp;$A22&amp;"|",$D$4)),AND(IFERROR(FIND("（",$A22),0)&gt;0,ISNUMBER(FIND("|"&amp;LEFT($A22,FIND("（",$A22)-1)&amp;"*|",$D$4)))),FALSE)))),ROW()-19,999)</f>
        <v>3</v>
      </c>
      <c r="AG22" t="str">
        <f ca="1">IFERROR(INDEX($A$20:$A$78,SMALL($AH$20:$AH$78,3)),"")</f>
        <v>人类学</v>
      </c>
      <c r="AH22">
        <f ca="1">IF(AND($A22&lt;&gt;"",COUNTIF($A$20:A22,A22)=1,AND($A22&lt;&gt;"",$A22&lt;&gt;"非自然知识",COUNTIF($A$20:$A$78,$A22)&gt;0,OR($B$5="any",$B$5="fixed",AND($B$5="group",LEFT($A22,LEN($E$5)+1)=$E$5&amp;"（"),IFERROR(OR(ISNUMBER(FIND("|"&amp;$A22&amp;"|",$D$5)),AND(IFERROR(FIND("（",$A22),0)&gt;0,ISNUMBER(FIND("|"&amp;LEFT($A22,FIND("（",$A22)-1)&amp;"*|",$D$5)))),FALSE)))),ROW()-19,999)</f>
        <v>3</v>
      </c>
      <c r="AI22" t="str">
        <f ca="1">IFERROR(INDEX($A$20:$A$78,SMALL($AJ$20:$AJ$78,3)),"")</f>
        <v>人类学</v>
      </c>
      <c r="AJ22">
        <f ca="1">IF(AND($A22&lt;&gt;"",COUNTIF($A$20:A22,A22)=1,AND($A22&lt;&gt;"",$A22&lt;&gt;"非自然知识",COUNTIF($A$20:$A$78,$A22)&gt;0,OR($B$6="any",$B$6="fixed",AND($B$6="group",LEFT($A22,LEN($E$6)+1)=$E$6&amp;"（"),IFERROR(OR(ISNUMBER(FIND("|"&amp;$A22&amp;"|",$D$6)),AND(IFERROR(FIND("（",$A22),0)&gt;0,ISNUMBER(FIND("|"&amp;LEFT($A22,FIND("（",$A22)-1)&amp;"*|",$D$6)))),FALSE)))),ROW()-19,999)</f>
        <v>3</v>
      </c>
      <c r="AK22" t="str">
        <f ca="1">IFERROR(INDEX($A$20:$A$78,SMALL($AL$20:$AL$78,3)),"")</f>
        <v>人类学</v>
      </c>
      <c r="AL22">
        <f ca="1">IF(AND($A22&lt;&gt;"",COUNTIF($A$20:A22,A22)=1,AND($A22&lt;&gt;"",$A22&lt;&gt;"非自然知识",COUNTIF($A$20:$A$78,$A22)&gt;0,OR($B$7="any",$B$7="fixed",AND($B$7="group",LEFT($A22,LEN($E$7)+1)=$E$7&amp;"（"),IFERROR(OR(ISNUMBER(FIND("|"&amp;$A22&amp;"|",$D$7)),AND(IFERROR(FIND("（",$A22),0)&gt;0,ISNUMBER(FIND("|"&amp;LEFT($A22,FIND("（",$A22)-1)&amp;"*|",$D$7)))),FALSE)))),ROW()-19,999)</f>
        <v>3</v>
      </c>
      <c r="AM22" t="str">
        <f ca="1">IFERROR(INDEX($A$20:$A$78,SMALL($AN$20:$AN$78,3)),"")</f>
        <v>人类学</v>
      </c>
      <c r="AN22">
        <f ca="1">IF(AND($A22&lt;&gt;"",COUNTIF($A$20:A22,A22)=1,AND($A22&lt;&gt;"",$A22&lt;&gt;"非自然知识",COUNTIF($A$20:$A$78,$A22)&gt;0,OR($B$8="any",$B$8="fixed",AND($B$8="group",LEFT($A22,LEN($E$8)+1)=$E$8&amp;"（"),IFERROR(OR(ISNUMBER(FIND("|"&amp;$A22&amp;"|",$D$8)),AND(IFERROR(FIND("（",$A22),0)&gt;0,ISNUMBER(FIND("|"&amp;LEFT($A22,FIND("（",$A22)-1)&amp;"*|",$D$8)))),FALSE)))),ROW()-19,999)</f>
        <v>3</v>
      </c>
      <c r="AO22" t="str">
        <f ca="1">IFERROR(INDEX($A$20:$A$78,SMALL($AP$20:$AP$78,3)),"")</f>
        <v>人类学</v>
      </c>
      <c r="AP22">
        <f ca="1">IF(AND($A22&lt;&gt;"",COUNTIF($A$20:A22,A22)=1,AND($A22&lt;&gt;"",$A22&lt;&gt;"非自然知识",COUNTIF($A$20:$A$78,$A22)&gt;0,OR($B$9="any",$B$9="fixed",AND($B$9="group",LEFT($A22,LEN($E$9)+1)=$E$9&amp;"（"),IFERROR(OR(ISNUMBER(FIND("|"&amp;$A22&amp;"|",$D$9)),AND(IFERROR(FIND("（",$A22),0)&gt;0,ISNUMBER(FIND("|"&amp;LEFT($A22,FIND("（",$A22)-1)&amp;"*|",$D$9)))),FALSE)))),ROW()-19,999)</f>
        <v>3</v>
      </c>
    </row>
    <row r="23" spans="1:42">
      <c r="A23" t="str">
        <f>人物卡!D17</f>
        <v>考古学</v>
      </c>
      <c r="B23" t="str">
        <f t="shared" si="2"/>
        <v/>
      </c>
      <c r="C23">
        <f ca="1">IF(人物卡!V17="",N(人物卡!S17),N(人物卡!V17))</f>
        <v>0</v>
      </c>
      <c r="D23">
        <f ca="1">IF(AND(A23&lt;&gt;"",COUNTIF($A$20:A23,A23)=1),COUNTIF($H$2:$H$9,A23)*20,0)</f>
        <v>0</v>
      </c>
      <c r="E23">
        <f ca="1" t="shared" si="3"/>
        <v>0</v>
      </c>
      <c r="F23">
        <f ca="1">IF(AND(A23&lt;&gt;"",COUNTIF($A$20:A23,A23)=1),IF(A23="神秘学",IF(人物卡!$DF$46="人类不应知道之事",20,IF(OR(人物卡!$DF$46="极端暴力",人物卡!$DF$46="关押或入狱",人物卡!$DF$46="艰苦经历"),10,0)),0)+IF(人物卡!$DF$46="艰苦经历",COUNTIF($H$12:$H$16,A23)*10,0),0)</f>
        <v>0</v>
      </c>
      <c r="G23">
        <f ca="1">IF(人物卡!$DF$46="艰苦经历",MIN(F23,MAX(0,90-C23-E23)),MIN(F23,MAX(0,99-C23-E23)))</f>
        <v>0</v>
      </c>
      <c r="H23" t="str">
        <f ca="1" t="shared" si="4"/>
        <v/>
      </c>
      <c r="I23" t="str">
        <f ca="1" t="shared" si="5"/>
        <v/>
      </c>
      <c r="J23" t="s">
        <v>1035</v>
      </c>
      <c r="K23" t="s">
        <v>1042</v>
      </c>
      <c r="Y23">
        <f>IF(AND($A23&lt;&gt;"",COUNTIF($A$20:A23,A23)=1,$A23&lt;&gt;"非自然知识"),ROW()-19,999)</f>
        <v>4</v>
      </c>
      <c r="Z23" t="str">
        <f ca="1">IFERROR(INDEX($A$20:$A$78,SMALL($Y$20:$Y$78,4)),"")</f>
        <v>考古学</v>
      </c>
      <c r="AA23" t="str">
        <f ca="1">IFERROR(INDEX($A$20:$A$78,SMALL($AB$20:$AB$78,4)),"")</f>
        <v>考古学</v>
      </c>
      <c r="AB23">
        <f ca="1">IF(AND($A23&lt;&gt;"",COUNTIF($A$20:A23,A23)=1,AND($A23&lt;&gt;"",$A23&lt;&gt;"非自然知识",COUNTIF($A$20:$A$78,$A23)&gt;0,OR($B$2="any",$B$2="fixed",AND($B$2="group",LEFT($A23,LEN($E$2)+1)=$E$2&amp;"（"),IFERROR(OR(ISNUMBER(FIND("|"&amp;$A23&amp;"|",$D$2)),AND(IFERROR(FIND("（",$A23),0)&gt;0,ISNUMBER(FIND("|"&amp;LEFT($A23,FIND("（",$A23)-1)&amp;"*|",$D$2)))),FALSE)))),ROW()-19,999)</f>
        <v>4</v>
      </c>
      <c r="AC23" t="str">
        <f ca="1">IFERROR(INDEX($A$20:$A$78,SMALL($AD$20:$AD$78,4)),"")</f>
        <v>考古学</v>
      </c>
      <c r="AD23">
        <f ca="1">IF(AND($A23&lt;&gt;"",COUNTIF($A$20:A23,A23)=1,AND($A23&lt;&gt;"",$A23&lt;&gt;"非自然知识",COUNTIF($A$20:$A$78,$A23)&gt;0,OR($B$3="any",$B$3="fixed",AND($B$3="group",LEFT($A23,LEN($E$3)+1)=$E$3&amp;"（"),IFERROR(OR(ISNUMBER(FIND("|"&amp;$A23&amp;"|",$D$3)),AND(IFERROR(FIND("（",$A23),0)&gt;0,ISNUMBER(FIND("|"&amp;LEFT($A23,FIND("（",$A23)-1)&amp;"*|",$D$3)))),FALSE)))),ROW()-19,999)</f>
        <v>4</v>
      </c>
      <c r="AE23" t="str">
        <f ca="1">IFERROR(INDEX($A$20:$A$78,SMALL($AF$20:$AF$78,4)),"")</f>
        <v>考古学</v>
      </c>
      <c r="AF23">
        <f ca="1">IF(AND($A23&lt;&gt;"",COUNTIF($A$20:A23,A23)=1,AND($A23&lt;&gt;"",$A23&lt;&gt;"非自然知识",COUNTIF($A$20:$A$78,$A23)&gt;0,OR($B$4="any",$B$4="fixed",AND($B$4="group",LEFT($A23,LEN($E$4)+1)=$E$4&amp;"（"),IFERROR(OR(ISNUMBER(FIND("|"&amp;$A23&amp;"|",$D$4)),AND(IFERROR(FIND("（",$A23),0)&gt;0,ISNUMBER(FIND("|"&amp;LEFT($A23,FIND("（",$A23)-1)&amp;"*|",$D$4)))),FALSE)))),ROW()-19,999)</f>
        <v>4</v>
      </c>
      <c r="AG23" t="str">
        <f ca="1">IFERROR(INDEX($A$20:$A$78,SMALL($AH$20:$AH$78,4)),"")</f>
        <v>考古学</v>
      </c>
      <c r="AH23">
        <f ca="1">IF(AND($A23&lt;&gt;"",COUNTIF($A$20:A23,A23)=1,AND($A23&lt;&gt;"",$A23&lt;&gt;"非自然知识",COUNTIF($A$20:$A$78,$A23)&gt;0,OR($B$5="any",$B$5="fixed",AND($B$5="group",LEFT($A23,LEN($E$5)+1)=$E$5&amp;"（"),IFERROR(OR(ISNUMBER(FIND("|"&amp;$A23&amp;"|",$D$5)),AND(IFERROR(FIND("（",$A23),0)&gt;0,ISNUMBER(FIND("|"&amp;LEFT($A23,FIND("（",$A23)-1)&amp;"*|",$D$5)))),FALSE)))),ROW()-19,999)</f>
        <v>4</v>
      </c>
      <c r="AI23" t="str">
        <f ca="1">IFERROR(INDEX($A$20:$A$78,SMALL($AJ$20:$AJ$78,4)),"")</f>
        <v>考古学</v>
      </c>
      <c r="AJ23">
        <f ca="1">IF(AND($A23&lt;&gt;"",COUNTIF($A$20:A23,A23)=1,AND($A23&lt;&gt;"",$A23&lt;&gt;"非自然知识",COUNTIF($A$20:$A$78,$A23)&gt;0,OR($B$6="any",$B$6="fixed",AND($B$6="group",LEFT($A23,LEN($E$6)+1)=$E$6&amp;"（"),IFERROR(OR(ISNUMBER(FIND("|"&amp;$A23&amp;"|",$D$6)),AND(IFERROR(FIND("（",$A23),0)&gt;0,ISNUMBER(FIND("|"&amp;LEFT($A23,FIND("（",$A23)-1)&amp;"*|",$D$6)))),FALSE)))),ROW()-19,999)</f>
        <v>4</v>
      </c>
      <c r="AK23" t="str">
        <f ca="1">IFERROR(INDEX($A$20:$A$78,SMALL($AL$20:$AL$78,4)),"")</f>
        <v>考古学</v>
      </c>
      <c r="AL23">
        <f ca="1">IF(AND($A23&lt;&gt;"",COUNTIF($A$20:A23,A23)=1,AND($A23&lt;&gt;"",$A23&lt;&gt;"非自然知识",COUNTIF($A$20:$A$78,$A23)&gt;0,OR($B$7="any",$B$7="fixed",AND($B$7="group",LEFT($A23,LEN($E$7)+1)=$E$7&amp;"（"),IFERROR(OR(ISNUMBER(FIND("|"&amp;$A23&amp;"|",$D$7)),AND(IFERROR(FIND("（",$A23),0)&gt;0,ISNUMBER(FIND("|"&amp;LEFT($A23,FIND("（",$A23)-1)&amp;"*|",$D$7)))),FALSE)))),ROW()-19,999)</f>
        <v>4</v>
      </c>
      <c r="AM23" t="str">
        <f ca="1">IFERROR(INDEX($A$20:$A$78,SMALL($AN$20:$AN$78,4)),"")</f>
        <v>考古学</v>
      </c>
      <c r="AN23">
        <f ca="1">IF(AND($A23&lt;&gt;"",COUNTIF($A$20:A23,A23)=1,AND($A23&lt;&gt;"",$A23&lt;&gt;"非自然知识",COUNTIF($A$20:$A$78,$A23)&gt;0,OR($B$8="any",$B$8="fixed",AND($B$8="group",LEFT($A23,LEN($E$8)+1)=$E$8&amp;"（"),IFERROR(OR(ISNUMBER(FIND("|"&amp;$A23&amp;"|",$D$8)),AND(IFERROR(FIND("（",$A23),0)&gt;0,ISNUMBER(FIND("|"&amp;LEFT($A23,FIND("（",$A23)-1)&amp;"*|",$D$8)))),FALSE)))),ROW()-19,999)</f>
        <v>4</v>
      </c>
      <c r="AO23" t="str">
        <f ca="1">IFERROR(INDEX($A$20:$A$78,SMALL($AP$20:$AP$78,4)),"")</f>
        <v>考古学</v>
      </c>
      <c r="AP23">
        <f ca="1">IF(AND($A23&lt;&gt;"",COUNTIF($A$20:A23,A23)=1,AND($A23&lt;&gt;"",$A23&lt;&gt;"非自然知识",COUNTIF($A$20:$A$78,$A23)&gt;0,OR($B$9="any",$B$9="fixed",AND($B$9="group",LEFT($A23,LEN($E$9)+1)=$E$9&amp;"（"),IFERROR(OR(ISNUMBER(FIND("|"&amp;$A23&amp;"|",$D$9)),AND(IFERROR(FIND("（",$A23),0)&gt;0,ISNUMBER(FIND("|"&amp;LEFT($A23,FIND("（",$A23)-1)&amp;"*|",$D$9)))),FALSE)))),ROW()-19,999)</f>
        <v>4</v>
      </c>
    </row>
    <row r="24" spans="1:42">
      <c r="A24" t="str">
        <f ca="1">IF(TRIM(人物卡!J18)="","","艺术（"&amp;TRIM(人物卡!J18)&amp;"）")</f>
        <v/>
      </c>
      <c r="B24" t="str">
        <f ca="1" t="shared" si="2"/>
        <v/>
      </c>
      <c r="C24">
        <f ca="1">IF(人物卡!V18="",N(人物卡!S18),N(人物卡!V18))</f>
        <v>0</v>
      </c>
      <c r="D24">
        <f ca="1">IF(AND(A24&lt;&gt;"",COUNTIF($A$20:A24,A24)=1),COUNTIF($H$2:$H$9,A24)*20,0)</f>
        <v>0</v>
      </c>
      <c r="E24">
        <f ca="1" t="shared" si="3"/>
        <v>0</v>
      </c>
      <c r="F24">
        <f ca="1">IF(AND(A24&lt;&gt;"",COUNTIF($A$20:A24,A24)=1),IF(A24="神秘学",IF(人物卡!$DF$46="人类不应知道之事",20,IF(OR(人物卡!$DF$46="极端暴力",人物卡!$DF$46="关押或入狱",人物卡!$DF$46="艰苦经历"),10,0)),0)+IF(人物卡!$DF$46="艰苦经历",COUNTIF($H$12:$H$16,A24)*10,0),0)</f>
        <v>0</v>
      </c>
      <c r="G24">
        <f ca="1">IF(人物卡!$DF$46="艰苦经历",MIN(F24,MAX(0,90-C24-E24)),MIN(F24,MAX(0,99-C24-E24)))</f>
        <v>0</v>
      </c>
      <c r="H24" t="str">
        <f ca="1" t="shared" si="4"/>
        <v/>
      </c>
      <c r="I24" t="str">
        <f ca="1" t="shared" si="5"/>
        <v/>
      </c>
      <c r="J24" t="s">
        <v>1061</v>
      </c>
      <c r="K24" t="s">
        <v>1068</v>
      </c>
      <c r="Y24">
        <f ca="1">IF(AND($A24&lt;&gt;"",COUNTIF($A$20:A24,A24)=1,$A24&lt;&gt;"非自然知识"),ROW()-19,999)</f>
        <v>999</v>
      </c>
      <c r="Z24" t="str">
        <f ca="1">IFERROR(INDEX($A$20:$A$78,SMALL($Y$20:$Y$78,5)),"")</f>
        <v>炮术</v>
      </c>
      <c r="AA24" t="str">
        <f ca="1">IFERROR(INDEX($A$20:$A$78,SMALL($AB$20:$AB$78,5)),"")</f>
        <v>炮术</v>
      </c>
      <c r="AB24">
        <f ca="1">IF(AND($A24&lt;&gt;"",COUNTIF($A$20:A24,A24)=1,AND($A24&lt;&gt;"",$A24&lt;&gt;"非自然知识",COUNTIF($A$20:$A$78,$A24)&gt;0,OR($B$2="any",$B$2="fixed",AND($B$2="group",LEFT($A24,LEN($E$2)+1)=$E$2&amp;"（"),IFERROR(OR(ISNUMBER(FIND("|"&amp;$A24&amp;"|",$D$2)),AND(IFERROR(FIND("（",$A24),0)&gt;0,ISNUMBER(FIND("|"&amp;LEFT($A24,FIND("（",$A24)-1)&amp;"*|",$D$2)))),FALSE)))),ROW()-19,999)</f>
        <v>999</v>
      </c>
      <c r="AC24" t="str">
        <f ca="1">IFERROR(INDEX($A$20:$A$78,SMALL($AD$20:$AD$78,5)),"")</f>
        <v>炮术</v>
      </c>
      <c r="AD24">
        <f ca="1">IF(AND($A24&lt;&gt;"",COUNTIF($A$20:A24,A24)=1,AND($A24&lt;&gt;"",$A24&lt;&gt;"非自然知识",COUNTIF($A$20:$A$78,$A24)&gt;0,OR($B$3="any",$B$3="fixed",AND($B$3="group",LEFT($A24,LEN($E$3)+1)=$E$3&amp;"（"),IFERROR(OR(ISNUMBER(FIND("|"&amp;$A24&amp;"|",$D$3)),AND(IFERROR(FIND("（",$A24),0)&gt;0,ISNUMBER(FIND("|"&amp;LEFT($A24,FIND("（",$A24)-1)&amp;"*|",$D$3)))),FALSE)))),ROW()-19,999)</f>
        <v>999</v>
      </c>
      <c r="AE24" t="str">
        <f ca="1">IFERROR(INDEX($A$20:$A$78,SMALL($AF$20:$AF$78,5)),"")</f>
        <v>炮术</v>
      </c>
      <c r="AF24">
        <f ca="1">IF(AND($A24&lt;&gt;"",COUNTIF($A$20:A24,A24)=1,AND($A24&lt;&gt;"",$A24&lt;&gt;"非自然知识",COUNTIF($A$20:$A$78,$A24)&gt;0,OR($B$4="any",$B$4="fixed",AND($B$4="group",LEFT($A24,LEN($E$4)+1)=$E$4&amp;"（"),IFERROR(OR(ISNUMBER(FIND("|"&amp;$A24&amp;"|",$D$4)),AND(IFERROR(FIND("（",$A24),0)&gt;0,ISNUMBER(FIND("|"&amp;LEFT($A24,FIND("（",$A24)-1)&amp;"*|",$D$4)))),FALSE)))),ROW()-19,999)</f>
        <v>999</v>
      </c>
      <c r="AG24" t="str">
        <f ca="1">IFERROR(INDEX($A$20:$A$78,SMALL($AH$20:$AH$78,5)),"")</f>
        <v>炮术</v>
      </c>
      <c r="AH24">
        <f ca="1">IF(AND($A24&lt;&gt;"",COUNTIF($A$20:A24,A24)=1,AND($A24&lt;&gt;"",$A24&lt;&gt;"非自然知识",COUNTIF($A$20:$A$78,$A24)&gt;0,OR($B$5="any",$B$5="fixed",AND($B$5="group",LEFT($A24,LEN($E$5)+1)=$E$5&amp;"（"),IFERROR(OR(ISNUMBER(FIND("|"&amp;$A24&amp;"|",$D$5)),AND(IFERROR(FIND("（",$A24),0)&gt;0,ISNUMBER(FIND("|"&amp;LEFT($A24,FIND("（",$A24)-1)&amp;"*|",$D$5)))),FALSE)))),ROW()-19,999)</f>
        <v>999</v>
      </c>
      <c r="AI24" t="str">
        <f ca="1">IFERROR(INDEX($A$20:$A$78,SMALL($AJ$20:$AJ$78,5)),"")</f>
        <v>炮术</v>
      </c>
      <c r="AJ24">
        <f ca="1">IF(AND($A24&lt;&gt;"",COUNTIF($A$20:A24,A24)=1,AND($A24&lt;&gt;"",$A24&lt;&gt;"非自然知识",COUNTIF($A$20:$A$78,$A24)&gt;0,OR($B$6="any",$B$6="fixed",AND($B$6="group",LEFT($A24,LEN($E$6)+1)=$E$6&amp;"（"),IFERROR(OR(ISNUMBER(FIND("|"&amp;$A24&amp;"|",$D$6)),AND(IFERROR(FIND("（",$A24),0)&gt;0,ISNUMBER(FIND("|"&amp;LEFT($A24,FIND("（",$A24)-1)&amp;"*|",$D$6)))),FALSE)))),ROW()-19,999)</f>
        <v>999</v>
      </c>
      <c r="AK24" t="str">
        <f ca="1">IFERROR(INDEX($A$20:$A$78,SMALL($AL$20:$AL$78,5)),"")</f>
        <v>炮术</v>
      </c>
      <c r="AL24">
        <f ca="1">IF(AND($A24&lt;&gt;"",COUNTIF($A$20:A24,A24)=1,AND($A24&lt;&gt;"",$A24&lt;&gt;"非自然知识",COUNTIF($A$20:$A$78,$A24)&gt;0,OR($B$7="any",$B$7="fixed",AND($B$7="group",LEFT($A24,LEN($E$7)+1)=$E$7&amp;"（"),IFERROR(OR(ISNUMBER(FIND("|"&amp;$A24&amp;"|",$D$7)),AND(IFERROR(FIND("（",$A24),0)&gt;0,ISNUMBER(FIND("|"&amp;LEFT($A24,FIND("（",$A24)-1)&amp;"*|",$D$7)))),FALSE)))),ROW()-19,999)</f>
        <v>999</v>
      </c>
      <c r="AM24" t="str">
        <f ca="1">IFERROR(INDEX($A$20:$A$78,SMALL($AN$20:$AN$78,5)),"")</f>
        <v>炮术</v>
      </c>
      <c r="AN24">
        <f ca="1">IF(AND($A24&lt;&gt;"",COUNTIF($A$20:A24,A24)=1,AND($A24&lt;&gt;"",$A24&lt;&gt;"非自然知识",COUNTIF($A$20:$A$78,$A24)&gt;0,OR($B$8="any",$B$8="fixed",AND($B$8="group",LEFT($A24,LEN($E$8)+1)=$E$8&amp;"（"),IFERROR(OR(ISNUMBER(FIND("|"&amp;$A24&amp;"|",$D$8)),AND(IFERROR(FIND("（",$A24),0)&gt;0,ISNUMBER(FIND("|"&amp;LEFT($A24,FIND("（",$A24)-1)&amp;"*|",$D$8)))),FALSE)))),ROW()-19,999)</f>
        <v>999</v>
      </c>
      <c r="AO24" t="str">
        <f ca="1">IFERROR(INDEX($A$20:$A$78,SMALL($AP$20:$AP$78,5)),"")</f>
        <v>炮术</v>
      </c>
      <c r="AP24">
        <f ca="1">IF(AND($A24&lt;&gt;"",COUNTIF($A$20:A24,A24)=1,AND($A24&lt;&gt;"",$A24&lt;&gt;"非自然知识",COUNTIF($A$20:$A$78,$A24)&gt;0,OR($B$9="any",$B$9="fixed",AND($B$9="group",LEFT($A24,LEN($E$9)+1)=$E$9&amp;"（"),IFERROR(OR(ISNUMBER(FIND("|"&amp;$A24&amp;"|",$D$9)),AND(IFERROR(FIND("（",$A24),0)&gt;0,ISNUMBER(FIND("|"&amp;LEFT($A24,FIND("（",$A24)-1)&amp;"*|",$D$9)))),FALSE)))),ROW()-19,999)</f>
        <v>999</v>
      </c>
    </row>
    <row r="25" spans="1:42">
      <c r="A25" t="str">
        <f ca="1">IF(TRIM(人物卡!J19)="","","艺术（"&amp;TRIM(人物卡!J19)&amp;"）")</f>
        <v/>
      </c>
      <c r="B25" t="str">
        <f ca="1" t="shared" si="2"/>
        <v/>
      </c>
      <c r="C25">
        <f ca="1">IF(人物卡!V19="",N(人物卡!S19),N(人物卡!V19))</f>
        <v>0</v>
      </c>
      <c r="D25">
        <f ca="1">IF(AND(A25&lt;&gt;"",COUNTIF($A$20:A25,A25)=1),COUNTIF($H$2:$H$9,A25)*20,0)</f>
        <v>0</v>
      </c>
      <c r="E25">
        <f ca="1" t="shared" si="3"/>
        <v>0</v>
      </c>
      <c r="F25">
        <f ca="1">IF(AND(A25&lt;&gt;"",COUNTIF($A$20:A25,A25)=1),IF(A25="神秘学",IF(人物卡!$DF$46="人类不应知道之事",20,IF(OR(人物卡!$DF$46="极端暴力",人物卡!$DF$46="关押或入狱",人物卡!$DF$46="艰苦经历"),10,0)),0)+IF(人物卡!$DF$46="艰苦经历",COUNTIF($H$12:$H$16,A25)*10,0),0)</f>
        <v>0</v>
      </c>
      <c r="G25">
        <f ca="1">IF(人物卡!$DF$46="艰苦经历",MIN(F25,MAX(0,90-C25-E25)),MIN(F25,MAX(0,99-C25-E25)))</f>
        <v>0</v>
      </c>
      <c r="H25" t="str">
        <f ca="1" t="shared" si="4"/>
        <v/>
      </c>
      <c r="I25" t="str">
        <f ca="1" t="shared" si="5"/>
        <v/>
      </c>
      <c r="J25" t="s">
        <v>1087</v>
      </c>
      <c r="K25" t="s">
        <v>1094</v>
      </c>
      <c r="Y25">
        <f ca="1">IF(AND($A25&lt;&gt;"",COUNTIF($A$20:A25,A25)=1,$A25&lt;&gt;"非自然知识"),ROW()-19,999)</f>
        <v>999</v>
      </c>
      <c r="Z25" t="str">
        <f ca="1">IFERROR(INDEX($A$20:$A$78,SMALL($Y$20:$Y$78,6)),"")</f>
        <v>运动</v>
      </c>
      <c r="AA25" t="str">
        <f ca="1">IFERROR(INDEX($A$20:$A$78,SMALL($AB$20:$AB$78,6)),"")</f>
        <v>运动</v>
      </c>
      <c r="AB25">
        <f ca="1">IF(AND($A25&lt;&gt;"",COUNTIF($A$20:A25,A25)=1,AND($A25&lt;&gt;"",$A25&lt;&gt;"非自然知识",COUNTIF($A$20:$A$78,$A25)&gt;0,OR($B$2="any",$B$2="fixed",AND($B$2="group",LEFT($A25,LEN($E$2)+1)=$E$2&amp;"（"),IFERROR(OR(ISNUMBER(FIND("|"&amp;$A25&amp;"|",$D$2)),AND(IFERROR(FIND("（",$A25),0)&gt;0,ISNUMBER(FIND("|"&amp;LEFT($A25,FIND("（",$A25)-1)&amp;"*|",$D$2)))),FALSE)))),ROW()-19,999)</f>
        <v>999</v>
      </c>
      <c r="AC25" t="str">
        <f ca="1">IFERROR(INDEX($A$20:$A$78,SMALL($AD$20:$AD$78,6)),"")</f>
        <v>运动</v>
      </c>
      <c r="AD25">
        <f ca="1">IF(AND($A25&lt;&gt;"",COUNTIF($A$20:A25,A25)=1,AND($A25&lt;&gt;"",$A25&lt;&gt;"非自然知识",COUNTIF($A$20:$A$78,$A25)&gt;0,OR($B$3="any",$B$3="fixed",AND($B$3="group",LEFT($A25,LEN($E$3)+1)=$E$3&amp;"（"),IFERROR(OR(ISNUMBER(FIND("|"&amp;$A25&amp;"|",$D$3)),AND(IFERROR(FIND("（",$A25),0)&gt;0,ISNUMBER(FIND("|"&amp;LEFT($A25,FIND("（",$A25)-1)&amp;"*|",$D$3)))),FALSE)))),ROW()-19,999)</f>
        <v>999</v>
      </c>
      <c r="AE25" t="str">
        <f ca="1">IFERROR(INDEX($A$20:$A$78,SMALL($AF$20:$AF$78,6)),"")</f>
        <v>运动</v>
      </c>
      <c r="AF25">
        <f ca="1">IF(AND($A25&lt;&gt;"",COUNTIF($A$20:A25,A25)=1,AND($A25&lt;&gt;"",$A25&lt;&gt;"非自然知识",COUNTIF($A$20:$A$78,$A25)&gt;0,OR($B$4="any",$B$4="fixed",AND($B$4="group",LEFT($A25,LEN($E$4)+1)=$E$4&amp;"（"),IFERROR(OR(ISNUMBER(FIND("|"&amp;$A25&amp;"|",$D$4)),AND(IFERROR(FIND("（",$A25),0)&gt;0,ISNUMBER(FIND("|"&amp;LEFT($A25,FIND("（",$A25)-1)&amp;"*|",$D$4)))),FALSE)))),ROW()-19,999)</f>
        <v>999</v>
      </c>
      <c r="AG25" t="str">
        <f ca="1">IFERROR(INDEX($A$20:$A$78,SMALL($AH$20:$AH$78,6)),"")</f>
        <v>运动</v>
      </c>
      <c r="AH25">
        <f ca="1">IF(AND($A25&lt;&gt;"",COUNTIF($A$20:A25,A25)=1,AND($A25&lt;&gt;"",$A25&lt;&gt;"非自然知识",COUNTIF($A$20:$A$78,$A25)&gt;0,OR($B$5="any",$B$5="fixed",AND($B$5="group",LEFT($A25,LEN($E$5)+1)=$E$5&amp;"（"),IFERROR(OR(ISNUMBER(FIND("|"&amp;$A25&amp;"|",$D$5)),AND(IFERROR(FIND("（",$A25),0)&gt;0,ISNUMBER(FIND("|"&amp;LEFT($A25,FIND("（",$A25)-1)&amp;"*|",$D$5)))),FALSE)))),ROW()-19,999)</f>
        <v>999</v>
      </c>
      <c r="AI25" t="str">
        <f ca="1">IFERROR(INDEX($A$20:$A$78,SMALL($AJ$20:$AJ$78,6)),"")</f>
        <v>运动</v>
      </c>
      <c r="AJ25">
        <f ca="1">IF(AND($A25&lt;&gt;"",COUNTIF($A$20:A25,A25)=1,AND($A25&lt;&gt;"",$A25&lt;&gt;"非自然知识",COUNTIF($A$20:$A$78,$A25)&gt;0,OR($B$6="any",$B$6="fixed",AND($B$6="group",LEFT($A25,LEN($E$6)+1)=$E$6&amp;"（"),IFERROR(OR(ISNUMBER(FIND("|"&amp;$A25&amp;"|",$D$6)),AND(IFERROR(FIND("（",$A25),0)&gt;0,ISNUMBER(FIND("|"&amp;LEFT($A25,FIND("（",$A25)-1)&amp;"*|",$D$6)))),FALSE)))),ROW()-19,999)</f>
        <v>999</v>
      </c>
      <c r="AK25" t="str">
        <f ca="1">IFERROR(INDEX($A$20:$A$78,SMALL($AL$20:$AL$78,6)),"")</f>
        <v>运动</v>
      </c>
      <c r="AL25">
        <f ca="1">IF(AND($A25&lt;&gt;"",COUNTIF($A$20:A25,A25)=1,AND($A25&lt;&gt;"",$A25&lt;&gt;"非自然知识",COUNTIF($A$20:$A$78,$A25)&gt;0,OR($B$7="any",$B$7="fixed",AND($B$7="group",LEFT($A25,LEN($E$7)+1)=$E$7&amp;"（"),IFERROR(OR(ISNUMBER(FIND("|"&amp;$A25&amp;"|",$D$7)),AND(IFERROR(FIND("（",$A25),0)&gt;0,ISNUMBER(FIND("|"&amp;LEFT($A25,FIND("（",$A25)-1)&amp;"*|",$D$7)))),FALSE)))),ROW()-19,999)</f>
        <v>999</v>
      </c>
      <c r="AM25" t="str">
        <f ca="1">IFERROR(INDEX($A$20:$A$78,SMALL($AN$20:$AN$78,6)),"")</f>
        <v>运动</v>
      </c>
      <c r="AN25">
        <f ca="1">IF(AND($A25&lt;&gt;"",COUNTIF($A$20:A25,A25)=1,AND($A25&lt;&gt;"",$A25&lt;&gt;"非自然知识",COUNTIF($A$20:$A$78,$A25)&gt;0,OR($B$8="any",$B$8="fixed",AND($B$8="group",LEFT($A25,LEN($E$8)+1)=$E$8&amp;"（"),IFERROR(OR(ISNUMBER(FIND("|"&amp;$A25&amp;"|",$D$8)),AND(IFERROR(FIND("（",$A25),0)&gt;0,ISNUMBER(FIND("|"&amp;LEFT($A25,FIND("（",$A25)-1)&amp;"*|",$D$8)))),FALSE)))),ROW()-19,999)</f>
        <v>999</v>
      </c>
      <c r="AO25" t="str">
        <f ca="1">IFERROR(INDEX($A$20:$A$78,SMALL($AP$20:$AP$78,6)),"")</f>
        <v>运动</v>
      </c>
      <c r="AP25">
        <f ca="1">IF(AND($A25&lt;&gt;"",COUNTIF($A$20:A25,A25)=1,AND($A25&lt;&gt;"",$A25&lt;&gt;"非自然知识",COUNTIF($A$20:$A$78,$A25)&gt;0,OR($B$9="any",$B$9="fixed",AND($B$9="group",LEFT($A25,LEN($E$9)+1)=$E$9&amp;"（"),IFERROR(OR(ISNUMBER(FIND("|"&amp;$A25&amp;"|",$D$9)),AND(IFERROR(FIND("（",$A25),0)&gt;0,ISNUMBER(FIND("|"&amp;LEFT($A25,FIND("（",$A25)-1)&amp;"*|",$D$9)))),FALSE)))),ROW()-19,999)</f>
        <v>999</v>
      </c>
    </row>
    <row r="26" spans="1:42">
      <c r="A26" t="str">
        <f ca="1">IF(TRIM(人物卡!J20)="","","艺术（"&amp;TRIM(人物卡!J20)&amp;"）")</f>
        <v/>
      </c>
      <c r="B26" t="str">
        <f ca="1" t="shared" si="2"/>
        <v/>
      </c>
      <c r="C26">
        <f ca="1">IF(人物卡!V20="",N(人物卡!S20),N(人物卡!V20))</f>
        <v>0</v>
      </c>
      <c r="D26">
        <f ca="1">IF(AND(A26&lt;&gt;"",COUNTIF($A$20:A26,A26)=1),COUNTIF($H$2:$H$9,A26)*20,0)</f>
        <v>0</v>
      </c>
      <c r="E26">
        <f ca="1" t="shared" si="3"/>
        <v>0</v>
      </c>
      <c r="F26">
        <f ca="1">IF(AND(A26&lt;&gt;"",COUNTIF($A$20:A26,A26)=1),IF(A26="神秘学",IF(人物卡!$DF$46="人类不应知道之事",20,IF(OR(人物卡!$DF$46="极端暴力",人物卡!$DF$46="关押或入狱",人物卡!$DF$46="艰苦经历"),10,0)),0)+IF(人物卡!$DF$46="艰苦经历",COUNTIF($H$12:$H$16,A26)*10,0),0)</f>
        <v>0</v>
      </c>
      <c r="G26">
        <f ca="1">IF(人物卡!$DF$46="艰苦经历",MIN(F26,MAX(0,90-C26-E26)),MIN(F26,MAX(0,99-C26-E26)))</f>
        <v>0</v>
      </c>
      <c r="H26" t="str">
        <f ca="1" t="shared" si="4"/>
        <v/>
      </c>
      <c r="I26" t="str">
        <f ca="1" t="shared" si="5"/>
        <v/>
      </c>
      <c r="J26" t="s">
        <v>1115</v>
      </c>
      <c r="K26" t="s">
        <v>1123</v>
      </c>
      <c r="Y26">
        <f ca="1">IF(AND($A26&lt;&gt;"",COUNTIF($A$20:A26,A26)=1,$A26&lt;&gt;"非自然知识"),ROW()-19,999)</f>
        <v>999</v>
      </c>
      <c r="Z26" t="str">
        <f ca="1">IFERROR(INDEX($A$20:$A$78,SMALL($Y$20:$Y$78,7)),"")</f>
        <v>行政</v>
      </c>
      <c r="AA26" t="str">
        <f ca="1">IFERROR(INDEX($A$20:$A$78,SMALL($AB$20:$AB$78,7)),"")</f>
        <v>行政</v>
      </c>
      <c r="AB26">
        <f ca="1">IF(AND($A26&lt;&gt;"",COUNTIF($A$20:A26,A26)=1,AND($A26&lt;&gt;"",$A26&lt;&gt;"非自然知识",COUNTIF($A$20:$A$78,$A26)&gt;0,OR($B$2="any",$B$2="fixed",AND($B$2="group",LEFT($A26,LEN($E$2)+1)=$E$2&amp;"（"),IFERROR(OR(ISNUMBER(FIND("|"&amp;$A26&amp;"|",$D$2)),AND(IFERROR(FIND("（",$A26),0)&gt;0,ISNUMBER(FIND("|"&amp;LEFT($A26,FIND("（",$A26)-1)&amp;"*|",$D$2)))),FALSE)))),ROW()-19,999)</f>
        <v>999</v>
      </c>
      <c r="AC26" t="str">
        <f ca="1">IFERROR(INDEX($A$20:$A$78,SMALL($AD$20:$AD$78,7)),"")</f>
        <v>行政</v>
      </c>
      <c r="AD26">
        <f ca="1">IF(AND($A26&lt;&gt;"",COUNTIF($A$20:A26,A26)=1,AND($A26&lt;&gt;"",$A26&lt;&gt;"非自然知识",COUNTIF($A$20:$A$78,$A26)&gt;0,OR($B$3="any",$B$3="fixed",AND($B$3="group",LEFT($A26,LEN($E$3)+1)=$E$3&amp;"（"),IFERROR(OR(ISNUMBER(FIND("|"&amp;$A26&amp;"|",$D$3)),AND(IFERROR(FIND("（",$A26),0)&gt;0,ISNUMBER(FIND("|"&amp;LEFT($A26,FIND("（",$A26)-1)&amp;"*|",$D$3)))),FALSE)))),ROW()-19,999)</f>
        <v>999</v>
      </c>
      <c r="AE26" t="str">
        <f ca="1">IFERROR(INDEX($A$20:$A$78,SMALL($AF$20:$AF$78,7)),"")</f>
        <v>行政</v>
      </c>
      <c r="AF26">
        <f ca="1">IF(AND($A26&lt;&gt;"",COUNTIF($A$20:A26,A26)=1,AND($A26&lt;&gt;"",$A26&lt;&gt;"非自然知识",COUNTIF($A$20:$A$78,$A26)&gt;0,OR($B$4="any",$B$4="fixed",AND($B$4="group",LEFT($A26,LEN($E$4)+1)=$E$4&amp;"（"),IFERROR(OR(ISNUMBER(FIND("|"&amp;$A26&amp;"|",$D$4)),AND(IFERROR(FIND("（",$A26),0)&gt;0,ISNUMBER(FIND("|"&amp;LEFT($A26,FIND("（",$A26)-1)&amp;"*|",$D$4)))),FALSE)))),ROW()-19,999)</f>
        <v>999</v>
      </c>
      <c r="AG26" t="str">
        <f ca="1">IFERROR(INDEX($A$20:$A$78,SMALL($AH$20:$AH$78,7)),"")</f>
        <v>行政</v>
      </c>
      <c r="AH26">
        <f ca="1">IF(AND($A26&lt;&gt;"",COUNTIF($A$20:A26,A26)=1,AND($A26&lt;&gt;"",$A26&lt;&gt;"非自然知识",COUNTIF($A$20:$A$78,$A26)&gt;0,OR($B$5="any",$B$5="fixed",AND($B$5="group",LEFT($A26,LEN($E$5)+1)=$E$5&amp;"（"),IFERROR(OR(ISNUMBER(FIND("|"&amp;$A26&amp;"|",$D$5)),AND(IFERROR(FIND("（",$A26),0)&gt;0,ISNUMBER(FIND("|"&amp;LEFT($A26,FIND("（",$A26)-1)&amp;"*|",$D$5)))),FALSE)))),ROW()-19,999)</f>
        <v>999</v>
      </c>
      <c r="AI26" t="str">
        <f ca="1">IFERROR(INDEX($A$20:$A$78,SMALL($AJ$20:$AJ$78,7)),"")</f>
        <v>行政</v>
      </c>
      <c r="AJ26">
        <f ca="1">IF(AND($A26&lt;&gt;"",COUNTIF($A$20:A26,A26)=1,AND($A26&lt;&gt;"",$A26&lt;&gt;"非自然知识",COUNTIF($A$20:$A$78,$A26)&gt;0,OR($B$6="any",$B$6="fixed",AND($B$6="group",LEFT($A26,LEN($E$6)+1)=$E$6&amp;"（"),IFERROR(OR(ISNUMBER(FIND("|"&amp;$A26&amp;"|",$D$6)),AND(IFERROR(FIND("（",$A26),0)&gt;0,ISNUMBER(FIND("|"&amp;LEFT($A26,FIND("（",$A26)-1)&amp;"*|",$D$6)))),FALSE)))),ROW()-19,999)</f>
        <v>999</v>
      </c>
      <c r="AK26" t="str">
        <f ca="1">IFERROR(INDEX($A$20:$A$78,SMALL($AL$20:$AL$78,7)),"")</f>
        <v>行政</v>
      </c>
      <c r="AL26">
        <f ca="1">IF(AND($A26&lt;&gt;"",COUNTIF($A$20:A26,A26)=1,AND($A26&lt;&gt;"",$A26&lt;&gt;"非自然知识",COUNTIF($A$20:$A$78,$A26)&gt;0,OR($B$7="any",$B$7="fixed",AND($B$7="group",LEFT($A26,LEN($E$7)+1)=$E$7&amp;"（"),IFERROR(OR(ISNUMBER(FIND("|"&amp;$A26&amp;"|",$D$7)),AND(IFERROR(FIND("（",$A26),0)&gt;0,ISNUMBER(FIND("|"&amp;LEFT($A26,FIND("（",$A26)-1)&amp;"*|",$D$7)))),FALSE)))),ROW()-19,999)</f>
        <v>999</v>
      </c>
      <c r="AM26" t="str">
        <f ca="1">IFERROR(INDEX($A$20:$A$78,SMALL($AN$20:$AN$78,7)),"")</f>
        <v>行政</v>
      </c>
      <c r="AN26">
        <f ca="1">IF(AND($A26&lt;&gt;"",COUNTIF($A$20:A26,A26)=1,AND($A26&lt;&gt;"",$A26&lt;&gt;"非自然知识",COUNTIF($A$20:$A$78,$A26)&gt;0,OR($B$8="any",$B$8="fixed",AND($B$8="group",LEFT($A26,LEN($E$8)+1)=$E$8&amp;"（"),IFERROR(OR(ISNUMBER(FIND("|"&amp;$A26&amp;"|",$D$8)),AND(IFERROR(FIND("（",$A26),0)&gt;0,ISNUMBER(FIND("|"&amp;LEFT($A26,FIND("（",$A26)-1)&amp;"*|",$D$8)))),FALSE)))),ROW()-19,999)</f>
        <v>999</v>
      </c>
      <c r="AO26" t="str">
        <f ca="1">IFERROR(INDEX($A$20:$A$78,SMALL($AP$20:$AP$78,7)),"")</f>
        <v>行政</v>
      </c>
      <c r="AP26">
        <f ca="1">IF(AND($A26&lt;&gt;"",COUNTIF($A$20:A26,A26)=1,AND($A26&lt;&gt;"",$A26&lt;&gt;"非自然知识",COUNTIF($A$20:$A$78,$A26)&gt;0,OR($B$9="any",$B$9="fixed",AND($B$9="group",LEFT($A26,LEN($E$9)+1)=$E$9&amp;"（"),IFERROR(OR(ISNUMBER(FIND("|"&amp;$A26&amp;"|",$D$9)),AND(IFERROR(FIND("（",$A26),0)&gt;0,ISNUMBER(FIND("|"&amp;LEFT($A26,FIND("（",$A26)-1)&amp;"*|",$D$9)))),FALSE)))),ROW()-19,999)</f>
        <v>999</v>
      </c>
    </row>
    <row r="27" spans="1:42">
      <c r="A27" t="str">
        <f>人物卡!D21</f>
        <v>炮术</v>
      </c>
      <c r="B27" t="str">
        <f t="shared" si="2"/>
        <v/>
      </c>
      <c r="C27">
        <f ca="1">IF(人物卡!V21="",N(人物卡!S21),N(人物卡!V21))</f>
        <v>0</v>
      </c>
      <c r="D27">
        <f ca="1">IF(AND(A27&lt;&gt;"",COUNTIF($A$20:A27,A27)=1),COUNTIF($H$2:$H$9,A27)*20,0)</f>
        <v>0</v>
      </c>
      <c r="E27">
        <f ca="1" t="shared" si="3"/>
        <v>0</v>
      </c>
      <c r="F27">
        <f ca="1">IF(AND(A27&lt;&gt;"",COUNTIF($A$20:A27,A27)=1),IF(A27="神秘学",IF(人物卡!$DF$46="人类不应知道之事",20,IF(OR(人物卡!$DF$46="极端暴力",人物卡!$DF$46="关押或入狱",人物卡!$DF$46="艰苦经历"),10,0)),0)+IF(人物卡!$DF$46="艰苦经历",COUNTIF($H$12:$H$16,A27)*10,0),0)</f>
        <v>0</v>
      </c>
      <c r="G27">
        <f ca="1">IF(人物卡!$DF$46="艰苦经历",MIN(F27,MAX(0,90-C27-E27)),MIN(F27,MAX(0,99-C27-E27)))</f>
        <v>0</v>
      </c>
      <c r="H27" t="str">
        <f ca="1" t="shared" si="4"/>
        <v/>
      </c>
      <c r="I27" t="str">
        <f ca="1" t="shared" si="5"/>
        <v/>
      </c>
      <c r="J27" t="s">
        <v>1143</v>
      </c>
      <c r="K27" t="s">
        <v>1150</v>
      </c>
      <c r="Y27">
        <f ca="1">IF(AND($A27&lt;&gt;"",COUNTIF($A$20:A27,A27)=1,$A27&lt;&gt;"非自然知识"),ROW()-19,999)</f>
        <v>8</v>
      </c>
      <c r="Z27" t="str">
        <f ca="1">IFERROR(INDEX($A$20:$A$78,SMALL($Y$20:$Y$78,8)),"")</f>
        <v>计算机科学</v>
      </c>
      <c r="AA27" t="str">
        <f ca="1">IFERROR(INDEX($A$20:$A$78,SMALL($AB$20:$AB$78,8)),"")</f>
        <v>计算机科学</v>
      </c>
      <c r="AB27">
        <f ca="1">IF(AND($A27&lt;&gt;"",COUNTIF($A$20:A27,A27)=1,AND($A27&lt;&gt;"",$A27&lt;&gt;"非自然知识",COUNTIF($A$20:$A$78,$A27)&gt;0,OR($B$2="any",$B$2="fixed",AND($B$2="group",LEFT($A27,LEN($E$2)+1)=$E$2&amp;"（"),IFERROR(OR(ISNUMBER(FIND("|"&amp;$A27&amp;"|",$D$2)),AND(IFERROR(FIND("（",$A27),0)&gt;0,ISNUMBER(FIND("|"&amp;LEFT($A27,FIND("（",$A27)-1)&amp;"*|",$D$2)))),FALSE)))),ROW()-19,999)</f>
        <v>8</v>
      </c>
      <c r="AC27" t="str">
        <f ca="1">IFERROR(INDEX($A$20:$A$78,SMALL($AD$20:$AD$78,8)),"")</f>
        <v>计算机科学</v>
      </c>
      <c r="AD27">
        <f ca="1">IF(AND($A27&lt;&gt;"",COUNTIF($A$20:A27,A27)=1,AND($A27&lt;&gt;"",$A27&lt;&gt;"非自然知识",COUNTIF($A$20:$A$78,$A27)&gt;0,OR($B$3="any",$B$3="fixed",AND($B$3="group",LEFT($A27,LEN($E$3)+1)=$E$3&amp;"（"),IFERROR(OR(ISNUMBER(FIND("|"&amp;$A27&amp;"|",$D$3)),AND(IFERROR(FIND("（",$A27),0)&gt;0,ISNUMBER(FIND("|"&amp;LEFT($A27,FIND("（",$A27)-1)&amp;"*|",$D$3)))),FALSE)))),ROW()-19,999)</f>
        <v>8</v>
      </c>
      <c r="AE27" t="str">
        <f ca="1">IFERROR(INDEX($A$20:$A$78,SMALL($AF$20:$AF$78,8)),"")</f>
        <v>计算机科学</v>
      </c>
      <c r="AF27">
        <f ca="1">IF(AND($A27&lt;&gt;"",COUNTIF($A$20:A27,A27)=1,AND($A27&lt;&gt;"",$A27&lt;&gt;"非自然知识",COUNTIF($A$20:$A$78,$A27)&gt;0,OR($B$4="any",$B$4="fixed",AND($B$4="group",LEFT($A27,LEN($E$4)+1)=$E$4&amp;"（"),IFERROR(OR(ISNUMBER(FIND("|"&amp;$A27&amp;"|",$D$4)),AND(IFERROR(FIND("（",$A27),0)&gt;0,ISNUMBER(FIND("|"&amp;LEFT($A27,FIND("（",$A27)-1)&amp;"*|",$D$4)))),FALSE)))),ROW()-19,999)</f>
        <v>8</v>
      </c>
      <c r="AG27" t="str">
        <f ca="1">IFERROR(INDEX($A$20:$A$78,SMALL($AH$20:$AH$78,8)),"")</f>
        <v>计算机科学</v>
      </c>
      <c r="AH27">
        <f ca="1">IF(AND($A27&lt;&gt;"",COUNTIF($A$20:A27,A27)=1,AND($A27&lt;&gt;"",$A27&lt;&gt;"非自然知识",COUNTIF($A$20:$A$78,$A27)&gt;0,OR($B$5="any",$B$5="fixed",AND($B$5="group",LEFT($A27,LEN($E$5)+1)=$E$5&amp;"（"),IFERROR(OR(ISNUMBER(FIND("|"&amp;$A27&amp;"|",$D$5)),AND(IFERROR(FIND("（",$A27),0)&gt;0,ISNUMBER(FIND("|"&amp;LEFT($A27,FIND("（",$A27)-1)&amp;"*|",$D$5)))),FALSE)))),ROW()-19,999)</f>
        <v>8</v>
      </c>
      <c r="AI27" t="str">
        <f ca="1">IFERROR(INDEX($A$20:$A$78,SMALL($AJ$20:$AJ$78,8)),"")</f>
        <v>计算机科学</v>
      </c>
      <c r="AJ27">
        <f ca="1">IF(AND($A27&lt;&gt;"",COUNTIF($A$20:A27,A27)=1,AND($A27&lt;&gt;"",$A27&lt;&gt;"非自然知识",COUNTIF($A$20:$A$78,$A27)&gt;0,OR($B$6="any",$B$6="fixed",AND($B$6="group",LEFT($A27,LEN($E$6)+1)=$E$6&amp;"（"),IFERROR(OR(ISNUMBER(FIND("|"&amp;$A27&amp;"|",$D$6)),AND(IFERROR(FIND("（",$A27),0)&gt;0,ISNUMBER(FIND("|"&amp;LEFT($A27,FIND("（",$A27)-1)&amp;"*|",$D$6)))),FALSE)))),ROW()-19,999)</f>
        <v>8</v>
      </c>
      <c r="AK27" t="str">
        <f ca="1">IFERROR(INDEX($A$20:$A$78,SMALL($AL$20:$AL$78,8)),"")</f>
        <v>计算机科学</v>
      </c>
      <c r="AL27">
        <f ca="1">IF(AND($A27&lt;&gt;"",COUNTIF($A$20:A27,A27)=1,AND($A27&lt;&gt;"",$A27&lt;&gt;"非自然知识",COUNTIF($A$20:$A$78,$A27)&gt;0,OR($B$7="any",$B$7="fixed",AND($B$7="group",LEFT($A27,LEN($E$7)+1)=$E$7&amp;"（"),IFERROR(OR(ISNUMBER(FIND("|"&amp;$A27&amp;"|",$D$7)),AND(IFERROR(FIND("（",$A27),0)&gt;0,ISNUMBER(FIND("|"&amp;LEFT($A27,FIND("（",$A27)-1)&amp;"*|",$D$7)))),FALSE)))),ROW()-19,999)</f>
        <v>8</v>
      </c>
      <c r="AM27" t="str">
        <f ca="1">IFERROR(INDEX($A$20:$A$78,SMALL($AN$20:$AN$78,8)),"")</f>
        <v>计算机科学</v>
      </c>
      <c r="AN27">
        <f ca="1">IF(AND($A27&lt;&gt;"",COUNTIF($A$20:A27,A27)=1,AND($A27&lt;&gt;"",$A27&lt;&gt;"非自然知识",COUNTIF($A$20:$A$78,$A27)&gt;0,OR($B$8="any",$B$8="fixed",AND($B$8="group",LEFT($A27,LEN($E$8)+1)=$E$8&amp;"（"),IFERROR(OR(ISNUMBER(FIND("|"&amp;$A27&amp;"|",$D$8)),AND(IFERROR(FIND("（",$A27),0)&gt;0,ISNUMBER(FIND("|"&amp;LEFT($A27,FIND("（",$A27)-1)&amp;"*|",$D$8)))),FALSE)))),ROW()-19,999)</f>
        <v>8</v>
      </c>
      <c r="AO27" t="str">
        <f ca="1">IFERROR(INDEX($A$20:$A$78,SMALL($AP$20:$AP$78,8)),"")</f>
        <v>计算机科学</v>
      </c>
      <c r="AP27">
        <f ca="1">IF(AND($A27&lt;&gt;"",COUNTIF($A$20:A27,A27)=1,AND($A27&lt;&gt;"",$A27&lt;&gt;"非自然知识",COUNTIF($A$20:$A$78,$A27)&gt;0,OR($B$9="any",$B$9="fixed",AND($B$9="group",LEFT($A27,LEN($E$9)+1)=$E$9&amp;"（"),IFERROR(OR(ISNUMBER(FIND("|"&amp;$A27&amp;"|",$D$9)),AND(IFERROR(FIND("（",$A27),0)&gt;0,ISNUMBER(FIND("|"&amp;LEFT($A27,FIND("（",$A27)-1)&amp;"*|",$D$9)))),FALSE)))),ROW()-19,999)</f>
        <v>8</v>
      </c>
    </row>
    <row r="28" spans="1:42">
      <c r="A28" t="str">
        <f>人物卡!D22</f>
        <v>运动</v>
      </c>
      <c r="B28" t="str">
        <f t="shared" si="2"/>
        <v/>
      </c>
      <c r="C28">
        <f ca="1">IF(人物卡!V22="",N(人物卡!S22),N(人物卡!V22))</f>
        <v>30</v>
      </c>
      <c r="D28">
        <f ca="1">IF(AND(A28&lt;&gt;"",COUNTIF($A$20:A28,A28)=1),COUNTIF($H$2:$H$9,A28)*20,0)</f>
        <v>0</v>
      </c>
      <c r="E28">
        <f ca="1" t="shared" si="3"/>
        <v>0</v>
      </c>
      <c r="F28">
        <f ca="1">IF(AND(A28&lt;&gt;"",COUNTIF($A$20:A28,A28)=1),IF(A28="神秘学",IF(人物卡!$DF$46="人类不应知道之事",20,IF(OR(人物卡!$DF$46="极端暴力",人物卡!$DF$46="关押或入狱",人物卡!$DF$46="艰苦经历"),10,0)),0)+IF(人物卡!$DF$46="艰苦经历",COUNTIF($H$12:$H$16,A28)*10,0),0)</f>
        <v>0</v>
      </c>
      <c r="G28">
        <f ca="1">IF(人物卡!$DF$46="艰苦经历",MIN(F28,MAX(0,90-C28-E28)),MIN(F28,MAX(0,99-C28-E28)))</f>
        <v>0</v>
      </c>
      <c r="H28" t="str">
        <f ca="1" t="shared" si="4"/>
        <v/>
      </c>
      <c r="I28" t="str">
        <f ca="1" t="shared" si="5"/>
        <v/>
      </c>
      <c r="J28" t="s">
        <v>1172</v>
      </c>
      <c r="K28" t="s">
        <v>1181</v>
      </c>
      <c r="Y28">
        <f ca="1">IF(AND($A28&lt;&gt;"",COUNTIF($A$20:A28,A28)=1,$A28&lt;&gt;"非自然知识"),ROW()-19,999)</f>
        <v>9</v>
      </c>
      <c r="Z28" t="str">
        <f ca="1">IFERROR(INDEX($A$20:$A$78,SMALL($Y$20:$Y$78,9)),"")</f>
        <v>犯罪学</v>
      </c>
      <c r="AA28" t="str">
        <f ca="1">IFERROR(INDEX($A$20:$A$78,SMALL($AB$20:$AB$78,9)),"")</f>
        <v>犯罪学</v>
      </c>
      <c r="AB28">
        <f ca="1">IF(AND($A28&lt;&gt;"",COUNTIF($A$20:A28,A28)=1,AND($A28&lt;&gt;"",$A28&lt;&gt;"非自然知识",COUNTIF($A$20:$A$78,$A28)&gt;0,OR($B$2="any",$B$2="fixed",AND($B$2="group",LEFT($A28,LEN($E$2)+1)=$E$2&amp;"（"),IFERROR(OR(ISNUMBER(FIND("|"&amp;$A28&amp;"|",$D$2)),AND(IFERROR(FIND("（",$A28),0)&gt;0,ISNUMBER(FIND("|"&amp;LEFT($A28,FIND("（",$A28)-1)&amp;"*|",$D$2)))),FALSE)))),ROW()-19,999)</f>
        <v>9</v>
      </c>
      <c r="AC28" t="str">
        <f ca="1">IFERROR(INDEX($A$20:$A$78,SMALL($AD$20:$AD$78,9)),"")</f>
        <v>犯罪学</v>
      </c>
      <c r="AD28">
        <f ca="1">IF(AND($A28&lt;&gt;"",COUNTIF($A$20:A28,A28)=1,AND($A28&lt;&gt;"",$A28&lt;&gt;"非自然知识",COUNTIF($A$20:$A$78,$A28)&gt;0,OR($B$3="any",$B$3="fixed",AND($B$3="group",LEFT($A28,LEN($E$3)+1)=$E$3&amp;"（"),IFERROR(OR(ISNUMBER(FIND("|"&amp;$A28&amp;"|",$D$3)),AND(IFERROR(FIND("（",$A28),0)&gt;0,ISNUMBER(FIND("|"&amp;LEFT($A28,FIND("（",$A28)-1)&amp;"*|",$D$3)))),FALSE)))),ROW()-19,999)</f>
        <v>9</v>
      </c>
      <c r="AE28" t="str">
        <f ca="1">IFERROR(INDEX($A$20:$A$78,SMALL($AF$20:$AF$78,9)),"")</f>
        <v>犯罪学</v>
      </c>
      <c r="AF28">
        <f ca="1">IF(AND($A28&lt;&gt;"",COUNTIF($A$20:A28,A28)=1,AND($A28&lt;&gt;"",$A28&lt;&gt;"非自然知识",COUNTIF($A$20:$A$78,$A28)&gt;0,OR($B$4="any",$B$4="fixed",AND($B$4="group",LEFT($A28,LEN($E$4)+1)=$E$4&amp;"（"),IFERROR(OR(ISNUMBER(FIND("|"&amp;$A28&amp;"|",$D$4)),AND(IFERROR(FIND("（",$A28),0)&gt;0,ISNUMBER(FIND("|"&amp;LEFT($A28,FIND("（",$A28)-1)&amp;"*|",$D$4)))),FALSE)))),ROW()-19,999)</f>
        <v>9</v>
      </c>
      <c r="AG28" t="str">
        <f ca="1">IFERROR(INDEX($A$20:$A$78,SMALL($AH$20:$AH$78,9)),"")</f>
        <v>犯罪学</v>
      </c>
      <c r="AH28">
        <f ca="1">IF(AND($A28&lt;&gt;"",COUNTIF($A$20:A28,A28)=1,AND($A28&lt;&gt;"",$A28&lt;&gt;"非自然知识",COUNTIF($A$20:$A$78,$A28)&gt;0,OR($B$5="any",$B$5="fixed",AND($B$5="group",LEFT($A28,LEN($E$5)+1)=$E$5&amp;"（"),IFERROR(OR(ISNUMBER(FIND("|"&amp;$A28&amp;"|",$D$5)),AND(IFERROR(FIND("（",$A28),0)&gt;0,ISNUMBER(FIND("|"&amp;LEFT($A28,FIND("（",$A28)-1)&amp;"*|",$D$5)))),FALSE)))),ROW()-19,999)</f>
        <v>9</v>
      </c>
      <c r="AI28" t="str">
        <f ca="1">IFERROR(INDEX($A$20:$A$78,SMALL($AJ$20:$AJ$78,9)),"")</f>
        <v>犯罪学</v>
      </c>
      <c r="AJ28">
        <f ca="1">IF(AND($A28&lt;&gt;"",COUNTIF($A$20:A28,A28)=1,AND($A28&lt;&gt;"",$A28&lt;&gt;"非自然知识",COUNTIF($A$20:$A$78,$A28)&gt;0,OR($B$6="any",$B$6="fixed",AND($B$6="group",LEFT($A28,LEN($E$6)+1)=$E$6&amp;"（"),IFERROR(OR(ISNUMBER(FIND("|"&amp;$A28&amp;"|",$D$6)),AND(IFERROR(FIND("（",$A28),0)&gt;0,ISNUMBER(FIND("|"&amp;LEFT($A28,FIND("（",$A28)-1)&amp;"*|",$D$6)))),FALSE)))),ROW()-19,999)</f>
        <v>9</v>
      </c>
      <c r="AK28" t="str">
        <f ca="1">IFERROR(INDEX($A$20:$A$78,SMALL($AL$20:$AL$78,9)),"")</f>
        <v>犯罪学</v>
      </c>
      <c r="AL28">
        <f ca="1">IF(AND($A28&lt;&gt;"",COUNTIF($A$20:A28,A28)=1,AND($A28&lt;&gt;"",$A28&lt;&gt;"非自然知识",COUNTIF($A$20:$A$78,$A28)&gt;0,OR($B$7="any",$B$7="fixed",AND($B$7="group",LEFT($A28,LEN($E$7)+1)=$E$7&amp;"（"),IFERROR(OR(ISNUMBER(FIND("|"&amp;$A28&amp;"|",$D$7)),AND(IFERROR(FIND("（",$A28),0)&gt;0,ISNUMBER(FIND("|"&amp;LEFT($A28,FIND("（",$A28)-1)&amp;"*|",$D$7)))),FALSE)))),ROW()-19,999)</f>
        <v>9</v>
      </c>
      <c r="AM28" t="str">
        <f ca="1">IFERROR(INDEX($A$20:$A$78,SMALL($AN$20:$AN$78,9)),"")</f>
        <v>犯罪学</v>
      </c>
      <c r="AN28">
        <f ca="1">IF(AND($A28&lt;&gt;"",COUNTIF($A$20:A28,A28)=1,AND($A28&lt;&gt;"",$A28&lt;&gt;"非自然知识",COUNTIF($A$20:$A$78,$A28)&gt;0,OR($B$8="any",$B$8="fixed",AND($B$8="group",LEFT($A28,LEN($E$8)+1)=$E$8&amp;"（"),IFERROR(OR(ISNUMBER(FIND("|"&amp;$A28&amp;"|",$D$8)),AND(IFERROR(FIND("（",$A28),0)&gt;0,ISNUMBER(FIND("|"&amp;LEFT($A28,FIND("（",$A28)-1)&amp;"*|",$D$8)))),FALSE)))),ROW()-19,999)</f>
        <v>9</v>
      </c>
      <c r="AO28" t="str">
        <f ca="1">IFERROR(INDEX($A$20:$A$78,SMALL($AP$20:$AP$78,9)),"")</f>
        <v>犯罪学</v>
      </c>
      <c r="AP28">
        <f ca="1">IF(AND($A28&lt;&gt;"",COUNTIF($A$20:A28,A28)=1,AND($A28&lt;&gt;"",$A28&lt;&gt;"非自然知识",COUNTIF($A$20:$A$78,$A28)&gt;0,OR($B$9="any",$B$9="fixed",AND($B$9="group",LEFT($A28,LEN($E$9)+1)=$E$9&amp;"（"),IFERROR(OR(ISNUMBER(FIND("|"&amp;$A28&amp;"|",$D$9)),AND(IFERROR(FIND("（",$A28),0)&gt;0,ISNUMBER(FIND("|"&amp;LEFT($A28,FIND("（",$A28)-1)&amp;"*|",$D$9)))),FALSE)))),ROW()-19,999)</f>
        <v>9</v>
      </c>
    </row>
    <row r="29" spans="1:42">
      <c r="A29" t="str">
        <f>人物卡!D23</f>
        <v>行政</v>
      </c>
      <c r="B29" t="str">
        <f t="shared" si="2"/>
        <v/>
      </c>
      <c r="C29">
        <f ca="1">IF(人物卡!V23="",N(人物卡!S23),N(人物卡!V23))</f>
        <v>10</v>
      </c>
      <c r="D29">
        <f ca="1">IF(AND(A29&lt;&gt;"",COUNTIF($A$20:A29,A29)=1),COUNTIF($H$2:$H$9,A29)*20,0)</f>
        <v>0</v>
      </c>
      <c r="E29">
        <f ca="1" t="shared" si="3"/>
        <v>0</v>
      </c>
      <c r="F29">
        <f ca="1">IF(AND(A29&lt;&gt;"",COUNTIF($A$20:A29,A29)=1),IF(A29="神秘学",IF(人物卡!$DF$46="人类不应知道之事",20,IF(OR(人物卡!$DF$46="极端暴力",人物卡!$DF$46="关押或入狱",人物卡!$DF$46="艰苦经历"),10,0)),0)+IF(人物卡!$DF$46="艰苦经历",COUNTIF($H$12:$H$16,A29)*10,0),0)</f>
        <v>0</v>
      </c>
      <c r="G29">
        <f ca="1">IF(人物卡!$DF$46="艰苦经历",MIN(F29,MAX(0,90-C29-E29)),MIN(F29,MAX(0,99-C29-E29)))</f>
        <v>0</v>
      </c>
      <c r="H29" t="str">
        <f ca="1" t="shared" si="4"/>
        <v/>
      </c>
      <c r="I29" t="str">
        <f ca="1" t="shared" si="5"/>
        <v/>
      </c>
      <c r="J29" t="s">
        <v>1200</v>
      </c>
      <c r="K29" t="s">
        <v>1207</v>
      </c>
      <c r="Y29">
        <f ca="1">IF(AND($A29&lt;&gt;"",COUNTIF($A$20:A29,A29)=1,$A29&lt;&gt;"非自然知识"),ROW()-19,999)</f>
        <v>10</v>
      </c>
      <c r="Z29" t="str">
        <f ca="1">IFERROR(INDEX($A$20:$A$78,SMALL($Y$20:$Y$78,10)),"")</f>
        <v>爆破</v>
      </c>
      <c r="AA29" t="str">
        <f ca="1">IFERROR(INDEX($A$20:$A$78,SMALL($AB$20:$AB$78,10)),"")</f>
        <v>爆破</v>
      </c>
      <c r="AB29">
        <f ca="1">IF(AND($A29&lt;&gt;"",COUNTIF($A$20:A29,A29)=1,AND($A29&lt;&gt;"",$A29&lt;&gt;"非自然知识",COUNTIF($A$20:$A$78,$A29)&gt;0,OR($B$2="any",$B$2="fixed",AND($B$2="group",LEFT($A29,LEN($E$2)+1)=$E$2&amp;"（"),IFERROR(OR(ISNUMBER(FIND("|"&amp;$A29&amp;"|",$D$2)),AND(IFERROR(FIND("（",$A29),0)&gt;0,ISNUMBER(FIND("|"&amp;LEFT($A29,FIND("（",$A29)-1)&amp;"*|",$D$2)))),FALSE)))),ROW()-19,999)</f>
        <v>10</v>
      </c>
      <c r="AC29" t="str">
        <f ca="1">IFERROR(INDEX($A$20:$A$78,SMALL($AD$20:$AD$78,10)),"")</f>
        <v>爆破</v>
      </c>
      <c r="AD29">
        <f ca="1">IF(AND($A29&lt;&gt;"",COUNTIF($A$20:A29,A29)=1,AND($A29&lt;&gt;"",$A29&lt;&gt;"非自然知识",COUNTIF($A$20:$A$78,$A29)&gt;0,OR($B$3="any",$B$3="fixed",AND($B$3="group",LEFT($A29,LEN($E$3)+1)=$E$3&amp;"（"),IFERROR(OR(ISNUMBER(FIND("|"&amp;$A29&amp;"|",$D$3)),AND(IFERROR(FIND("（",$A29),0)&gt;0,ISNUMBER(FIND("|"&amp;LEFT($A29,FIND("（",$A29)-1)&amp;"*|",$D$3)))),FALSE)))),ROW()-19,999)</f>
        <v>10</v>
      </c>
      <c r="AE29" t="str">
        <f ca="1">IFERROR(INDEX($A$20:$A$78,SMALL($AF$20:$AF$78,10)),"")</f>
        <v>爆破</v>
      </c>
      <c r="AF29">
        <f ca="1">IF(AND($A29&lt;&gt;"",COUNTIF($A$20:A29,A29)=1,AND($A29&lt;&gt;"",$A29&lt;&gt;"非自然知识",COUNTIF($A$20:$A$78,$A29)&gt;0,OR($B$4="any",$B$4="fixed",AND($B$4="group",LEFT($A29,LEN($E$4)+1)=$E$4&amp;"（"),IFERROR(OR(ISNUMBER(FIND("|"&amp;$A29&amp;"|",$D$4)),AND(IFERROR(FIND("（",$A29),0)&gt;0,ISNUMBER(FIND("|"&amp;LEFT($A29,FIND("（",$A29)-1)&amp;"*|",$D$4)))),FALSE)))),ROW()-19,999)</f>
        <v>10</v>
      </c>
      <c r="AG29" t="str">
        <f ca="1">IFERROR(INDEX($A$20:$A$78,SMALL($AH$20:$AH$78,10)),"")</f>
        <v>爆破</v>
      </c>
      <c r="AH29">
        <f ca="1">IF(AND($A29&lt;&gt;"",COUNTIF($A$20:A29,A29)=1,AND($A29&lt;&gt;"",$A29&lt;&gt;"非自然知识",COUNTIF($A$20:$A$78,$A29)&gt;0,OR($B$5="any",$B$5="fixed",AND($B$5="group",LEFT($A29,LEN($E$5)+1)=$E$5&amp;"（"),IFERROR(OR(ISNUMBER(FIND("|"&amp;$A29&amp;"|",$D$5)),AND(IFERROR(FIND("（",$A29),0)&gt;0,ISNUMBER(FIND("|"&amp;LEFT($A29,FIND("（",$A29)-1)&amp;"*|",$D$5)))),FALSE)))),ROW()-19,999)</f>
        <v>10</v>
      </c>
      <c r="AI29" t="str">
        <f ca="1">IFERROR(INDEX($A$20:$A$78,SMALL($AJ$20:$AJ$78,10)),"")</f>
        <v>爆破</v>
      </c>
      <c r="AJ29">
        <f ca="1">IF(AND($A29&lt;&gt;"",COUNTIF($A$20:A29,A29)=1,AND($A29&lt;&gt;"",$A29&lt;&gt;"非自然知识",COUNTIF($A$20:$A$78,$A29)&gt;0,OR($B$6="any",$B$6="fixed",AND($B$6="group",LEFT($A29,LEN($E$6)+1)=$E$6&amp;"（"),IFERROR(OR(ISNUMBER(FIND("|"&amp;$A29&amp;"|",$D$6)),AND(IFERROR(FIND("（",$A29),0)&gt;0,ISNUMBER(FIND("|"&amp;LEFT($A29,FIND("（",$A29)-1)&amp;"*|",$D$6)))),FALSE)))),ROW()-19,999)</f>
        <v>10</v>
      </c>
      <c r="AK29" t="str">
        <f ca="1">IFERROR(INDEX($A$20:$A$78,SMALL($AL$20:$AL$78,10)),"")</f>
        <v>爆破</v>
      </c>
      <c r="AL29">
        <f ca="1">IF(AND($A29&lt;&gt;"",COUNTIF($A$20:A29,A29)=1,AND($A29&lt;&gt;"",$A29&lt;&gt;"非自然知识",COUNTIF($A$20:$A$78,$A29)&gt;0,OR($B$7="any",$B$7="fixed",AND($B$7="group",LEFT($A29,LEN($E$7)+1)=$E$7&amp;"（"),IFERROR(OR(ISNUMBER(FIND("|"&amp;$A29&amp;"|",$D$7)),AND(IFERROR(FIND("（",$A29),0)&gt;0,ISNUMBER(FIND("|"&amp;LEFT($A29,FIND("（",$A29)-1)&amp;"*|",$D$7)))),FALSE)))),ROW()-19,999)</f>
        <v>10</v>
      </c>
      <c r="AM29" t="str">
        <f ca="1">IFERROR(INDEX($A$20:$A$78,SMALL($AN$20:$AN$78,10)),"")</f>
        <v>爆破</v>
      </c>
      <c r="AN29">
        <f ca="1">IF(AND($A29&lt;&gt;"",COUNTIF($A$20:A29,A29)=1,AND($A29&lt;&gt;"",$A29&lt;&gt;"非自然知识",COUNTIF($A$20:$A$78,$A29)&gt;0,OR($B$8="any",$B$8="fixed",AND($B$8="group",LEFT($A29,LEN($E$8)+1)=$E$8&amp;"（"),IFERROR(OR(ISNUMBER(FIND("|"&amp;$A29&amp;"|",$D$8)),AND(IFERROR(FIND("（",$A29),0)&gt;0,ISNUMBER(FIND("|"&amp;LEFT($A29,FIND("（",$A29)-1)&amp;"*|",$D$8)))),FALSE)))),ROW()-19,999)</f>
        <v>10</v>
      </c>
      <c r="AO29" t="str">
        <f ca="1">IFERROR(INDEX($A$20:$A$78,SMALL($AP$20:$AP$78,10)),"")</f>
        <v>爆破</v>
      </c>
      <c r="AP29">
        <f ca="1">IF(AND($A29&lt;&gt;"",COUNTIF($A$20:A29,A29)=1,AND($A29&lt;&gt;"",$A29&lt;&gt;"非自然知识",COUNTIF($A$20:$A$78,$A29)&gt;0,OR($B$9="any",$B$9="fixed",AND($B$9="group",LEFT($A29,LEN($E$9)+1)=$E$9&amp;"（"),IFERROR(OR(ISNUMBER(FIND("|"&amp;$A29&amp;"|",$D$9)),AND(IFERROR(FIND("（",$A29),0)&gt;0,ISNUMBER(FIND("|"&amp;LEFT($A29,FIND("（",$A29)-1)&amp;"*|",$D$9)))),FALSE)))),ROW()-19,999)</f>
        <v>10</v>
      </c>
    </row>
    <row r="30" spans="1:42">
      <c r="A30" t="str">
        <f>人物卡!D24</f>
        <v>计算机科学</v>
      </c>
      <c r="B30" t="str">
        <f t="shared" si="2"/>
        <v/>
      </c>
      <c r="C30">
        <f ca="1">IF(人物卡!V24="",N(人物卡!S24),N(人物卡!V24))</f>
        <v>0</v>
      </c>
      <c r="D30">
        <f ca="1">IF(AND(A30&lt;&gt;"",COUNTIF($A$20:A30,A30)=1),COUNTIF($H$2:$H$9,A30)*20,0)</f>
        <v>0</v>
      </c>
      <c r="E30">
        <f ca="1" t="shared" si="3"/>
        <v>0</v>
      </c>
      <c r="F30">
        <f ca="1">IF(AND(A30&lt;&gt;"",COUNTIF($A$20:A30,A30)=1),IF(A30="神秘学",IF(人物卡!$DF$46="人类不应知道之事",20,IF(OR(人物卡!$DF$46="极端暴力",人物卡!$DF$46="关押或入狱",人物卡!$DF$46="艰苦经历"),10,0)),0)+IF(人物卡!$DF$46="艰苦经历",COUNTIF($H$12:$H$16,A30)*10,0),0)</f>
        <v>0</v>
      </c>
      <c r="G30">
        <f ca="1">IF(人物卡!$DF$46="艰苦经历",MIN(F30,MAX(0,90-C30-E30)),MIN(F30,MAX(0,99-C30-E30)))</f>
        <v>0</v>
      </c>
      <c r="H30" t="str">
        <f ca="1" t="shared" si="4"/>
        <v/>
      </c>
      <c r="I30" t="str">
        <f ca="1" t="shared" si="5"/>
        <v/>
      </c>
      <c r="J30" t="s">
        <v>1226</v>
      </c>
      <c r="K30" t="s">
        <v>1233</v>
      </c>
      <c r="Y30">
        <f ca="1">IF(AND($A30&lt;&gt;"",COUNTIF($A$20:A30,A30)=1,$A30&lt;&gt;"非自然知识"),ROW()-19,999)</f>
        <v>11</v>
      </c>
      <c r="Z30" t="str">
        <f ca="1">IFERROR(INDEX($A$20:$A$78,SMALL($Y$20:$Y$78,11)),"")</f>
        <v>乔装</v>
      </c>
      <c r="AA30" t="str">
        <f ca="1">IFERROR(INDEX($A$20:$A$78,SMALL($AB$20:$AB$78,11)),"")</f>
        <v>乔装</v>
      </c>
      <c r="AB30">
        <f ca="1">IF(AND($A30&lt;&gt;"",COUNTIF($A$20:A30,A30)=1,AND($A30&lt;&gt;"",$A30&lt;&gt;"非自然知识",COUNTIF($A$20:$A$78,$A30)&gt;0,OR($B$2="any",$B$2="fixed",AND($B$2="group",LEFT($A30,LEN($E$2)+1)=$E$2&amp;"（"),IFERROR(OR(ISNUMBER(FIND("|"&amp;$A30&amp;"|",$D$2)),AND(IFERROR(FIND("（",$A30),0)&gt;0,ISNUMBER(FIND("|"&amp;LEFT($A30,FIND("（",$A30)-1)&amp;"*|",$D$2)))),FALSE)))),ROW()-19,999)</f>
        <v>11</v>
      </c>
      <c r="AC30" t="str">
        <f ca="1">IFERROR(INDEX($A$20:$A$78,SMALL($AD$20:$AD$78,11)),"")</f>
        <v>乔装</v>
      </c>
      <c r="AD30">
        <f ca="1">IF(AND($A30&lt;&gt;"",COUNTIF($A$20:A30,A30)=1,AND($A30&lt;&gt;"",$A30&lt;&gt;"非自然知识",COUNTIF($A$20:$A$78,$A30)&gt;0,OR($B$3="any",$B$3="fixed",AND($B$3="group",LEFT($A30,LEN($E$3)+1)=$E$3&amp;"（"),IFERROR(OR(ISNUMBER(FIND("|"&amp;$A30&amp;"|",$D$3)),AND(IFERROR(FIND("（",$A30),0)&gt;0,ISNUMBER(FIND("|"&amp;LEFT($A30,FIND("（",$A30)-1)&amp;"*|",$D$3)))),FALSE)))),ROW()-19,999)</f>
        <v>11</v>
      </c>
      <c r="AE30" t="str">
        <f ca="1">IFERROR(INDEX($A$20:$A$78,SMALL($AF$20:$AF$78,11)),"")</f>
        <v>乔装</v>
      </c>
      <c r="AF30">
        <f ca="1">IF(AND($A30&lt;&gt;"",COUNTIF($A$20:A30,A30)=1,AND($A30&lt;&gt;"",$A30&lt;&gt;"非自然知识",COUNTIF($A$20:$A$78,$A30)&gt;0,OR($B$4="any",$B$4="fixed",AND($B$4="group",LEFT($A30,LEN($E$4)+1)=$E$4&amp;"（"),IFERROR(OR(ISNUMBER(FIND("|"&amp;$A30&amp;"|",$D$4)),AND(IFERROR(FIND("（",$A30),0)&gt;0,ISNUMBER(FIND("|"&amp;LEFT($A30,FIND("（",$A30)-1)&amp;"*|",$D$4)))),FALSE)))),ROW()-19,999)</f>
        <v>11</v>
      </c>
      <c r="AG30" t="str">
        <f ca="1">IFERROR(INDEX($A$20:$A$78,SMALL($AH$20:$AH$78,11)),"")</f>
        <v>乔装</v>
      </c>
      <c r="AH30">
        <f ca="1">IF(AND($A30&lt;&gt;"",COUNTIF($A$20:A30,A30)=1,AND($A30&lt;&gt;"",$A30&lt;&gt;"非自然知识",COUNTIF($A$20:$A$78,$A30)&gt;0,OR($B$5="any",$B$5="fixed",AND($B$5="group",LEFT($A30,LEN($E$5)+1)=$E$5&amp;"（"),IFERROR(OR(ISNUMBER(FIND("|"&amp;$A30&amp;"|",$D$5)),AND(IFERROR(FIND("（",$A30),0)&gt;0,ISNUMBER(FIND("|"&amp;LEFT($A30,FIND("（",$A30)-1)&amp;"*|",$D$5)))),FALSE)))),ROW()-19,999)</f>
        <v>11</v>
      </c>
      <c r="AI30" t="str">
        <f ca="1">IFERROR(INDEX($A$20:$A$78,SMALL($AJ$20:$AJ$78,11)),"")</f>
        <v>乔装</v>
      </c>
      <c r="AJ30">
        <f ca="1">IF(AND($A30&lt;&gt;"",COUNTIF($A$20:A30,A30)=1,AND($A30&lt;&gt;"",$A30&lt;&gt;"非自然知识",COUNTIF($A$20:$A$78,$A30)&gt;0,OR($B$6="any",$B$6="fixed",AND($B$6="group",LEFT($A30,LEN($E$6)+1)=$E$6&amp;"（"),IFERROR(OR(ISNUMBER(FIND("|"&amp;$A30&amp;"|",$D$6)),AND(IFERROR(FIND("（",$A30),0)&gt;0,ISNUMBER(FIND("|"&amp;LEFT($A30,FIND("（",$A30)-1)&amp;"*|",$D$6)))),FALSE)))),ROW()-19,999)</f>
        <v>11</v>
      </c>
      <c r="AK30" t="str">
        <f ca="1">IFERROR(INDEX($A$20:$A$78,SMALL($AL$20:$AL$78,11)),"")</f>
        <v>乔装</v>
      </c>
      <c r="AL30">
        <f ca="1">IF(AND($A30&lt;&gt;"",COUNTIF($A$20:A30,A30)=1,AND($A30&lt;&gt;"",$A30&lt;&gt;"非自然知识",COUNTIF($A$20:$A$78,$A30)&gt;0,OR($B$7="any",$B$7="fixed",AND($B$7="group",LEFT($A30,LEN($E$7)+1)=$E$7&amp;"（"),IFERROR(OR(ISNUMBER(FIND("|"&amp;$A30&amp;"|",$D$7)),AND(IFERROR(FIND("（",$A30),0)&gt;0,ISNUMBER(FIND("|"&amp;LEFT($A30,FIND("（",$A30)-1)&amp;"*|",$D$7)))),FALSE)))),ROW()-19,999)</f>
        <v>11</v>
      </c>
      <c r="AM30" t="str">
        <f ca="1">IFERROR(INDEX($A$20:$A$78,SMALL($AN$20:$AN$78,11)),"")</f>
        <v>乔装</v>
      </c>
      <c r="AN30">
        <f ca="1">IF(AND($A30&lt;&gt;"",COUNTIF($A$20:A30,A30)=1,AND($A30&lt;&gt;"",$A30&lt;&gt;"非自然知识",COUNTIF($A$20:$A$78,$A30)&gt;0,OR($B$8="any",$B$8="fixed",AND($B$8="group",LEFT($A30,LEN($E$8)+1)=$E$8&amp;"（"),IFERROR(OR(ISNUMBER(FIND("|"&amp;$A30&amp;"|",$D$8)),AND(IFERROR(FIND("（",$A30),0)&gt;0,ISNUMBER(FIND("|"&amp;LEFT($A30,FIND("（",$A30)-1)&amp;"*|",$D$8)))),FALSE)))),ROW()-19,999)</f>
        <v>11</v>
      </c>
      <c r="AO30" t="str">
        <f ca="1">IFERROR(INDEX($A$20:$A$78,SMALL($AP$20:$AP$78,11)),"")</f>
        <v>乔装</v>
      </c>
      <c r="AP30">
        <f ca="1">IF(AND($A30&lt;&gt;"",COUNTIF($A$20:A30,A30)=1,AND($A30&lt;&gt;"",$A30&lt;&gt;"非自然知识",COUNTIF($A$20:$A$78,$A30)&gt;0,OR($B$9="any",$B$9="fixed",AND($B$9="group",LEFT($A30,LEN($E$9)+1)=$E$9&amp;"（"),IFERROR(OR(ISNUMBER(FIND("|"&amp;$A30&amp;"|",$D$9)),AND(IFERROR(FIND("（",$A30),0)&gt;0,ISNUMBER(FIND("|"&amp;LEFT($A30,FIND("（",$A30)-1)&amp;"*|",$D$9)))),FALSE)))),ROW()-19,999)</f>
        <v>11</v>
      </c>
    </row>
    <row r="31" spans="1:42">
      <c r="A31" t="str">
        <f ca="1">IF(TRIM(人物卡!J25)="","","工艺（"&amp;TRIM(人物卡!J25)&amp;"）")</f>
        <v/>
      </c>
      <c r="B31" t="str">
        <f ca="1" t="shared" si="2"/>
        <v/>
      </c>
      <c r="C31">
        <f ca="1">IF(人物卡!V25="",N(人物卡!S25),N(人物卡!V25))</f>
        <v>0</v>
      </c>
      <c r="D31">
        <f ca="1">IF(AND(A31&lt;&gt;"",COUNTIF($A$20:A31,A31)=1),COUNTIF($H$2:$H$9,A31)*20,0)</f>
        <v>0</v>
      </c>
      <c r="E31">
        <f ca="1" t="shared" si="3"/>
        <v>0</v>
      </c>
      <c r="F31">
        <f ca="1">IF(AND(A31&lt;&gt;"",COUNTIF($A$20:A31,A31)=1),IF(A31="神秘学",IF(人物卡!$DF$46="人类不应知道之事",20,IF(OR(人物卡!$DF$46="极端暴力",人物卡!$DF$46="关押或入狱",人物卡!$DF$46="艰苦经历"),10,0)),0)+IF(人物卡!$DF$46="艰苦经历",COUNTIF($H$12:$H$16,A31)*10,0),0)</f>
        <v>0</v>
      </c>
      <c r="G31">
        <f ca="1">IF(人物卡!$DF$46="艰苦经历",MIN(F31,MAX(0,90-C31-E31)),MIN(F31,MAX(0,99-C31-E31)))</f>
        <v>0</v>
      </c>
      <c r="H31" t="str">
        <f ca="1" t="shared" si="4"/>
        <v/>
      </c>
      <c r="I31" t="str">
        <f ca="1" t="shared" si="5"/>
        <v/>
      </c>
      <c r="J31" t="s">
        <v>1251</v>
      </c>
      <c r="K31" t="s">
        <v>1258</v>
      </c>
      <c r="Y31">
        <f ca="1">IF(AND($A31&lt;&gt;"",COUNTIF($A$20:A31,A31)=1,$A31&lt;&gt;"非自然知识"),ROW()-19,999)</f>
        <v>999</v>
      </c>
      <c r="Z31" t="str">
        <f ca="1">IFERROR(INDEX($A$20:$A$78,SMALL($Y$20:$Y$78,12)),"")</f>
        <v>闪避</v>
      </c>
      <c r="AA31" t="str">
        <f ca="1">IFERROR(INDEX($A$20:$A$78,SMALL($AB$20:$AB$78,12)),"")</f>
        <v>闪避</v>
      </c>
      <c r="AB31">
        <f ca="1">IF(AND($A31&lt;&gt;"",COUNTIF($A$20:A31,A31)=1,AND($A31&lt;&gt;"",$A31&lt;&gt;"非自然知识",COUNTIF($A$20:$A$78,$A31)&gt;0,OR($B$2="any",$B$2="fixed",AND($B$2="group",LEFT($A31,LEN($E$2)+1)=$E$2&amp;"（"),IFERROR(OR(ISNUMBER(FIND("|"&amp;$A31&amp;"|",$D$2)),AND(IFERROR(FIND("（",$A31),0)&gt;0,ISNUMBER(FIND("|"&amp;LEFT($A31,FIND("（",$A31)-1)&amp;"*|",$D$2)))),FALSE)))),ROW()-19,999)</f>
        <v>999</v>
      </c>
      <c r="AC31" t="str">
        <f ca="1">IFERROR(INDEX($A$20:$A$78,SMALL($AD$20:$AD$78,12)),"")</f>
        <v>闪避</v>
      </c>
      <c r="AD31">
        <f ca="1">IF(AND($A31&lt;&gt;"",COUNTIF($A$20:A31,A31)=1,AND($A31&lt;&gt;"",$A31&lt;&gt;"非自然知识",COUNTIF($A$20:$A$78,$A31)&gt;0,OR($B$3="any",$B$3="fixed",AND($B$3="group",LEFT($A31,LEN($E$3)+1)=$E$3&amp;"（"),IFERROR(OR(ISNUMBER(FIND("|"&amp;$A31&amp;"|",$D$3)),AND(IFERROR(FIND("（",$A31),0)&gt;0,ISNUMBER(FIND("|"&amp;LEFT($A31,FIND("（",$A31)-1)&amp;"*|",$D$3)))),FALSE)))),ROW()-19,999)</f>
        <v>999</v>
      </c>
      <c r="AE31" t="str">
        <f ca="1">IFERROR(INDEX($A$20:$A$78,SMALL($AF$20:$AF$78,12)),"")</f>
        <v>闪避</v>
      </c>
      <c r="AF31">
        <f ca="1">IF(AND($A31&lt;&gt;"",COUNTIF($A$20:A31,A31)=1,AND($A31&lt;&gt;"",$A31&lt;&gt;"非自然知识",COUNTIF($A$20:$A$78,$A31)&gt;0,OR($B$4="any",$B$4="fixed",AND($B$4="group",LEFT($A31,LEN($E$4)+1)=$E$4&amp;"（"),IFERROR(OR(ISNUMBER(FIND("|"&amp;$A31&amp;"|",$D$4)),AND(IFERROR(FIND("（",$A31),0)&gt;0,ISNUMBER(FIND("|"&amp;LEFT($A31,FIND("（",$A31)-1)&amp;"*|",$D$4)))),FALSE)))),ROW()-19,999)</f>
        <v>999</v>
      </c>
      <c r="AG31" t="str">
        <f ca="1">IFERROR(INDEX($A$20:$A$78,SMALL($AH$20:$AH$78,12)),"")</f>
        <v>闪避</v>
      </c>
      <c r="AH31">
        <f ca="1">IF(AND($A31&lt;&gt;"",COUNTIF($A$20:A31,A31)=1,AND($A31&lt;&gt;"",$A31&lt;&gt;"非自然知识",COUNTIF($A$20:$A$78,$A31)&gt;0,OR($B$5="any",$B$5="fixed",AND($B$5="group",LEFT($A31,LEN($E$5)+1)=$E$5&amp;"（"),IFERROR(OR(ISNUMBER(FIND("|"&amp;$A31&amp;"|",$D$5)),AND(IFERROR(FIND("（",$A31),0)&gt;0,ISNUMBER(FIND("|"&amp;LEFT($A31,FIND("（",$A31)-1)&amp;"*|",$D$5)))),FALSE)))),ROW()-19,999)</f>
        <v>999</v>
      </c>
      <c r="AI31" t="str">
        <f ca="1">IFERROR(INDEX($A$20:$A$78,SMALL($AJ$20:$AJ$78,12)),"")</f>
        <v>闪避</v>
      </c>
      <c r="AJ31">
        <f ca="1">IF(AND($A31&lt;&gt;"",COUNTIF($A$20:A31,A31)=1,AND($A31&lt;&gt;"",$A31&lt;&gt;"非自然知识",COUNTIF($A$20:$A$78,$A31)&gt;0,OR($B$6="any",$B$6="fixed",AND($B$6="group",LEFT($A31,LEN($E$6)+1)=$E$6&amp;"（"),IFERROR(OR(ISNUMBER(FIND("|"&amp;$A31&amp;"|",$D$6)),AND(IFERROR(FIND("（",$A31),0)&gt;0,ISNUMBER(FIND("|"&amp;LEFT($A31,FIND("（",$A31)-1)&amp;"*|",$D$6)))),FALSE)))),ROW()-19,999)</f>
        <v>999</v>
      </c>
      <c r="AK31" t="str">
        <f ca="1">IFERROR(INDEX($A$20:$A$78,SMALL($AL$20:$AL$78,12)),"")</f>
        <v>闪避</v>
      </c>
      <c r="AL31">
        <f ca="1">IF(AND($A31&lt;&gt;"",COUNTIF($A$20:A31,A31)=1,AND($A31&lt;&gt;"",$A31&lt;&gt;"非自然知识",COUNTIF($A$20:$A$78,$A31)&gt;0,OR($B$7="any",$B$7="fixed",AND($B$7="group",LEFT($A31,LEN($E$7)+1)=$E$7&amp;"（"),IFERROR(OR(ISNUMBER(FIND("|"&amp;$A31&amp;"|",$D$7)),AND(IFERROR(FIND("（",$A31),0)&gt;0,ISNUMBER(FIND("|"&amp;LEFT($A31,FIND("（",$A31)-1)&amp;"*|",$D$7)))),FALSE)))),ROW()-19,999)</f>
        <v>999</v>
      </c>
      <c r="AM31" t="str">
        <f ca="1">IFERROR(INDEX($A$20:$A$78,SMALL($AN$20:$AN$78,12)),"")</f>
        <v>闪避</v>
      </c>
      <c r="AN31">
        <f ca="1">IF(AND($A31&lt;&gt;"",COUNTIF($A$20:A31,A31)=1,AND($A31&lt;&gt;"",$A31&lt;&gt;"非自然知识",COUNTIF($A$20:$A$78,$A31)&gt;0,OR($B$8="any",$B$8="fixed",AND($B$8="group",LEFT($A31,LEN($E$8)+1)=$E$8&amp;"（"),IFERROR(OR(ISNUMBER(FIND("|"&amp;$A31&amp;"|",$D$8)),AND(IFERROR(FIND("（",$A31),0)&gt;0,ISNUMBER(FIND("|"&amp;LEFT($A31,FIND("（",$A31)-1)&amp;"*|",$D$8)))),FALSE)))),ROW()-19,999)</f>
        <v>999</v>
      </c>
      <c r="AO31" t="str">
        <f ca="1">IFERROR(INDEX($A$20:$A$78,SMALL($AP$20:$AP$78,12)),"")</f>
        <v>闪避</v>
      </c>
      <c r="AP31">
        <f ca="1">IF(AND($A31&lt;&gt;"",COUNTIF($A$20:A31,A31)=1,AND($A31&lt;&gt;"",$A31&lt;&gt;"非自然知识",COUNTIF($A$20:$A$78,$A31)&gt;0,OR($B$9="any",$B$9="fixed",AND($B$9="group",LEFT($A31,LEN($E$9)+1)=$E$9&amp;"（"),IFERROR(OR(ISNUMBER(FIND("|"&amp;$A31&amp;"|",$D$9)),AND(IFERROR(FIND("（",$A31),0)&gt;0,ISNUMBER(FIND("|"&amp;LEFT($A31,FIND("（",$A31)-1)&amp;"*|",$D$9)))),FALSE)))),ROW()-19,999)</f>
        <v>999</v>
      </c>
    </row>
    <row r="32" spans="1:42">
      <c r="A32" t="str">
        <f ca="1">IF(TRIM(人物卡!J26)="","","工艺（"&amp;TRIM(人物卡!J26)&amp;"）")</f>
        <v/>
      </c>
      <c r="B32" t="str">
        <f ca="1" t="shared" si="2"/>
        <v/>
      </c>
      <c r="C32">
        <f ca="1">IF(人物卡!V26="",N(人物卡!S26),N(人物卡!V26))</f>
        <v>0</v>
      </c>
      <c r="D32">
        <f ca="1">IF(AND(A32&lt;&gt;"",COUNTIF($A$20:A32,A32)=1),COUNTIF($H$2:$H$9,A32)*20,0)</f>
        <v>0</v>
      </c>
      <c r="E32">
        <f ca="1" t="shared" si="3"/>
        <v>0</v>
      </c>
      <c r="F32">
        <f ca="1">IF(AND(A32&lt;&gt;"",COUNTIF($A$20:A32,A32)=1),IF(A32="神秘学",IF(人物卡!$DF$46="人类不应知道之事",20,IF(OR(人物卡!$DF$46="极端暴力",人物卡!$DF$46="关押或入狱",人物卡!$DF$46="艰苦经历"),10,0)),0)+IF(人物卡!$DF$46="艰苦经历",COUNTIF($H$12:$H$16,A32)*10,0),0)</f>
        <v>0</v>
      </c>
      <c r="G32">
        <f ca="1">IF(人物卡!$DF$46="艰苦经历",MIN(F32,MAX(0,90-C32-E32)),MIN(F32,MAX(0,99-C32-E32)))</f>
        <v>0</v>
      </c>
      <c r="H32" t="str">
        <f ca="1" t="shared" si="4"/>
        <v/>
      </c>
      <c r="I32" t="str">
        <f ca="1" t="shared" si="5"/>
        <v/>
      </c>
      <c r="J32" t="s">
        <v>2272</v>
      </c>
      <c r="K32" t="s">
        <v>2273</v>
      </c>
      <c r="Y32">
        <f ca="1">IF(AND($A32&lt;&gt;"",COUNTIF($A$20:A32,A32)=1,$A32&lt;&gt;"非自然知识"),ROW()-19,999)</f>
        <v>999</v>
      </c>
      <c r="Z32" t="str">
        <f ca="1">IFERROR(INDEX($A$20:$A$78,SMALL($Y$20:$Y$78,13)),"")</f>
        <v>机动车驾驶</v>
      </c>
      <c r="AA32" t="str">
        <f ca="1">IFERROR(INDEX($A$20:$A$78,SMALL($AB$20:$AB$78,13)),"")</f>
        <v>机动车驾驶</v>
      </c>
      <c r="AB32">
        <f ca="1">IF(AND($A32&lt;&gt;"",COUNTIF($A$20:A32,A32)=1,AND($A32&lt;&gt;"",$A32&lt;&gt;"非自然知识",COUNTIF($A$20:$A$78,$A32)&gt;0,OR($B$2="any",$B$2="fixed",AND($B$2="group",LEFT($A32,LEN($E$2)+1)=$E$2&amp;"（"),IFERROR(OR(ISNUMBER(FIND("|"&amp;$A32&amp;"|",$D$2)),AND(IFERROR(FIND("（",$A32),0)&gt;0,ISNUMBER(FIND("|"&amp;LEFT($A32,FIND("（",$A32)-1)&amp;"*|",$D$2)))),FALSE)))),ROW()-19,999)</f>
        <v>999</v>
      </c>
      <c r="AC32" t="str">
        <f ca="1">IFERROR(INDEX($A$20:$A$78,SMALL($AD$20:$AD$78,13)),"")</f>
        <v>机动车驾驶</v>
      </c>
      <c r="AD32">
        <f ca="1">IF(AND($A32&lt;&gt;"",COUNTIF($A$20:A32,A32)=1,AND($A32&lt;&gt;"",$A32&lt;&gt;"非自然知识",COUNTIF($A$20:$A$78,$A32)&gt;0,OR($B$3="any",$B$3="fixed",AND($B$3="group",LEFT($A32,LEN($E$3)+1)=$E$3&amp;"（"),IFERROR(OR(ISNUMBER(FIND("|"&amp;$A32&amp;"|",$D$3)),AND(IFERROR(FIND("（",$A32),0)&gt;0,ISNUMBER(FIND("|"&amp;LEFT($A32,FIND("（",$A32)-1)&amp;"*|",$D$3)))),FALSE)))),ROW()-19,999)</f>
        <v>999</v>
      </c>
      <c r="AE32" t="str">
        <f ca="1">IFERROR(INDEX($A$20:$A$78,SMALL($AF$20:$AF$78,13)),"")</f>
        <v>机动车驾驶</v>
      </c>
      <c r="AF32">
        <f ca="1">IF(AND($A32&lt;&gt;"",COUNTIF($A$20:A32,A32)=1,AND($A32&lt;&gt;"",$A32&lt;&gt;"非自然知识",COUNTIF($A$20:$A$78,$A32)&gt;0,OR($B$4="any",$B$4="fixed",AND($B$4="group",LEFT($A32,LEN($E$4)+1)=$E$4&amp;"（"),IFERROR(OR(ISNUMBER(FIND("|"&amp;$A32&amp;"|",$D$4)),AND(IFERROR(FIND("（",$A32),0)&gt;0,ISNUMBER(FIND("|"&amp;LEFT($A32,FIND("（",$A32)-1)&amp;"*|",$D$4)))),FALSE)))),ROW()-19,999)</f>
        <v>999</v>
      </c>
      <c r="AG32" t="str">
        <f ca="1">IFERROR(INDEX($A$20:$A$78,SMALL($AH$20:$AH$78,13)),"")</f>
        <v>机动车驾驶</v>
      </c>
      <c r="AH32">
        <f ca="1">IF(AND($A32&lt;&gt;"",COUNTIF($A$20:A32,A32)=1,AND($A32&lt;&gt;"",$A32&lt;&gt;"非自然知识",COUNTIF($A$20:$A$78,$A32)&gt;0,OR($B$5="any",$B$5="fixed",AND($B$5="group",LEFT($A32,LEN($E$5)+1)=$E$5&amp;"（"),IFERROR(OR(ISNUMBER(FIND("|"&amp;$A32&amp;"|",$D$5)),AND(IFERROR(FIND("（",$A32),0)&gt;0,ISNUMBER(FIND("|"&amp;LEFT($A32,FIND("（",$A32)-1)&amp;"*|",$D$5)))),FALSE)))),ROW()-19,999)</f>
        <v>999</v>
      </c>
      <c r="AI32" t="str">
        <f ca="1">IFERROR(INDEX($A$20:$A$78,SMALL($AJ$20:$AJ$78,13)),"")</f>
        <v>机动车驾驶</v>
      </c>
      <c r="AJ32">
        <f ca="1">IF(AND($A32&lt;&gt;"",COUNTIF($A$20:A32,A32)=1,AND($A32&lt;&gt;"",$A32&lt;&gt;"非自然知识",COUNTIF($A$20:$A$78,$A32)&gt;0,OR($B$6="any",$B$6="fixed",AND($B$6="group",LEFT($A32,LEN($E$6)+1)=$E$6&amp;"（"),IFERROR(OR(ISNUMBER(FIND("|"&amp;$A32&amp;"|",$D$6)),AND(IFERROR(FIND("（",$A32),0)&gt;0,ISNUMBER(FIND("|"&amp;LEFT($A32,FIND("（",$A32)-1)&amp;"*|",$D$6)))),FALSE)))),ROW()-19,999)</f>
        <v>999</v>
      </c>
      <c r="AK32" t="str">
        <f ca="1">IFERROR(INDEX($A$20:$A$78,SMALL($AL$20:$AL$78,13)),"")</f>
        <v>机动车驾驶</v>
      </c>
      <c r="AL32">
        <f ca="1">IF(AND($A32&lt;&gt;"",COUNTIF($A$20:A32,A32)=1,AND($A32&lt;&gt;"",$A32&lt;&gt;"非自然知识",COUNTIF($A$20:$A$78,$A32)&gt;0,OR($B$7="any",$B$7="fixed",AND($B$7="group",LEFT($A32,LEN($E$7)+1)=$E$7&amp;"（"),IFERROR(OR(ISNUMBER(FIND("|"&amp;$A32&amp;"|",$D$7)),AND(IFERROR(FIND("（",$A32),0)&gt;0,ISNUMBER(FIND("|"&amp;LEFT($A32,FIND("（",$A32)-1)&amp;"*|",$D$7)))),FALSE)))),ROW()-19,999)</f>
        <v>999</v>
      </c>
      <c r="AM32" t="str">
        <f ca="1">IFERROR(INDEX($A$20:$A$78,SMALL($AN$20:$AN$78,13)),"")</f>
        <v>机动车驾驶</v>
      </c>
      <c r="AN32">
        <f ca="1">IF(AND($A32&lt;&gt;"",COUNTIF($A$20:A32,A32)=1,AND($A32&lt;&gt;"",$A32&lt;&gt;"非自然知识",COUNTIF($A$20:$A$78,$A32)&gt;0,OR($B$8="any",$B$8="fixed",AND($B$8="group",LEFT($A32,LEN($E$8)+1)=$E$8&amp;"（"),IFERROR(OR(ISNUMBER(FIND("|"&amp;$A32&amp;"|",$D$8)),AND(IFERROR(FIND("（",$A32),0)&gt;0,ISNUMBER(FIND("|"&amp;LEFT($A32,FIND("（",$A32)-1)&amp;"*|",$D$8)))),FALSE)))),ROW()-19,999)</f>
        <v>999</v>
      </c>
      <c r="AO32" t="str">
        <f ca="1">IFERROR(INDEX($A$20:$A$78,SMALL($AP$20:$AP$78,13)),"")</f>
        <v>机动车驾驶</v>
      </c>
      <c r="AP32">
        <f ca="1">IF(AND($A32&lt;&gt;"",COUNTIF($A$20:A32,A32)=1,AND($A32&lt;&gt;"",$A32&lt;&gt;"非自然知识",COUNTIF($A$20:$A$78,$A32)&gt;0,OR($B$9="any",$B$9="fixed",AND($B$9="group",LEFT($A32,LEN($E$9)+1)=$E$9&amp;"（"),IFERROR(OR(ISNUMBER(FIND("|"&amp;$A32&amp;"|",$D$9)),AND(IFERROR(FIND("（",$A32),0)&gt;0,ISNUMBER(FIND("|"&amp;LEFT($A32,FIND("（",$A32)-1)&amp;"*|",$D$9)))),FALSE)))),ROW()-19,999)</f>
        <v>999</v>
      </c>
    </row>
    <row r="33" spans="1:42">
      <c r="A33" t="str">
        <f ca="1">IF(TRIM(人物卡!J27)="","","工艺（"&amp;TRIM(人物卡!J27)&amp;"）")</f>
        <v/>
      </c>
      <c r="B33" t="str">
        <f ca="1" t="shared" si="2"/>
        <v/>
      </c>
      <c r="C33">
        <f ca="1">IF(人物卡!V27="",N(人物卡!S27),N(人物卡!V27))</f>
        <v>0</v>
      </c>
      <c r="D33">
        <f ca="1">IF(AND(A33&lt;&gt;"",COUNTIF($A$20:A33,A33)=1),COUNTIF($H$2:$H$9,A33)*20,0)</f>
        <v>0</v>
      </c>
      <c r="E33">
        <f ca="1" t="shared" si="3"/>
        <v>0</v>
      </c>
      <c r="F33">
        <f ca="1">IF(AND(A33&lt;&gt;"",COUNTIF($A$20:A33,A33)=1),IF(A33="神秘学",IF(人物卡!$DF$46="人类不应知道之事",20,IF(OR(人物卡!$DF$46="极端暴力",人物卡!$DF$46="关押或入狱",人物卡!$DF$46="艰苦经历"),10,0)),0)+IF(人物卡!$DF$46="艰苦经历",COUNTIF($H$12:$H$16,A33)*10,0),0)</f>
        <v>0</v>
      </c>
      <c r="G33">
        <f ca="1">IF(人物卡!$DF$46="艰苦经历",MIN(F33,MAX(0,90-C33-E33)),MIN(F33,MAX(0,99-C33-E33)))</f>
        <v>0</v>
      </c>
      <c r="H33" t="str">
        <f ca="1" t="shared" si="4"/>
        <v/>
      </c>
      <c r="I33" t="str">
        <f ca="1" t="shared" si="5"/>
        <v/>
      </c>
      <c r="J33" t="s">
        <v>2274</v>
      </c>
      <c r="K33" t="s">
        <v>2275</v>
      </c>
      <c r="Y33">
        <f ca="1">IF(AND($A33&lt;&gt;"",COUNTIF($A$20:A33,A33)=1,$A33&lt;&gt;"非自然知识"),ROW()-19,999)</f>
        <v>999</v>
      </c>
      <c r="Z33" t="str">
        <f ca="1">IFERROR(INDEX($A$20:$A$78,SMALL($Y$20:$Y$78,14)),"")</f>
        <v>射击</v>
      </c>
      <c r="AA33" t="str">
        <f ca="1">IFERROR(INDEX($A$20:$A$78,SMALL($AB$20:$AB$78,14)),"")</f>
        <v>射击</v>
      </c>
      <c r="AB33">
        <f ca="1">IF(AND($A33&lt;&gt;"",COUNTIF($A$20:A33,A33)=1,AND($A33&lt;&gt;"",$A33&lt;&gt;"非自然知识",COUNTIF($A$20:$A$78,$A33)&gt;0,OR($B$2="any",$B$2="fixed",AND($B$2="group",LEFT($A33,LEN($E$2)+1)=$E$2&amp;"（"),IFERROR(OR(ISNUMBER(FIND("|"&amp;$A33&amp;"|",$D$2)),AND(IFERROR(FIND("（",$A33),0)&gt;0,ISNUMBER(FIND("|"&amp;LEFT($A33,FIND("（",$A33)-1)&amp;"*|",$D$2)))),FALSE)))),ROW()-19,999)</f>
        <v>999</v>
      </c>
      <c r="AC33" t="str">
        <f ca="1">IFERROR(INDEX($A$20:$A$78,SMALL($AD$20:$AD$78,14)),"")</f>
        <v>射击</v>
      </c>
      <c r="AD33">
        <f ca="1">IF(AND($A33&lt;&gt;"",COUNTIF($A$20:A33,A33)=1,AND($A33&lt;&gt;"",$A33&lt;&gt;"非自然知识",COUNTIF($A$20:$A$78,$A33)&gt;0,OR($B$3="any",$B$3="fixed",AND($B$3="group",LEFT($A33,LEN($E$3)+1)=$E$3&amp;"（"),IFERROR(OR(ISNUMBER(FIND("|"&amp;$A33&amp;"|",$D$3)),AND(IFERROR(FIND("（",$A33),0)&gt;0,ISNUMBER(FIND("|"&amp;LEFT($A33,FIND("（",$A33)-1)&amp;"*|",$D$3)))),FALSE)))),ROW()-19,999)</f>
        <v>999</v>
      </c>
      <c r="AE33" t="str">
        <f ca="1">IFERROR(INDEX($A$20:$A$78,SMALL($AF$20:$AF$78,14)),"")</f>
        <v>射击</v>
      </c>
      <c r="AF33">
        <f ca="1">IF(AND($A33&lt;&gt;"",COUNTIF($A$20:A33,A33)=1,AND($A33&lt;&gt;"",$A33&lt;&gt;"非自然知识",COUNTIF($A$20:$A$78,$A33)&gt;0,OR($B$4="any",$B$4="fixed",AND($B$4="group",LEFT($A33,LEN($E$4)+1)=$E$4&amp;"（"),IFERROR(OR(ISNUMBER(FIND("|"&amp;$A33&amp;"|",$D$4)),AND(IFERROR(FIND("（",$A33),0)&gt;0,ISNUMBER(FIND("|"&amp;LEFT($A33,FIND("（",$A33)-1)&amp;"*|",$D$4)))),FALSE)))),ROW()-19,999)</f>
        <v>999</v>
      </c>
      <c r="AG33" t="str">
        <f ca="1">IFERROR(INDEX($A$20:$A$78,SMALL($AH$20:$AH$78,14)),"")</f>
        <v>射击</v>
      </c>
      <c r="AH33">
        <f ca="1">IF(AND($A33&lt;&gt;"",COUNTIF($A$20:A33,A33)=1,AND($A33&lt;&gt;"",$A33&lt;&gt;"非自然知识",COUNTIF($A$20:$A$78,$A33)&gt;0,OR($B$5="any",$B$5="fixed",AND($B$5="group",LEFT($A33,LEN($E$5)+1)=$E$5&amp;"（"),IFERROR(OR(ISNUMBER(FIND("|"&amp;$A33&amp;"|",$D$5)),AND(IFERROR(FIND("（",$A33),0)&gt;0,ISNUMBER(FIND("|"&amp;LEFT($A33,FIND("（",$A33)-1)&amp;"*|",$D$5)))),FALSE)))),ROW()-19,999)</f>
        <v>999</v>
      </c>
      <c r="AI33" t="str">
        <f ca="1">IFERROR(INDEX($A$20:$A$78,SMALL($AJ$20:$AJ$78,14)),"")</f>
        <v>射击</v>
      </c>
      <c r="AJ33">
        <f ca="1">IF(AND($A33&lt;&gt;"",COUNTIF($A$20:A33,A33)=1,AND($A33&lt;&gt;"",$A33&lt;&gt;"非自然知识",COUNTIF($A$20:$A$78,$A33)&gt;0,OR($B$6="any",$B$6="fixed",AND($B$6="group",LEFT($A33,LEN($E$6)+1)=$E$6&amp;"（"),IFERROR(OR(ISNUMBER(FIND("|"&amp;$A33&amp;"|",$D$6)),AND(IFERROR(FIND("（",$A33),0)&gt;0,ISNUMBER(FIND("|"&amp;LEFT($A33,FIND("（",$A33)-1)&amp;"*|",$D$6)))),FALSE)))),ROW()-19,999)</f>
        <v>999</v>
      </c>
      <c r="AK33" t="str">
        <f ca="1">IFERROR(INDEX($A$20:$A$78,SMALL($AL$20:$AL$78,14)),"")</f>
        <v>射击</v>
      </c>
      <c r="AL33">
        <f ca="1">IF(AND($A33&lt;&gt;"",COUNTIF($A$20:A33,A33)=1,AND($A33&lt;&gt;"",$A33&lt;&gt;"非自然知识",COUNTIF($A$20:$A$78,$A33)&gt;0,OR($B$7="any",$B$7="fixed",AND($B$7="group",LEFT($A33,LEN($E$7)+1)=$E$7&amp;"（"),IFERROR(OR(ISNUMBER(FIND("|"&amp;$A33&amp;"|",$D$7)),AND(IFERROR(FIND("（",$A33),0)&gt;0,ISNUMBER(FIND("|"&amp;LEFT($A33,FIND("（",$A33)-1)&amp;"*|",$D$7)))),FALSE)))),ROW()-19,999)</f>
        <v>999</v>
      </c>
      <c r="AM33" t="str">
        <f ca="1">IFERROR(INDEX($A$20:$A$78,SMALL($AN$20:$AN$78,14)),"")</f>
        <v>射击</v>
      </c>
      <c r="AN33">
        <f ca="1">IF(AND($A33&lt;&gt;"",COUNTIF($A$20:A33,A33)=1,AND($A33&lt;&gt;"",$A33&lt;&gt;"非自然知识",COUNTIF($A$20:$A$78,$A33)&gt;0,OR($B$8="any",$B$8="fixed",AND($B$8="group",LEFT($A33,LEN($E$8)+1)=$E$8&amp;"（"),IFERROR(OR(ISNUMBER(FIND("|"&amp;$A33&amp;"|",$D$8)),AND(IFERROR(FIND("（",$A33),0)&gt;0,ISNUMBER(FIND("|"&amp;LEFT($A33,FIND("（",$A33)-1)&amp;"*|",$D$8)))),FALSE)))),ROW()-19,999)</f>
        <v>999</v>
      </c>
      <c r="AO33" t="str">
        <f ca="1">IFERROR(INDEX($A$20:$A$78,SMALL($AP$20:$AP$78,14)),"")</f>
        <v>射击</v>
      </c>
      <c r="AP33">
        <f ca="1">IF(AND($A33&lt;&gt;"",COUNTIF($A$20:A33,A33)=1,AND($A33&lt;&gt;"",$A33&lt;&gt;"非自然知识",COUNTIF($A$20:$A$78,$A33)&gt;0,OR($B$9="any",$B$9="fixed",AND($B$9="group",LEFT($A33,LEN($E$9)+1)=$E$9&amp;"（"),IFERROR(OR(ISNUMBER(FIND("|"&amp;$A33&amp;"|",$D$9)),AND(IFERROR(FIND("（",$A33),0)&gt;0,ISNUMBER(FIND("|"&amp;LEFT($A33,FIND("（",$A33)-1)&amp;"*|",$D$9)))),FALSE)))),ROW()-19,999)</f>
        <v>999</v>
      </c>
    </row>
    <row r="34" spans="1:42">
      <c r="A34" t="str">
        <f ca="1">IF(TRIM(人物卡!J28)="","","工艺（"&amp;TRIM(人物卡!J28)&amp;"）")</f>
        <v/>
      </c>
      <c r="B34" t="str">
        <f ca="1" t="shared" si="2"/>
        <v/>
      </c>
      <c r="C34">
        <f ca="1">IF(人物卡!V28="",N(人物卡!S28),N(人物卡!V28))</f>
        <v>0</v>
      </c>
      <c r="D34">
        <f ca="1">IF(AND(A34&lt;&gt;"",COUNTIF($A$20:A34,A34)=1),COUNTIF($H$2:$H$9,A34)*20,0)</f>
        <v>0</v>
      </c>
      <c r="E34">
        <f ca="1" t="shared" si="3"/>
        <v>0</v>
      </c>
      <c r="F34">
        <f ca="1">IF(AND(A34&lt;&gt;"",COUNTIF($A$20:A34,A34)=1),IF(A34="神秘学",IF(人物卡!$DF$46="人类不应知道之事",20,IF(OR(人物卡!$DF$46="极端暴力",人物卡!$DF$46="关押或入狱",人物卡!$DF$46="艰苦经历"),10,0)),0)+IF(人物卡!$DF$46="艰苦经历",COUNTIF($H$12:$H$16,A34)*10,0),0)</f>
        <v>0</v>
      </c>
      <c r="G34">
        <f ca="1">IF(人物卡!$DF$46="艰苦经历",MIN(F34,MAX(0,90-C34-E34)),MIN(F34,MAX(0,99-C34-E34)))</f>
        <v>0</v>
      </c>
      <c r="H34" t="str">
        <f ca="1" t="shared" si="4"/>
        <v/>
      </c>
      <c r="I34" t="str">
        <f ca="1" t="shared" si="5"/>
        <v/>
      </c>
      <c r="J34" t="s">
        <v>2276</v>
      </c>
      <c r="K34" t="s">
        <v>2277</v>
      </c>
      <c r="Y34">
        <f ca="1">IF(AND($A34&lt;&gt;"",COUNTIF($A$20:A34,A34)=1,$A34&lt;&gt;"非自然知识"),ROW()-19,999)</f>
        <v>999</v>
      </c>
      <c r="Z34" t="str">
        <f ca="1">IFERROR(INDEX($A$20:$A$78,SMALL($Y$20:$Y$78,15)),"")</f>
        <v>急救</v>
      </c>
      <c r="AA34" t="str">
        <f ca="1">IFERROR(INDEX($A$20:$A$78,SMALL($AB$20:$AB$78,15)),"")</f>
        <v>急救</v>
      </c>
      <c r="AB34">
        <f ca="1">IF(AND($A34&lt;&gt;"",COUNTIF($A$20:A34,A34)=1,AND($A34&lt;&gt;"",$A34&lt;&gt;"非自然知识",COUNTIF($A$20:$A$78,$A34)&gt;0,OR($B$2="any",$B$2="fixed",AND($B$2="group",LEFT($A34,LEN($E$2)+1)=$E$2&amp;"（"),IFERROR(OR(ISNUMBER(FIND("|"&amp;$A34&amp;"|",$D$2)),AND(IFERROR(FIND("（",$A34),0)&gt;0,ISNUMBER(FIND("|"&amp;LEFT($A34,FIND("（",$A34)-1)&amp;"*|",$D$2)))),FALSE)))),ROW()-19,999)</f>
        <v>999</v>
      </c>
      <c r="AC34" t="str">
        <f ca="1">IFERROR(INDEX($A$20:$A$78,SMALL($AD$20:$AD$78,15)),"")</f>
        <v>急救</v>
      </c>
      <c r="AD34">
        <f ca="1">IF(AND($A34&lt;&gt;"",COUNTIF($A$20:A34,A34)=1,AND($A34&lt;&gt;"",$A34&lt;&gt;"非自然知识",COUNTIF($A$20:$A$78,$A34)&gt;0,OR($B$3="any",$B$3="fixed",AND($B$3="group",LEFT($A34,LEN($E$3)+1)=$E$3&amp;"（"),IFERROR(OR(ISNUMBER(FIND("|"&amp;$A34&amp;"|",$D$3)),AND(IFERROR(FIND("（",$A34),0)&gt;0,ISNUMBER(FIND("|"&amp;LEFT($A34,FIND("（",$A34)-1)&amp;"*|",$D$3)))),FALSE)))),ROW()-19,999)</f>
        <v>999</v>
      </c>
      <c r="AE34" t="str">
        <f ca="1">IFERROR(INDEX($A$20:$A$78,SMALL($AF$20:$AF$78,15)),"")</f>
        <v>急救</v>
      </c>
      <c r="AF34">
        <f ca="1">IF(AND($A34&lt;&gt;"",COUNTIF($A$20:A34,A34)=1,AND($A34&lt;&gt;"",$A34&lt;&gt;"非自然知识",COUNTIF($A$20:$A$78,$A34)&gt;0,OR($B$4="any",$B$4="fixed",AND($B$4="group",LEFT($A34,LEN($E$4)+1)=$E$4&amp;"（"),IFERROR(OR(ISNUMBER(FIND("|"&amp;$A34&amp;"|",$D$4)),AND(IFERROR(FIND("（",$A34),0)&gt;0,ISNUMBER(FIND("|"&amp;LEFT($A34,FIND("（",$A34)-1)&amp;"*|",$D$4)))),FALSE)))),ROW()-19,999)</f>
        <v>999</v>
      </c>
      <c r="AG34" t="str">
        <f ca="1">IFERROR(INDEX($A$20:$A$78,SMALL($AH$20:$AH$78,15)),"")</f>
        <v>急救</v>
      </c>
      <c r="AH34">
        <f ca="1">IF(AND($A34&lt;&gt;"",COUNTIF($A$20:A34,A34)=1,AND($A34&lt;&gt;"",$A34&lt;&gt;"非自然知识",COUNTIF($A$20:$A$78,$A34)&gt;0,OR($B$5="any",$B$5="fixed",AND($B$5="group",LEFT($A34,LEN($E$5)+1)=$E$5&amp;"（"),IFERROR(OR(ISNUMBER(FIND("|"&amp;$A34&amp;"|",$D$5)),AND(IFERROR(FIND("（",$A34),0)&gt;0,ISNUMBER(FIND("|"&amp;LEFT($A34,FIND("（",$A34)-1)&amp;"*|",$D$5)))),FALSE)))),ROW()-19,999)</f>
        <v>999</v>
      </c>
      <c r="AI34" t="str">
        <f ca="1">IFERROR(INDEX($A$20:$A$78,SMALL($AJ$20:$AJ$78,15)),"")</f>
        <v>急救</v>
      </c>
      <c r="AJ34">
        <f ca="1">IF(AND($A34&lt;&gt;"",COUNTIF($A$20:A34,A34)=1,AND($A34&lt;&gt;"",$A34&lt;&gt;"非自然知识",COUNTIF($A$20:$A$78,$A34)&gt;0,OR($B$6="any",$B$6="fixed",AND($B$6="group",LEFT($A34,LEN($E$6)+1)=$E$6&amp;"（"),IFERROR(OR(ISNUMBER(FIND("|"&amp;$A34&amp;"|",$D$6)),AND(IFERROR(FIND("（",$A34),0)&gt;0,ISNUMBER(FIND("|"&amp;LEFT($A34,FIND("（",$A34)-1)&amp;"*|",$D$6)))),FALSE)))),ROW()-19,999)</f>
        <v>999</v>
      </c>
      <c r="AK34" t="str">
        <f ca="1">IFERROR(INDEX($A$20:$A$78,SMALL($AL$20:$AL$78,15)),"")</f>
        <v>急救</v>
      </c>
      <c r="AL34">
        <f ca="1">IF(AND($A34&lt;&gt;"",COUNTIF($A$20:A34,A34)=1,AND($A34&lt;&gt;"",$A34&lt;&gt;"非自然知识",COUNTIF($A$20:$A$78,$A34)&gt;0,OR($B$7="any",$B$7="fixed",AND($B$7="group",LEFT($A34,LEN($E$7)+1)=$E$7&amp;"（"),IFERROR(OR(ISNUMBER(FIND("|"&amp;$A34&amp;"|",$D$7)),AND(IFERROR(FIND("（",$A34),0)&gt;0,ISNUMBER(FIND("|"&amp;LEFT($A34,FIND("（",$A34)-1)&amp;"*|",$D$7)))),FALSE)))),ROW()-19,999)</f>
        <v>999</v>
      </c>
      <c r="AM34" t="str">
        <f ca="1">IFERROR(INDEX($A$20:$A$78,SMALL($AN$20:$AN$78,15)),"")</f>
        <v>急救</v>
      </c>
      <c r="AN34">
        <f ca="1">IF(AND($A34&lt;&gt;"",COUNTIF($A$20:A34,A34)=1,AND($A34&lt;&gt;"",$A34&lt;&gt;"非自然知识",COUNTIF($A$20:$A$78,$A34)&gt;0,OR($B$8="any",$B$8="fixed",AND($B$8="group",LEFT($A34,LEN($E$8)+1)=$E$8&amp;"（"),IFERROR(OR(ISNUMBER(FIND("|"&amp;$A34&amp;"|",$D$8)),AND(IFERROR(FIND("（",$A34),0)&gt;0,ISNUMBER(FIND("|"&amp;LEFT($A34,FIND("（",$A34)-1)&amp;"*|",$D$8)))),FALSE)))),ROW()-19,999)</f>
        <v>999</v>
      </c>
      <c r="AO34" t="str">
        <f ca="1">IFERROR(INDEX($A$20:$A$78,SMALL($AP$20:$AP$78,15)),"")</f>
        <v>急救</v>
      </c>
      <c r="AP34">
        <f ca="1">IF(AND($A34&lt;&gt;"",COUNTIF($A$20:A34,A34)=1,AND($A34&lt;&gt;"",$A34&lt;&gt;"非自然知识",COUNTIF($A$20:$A$78,$A34)&gt;0,OR($B$9="any",$B$9="fixed",AND($B$9="group",LEFT($A34,LEN($E$9)+1)=$E$9&amp;"（"),IFERROR(OR(ISNUMBER(FIND("|"&amp;$A34&amp;"|",$D$9)),AND(IFERROR(FIND("（",$A34),0)&gt;0,ISNUMBER(FIND("|"&amp;LEFT($A34,FIND("（",$A34)-1)&amp;"*|",$D$9)))),FALSE)))),ROW()-19,999)</f>
        <v>999</v>
      </c>
    </row>
    <row r="35" spans="1:42">
      <c r="A35" t="str">
        <f>人物卡!D29</f>
        <v>犯罪学</v>
      </c>
      <c r="B35" t="str">
        <f t="shared" si="2"/>
        <v/>
      </c>
      <c r="C35">
        <f ca="1">IF(人物卡!V29="",N(人物卡!S29),N(人物卡!V29))</f>
        <v>10</v>
      </c>
      <c r="D35">
        <f ca="1">IF(AND(A35&lt;&gt;"",COUNTIF($A$20:A35,A35)=1),COUNTIF($H$2:$H$9,A35)*20,0)</f>
        <v>0</v>
      </c>
      <c r="E35">
        <f ca="1" t="shared" si="3"/>
        <v>0</v>
      </c>
      <c r="F35">
        <f ca="1">IF(AND(A35&lt;&gt;"",COUNTIF($A$20:A35,A35)=1),IF(A35="神秘学",IF(人物卡!$DF$46="人类不应知道之事",20,IF(OR(人物卡!$DF$46="极端暴力",人物卡!$DF$46="关押或入狱",人物卡!$DF$46="艰苦经历"),10,0)),0)+IF(人物卡!$DF$46="艰苦经历",COUNTIF($H$12:$H$16,A35)*10,0),0)</f>
        <v>0</v>
      </c>
      <c r="G35">
        <f ca="1">IF(人物卡!$DF$46="艰苦经历",MIN(F35,MAX(0,90-C35-E35)),MIN(F35,MAX(0,99-C35-E35)))</f>
        <v>0</v>
      </c>
      <c r="H35" t="str">
        <f ca="1" t="shared" si="4"/>
        <v/>
      </c>
      <c r="I35" t="str">
        <f ca="1" t="shared" si="5"/>
        <v/>
      </c>
      <c r="J35" t="s">
        <v>2278</v>
      </c>
      <c r="K35" t="s">
        <v>2279</v>
      </c>
      <c r="Y35">
        <f ca="1">IF(AND($A35&lt;&gt;"",COUNTIF($A$20:A35,A35)=1,$A35&lt;&gt;"非自然知识"),ROW()-19,999)</f>
        <v>16</v>
      </c>
      <c r="Z35" t="str">
        <f ca="1">IFERROR(INDEX($A$20:$A$78,SMALL($Y$20:$Y$78,16)),"")</f>
        <v>法证学</v>
      </c>
      <c r="AA35" t="str">
        <f ca="1">IFERROR(INDEX($A$20:$A$78,SMALL($AB$20:$AB$78,16)),"")</f>
        <v>法证学</v>
      </c>
      <c r="AB35">
        <f ca="1">IF(AND($A35&lt;&gt;"",COUNTIF($A$20:A35,A35)=1,AND($A35&lt;&gt;"",$A35&lt;&gt;"非自然知识",COUNTIF($A$20:$A$78,$A35)&gt;0,OR($B$2="any",$B$2="fixed",AND($B$2="group",LEFT($A35,LEN($E$2)+1)=$E$2&amp;"（"),IFERROR(OR(ISNUMBER(FIND("|"&amp;$A35&amp;"|",$D$2)),AND(IFERROR(FIND("（",$A35),0)&gt;0,ISNUMBER(FIND("|"&amp;LEFT($A35,FIND("（",$A35)-1)&amp;"*|",$D$2)))),FALSE)))),ROW()-19,999)</f>
        <v>16</v>
      </c>
      <c r="AC35" t="str">
        <f ca="1">IFERROR(INDEX($A$20:$A$78,SMALL($AD$20:$AD$78,16)),"")</f>
        <v>法证学</v>
      </c>
      <c r="AD35">
        <f ca="1">IF(AND($A35&lt;&gt;"",COUNTIF($A$20:A35,A35)=1,AND($A35&lt;&gt;"",$A35&lt;&gt;"非自然知识",COUNTIF($A$20:$A$78,$A35)&gt;0,OR($B$3="any",$B$3="fixed",AND($B$3="group",LEFT($A35,LEN($E$3)+1)=$E$3&amp;"（"),IFERROR(OR(ISNUMBER(FIND("|"&amp;$A35&amp;"|",$D$3)),AND(IFERROR(FIND("（",$A35),0)&gt;0,ISNUMBER(FIND("|"&amp;LEFT($A35,FIND("（",$A35)-1)&amp;"*|",$D$3)))),FALSE)))),ROW()-19,999)</f>
        <v>16</v>
      </c>
      <c r="AE35" t="str">
        <f ca="1">IFERROR(INDEX($A$20:$A$78,SMALL($AF$20:$AF$78,16)),"")</f>
        <v>法证学</v>
      </c>
      <c r="AF35">
        <f ca="1">IF(AND($A35&lt;&gt;"",COUNTIF($A$20:A35,A35)=1,AND($A35&lt;&gt;"",$A35&lt;&gt;"非自然知识",COUNTIF($A$20:$A$78,$A35)&gt;0,OR($B$4="any",$B$4="fixed",AND($B$4="group",LEFT($A35,LEN($E$4)+1)=$E$4&amp;"（"),IFERROR(OR(ISNUMBER(FIND("|"&amp;$A35&amp;"|",$D$4)),AND(IFERROR(FIND("（",$A35),0)&gt;0,ISNUMBER(FIND("|"&amp;LEFT($A35,FIND("（",$A35)-1)&amp;"*|",$D$4)))),FALSE)))),ROW()-19,999)</f>
        <v>16</v>
      </c>
      <c r="AG35" t="str">
        <f ca="1">IFERROR(INDEX($A$20:$A$78,SMALL($AH$20:$AH$78,16)),"")</f>
        <v>法证学</v>
      </c>
      <c r="AH35">
        <f ca="1">IF(AND($A35&lt;&gt;"",COUNTIF($A$20:A35,A35)=1,AND($A35&lt;&gt;"",$A35&lt;&gt;"非自然知识",COUNTIF($A$20:$A$78,$A35)&gt;0,OR($B$5="any",$B$5="fixed",AND($B$5="group",LEFT($A35,LEN($E$5)+1)=$E$5&amp;"（"),IFERROR(OR(ISNUMBER(FIND("|"&amp;$A35&amp;"|",$D$5)),AND(IFERROR(FIND("（",$A35),0)&gt;0,ISNUMBER(FIND("|"&amp;LEFT($A35,FIND("（",$A35)-1)&amp;"*|",$D$5)))),FALSE)))),ROW()-19,999)</f>
        <v>16</v>
      </c>
      <c r="AI35" t="str">
        <f ca="1">IFERROR(INDEX($A$20:$A$78,SMALL($AJ$20:$AJ$78,16)),"")</f>
        <v>法证学</v>
      </c>
      <c r="AJ35">
        <f ca="1">IF(AND($A35&lt;&gt;"",COUNTIF($A$20:A35,A35)=1,AND($A35&lt;&gt;"",$A35&lt;&gt;"非自然知识",COUNTIF($A$20:$A$78,$A35)&gt;0,OR($B$6="any",$B$6="fixed",AND($B$6="group",LEFT($A35,LEN($E$6)+1)=$E$6&amp;"（"),IFERROR(OR(ISNUMBER(FIND("|"&amp;$A35&amp;"|",$D$6)),AND(IFERROR(FIND("（",$A35),0)&gt;0,ISNUMBER(FIND("|"&amp;LEFT($A35,FIND("（",$A35)-1)&amp;"*|",$D$6)))),FALSE)))),ROW()-19,999)</f>
        <v>16</v>
      </c>
      <c r="AK35" t="str">
        <f ca="1">IFERROR(INDEX($A$20:$A$78,SMALL($AL$20:$AL$78,16)),"")</f>
        <v>法证学</v>
      </c>
      <c r="AL35">
        <f ca="1">IF(AND($A35&lt;&gt;"",COUNTIF($A$20:A35,A35)=1,AND($A35&lt;&gt;"",$A35&lt;&gt;"非自然知识",COUNTIF($A$20:$A$78,$A35)&gt;0,OR($B$7="any",$B$7="fixed",AND($B$7="group",LEFT($A35,LEN($E$7)+1)=$E$7&amp;"（"),IFERROR(OR(ISNUMBER(FIND("|"&amp;$A35&amp;"|",$D$7)),AND(IFERROR(FIND("（",$A35),0)&gt;0,ISNUMBER(FIND("|"&amp;LEFT($A35,FIND("（",$A35)-1)&amp;"*|",$D$7)))),FALSE)))),ROW()-19,999)</f>
        <v>16</v>
      </c>
      <c r="AM35" t="str">
        <f ca="1">IFERROR(INDEX($A$20:$A$78,SMALL($AN$20:$AN$78,16)),"")</f>
        <v>法证学</v>
      </c>
      <c r="AN35">
        <f ca="1">IF(AND($A35&lt;&gt;"",COUNTIF($A$20:A35,A35)=1,AND($A35&lt;&gt;"",$A35&lt;&gt;"非自然知识",COUNTIF($A$20:$A$78,$A35)&gt;0,OR($B$8="any",$B$8="fixed",AND($B$8="group",LEFT($A35,LEN($E$8)+1)=$E$8&amp;"（"),IFERROR(OR(ISNUMBER(FIND("|"&amp;$A35&amp;"|",$D$8)),AND(IFERROR(FIND("（",$A35),0)&gt;0,ISNUMBER(FIND("|"&amp;LEFT($A35,FIND("（",$A35)-1)&amp;"*|",$D$8)))),FALSE)))),ROW()-19,999)</f>
        <v>16</v>
      </c>
      <c r="AO35" t="str">
        <f ca="1">IFERROR(INDEX($A$20:$A$78,SMALL($AP$20:$AP$78,16)),"")</f>
        <v>法证学</v>
      </c>
      <c r="AP35">
        <f ca="1">IF(AND($A35&lt;&gt;"",COUNTIF($A$20:A35,A35)=1,AND($A35&lt;&gt;"",$A35&lt;&gt;"非自然知识",COUNTIF($A$20:$A$78,$A35)&gt;0,OR($B$9="any",$B$9="fixed",AND($B$9="group",LEFT($A35,LEN($E$9)+1)=$E$9&amp;"（"),IFERROR(OR(ISNUMBER(FIND("|"&amp;$A35&amp;"|",$D$9)),AND(IFERROR(FIND("（",$A35),0)&gt;0,ISNUMBER(FIND("|"&amp;LEFT($A35,FIND("（",$A35)-1)&amp;"*|",$D$9)))),FALSE)))),ROW()-19,999)</f>
        <v>16</v>
      </c>
    </row>
    <row r="36" spans="1:42">
      <c r="A36" t="str">
        <f>人物卡!D30</f>
        <v>爆破</v>
      </c>
      <c r="B36" t="str">
        <f t="shared" si="2"/>
        <v/>
      </c>
      <c r="C36">
        <f ca="1">IF(人物卡!V30="",N(人物卡!S30),N(人物卡!V30))</f>
        <v>0</v>
      </c>
      <c r="D36">
        <f ca="1">IF(AND(A36&lt;&gt;"",COUNTIF($A$20:A36,A36)=1),COUNTIF($H$2:$H$9,A36)*20,0)</f>
        <v>0</v>
      </c>
      <c r="E36">
        <f ca="1" t="shared" si="3"/>
        <v>0</v>
      </c>
      <c r="F36">
        <f ca="1">IF(AND(A36&lt;&gt;"",COUNTIF($A$20:A36,A36)=1),IF(A36="神秘学",IF(人物卡!$DF$46="人类不应知道之事",20,IF(OR(人物卡!$DF$46="极端暴力",人物卡!$DF$46="关押或入狱",人物卡!$DF$46="艰苦经历"),10,0)),0)+IF(人物卡!$DF$46="艰苦经历",COUNTIF($H$12:$H$16,A36)*10,0),0)</f>
        <v>0</v>
      </c>
      <c r="G36">
        <f ca="1">IF(人物卡!$DF$46="艰苦经历",MIN(F36,MAX(0,90-C36-E36)),MIN(F36,MAX(0,99-C36-E36)))</f>
        <v>0</v>
      </c>
      <c r="H36" t="str">
        <f ca="1" t="shared" si="4"/>
        <v/>
      </c>
      <c r="I36" t="str">
        <f ca="1" t="shared" si="5"/>
        <v/>
      </c>
      <c r="J36" t="s">
        <v>1277</v>
      </c>
      <c r="K36" t="s">
        <v>1284</v>
      </c>
      <c r="Y36">
        <f ca="1">IF(AND($A36&lt;&gt;"",COUNTIF($A$20:A36,A36)=1,$A36&lt;&gt;"非自然知识"),ROW()-19,999)</f>
        <v>17</v>
      </c>
      <c r="Z36" t="str">
        <f ca="1">IFERROR(INDEX($A$20:$A$78,SMALL($Y$20:$Y$78,17)),"")</f>
        <v>重型机械</v>
      </c>
      <c r="AA36" t="str">
        <f ca="1">IFERROR(INDEX($A$20:$A$78,SMALL($AB$20:$AB$78,17)),"")</f>
        <v>重型机械</v>
      </c>
      <c r="AB36">
        <f ca="1">IF(AND($A36&lt;&gt;"",COUNTIF($A$20:A36,A36)=1,AND($A36&lt;&gt;"",$A36&lt;&gt;"非自然知识",COUNTIF($A$20:$A$78,$A36)&gt;0,OR($B$2="any",$B$2="fixed",AND($B$2="group",LEFT($A36,LEN($E$2)+1)=$E$2&amp;"（"),IFERROR(OR(ISNUMBER(FIND("|"&amp;$A36&amp;"|",$D$2)),AND(IFERROR(FIND("（",$A36),0)&gt;0,ISNUMBER(FIND("|"&amp;LEFT($A36,FIND("（",$A36)-1)&amp;"*|",$D$2)))),FALSE)))),ROW()-19,999)</f>
        <v>17</v>
      </c>
      <c r="AC36" t="str">
        <f ca="1">IFERROR(INDEX($A$20:$A$78,SMALL($AD$20:$AD$78,17)),"")</f>
        <v>重型机械</v>
      </c>
      <c r="AD36">
        <f ca="1">IF(AND($A36&lt;&gt;"",COUNTIF($A$20:A36,A36)=1,AND($A36&lt;&gt;"",$A36&lt;&gt;"非自然知识",COUNTIF($A$20:$A$78,$A36)&gt;0,OR($B$3="any",$B$3="fixed",AND($B$3="group",LEFT($A36,LEN($E$3)+1)=$E$3&amp;"（"),IFERROR(OR(ISNUMBER(FIND("|"&amp;$A36&amp;"|",$D$3)),AND(IFERROR(FIND("（",$A36),0)&gt;0,ISNUMBER(FIND("|"&amp;LEFT($A36,FIND("（",$A36)-1)&amp;"*|",$D$3)))),FALSE)))),ROW()-19,999)</f>
        <v>17</v>
      </c>
      <c r="AE36" t="str">
        <f ca="1">IFERROR(INDEX($A$20:$A$78,SMALL($AF$20:$AF$78,17)),"")</f>
        <v>重型机械</v>
      </c>
      <c r="AF36">
        <f ca="1">IF(AND($A36&lt;&gt;"",COUNTIF($A$20:A36,A36)=1,AND($A36&lt;&gt;"",$A36&lt;&gt;"非自然知识",COUNTIF($A$20:$A$78,$A36)&gt;0,OR($B$4="any",$B$4="fixed",AND($B$4="group",LEFT($A36,LEN($E$4)+1)=$E$4&amp;"（"),IFERROR(OR(ISNUMBER(FIND("|"&amp;$A36&amp;"|",$D$4)),AND(IFERROR(FIND("（",$A36),0)&gt;0,ISNUMBER(FIND("|"&amp;LEFT($A36,FIND("（",$A36)-1)&amp;"*|",$D$4)))),FALSE)))),ROW()-19,999)</f>
        <v>17</v>
      </c>
      <c r="AG36" t="str">
        <f ca="1">IFERROR(INDEX($A$20:$A$78,SMALL($AH$20:$AH$78,17)),"")</f>
        <v>重型机械</v>
      </c>
      <c r="AH36">
        <f ca="1">IF(AND($A36&lt;&gt;"",COUNTIF($A$20:A36,A36)=1,AND($A36&lt;&gt;"",$A36&lt;&gt;"非自然知识",COUNTIF($A$20:$A$78,$A36)&gt;0,OR($B$5="any",$B$5="fixed",AND($B$5="group",LEFT($A36,LEN($E$5)+1)=$E$5&amp;"（"),IFERROR(OR(ISNUMBER(FIND("|"&amp;$A36&amp;"|",$D$5)),AND(IFERROR(FIND("（",$A36),0)&gt;0,ISNUMBER(FIND("|"&amp;LEFT($A36,FIND("（",$A36)-1)&amp;"*|",$D$5)))),FALSE)))),ROW()-19,999)</f>
        <v>17</v>
      </c>
      <c r="AI36" t="str">
        <f ca="1">IFERROR(INDEX($A$20:$A$78,SMALL($AJ$20:$AJ$78,17)),"")</f>
        <v>重型机械</v>
      </c>
      <c r="AJ36">
        <f ca="1">IF(AND($A36&lt;&gt;"",COUNTIF($A$20:A36,A36)=1,AND($A36&lt;&gt;"",$A36&lt;&gt;"非自然知识",COUNTIF($A$20:$A$78,$A36)&gt;0,OR($B$6="any",$B$6="fixed",AND($B$6="group",LEFT($A36,LEN($E$6)+1)=$E$6&amp;"（"),IFERROR(OR(ISNUMBER(FIND("|"&amp;$A36&amp;"|",$D$6)),AND(IFERROR(FIND("（",$A36),0)&gt;0,ISNUMBER(FIND("|"&amp;LEFT($A36,FIND("（",$A36)-1)&amp;"*|",$D$6)))),FALSE)))),ROW()-19,999)</f>
        <v>17</v>
      </c>
      <c r="AK36" t="str">
        <f ca="1">IFERROR(INDEX($A$20:$A$78,SMALL($AL$20:$AL$78,17)),"")</f>
        <v>重型机械</v>
      </c>
      <c r="AL36">
        <f ca="1">IF(AND($A36&lt;&gt;"",COUNTIF($A$20:A36,A36)=1,AND($A36&lt;&gt;"",$A36&lt;&gt;"非自然知识",COUNTIF($A$20:$A$78,$A36)&gt;0,OR($B$7="any",$B$7="fixed",AND($B$7="group",LEFT($A36,LEN($E$7)+1)=$E$7&amp;"（"),IFERROR(OR(ISNUMBER(FIND("|"&amp;$A36&amp;"|",$D$7)),AND(IFERROR(FIND("（",$A36),0)&gt;0,ISNUMBER(FIND("|"&amp;LEFT($A36,FIND("（",$A36)-1)&amp;"*|",$D$7)))),FALSE)))),ROW()-19,999)</f>
        <v>17</v>
      </c>
      <c r="AM36" t="str">
        <f ca="1">IFERROR(INDEX($A$20:$A$78,SMALL($AN$20:$AN$78,17)),"")</f>
        <v>重型机械</v>
      </c>
      <c r="AN36">
        <f ca="1">IF(AND($A36&lt;&gt;"",COUNTIF($A$20:A36,A36)=1,AND($A36&lt;&gt;"",$A36&lt;&gt;"非自然知识",COUNTIF($A$20:$A$78,$A36)&gt;0,OR($B$8="any",$B$8="fixed",AND($B$8="group",LEFT($A36,LEN($E$8)+1)=$E$8&amp;"（"),IFERROR(OR(ISNUMBER(FIND("|"&amp;$A36&amp;"|",$D$8)),AND(IFERROR(FIND("（",$A36),0)&gt;0,ISNUMBER(FIND("|"&amp;LEFT($A36,FIND("（",$A36)-1)&amp;"*|",$D$8)))),FALSE)))),ROW()-19,999)</f>
        <v>17</v>
      </c>
      <c r="AO36" t="str">
        <f ca="1">IFERROR(INDEX($A$20:$A$78,SMALL($AP$20:$AP$78,17)),"")</f>
        <v>重型机械</v>
      </c>
      <c r="AP36">
        <f ca="1">IF(AND($A36&lt;&gt;"",COUNTIF($A$20:A36,A36)=1,AND($A36&lt;&gt;"",$A36&lt;&gt;"非自然知识",COUNTIF($A$20:$A$78,$A36)&gt;0,OR($B$9="any",$B$9="fixed",AND($B$9="group",LEFT($A36,LEN($E$9)+1)=$E$9&amp;"（"),IFERROR(OR(ISNUMBER(FIND("|"&amp;$A36&amp;"|",$D$9)),AND(IFERROR(FIND("（",$A36),0)&gt;0,ISNUMBER(FIND("|"&amp;LEFT($A36,FIND("（",$A36)-1)&amp;"*|",$D$9)))),FALSE)))),ROW()-19,999)</f>
        <v>17</v>
      </c>
    </row>
    <row r="37" spans="1:42">
      <c r="A37" t="str">
        <f>人物卡!D31</f>
        <v>乔装</v>
      </c>
      <c r="B37" t="str">
        <f t="shared" si="2"/>
        <v/>
      </c>
      <c r="C37">
        <f ca="1">IF(人物卡!V31="",N(人物卡!S31),N(人物卡!V31))</f>
        <v>10</v>
      </c>
      <c r="D37">
        <f ca="1">IF(AND(A37&lt;&gt;"",COUNTIF($A$20:A37,A37)=1),COUNTIF($H$2:$H$9,A37)*20,0)</f>
        <v>0</v>
      </c>
      <c r="E37">
        <f ca="1" t="shared" si="3"/>
        <v>0</v>
      </c>
      <c r="F37">
        <f ca="1">IF(AND(A37&lt;&gt;"",COUNTIF($A$20:A37,A37)=1),IF(A37="神秘学",IF(人物卡!$DF$46="人类不应知道之事",20,IF(OR(人物卡!$DF$46="极端暴力",人物卡!$DF$46="关押或入狱",人物卡!$DF$46="艰苦经历"),10,0)),0)+IF(人物卡!$DF$46="艰苦经历",COUNTIF($H$12:$H$16,A37)*10,0),0)</f>
        <v>0</v>
      </c>
      <c r="G37">
        <f ca="1">IF(人物卡!$DF$46="艰苦经历",MIN(F37,MAX(0,90-C37-E37)),MIN(F37,MAX(0,99-C37-E37)))</f>
        <v>0</v>
      </c>
      <c r="H37" t="str">
        <f ca="1" t="shared" si="4"/>
        <v/>
      </c>
      <c r="I37" t="str">
        <f ca="1" t="shared" si="5"/>
        <v/>
      </c>
      <c r="J37" t="s">
        <v>2280</v>
      </c>
      <c r="K37" t="s">
        <v>2281</v>
      </c>
      <c r="Y37">
        <f ca="1">IF(AND($A37&lt;&gt;"",COUNTIF($A$20:A37,A37)=1,$A37&lt;&gt;"非自然知识"),ROW()-19,999)</f>
        <v>18</v>
      </c>
      <c r="Z37" t="str">
        <f ca="1">IFERROR(INDEX($A$20:$A$78,SMALL($Y$20:$Y$78,18)),"")</f>
        <v>重型武器</v>
      </c>
      <c r="AA37" t="str">
        <f ca="1">IFERROR(INDEX($A$20:$A$78,SMALL($AB$20:$AB$78,18)),"")</f>
        <v>重型武器</v>
      </c>
      <c r="AB37">
        <f ca="1">IF(AND($A37&lt;&gt;"",COUNTIF($A$20:A37,A37)=1,AND($A37&lt;&gt;"",$A37&lt;&gt;"非自然知识",COUNTIF($A$20:$A$78,$A37)&gt;0,OR($B$2="any",$B$2="fixed",AND($B$2="group",LEFT($A37,LEN($E$2)+1)=$E$2&amp;"（"),IFERROR(OR(ISNUMBER(FIND("|"&amp;$A37&amp;"|",$D$2)),AND(IFERROR(FIND("（",$A37),0)&gt;0,ISNUMBER(FIND("|"&amp;LEFT($A37,FIND("（",$A37)-1)&amp;"*|",$D$2)))),FALSE)))),ROW()-19,999)</f>
        <v>18</v>
      </c>
      <c r="AC37" t="str">
        <f ca="1">IFERROR(INDEX($A$20:$A$78,SMALL($AD$20:$AD$78,18)),"")</f>
        <v>重型武器</v>
      </c>
      <c r="AD37">
        <f ca="1">IF(AND($A37&lt;&gt;"",COUNTIF($A$20:A37,A37)=1,AND($A37&lt;&gt;"",$A37&lt;&gt;"非自然知识",COUNTIF($A$20:$A$78,$A37)&gt;0,OR($B$3="any",$B$3="fixed",AND($B$3="group",LEFT($A37,LEN($E$3)+1)=$E$3&amp;"（"),IFERROR(OR(ISNUMBER(FIND("|"&amp;$A37&amp;"|",$D$3)),AND(IFERROR(FIND("（",$A37),0)&gt;0,ISNUMBER(FIND("|"&amp;LEFT($A37,FIND("（",$A37)-1)&amp;"*|",$D$3)))),FALSE)))),ROW()-19,999)</f>
        <v>18</v>
      </c>
      <c r="AE37" t="str">
        <f ca="1">IFERROR(INDEX($A$20:$A$78,SMALL($AF$20:$AF$78,18)),"")</f>
        <v>重型武器</v>
      </c>
      <c r="AF37">
        <f ca="1">IF(AND($A37&lt;&gt;"",COUNTIF($A$20:A37,A37)=1,AND($A37&lt;&gt;"",$A37&lt;&gt;"非自然知识",COUNTIF($A$20:$A$78,$A37)&gt;0,OR($B$4="any",$B$4="fixed",AND($B$4="group",LEFT($A37,LEN($E$4)+1)=$E$4&amp;"（"),IFERROR(OR(ISNUMBER(FIND("|"&amp;$A37&amp;"|",$D$4)),AND(IFERROR(FIND("（",$A37),0)&gt;0,ISNUMBER(FIND("|"&amp;LEFT($A37,FIND("（",$A37)-1)&amp;"*|",$D$4)))),FALSE)))),ROW()-19,999)</f>
        <v>18</v>
      </c>
      <c r="AG37" t="str">
        <f ca="1">IFERROR(INDEX($A$20:$A$78,SMALL($AH$20:$AH$78,18)),"")</f>
        <v>重型武器</v>
      </c>
      <c r="AH37">
        <f ca="1">IF(AND($A37&lt;&gt;"",COUNTIF($A$20:A37,A37)=1,AND($A37&lt;&gt;"",$A37&lt;&gt;"非自然知识",COUNTIF($A$20:$A$78,$A37)&gt;0,OR($B$5="any",$B$5="fixed",AND($B$5="group",LEFT($A37,LEN($E$5)+1)=$E$5&amp;"（"),IFERROR(OR(ISNUMBER(FIND("|"&amp;$A37&amp;"|",$D$5)),AND(IFERROR(FIND("（",$A37),0)&gt;0,ISNUMBER(FIND("|"&amp;LEFT($A37,FIND("（",$A37)-1)&amp;"*|",$D$5)))),FALSE)))),ROW()-19,999)</f>
        <v>18</v>
      </c>
      <c r="AI37" t="str">
        <f ca="1">IFERROR(INDEX($A$20:$A$78,SMALL($AJ$20:$AJ$78,18)),"")</f>
        <v>重型武器</v>
      </c>
      <c r="AJ37">
        <f ca="1">IF(AND($A37&lt;&gt;"",COUNTIF($A$20:A37,A37)=1,AND($A37&lt;&gt;"",$A37&lt;&gt;"非自然知识",COUNTIF($A$20:$A$78,$A37)&gt;0,OR($B$6="any",$B$6="fixed",AND($B$6="group",LEFT($A37,LEN($E$6)+1)=$E$6&amp;"（"),IFERROR(OR(ISNUMBER(FIND("|"&amp;$A37&amp;"|",$D$6)),AND(IFERROR(FIND("（",$A37),0)&gt;0,ISNUMBER(FIND("|"&amp;LEFT($A37,FIND("（",$A37)-1)&amp;"*|",$D$6)))),FALSE)))),ROW()-19,999)</f>
        <v>18</v>
      </c>
      <c r="AK37" t="str">
        <f ca="1">IFERROR(INDEX($A$20:$A$78,SMALL($AL$20:$AL$78,18)),"")</f>
        <v>重型武器</v>
      </c>
      <c r="AL37">
        <f ca="1">IF(AND($A37&lt;&gt;"",COUNTIF($A$20:A37,A37)=1,AND($A37&lt;&gt;"",$A37&lt;&gt;"非自然知识",COUNTIF($A$20:$A$78,$A37)&gt;0,OR($B$7="any",$B$7="fixed",AND($B$7="group",LEFT($A37,LEN($E$7)+1)=$E$7&amp;"（"),IFERROR(OR(ISNUMBER(FIND("|"&amp;$A37&amp;"|",$D$7)),AND(IFERROR(FIND("（",$A37),0)&gt;0,ISNUMBER(FIND("|"&amp;LEFT($A37,FIND("（",$A37)-1)&amp;"*|",$D$7)))),FALSE)))),ROW()-19,999)</f>
        <v>18</v>
      </c>
      <c r="AM37" t="str">
        <f ca="1">IFERROR(INDEX($A$20:$A$78,SMALL($AN$20:$AN$78,18)),"")</f>
        <v>重型武器</v>
      </c>
      <c r="AN37">
        <f ca="1">IF(AND($A37&lt;&gt;"",COUNTIF($A$20:A37,A37)=1,AND($A37&lt;&gt;"",$A37&lt;&gt;"非自然知识",COUNTIF($A$20:$A$78,$A37)&gt;0,OR($B$8="any",$B$8="fixed",AND($B$8="group",LEFT($A37,LEN($E$8)+1)=$E$8&amp;"（"),IFERROR(OR(ISNUMBER(FIND("|"&amp;$A37&amp;"|",$D$8)),AND(IFERROR(FIND("（",$A37),0)&gt;0,ISNUMBER(FIND("|"&amp;LEFT($A37,FIND("（",$A37)-1)&amp;"*|",$D$8)))),FALSE)))),ROW()-19,999)</f>
        <v>18</v>
      </c>
      <c r="AO37" t="str">
        <f ca="1">IFERROR(INDEX($A$20:$A$78,SMALL($AP$20:$AP$78,18)),"")</f>
        <v>重型武器</v>
      </c>
      <c r="AP37">
        <f ca="1">IF(AND($A37&lt;&gt;"",COUNTIF($A$20:A37,A37)=1,AND($A37&lt;&gt;"",$A37&lt;&gt;"非自然知识",COUNTIF($A$20:$A$78,$A37)&gt;0,OR($B$9="any",$B$9="fixed",AND($B$9="group",LEFT($A37,LEN($E$9)+1)=$E$9&amp;"（"),IFERROR(OR(ISNUMBER(FIND("|"&amp;$A37&amp;"|",$D$9)),AND(IFERROR(FIND("（",$A37),0)&gt;0,ISNUMBER(FIND("|"&amp;LEFT($A37,FIND("（",$A37)-1)&amp;"*|",$D$9)))),FALSE)))),ROW()-19,999)</f>
        <v>18</v>
      </c>
    </row>
    <row r="38" spans="1:42">
      <c r="A38" t="str">
        <f>人物卡!D32</f>
        <v>闪避</v>
      </c>
      <c r="B38" t="str">
        <f t="shared" si="2"/>
        <v/>
      </c>
      <c r="C38">
        <f ca="1">IF(人物卡!V32="",N(人物卡!S32),N(人物卡!V32))</f>
        <v>30</v>
      </c>
      <c r="D38">
        <f ca="1">IF(AND(A38&lt;&gt;"",COUNTIF($A$20:A38,A38)=1),COUNTIF($H$2:$H$9,A38)*20,0)</f>
        <v>0</v>
      </c>
      <c r="E38">
        <f ca="1" t="shared" si="3"/>
        <v>0</v>
      </c>
      <c r="F38">
        <f ca="1">IF(AND(A38&lt;&gt;"",COUNTIF($A$20:A38,A38)=1),IF(A38="神秘学",IF(人物卡!$DF$46="人类不应知道之事",20,IF(OR(人物卡!$DF$46="极端暴力",人物卡!$DF$46="关押或入狱",人物卡!$DF$46="艰苦经历"),10,0)),0)+IF(人物卡!$DF$46="艰苦经历",COUNTIF($H$12:$H$16,A38)*10,0),0)</f>
        <v>0</v>
      </c>
      <c r="G38">
        <f ca="1">IF(人物卡!$DF$46="艰苦经历",MIN(F38,MAX(0,90-C38-E38)),MIN(F38,MAX(0,99-C38-E38)))</f>
        <v>0</v>
      </c>
      <c r="H38" t="str">
        <f ca="1" t="shared" si="4"/>
        <v/>
      </c>
      <c r="I38" t="str">
        <f ca="1" t="shared" si="5"/>
        <v/>
      </c>
      <c r="J38" t="s">
        <v>2282</v>
      </c>
      <c r="K38" t="s">
        <v>2283</v>
      </c>
      <c r="Y38">
        <f ca="1">IF(AND($A38&lt;&gt;"",COUNTIF($A$20:A38,A38)=1,$A38&lt;&gt;"非自然知识"),ROW()-19,999)</f>
        <v>19</v>
      </c>
      <c r="Z38" t="str">
        <f ca="1">IFERROR(INDEX($A$20:$A$78,SMALL($Y$20:$Y$78,19)),"")</f>
        <v>历史</v>
      </c>
      <c r="AA38" t="str">
        <f ca="1">IFERROR(INDEX($A$20:$A$78,SMALL($AB$20:$AB$78,19)),"")</f>
        <v>历史</v>
      </c>
      <c r="AB38">
        <f ca="1">IF(AND($A38&lt;&gt;"",COUNTIF($A$20:A38,A38)=1,AND($A38&lt;&gt;"",$A38&lt;&gt;"非自然知识",COUNTIF($A$20:$A$78,$A38)&gt;0,OR($B$2="any",$B$2="fixed",AND($B$2="group",LEFT($A38,LEN($E$2)+1)=$E$2&amp;"（"),IFERROR(OR(ISNUMBER(FIND("|"&amp;$A38&amp;"|",$D$2)),AND(IFERROR(FIND("（",$A38),0)&gt;0,ISNUMBER(FIND("|"&amp;LEFT($A38,FIND("（",$A38)-1)&amp;"*|",$D$2)))),FALSE)))),ROW()-19,999)</f>
        <v>19</v>
      </c>
      <c r="AC38" t="str">
        <f ca="1">IFERROR(INDEX($A$20:$A$78,SMALL($AD$20:$AD$78,19)),"")</f>
        <v>历史</v>
      </c>
      <c r="AD38">
        <f ca="1">IF(AND($A38&lt;&gt;"",COUNTIF($A$20:A38,A38)=1,AND($A38&lt;&gt;"",$A38&lt;&gt;"非自然知识",COUNTIF($A$20:$A$78,$A38)&gt;0,OR($B$3="any",$B$3="fixed",AND($B$3="group",LEFT($A38,LEN($E$3)+1)=$E$3&amp;"（"),IFERROR(OR(ISNUMBER(FIND("|"&amp;$A38&amp;"|",$D$3)),AND(IFERROR(FIND("（",$A38),0)&gt;0,ISNUMBER(FIND("|"&amp;LEFT($A38,FIND("（",$A38)-1)&amp;"*|",$D$3)))),FALSE)))),ROW()-19,999)</f>
        <v>19</v>
      </c>
      <c r="AE38" t="str">
        <f ca="1">IFERROR(INDEX($A$20:$A$78,SMALL($AF$20:$AF$78,19)),"")</f>
        <v>历史</v>
      </c>
      <c r="AF38">
        <f ca="1">IF(AND($A38&lt;&gt;"",COUNTIF($A$20:A38,A38)=1,AND($A38&lt;&gt;"",$A38&lt;&gt;"非自然知识",COUNTIF($A$20:$A$78,$A38)&gt;0,OR($B$4="any",$B$4="fixed",AND($B$4="group",LEFT($A38,LEN($E$4)+1)=$E$4&amp;"（"),IFERROR(OR(ISNUMBER(FIND("|"&amp;$A38&amp;"|",$D$4)),AND(IFERROR(FIND("（",$A38),0)&gt;0,ISNUMBER(FIND("|"&amp;LEFT($A38,FIND("（",$A38)-1)&amp;"*|",$D$4)))),FALSE)))),ROW()-19,999)</f>
        <v>19</v>
      </c>
      <c r="AG38" t="str">
        <f ca="1">IFERROR(INDEX($A$20:$A$78,SMALL($AH$20:$AH$78,19)),"")</f>
        <v>历史</v>
      </c>
      <c r="AH38">
        <f ca="1">IF(AND($A38&lt;&gt;"",COUNTIF($A$20:A38,A38)=1,AND($A38&lt;&gt;"",$A38&lt;&gt;"非自然知识",COUNTIF($A$20:$A$78,$A38)&gt;0,OR($B$5="any",$B$5="fixed",AND($B$5="group",LEFT($A38,LEN($E$5)+1)=$E$5&amp;"（"),IFERROR(OR(ISNUMBER(FIND("|"&amp;$A38&amp;"|",$D$5)),AND(IFERROR(FIND("（",$A38),0)&gt;0,ISNUMBER(FIND("|"&amp;LEFT($A38,FIND("（",$A38)-1)&amp;"*|",$D$5)))),FALSE)))),ROW()-19,999)</f>
        <v>19</v>
      </c>
      <c r="AI38" t="str">
        <f ca="1">IFERROR(INDEX($A$20:$A$78,SMALL($AJ$20:$AJ$78,19)),"")</f>
        <v>历史</v>
      </c>
      <c r="AJ38">
        <f ca="1">IF(AND($A38&lt;&gt;"",COUNTIF($A$20:A38,A38)=1,AND($A38&lt;&gt;"",$A38&lt;&gt;"非自然知识",COUNTIF($A$20:$A$78,$A38)&gt;0,OR($B$6="any",$B$6="fixed",AND($B$6="group",LEFT($A38,LEN($E$6)+1)=$E$6&amp;"（"),IFERROR(OR(ISNUMBER(FIND("|"&amp;$A38&amp;"|",$D$6)),AND(IFERROR(FIND("（",$A38),0)&gt;0,ISNUMBER(FIND("|"&amp;LEFT($A38,FIND("（",$A38)-1)&amp;"*|",$D$6)))),FALSE)))),ROW()-19,999)</f>
        <v>19</v>
      </c>
      <c r="AK38" t="str">
        <f ca="1">IFERROR(INDEX($A$20:$A$78,SMALL($AL$20:$AL$78,19)),"")</f>
        <v>历史</v>
      </c>
      <c r="AL38">
        <f ca="1">IF(AND($A38&lt;&gt;"",COUNTIF($A$20:A38,A38)=1,AND($A38&lt;&gt;"",$A38&lt;&gt;"非自然知识",COUNTIF($A$20:$A$78,$A38)&gt;0,OR($B$7="any",$B$7="fixed",AND($B$7="group",LEFT($A38,LEN($E$7)+1)=$E$7&amp;"（"),IFERROR(OR(ISNUMBER(FIND("|"&amp;$A38&amp;"|",$D$7)),AND(IFERROR(FIND("（",$A38),0)&gt;0,ISNUMBER(FIND("|"&amp;LEFT($A38,FIND("（",$A38)-1)&amp;"*|",$D$7)))),FALSE)))),ROW()-19,999)</f>
        <v>19</v>
      </c>
      <c r="AM38" t="str">
        <f ca="1">IFERROR(INDEX($A$20:$A$78,SMALL($AN$20:$AN$78,19)),"")</f>
        <v>历史</v>
      </c>
      <c r="AN38">
        <f ca="1">IF(AND($A38&lt;&gt;"",COUNTIF($A$20:A38,A38)=1,AND($A38&lt;&gt;"",$A38&lt;&gt;"非自然知识",COUNTIF($A$20:$A$78,$A38)&gt;0,OR($B$8="any",$B$8="fixed",AND($B$8="group",LEFT($A38,LEN($E$8)+1)=$E$8&amp;"（"),IFERROR(OR(ISNUMBER(FIND("|"&amp;$A38&amp;"|",$D$8)),AND(IFERROR(FIND("（",$A38),0)&gt;0,ISNUMBER(FIND("|"&amp;LEFT($A38,FIND("（",$A38)-1)&amp;"*|",$D$8)))),FALSE)))),ROW()-19,999)</f>
        <v>19</v>
      </c>
      <c r="AO38" t="str">
        <f ca="1">IFERROR(INDEX($A$20:$A$78,SMALL($AP$20:$AP$78,19)),"")</f>
        <v>历史</v>
      </c>
      <c r="AP38">
        <f ca="1">IF(AND($A38&lt;&gt;"",COUNTIF($A$20:A38,A38)=1,AND($A38&lt;&gt;"",$A38&lt;&gt;"非自然知识",COUNTIF($A$20:$A$78,$A38)&gt;0,OR($B$9="any",$B$9="fixed",AND($B$9="group",LEFT($A38,LEN($E$9)+1)=$E$9&amp;"（"),IFERROR(OR(ISNUMBER(FIND("|"&amp;$A38&amp;"|",$D$9)),AND(IFERROR(FIND("（",$A38),0)&gt;0,ISNUMBER(FIND("|"&amp;LEFT($A38,FIND("（",$A38)-1)&amp;"*|",$D$9)))),FALSE)))),ROW()-19,999)</f>
        <v>19</v>
      </c>
    </row>
    <row r="39" spans="1:42">
      <c r="A39" t="str">
        <f>人物卡!D33</f>
        <v>机动车驾驶</v>
      </c>
      <c r="B39" t="str">
        <f t="shared" si="2"/>
        <v/>
      </c>
      <c r="C39">
        <f ca="1">IF(人物卡!V33="",N(人物卡!S33),N(人物卡!V33))</f>
        <v>20</v>
      </c>
      <c r="D39">
        <f ca="1">IF(AND(A39&lt;&gt;"",COUNTIF($A$20:A39,A39)=1),COUNTIF($H$2:$H$9,A39)*20,0)</f>
        <v>0</v>
      </c>
      <c r="E39">
        <f ca="1" t="shared" si="3"/>
        <v>0</v>
      </c>
      <c r="F39">
        <f ca="1">IF(AND(A39&lt;&gt;"",COUNTIF($A$20:A39,A39)=1),IF(A39="神秘学",IF(人物卡!$DF$46="人类不应知道之事",20,IF(OR(人物卡!$DF$46="极端暴力",人物卡!$DF$46="关押或入狱",人物卡!$DF$46="艰苦经历"),10,0)),0)+IF(人物卡!$DF$46="艰苦经历",COUNTIF($H$12:$H$16,A39)*10,0),0)</f>
        <v>0</v>
      </c>
      <c r="G39">
        <f ca="1">IF(人物卡!$DF$46="艰苦经历",MIN(F39,MAX(0,90-C39-E39)),MIN(F39,MAX(0,99-C39-E39)))</f>
        <v>0</v>
      </c>
      <c r="H39" t="str">
        <f ca="1" t="shared" si="4"/>
        <v/>
      </c>
      <c r="I39" t="str">
        <f ca="1" t="shared" si="5"/>
        <v/>
      </c>
      <c r="J39" t="s">
        <v>2284</v>
      </c>
      <c r="K39" t="s">
        <v>2285</v>
      </c>
      <c r="Y39">
        <f ca="1">IF(AND($A39&lt;&gt;"",COUNTIF($A$20:A39,A39)=1,$A39&lt;&gt;"非自然知识"),ROW()-19,999)</f>
        <v>20</v>
      </c>
      <c r="Z39" t="str">
        <f ca="1">IFERROR(INDEX($A$20:$A$78,SMALL($Y$20:$Y$78,20)),"")</f>
        <v>人源情报</v>
      </c>
      <c r="AA39" t="str">
        <f ca="1">IFERROR(INDEX($A$20:$A$78,SMALL($AB$20:$AB$78,20)),"")</f>
        <v>人源情报</v>
      </c>
      <c r="AB39">
        <f ca="1">IF(AND($A39&lt;&gt;"",COUNTIF($A$20:A39,A39)=1,AND($A39&lt;&gt;"",$A39&lt;&gt;"非自然知识",COUNTIF($A$20:$A$78,$A39)&gt;0,OR($B$2="any",$B$2="fixed",AND($B$2="group",LEFT($A39,LEN($E$2)+1)=$E$2&amp;"（"),IFERROR(OR(ISNUMBER(FIND("|"&amp;$A39&amp;"|",$D$2)),AND(IFERROR(FIND("（",$A39),0)&gt;0,ISNUMBER(FIND("|"&amp;LEFT($A39,FIND("（",$A39)-1)&amp;"*|",$D$2)))),FALSE)))),ROW()-19,999)</f>
        <v>20</v>
      </c>
      <c r="AC39" t="str">
        <f ca="1">IFERROR(INDEX($A$20:$A$78,SMALL($AD$20:$AD$78,20)),"")</f>
        <v>人源情报</v>
      </c>
      <c r="AD39">
        <f ca="1">IF(AND($A39&lt;&gt;"",COUNTIF($A$20:A39,A39)=1,AND($A39&lt;&gt;"",$A39&lt;&gt;"非自然知识",COUNTIF($A$20:$A$78,$A39)&gt;0,OR($B$3="any",$B$3="fixed",AND($B$3="group",LEFT($A39,LEN($E$3)+1)=$E$3&amp;"（"),IFERROR(OR(ISNUMBER(FIND("|"&amp;$A39&amp;"|",$D$3)),AND(IFERROR(FIND("（",$A39),0)&gt;0,ISNUMBER(FIND("|"&amp;LEFT($A39,FIND("（",$A39)-1)&amp;"*|",$D$3)))),FALSE)))),ROW()-19,999)</f>
        <v>20</v>
      </c>
      <c r="AE39" t="str">
        <f ca="1">IFERROR(INDEX($A$20:$A$78,SMALL($AF$20:$AF$78,20)),"")</f>
        <v>人源情报</v>
      </c>
      <c r="AF39">
        <f ca="1">IF(AND($A39&lt;&gt;"",COUNTIF($A$20:A39,A39)=1,AND($A39&lt;&gt;"",$A39&lt;&gt;"非自然知识",COUNTIF($A$20:$A$78,$A39)&gt;0,OR($B$4="any",$B$4="fixed",AND($B$4="group",LEFT($A39,LEN($E$4)+1)=$E$4&amp;"（"),IFERROR(OR(ISNUMBER(FIND("|"&amp;$A39&amp;"|",$D$4)),AND(IFERROR(FIND("（",$A39),0)&gt;0,ISNUMBER(FIND("|"&amp;LEFT($A39,FIND("（",$A39)-1)&amp;"*|",$D$4)))),FALSE)))),ROW()-19,999)</f>
        <v>20</v>
      </c>
      <c r="AG39" t="str">
        <f ca="1">IFERROR(INDEX($A$20:$A$78,SMALL($AH$20:$AH$78,20)),"")</f>
        <v>人源情报</v>
      </c>
      <c r="AH39">
        <f ca="1">IF(AND($A39&lt;&gt;"",COUNTIF($A$20:A39,A39)=1,AND($A39&lt;&gt;"",$A39&lt;&gt;"非自然知识",COUNTIF($A$20:$A$78,$A39)&gt;0,OR($B$5="any",$B$5="fixed",AND($B$5="group",LEFT($A39,LEN($E$5)+1)=$E$5&amp;"（"),IFERROR(OR(ISNUMBER(FIND("|"&amp;$A39&amp;"|",$D$5)),AND(IFERROR(FIND("（",$A39),0)&gt;0,ISNUMBER(FIND("|"&amp;LEFT($A39,FIND("（",$A39)-1)&amp;"*|",$D$5)))),FALSE)))),ROW()-19,999)</f>
        <v>20</v>
      </c>
      <c r="AI39" t="str">
        <f ca="1">IFERROR(INDEX($A$20:$A$78,SMALL($AJ$20:$AJ$78,20)),"")</f>
        <v>人源情报</v>
      </c>
      <c r="AJ39">
        <f ca="1">IF(AND($A39&lt;&gt;"",COUNTIF($A$20:A39,A39)=1,AND($A39&lt;&gt;"",$A39&lt;&gt;"非自然知识",COUNTIF($A$20:$A$78,$A39)&gt;0,OR($B$6="any",$B$6="fixed",AND($B$6="group",LEFT($A39,LEN($E$6)+1)=$E$6&amp;"（"),IFERROR(OR(ISNUMBER(FIND("|"&amp;$A39&amp;"|",$D$6)),AND(IFERROR(FIND("（",$A39),0)&gt;0,ISNUMBER(FIND("|"&amp;LEFT($A39,FIND("（",$A39)-1)&amp;"*|",$D$6)))),FALSE)))),ROW()-19,999)</f>
        <v>20</v>
      </c>
      <c r="AK39" t="str">
        <f ca="1">IFERROR(INDEX($A$20:$A$78,SMALL($AL$20:$AL$78,20)),"")</f>
        <v>人源情报</v>
      </c>
      <c r="AL39">
        <f ca="1">IF(AND($A39&lt;&gt;"",COUNTIF($A$20:A39,A39)=1,AND($A39&lt;&gt;"",$A39&lt;&gt;"非自然知识",COUNTIF($A$20:$A$78,$A39)&gt;0,OR($B$7="any",$B$7="fixed",AND($B$7="group",LEFT($A39,LEN($E$7)+1)=$E$7&amp;"（"),IFERROR(OR(ISNUMBER(FIND("|"&amp;$A39&amp;"|",$D$7)),AND(IFERROR(FIND("（",$A39),0)&gt;0,ISNUMBER(FIND("|"&amp;LEFT($A39,FIND("（",$A39)-1)&amp;"*|",$D$7)))),FALSE)))),ROW()-19,999)</f>
        <v>20</v>
      </c>
      <c r="AM39" t="str">
        <f ca="1">IFERROR(INDEX($A$20:$A$78,SMALL($AN$20:$AN$78,20)),"")</f>
        <v>人源情报</v>
      </c>
      <c r="AN39">
        <f ca="1">IF(AND($A39&lt;&gt;"",COUNTIF($A$20:A39,A39)=1,AND($A39&lt;&gt;"",$A39&lt;&gt;"非自然知识",COUNTIF($A$20:$A$78,$A39)&gt;0,OR($B$8="any",$B$8="fixed",AND($B$8="group",LEFT($A39,LEN($E$8)+1)=$E$8&amp;"（"),IFERROR(OR(ISNUMBER(FIND("|"&amp;$A39&amp;"|",$D$8)),AND(IFERROR(FIND("（",$A39),0)&gt;0,ISNUMBER(FIND("|"&amp;LEFT($A39,FIND("（",$A39)-1)&amp;"*|",$D$8)))),FALSE)))),ROW()-19,999)</f>
        <v>20</v>
      </c>
      <c r="AO39" t="str">
        <f ca="1">IFERROR(INDEX($A$20:$A$78,SMALL($AP$20:$AP$78,20)),"")</f>
        <v>人源情报</v>
      </c>
      <c r="AP39">
        <f ca="1">IF(AND($A39&lt;&gt;"",COUNTIF($A$20:A39,A39)=1,AND($A39&lt;&gt;"",$A39&lt;&gt;"非自然知识",COUNTIF($A$20:$A$78,$A39)&gt;0,OR($B$9="any",$B$9="fixed",AND($B$9="group",LEFT($A39,LEN($E$9)+1)=$E$9&amp;"（"),IFERROR(OR(ISNUMBER(FIND("|"&amp;$A39&amp;"|",$D$9)),AND(IFERROR(FIND("（",$A39),0)&gt;0,ISNUMBER(FIND("|"&amp;LEFT($A39,FIND("（",$A39)-1)&amp;"*|",$D$9)))),FALSE)))),ROW()-19,999)</f>
        <v>20</v>
      </c>
    </row>
    <row r="40" spans="1:42">
      <c r="A40" t="str">
        <f>人物卡!D34</f>
        <v>射击</v>
      </c>
      <c r="B40" t="str">
        <f t="shared" si="2"/>
        <v/>
      </c>
      <c r="C40">
        <f ca="1">IF(人物卡!V34="",N(人物卡!S34),N(人物卡!V34))</f>
        <v>20</v>
      </c>
      <c r="D40">
        <f ca="1">IF(AND(A40&lt;&gt;"",COUNTIF($A$20:A40,A40)=1),COUNTIF($H$2:$H$9,A40)*20,0)</f>
        <v>0</v>
      </c>
      <c r="E40">
        <f ca="1" t="shared" si="3"/>
        <v>0</v>
      </c>
      <c r="F40">
        <f ca="1">IF(AND(A40&lt;&gt;"",COUNTIF($A$20:A40,A40)=1),IF(A40="神秘学",IF(人物卡!$DF$46="人类不应知道之事",20,IF(OR(人物卡!$DF$46="极端暴力",人物卡!$DF$46="关押或入狱",人物卡!$DF$46="艰苦经历"),10,0)),0)+IF(人物卡!$DF$46="艰苦经历",COUNTIF($H$12:$H$16,A40)*10,0),0)</f>
        <v>0</v>
      </c>
      <c r="G40">
        <f ca="1">IF(人物卡!$DF$46="艰苦经历",MIN(F40,MAX(0,90-C40-E40)),MIN(F40,MAX(0,99-C40-E40)))</f>
        <v>0</v>
      </c>
      <c r="H40" t="str">
        <f ca="1" t="shared" si="4"/>
        <v/>
      </c>
      <c r="I40" t="str">
        <f ca="1" t="shared" si="5"/>
        <v/>
      </c>
      <c r="J40" t="s">
        <v>1303</v>
      </c>
      <c r="K40" t="s">
        <v>1310</v>
      </c>
      <c r="Y40">
        <f ca="1">IF(AND($A40&lt;&gt;"",COUNTIF($A$20:A40,A40)=1,$A40&lt;&gt;"非自然知识"),ROW()-19,999)</f>
        <v>21</v>
      </c>
      <c r="Z40" t="str">
        <f ca="1">IFERROR(INDEX($A$20:$A$78,SMALL($Y$20:$Y$78,21)),"")</f>
        <v>法律</v>
      </c>
      <c r="AA40" t="str">
        <f ca="1">IFERROR(INDEX($A$20:$A$78,SMALL($AB$20:$AB$78,21)),"")</f>
        <v>法律</v>
      </c>
      <c r="AB40">
        <f ca="1">IF(AND($A40&lt;&gt;"",COUNTIF($A$20:A40,A40)=1,AND($A40&lt;&gt;"",$A40&lt;&gt;"非自然知识",COUNTIF($A$20:$A$78,$A40)&gt;0,OR($B$2="any",$B$2="fixed",AND($B$2="group",LEFT($A40,LEN($E$2)+1)=$E$2&amp;"（"),IFERROR(OR(ISNUMBER(FIND("|"&amp;$A40&amp;"|",$D$2)),AND(IFERROR(FIND("（",$A40),0)&gt;0,ISNUMBER(FIND("|"&amp;LEFT($A40,FIND("（",$A40)-1)&amp;"*|",$D$2)))),FALSE)))),ROW()-19,999)</f>
        <v>21</v>
      </c>
      <c r="AC40" t="str">
        <f ca="1">IFERROR(INDEX($A$20:$A$78,SMALL($AD$20:$AD$78,21)),"")</f>
        <v>法律</v>
      </c>
      <c r="AD40">
        <f ca="1">IF(AND($A40&lt;&gt;"",COUNTIF($A$20:A40,A40)=1,AND($A40&lt;&gt;"",$A40&lt;&gt;"非自然知识",COUNTIF($A$20:$A$78,$A40)&gt;0,OR($B$3="any",$B$3="fixed",AND($B$3="group",LEFT($A40,LEN($E$3)+1)=$E$3&amp;"（"),IFERROR(OR(ISNUMBER(FIND("|"&amp;$A40&amp;"|",$D$3)),AND(IFERROR(FIND("（",$A40),0)&gt;0,ISNUMBER(FIND("|"&amp;LEFT($A40,FIND("（",$A40)-1)&amp;"*|",$D$3)))),FALSE)))),ROW()-19,999)</f>
        <v>21</v>
      </c>
      <c r="AE40" t="str">
        <f ca="1">IFERROR(INDEX($A$20:$A$78,SMALL($AF$20:$AF$78,21)),"")</f>
        <v>法律</v>
      </c>
      <c r="AF40">
        <f ca="1">IF(AND($A40&lt;&gt;"",COUNTIF($A$20:A40,A40)=1,AND($A40&lt;&gt;"",$A40&lt;&gt;"非自然知识",COUNTIF($A$20:$A$78,$A40)&gt;0,OR($B$4="any",$B$4="fixed",AND($B$4="group",LEFT($A40,LEN($E$4)+1)=$E$4&amp;"（"),IFERROR(OR(ISNUMBER(FIND("|"&amp;$A40&amp;"|",$D$4)),AND(IFERROR(FIND("（",$A40),0)&gt;0,ISNUMBER(FIND("|"&amp;LEFT($A40,FIND("（",$A40)-1)&amp;"*|",$D$4)))),FALSE)))),ROW()-19,999)</f>
        <v>21</v>
      </c>
      <c r="AG40" t="str">
        <f ca="1">IFERROR(INDEX($A$20:$A$78,SMALL($AH$20:$AH$78,21)),"")</f>
        <v>法律</v>
      </c>
      <c r="AH40">
        <f ca="1">IF(AND($A40&lt;&gt;"",COUNTIF($A$20:A40,A40)=1,AND($A40&lt;&gt;"",$A40&lt;&gt;"非自然知识",COUNTIF($A$20:$A$78,$A40)&gt;0,OR($B$5="any",$B$5="fixed",AND($B$5="group",LEFT($A40,LEN($E$5)+1)=$E$5&amp;"（"),IFERROR(OR(ISNUMBER(FIND("|"&amp;$A40&amp;"|",$D$5)),AND(IFERROR(FIND("（",$A40),0)&gt;0,ISNUMBER(FIND("|"&amp;LEFT($A40,FIND("（",$A40)-1)&amp;"*|",$D$5)))),FALSE)))),ROW()-19,999)</f>
        <v>21</v>
      </c>
      <c r="AI40" t="str">
        <f ca="1">IFERROR(INDEX($A$20:$A$78,SMALL($AJ$20:$AJ$78,21)),"")</f>
        <v>法律</v>
      </c>
      <c r="AJ40">
        <f ca="1">IF(AND($A40&lt;&gt;"",COUNTIF($A$20:A40,A40)=1,AND($A40&lt;&gt;"",$A40&lt;&gt;"非自然知识",COUNTIF($A$20:$A$78,$A40)&gt;0,OR($B$6="any",$B$6="fixed",AND($B$6="group",LEFT($A40,LEN($E$6)+1)=$E$6&amp;"（"),IFERROR(OR(ISNUMBER(FIND("|"&amp;$A40&amp;"|",$D$6)),AND(IFERROR(FIND("（",$A40),0)&gt;0,ISNUMBER(FIND("|"&amp;LEFT($A40,FIND("（",$A40)-1)&amp;"*|",$D$6)))),FALSE)))),ROW()-19,999)</f>
        <v>21</v>
      </c>
      <c r="AK40" t="str">
        <f ca="1">IFERROR(INDEX($A$20:$A$78,SMALL($AL$20:$AL$78,21)),"")</f>
        <v>法律</v>
      </c>
      <c r="AL40">
        <f ca="1">IF(AND($A40&lt;&gt;"",COUNTIF($A$20:A40,A40)=1,AND($A40&lt;&gt;"",$A40&lt;&gt;"非自然知识",COUNTIF($A$20:$A$78,$A40)&gt;0,OR($B$7="any",$B$7="fixed",AND($B$7="group",LEFT($A40,LEN($E$7)+1)=$E$7&amp;"（"),IFERROR(OR(ISNUMBER(FIND("|"&amp;$A40&amp;"|",$D$7)),AND(IFERROR(FIND("（",$A40),0)&gt;0,ISNUMBER(FIND("|"&amp;LEFT($A40,FIND("（",$A40)-1)&amp;"*|",$D$7)))),FALSE)))),ROW()-19,999)</f>
        <v>21</v>
      </c>
      <c r="AM40" t="str">
        <f ca="1">IFERROR(INDEX($A$20:$A$78,SMALL($AN$20:$AN$78,21)),"")</f>
        <v>法律</v>
      </c>
      <c r="AN40">
        <f ca="1">IF(AND($A40&lt;&gt;"",COUNTIF($A$20:A40,A40)=1,AND($A40&lt;&gt;"",$A40&lt;&gt;"非自然知识",COUNTIF($A$20:$A$78,$A40)&gt;0,OR($B$8="any",$B$8="fixed",AND($B$8="group",LEFT($A40,LEN($E$8)+1)=$E$8&amp;"（"),IFERROR(OR(ISNUMBER(FIND("|"&amp;$A40&amp;"|",$D$8)),AND(IFERROR(FIND("（",$A40),0)&gt;0,ISNUMBER(FIND("|"&amp;LEFT($A40,FIND("（",$A40)-1)&amp;"*|",$D$8)))),FALSE)))),ROW()-19,999)</f>
        <v>21</v>
      </c>
      <c r="AO40" t="str">
        <f ca="1">IFERROR(INDEX($A$20:$A$78,SMALL($AP$20:$AP$78,21)),"")</f>
        <v>法律</v>
      </c>
      <c r="AP40">
        <f ca="1">IF(AND($A40&lt;&gt;"",COUNTIF($A$20:A40,A40)=1,AND($A40&lt;&gt;"",$A40&lt;&gt;"非自然知识",COUNTIF($A$20:$A$78,$A40)&gt;0,OR($B$9="any",$B$9="fixed",AND($B$9="group",LEFT($A40,LEN($E$9)+1)=$E$9&amp;"（"),IFERROR(OR(ISNUMBER(FIND("|"&amp;$A40&amp;"|",$D$9)),AND(IFERROR(FIND("（",$A40),0)&gt;0,ISNUMBER(FIND("|"&amp;LEFT($A40,FIND("（",$A40)-1)&amp;"*|",$D$9)))),FALSE)))),ROW()-19,999)</f>
        <v>21</v>
      </c>
    </row>
    <row r="41" spans="1:42">
      <c r="A41" t="str">
        <f>人物卡!D35</f>
        <v>急救</v>
      </c>
      <c r="B41" t="str">
        <f t="shared" si="2"/>
        <v/>
      </c>
      <c r="C41">
        <f ca="1">IF(人物卡!V35="",N(人物卡!S35),N(人物卡!V35))</f>
        <v>10</v>
      </c>
      <c r="D41">
        <f ca="1">IF(AND(A41&lt;&gt;"",COUNTIF($A$20:A41,A41)=1),COUNTIF($H$2:$H$9,A41)*20,0)</f>
        <v>0</v>
      </c>
      <c r="E41">
        <f ca="1" t="shared" si="3"/>
        <v>0</v>
      </c>
      <c r="F41">
        <f ca="1">IF(AND(A41&lt;&gt;"",COUNTIF($A$20:A41,A41)=1),IF(A41="神秘学",IF(人物卡!$DF$46="人类不应知道之事",20,IF(OR(人物卡!$DF$46="极端暴力",人物卡!$DF$46="关押或入狱",人物卡!$DF$46="艰苦经历"),10,0)),0)+IF(人物卡!$DF$46="艰苦经历",COUNTIF($H$12:$H$16,A41)*10,0),0)</f>
        <v>0</v>
      </c>
      <c r="G41">
        <f ca="1">IF(人物卡!$DF$46="艰苦经历",MIN(F41,MAX(0,90-C41-E41)),MIN(F41,MAX(0,99-C41-E41)))</f>
        <v>0</v>
      </c>
      <c r="H41" t="str">
        <f ca="1" t="shared" si="4"/>
        <v/>
      </c>
      <c r="I41" t="str">
        <f ca="1" t="shared" si="5"/>
        <v/>
      </c>
      <c r="J41" t="s">
        <v>2286</v>
      </c>
      <c r="K41" t="s">
        <v>2287</v>
      </c>
      <c r="Y41">
        <f ca="1">IF(AND($A41&lt;&gt;"",COUNTIF($A$20:A41,A41)=1,$A41&lt;&gt;"非自然知识"),ROW()-19,999)</f>
        <v>22</v>
      </c>
      <c r="Z41" t="str">
        <f ca="1">IFERROR(INDEX($A$20:$A$78,SMALL($Y$20:$Y$78,22)),"")</f>
        <v>医学</v>
      </c>
      <c r="AA41" t="str">
        <f ca="1">IFERROR(INDEX($A$20:$A$78,SMALL($AB$20:$AB$78,22)),"")</f>
        <v>医学</v>
      </c>
      <c r="AB41">
        <f ca="1">IF(AND($A41&lt;&gt;"",COUNTIF($A$20:A41,A41)=1,AND($A41&lt;&gt;"",$A41&lt;&gt;"非自然知识",COUNTIF($A$20:$A$78,$A41)&gt;0,OR($B$2="any",$B$2="fixed",AND($B$2="group",LEFT($A41,LEN($E$2)+1)=$E$2&amp;"（"),IFERROR(OR(ISNUMBER(FIND("|"&amp;$A41&amp;"|",$D$2)),AND(IFERROR(FIND("（",$A41),0)&gt;0,ISNUMBER(FIND("|"&amp;LEFT($A41,FIND("（",$A41)-1)&amp;"*|",$D$2)))),FALSE)))),ROW()-19,999)</f>
        <v>22</v>
      </c>
      <c r="AC41" t="str">
        <f ca="1">IFERROR(INDEX($A$20:$A$78,SMALL($AD$20:$AD$78,22)),"")</f>
        <v>医学</v>
      </c>
      <c r="AD41">
        <f ca="1">IF(AND($A41&lt;&gt;"",COUNTIF($A$20:A41,A41)=1,AND($A41&lt;&gt;"",$A41&lt;&gt;"非自然知识",COUNTIF($A$20:$A$78,$A41)&gt;0,OR($B$3="any",$B$3="fixed",AND($B$3="group",LEFT($A41,LEN($E$3)+1)=$E$3&amp;"（"),IFERROR(OR(ISNUMBER(FIND("|"&amp;$A41&amp;"|",$D$3)),AND(IFERROR(FIND("（",$A41),0)&gt;0,ISNUMBER(FIND("|"&amp;LEFT($A41,FIND("（",$A41)-1)&amp;"*|",$D$3)))),FALSE)))),ROW()-19,999)</f>
        <v>22</v>
      </c>
      <c r="AE41" t="str">
        <f ca="1">IFERROR(INDEX($A$20:$A$78,SMALL($AF$20:$AF$78,22)),"")</f>
        <v>医学</v>
      </c>
      <c r="AF41">
        <f ca="1">IF(AND($A41&lt;&gt;"",COUNTIF($A$20:A41,A41)=1,AND($A41&lt;&gt;"",$A41&lt;&gt;"非自然知识",COUNTIF($A$20:$A$78,$A41)&gt;0,OR($B$4="any",$B$4="fixed",AND($B$4="group",LEFT($A41,LEN($E$4)+1)=$E$4&amp;"（"),IFERROR(OR(ISNUMBER(FIND("|"&amp;$A41&amp;"|",$D$4)),AND(IFERROR(FIND("（",$A41),0)&gt;0,ISNUMBER(FIND("|"&amp;LEFT($A41,FIND("（",$A41)-1)&amp;"*|",$D$4)))),FALSE)))),ROW()-19,999)</f>
        <v>22</v>
      </c>
      <c r="AG41" t="str">
        <f ca="1">IFERROR(INDEX($A$20:$A$78,SMALL($AH$20:$AH$78,22)),"")</f>
        <v>医学</v>
      </c>
      <c r="AH41">
        <f ca="1">IF(AND($A41&lt;&gt;"",COUNTIF($A$20:A41,A41)=1,AND($A41&lt;&gt;"",$A41&lt;&gt;"非自然知识",COUNTIF($A$20:$A$78,$A41)&gt;0,OR($B$5="any",$B$5="fixed",AND($B$5="group",LEFT($A41,LEN($E$5)+1)=$E$5&amp;"（"),IFERROR(OR(ISNUMBER(FIND("|"&amp;$A41&amp;"|",$D$5)),AND(IFERROR(FIND("（",$A41),0)&gt;0,ISNUMBER(FIND("|"&amp;LEFT($A41,FIND("（",$A41)-1)&amp;"*|",$D$5)))),FALSE)))),ROW()-19,999)</f>
        <v>22</v>
      </c>
      <c r="AI41" t="str">
        <f ca="1">IFERROR(INDEX($A$20:$A$78,SMALL($AJ$20:$AJ$78,22)),"")</f>
        <v>医学</v>
      </c>
      <c r="AJ41">
        <f ca="1">IF(AND($A41&lt;&gt;"",COUNTIF($A$20:A41,A41)=1,AND($A41&lt;&gt;"",$A41&lt;&gt;"非自然知识",COUNTIF($A$20:$A$78,$A41)&gt;0,OR($B$6="any",$B$6="fixed",AND($B$6="group",LEFT($A41,LEN($E$6)+1)=$E$6&amp;"（"),IFERROR(OR(ISNUMBER(FIND("|"&amp;$A41&amp;"|",$D$6)),AND(IFERROR(FIND("（",$A41),0)&gt;0,ISNUMBER(FIND("|"&amp;LEFT($A41,FIND("（",$A41)-1)&amp;"*|",$D$6)))),FALSE)))),ROW()-19,999)</f>
        <v>22</v>
      </c>
      <c r="AK41" t="str">
        <f ca="1">IFERROR(INDEX($A$20:$A$78,SMALL($AL$20:$AL$78,22)),"")</f>
        <v>医学</v>
      </c>
      <c r="AL41">
        <f ca="1">IF(AND($A41&lt;&gt;"",COUNTIF($A$20:A41,A41)=1,AND($A41&lt;&gt;"",$A41&lt;&gt;"非自然知识",COUNTIF($A$20:$A$78,$A41)&gt;0,OR($B$7="any",$B$7="fixed",AND($B$7="group",LEFT($A41,LEN($E$7)+1)=$E$7&amp;"（"),IFERROR(OR(ISNUMBER(FIND("|"&amp;$A41&amp;"|",$D$7)),AND(IFERROR(FIND("（",$A41),0)&gt;0,ISNUMBER(FIND("|"&amp;LEFT($A41,FIND("（",$A41)-1)&amp;"*|",$D$7)))),FALSE)))),ROW()-19,999)</f>
        <v>22</v>
      </c>
      <c r="AM41" t="str">
        <f ca="1">IFERROR(INDEX($A$20:$A$78,SMALL($AN$20:$AN$78,22)),"")</f>
        <v>医学</v>
      </c>
      <c r="AN41">
        <f ca="1">IF(AND($A41&lt;&gt;"",COUNTIF($A$20:A41,A41)=1,AND($A41&lt;&gt;"",$A41&lt;&gt;"非自然知识",COUNTIF($A$20:$A$78,$A41)&gt;0,OR($B$8="any",$B$8="fixed",AND($B$8="group",LEFT($A41,LEN($E$8)+1)=$E$8&amp;"（"),IFERROR(OR(ISNUMBER(FIND("|"&amp;$A41&amp;"|",$D$8)),AND(IFERROR(FIND("（",$A41),0)&gt;0,ISNUMBER(FIND("|"&amp;LEFT($A41,FIND("（",$A41)-1)&amp;"*|",$D$8)))),FALSE)))),ROW()-19,999)</f>
        <v>22</v>
      </c>
      <c r="AO41" t="str">
        <f ca="1">IFERROR(INDEX($A$20:$A$78,SMALL($AP$20:$AP$78,22)),"")</f>
        <v>医学</v>
      </c>
      <c r="AP41">
        <f ca="1">IF(AND($A41&lt;&gt;"",COUNTIF($A$20:A41,A41)=1,AND($A41&lt;&gt;"",$A41&lt;&gt;"非自然知识",COUNTIF($A$20:$A$78,$A41)&gt;0,OR($B$9="any",$B$9="fixed",AND($B$9="group",LEFT($A41,LEN($E$9)+1)=$E$9&amp;"（"),IFERROR(OR(ISNUMBER(FIND("|"&amp;$A41&amp;"|",$D$9)),AND(IFERROR(FIND("（",$A41),0)&gt;0,ISNUMBER(FIND("|"&amp;LEFT($A41,FIND("（",$A41)-1)&amp;"*|",$D$9)))),FALSE)))),ROW()-19,999)</f>
        <v>22</v>
      </c>
    </row>
    <row r="42" spans="1:42">
      <c r="A42" t="str">
        <f>IF(TRIM(人物卡!J36)="","","外语（"&amp;TRIM(人物卡!J36)&amp;"）")</f>
        <v/>
      </c>
      <c r="B42" t="str">
        <f t="shared" si="2"/>
        <v/>
      </c>
      <c r="C42">
        <f ca="1">IF(人物卡!V36="",N(人物卡!S36),N(人物卡!V36))</f>
        <v>0</v>
      </c>
      <c r="D42">
        <f ca="1">IF(AND(A42&lt;&gt;"",COUNTIF($A$20:A42,A42)=1),COUNTIF($H$2:$H$9,A42)*20,0)</f>
        <v>0</v>
      </c>
      <c r="E42">
        <f ca="1" t="shared" si="3"/>
        <v>0</v>
      </c>
      <c r="F42">
        <f ca="1">IF(AND(A42&lt;&gt;"",COUNTIF($A$20:A42,A42)=1),IF(A42="神秘学",IF(人物卡!$DF$46="人类不应知道之事",20,IF(OR(人物卡!$DF$46="极端暴力",人物卡!$DF$46="关押或入狱",人物卡!$DF$46="艰苦经历"),10,0)),0)+IF(人物卡!$DF$46="艰苦经历",COUNTIF($H$12:$H$16,A42)*10,0),0)</f>
        <v>0</v>
      </c>
      <c r="G42">
        <f ca="1">IF(人物卡!$DF$46="艰苦经历",MIN(F42,MAX(0,90-C42-E42)),MIN(F42,MAX(0,99-C42-E42)))</f>
        <v>0</v>
      </c>
      <c r="H42" t="str">
        <f ca="1" t="shared" si="4"/>
        <v/>
      </c>
      <c r="I42" t="str">
        <f ca="1" t="shared" si="5"/>
        <v/>
      </c>
      <c r="J42" t="s">
        <v>2288</v>
      </c>
      <c r="K42" t="s">
        <v>2289</v>
      </c>
      <c r="Y42">
        <f ca="1">IF(AND($A42&lt;&gt;"",COUNTIF($A$20:A42,A42)=1,$A42&lt;&gt;"非自然知识"),ROW()-19,999)</f>
        <v>999</v>
      </c>
      <c r="Z42" t="str">
        <f ca="1">IFERROR(INDEX($A$20:$A$78,SMALL($Y$20:$Y$78,23)),"")</f>
        <v>近战武器</v>
      </c>
      <c r="AA42" t="str">
        <f ca="1">IFERROR(INDEX($A$20:$A$78,SMALL($AB$20:$AB$78,23)),"")</f>
        <v>近战武器</v>
      </c>
      <c r="AB42">
        <f ca="1">IF(AND($A42&lt;&gt;"",COUNTIF($A$20:A42,A42)=1,AND($A42&lt;&gt;"",$A42&lt;&gt;"非自然知识",COUNTIF($A$20:$A$78,$A42)&gt;0,OR($B$2="any",$B$2="fixed",AND($B$2="group",LEFT($A42,LEN($E$2)+1)=$E$2&amp;"（"),IFERROR(OR(ISNUMBER(FIND("|"&amp;$A42&amp;"|",$D$2)),AND(IFERROR(FIND("（",$A42),0)&gt;0,ISNUMBER(FIND("|"&amp;LEFT($A42,FIND("（",$A42)-1)&amp;"*|",$D$2)))),FALSE)))),ROW()-19,999)</f>
        <v>999</v>
      </c>
      <c r="AC42" t="str">
        <f ca="1">IFERROR(INDEX($A$20:$A$78,SMALL($AD$20:$AD$78,23)),"")</f>
        <v>近战武器</v>
      </c>
      <c r="AD42">
        <f ca="1">IF(AND($A42&lt;&gt;"",COUNTIF($A$20:A42,A42)=1,AND($A42&lt;&gt;"",$A42&lt;&gt;"非自然知识",COUNTIF($A$20:$A$78,$A42)&gt;0,OR($B$3="any",$B$3="fixed",AND($B$3="group",LEFT($A42,LEN($E$3)+1)=$E$3&amp;"（"),IFERROR(OR(ISNUMBER(FIND("|"&amp;$A42&amp;"|",$D$3)),AND(IFERROR(FIND("（",$A42),0)&gt;0,ISNUMBER(FIND("|"&amp;LEFT($A42,FIND("（",$A42)-1)&amp;"*|",$D$3)))),FALSE)))),ROW()-19,999)</f>
        <v>999</v>
      </c>
      <c r="AE42" t="str">
        <f ca="1">IFERROR(INDEX($A$20:$A$78,SMALL($AF$20:$AF$78,23)),"")</f>
        <v>近战武器</v>
      </c>
      <c r="AF42">
        <f ca="1">IF(AND($A42&lt;&gt;"",COUNTIF($A$20:A42,A42)=1,AND($A42&lt;&gt;"",$A42&lt;&gt;"非自然知识",COUNTIF($A$20:$A$78,$A42)&gt;0,OR($B$4="any",$B$4="fixed",AND($B$4="group",LEFT($A42,LEN($E$4)+1)=$E$4&amp;"（"),IFERROR(OR(ISNUMBER(FIND("|"&amp;$A42&amp;"|",$D$4)),AND(IFERROR(FIND("（",$A42),0)&gt;0,ISNUMBER(FIND("|"&amp;LEFT($A42,FIND("（",$A42)-1)&amp;"*|",$D$4)))),FALSE)))),ROW()-19,999)</f>
        <v>999</v>
      </c>
      <c r="AG42" t="str">
        <f ca="1">IFERROR(INDEX($A$20:$A$78,SMALL($AH$20:$AH$78,23)),"")</f>
        <v>近战武器</v>
      </c>
      <c r="AH42">
        <f ca="1">IF(AND($A42&lt;&gt;"",COUNTIF($A$20:A42,A42)=1,AND($A42&lt;&gt;"",$A42&lt;&gt;"非自然知识",COUNTIF($A$20:$A$78,$A42)&gt;0,OR($B$5="any",$B$5="fixed",AND($B$5="group",LEFT($A42,LEN($E$5)+1)=$E$5&amp;"（"),IFERROR(OR(ISNUMBER(FIND("|"&amp;$A42&amp;"|",$D$5)),AND(IFERROR(FIND("（",$A42),0)&gt;0,ISNUMBER(FIND("|"&amp;LEFT($A42,FIND("（",$A42)-1)&amp;"*|",$D$5)))),FALSE)))),ROW()-19,999)</f>
        <v>999</v>
      </c>
      <c r="AI42" t="str">
        <f ca="1">IFERROR(INDEX($A$20:$A$78,SMALL($AJ$20:$AJ$78,23)),"")</f>
        <v>近战武器</v>
      </c>
      <c r="AJ42">
        <f ca="1">IF(AND($A42&lt;&gt;"",COUNTIF($A$20:A42,A42)=1,AND($A42&lt;&gt;"",$A42&lt;&gt;"非自然知识",COUNTIF($A$20:$A$78,$A42)&gt;0,OR($B$6="any",$B$6="fixed",AND($B$6="group",LEFT($A42,LEN($E$6)+1)=$E$6&amp;"（"),IFERROR(OR(ISNUMBER(FIND("|"&amp;$A42&amp;"|",$D$6)),AND(IFERROR(FIND("（",$A42),0)&gt;0,ISNUMBER(FIND("|"&amp;LEFT($A42,FIND("（",$A42)-1)&amp;"*|",$D$6)))),FALSE)))),ROW()-19,999)</f>
        <v>999</v>
      </c>
      <c r="AK42" t="str">
        <f ca="1">IFERROR(INDEX($A$20:$A$78,SMALL($AL$20:$AL$78,23)),"")</f>
        <v>近战武器</v>
      </c>
      <c r="AL42">
        <f ca="1">IF(AND($A42&lt;&gt;"",COUNTIF($A$20:A42,A42)=1,AND($A42&lt;&gt;"",$A42&lt;&gt;"非自然知识",COUNTIF($A$20:$A$78,$A42)&gt;0,OR($B$7="any",$B$7="fixed",AND($B$7="group",LEFT($A42,LEN($E$7)+1)=$E$7&amp;"（"),IFERROR(OR(ISNUMBER(FIND("|"&amp;$A42&amp;"|",$D$7)),AND(IFERROR(FIND("（",$A42),0)&gt;0,ISNUMBER(FIND("|"&amp;LEFT($A42,FIND("（",$A42)-1)&amp;"*|",$D$7)))),FALSE)))),ROW()-19,999)</f>
        <v>999</v>
      </c>
      <c r="AM42" t="str">
        <f ca="1">IFERROR(INDEX($A$20:$A$78,SMALL($AN$20:$AN$78,23)),"")</f>
        <v>近战武器</v>
      </c>
      <c r="AN42">
        <f ca="1">IF(AND($A42&lt;&gt;"",COUNTIF($A$20:A42,A42)=1,AND($A42&lt;&gt;"",$A42&lt;&gt;"非自然知识",COUNTIF($A$20:$A$78,$A42)&gt;0,OR($B$8="any",$B$8="fixed",AND($B$8="group",LEFT($A42,LEN($E$8)+1)=$E$8&amp;"（"),IFERROR(OR(ISNUMBER(FIND("|"&amp;$A42&amp;"|",$D$8)),AND(IFERROR(FIND("（",$A42),0)&gt;0,ISNUMBER(FIND("|"&amp;LEFT($A42,FIND("（",$A42)-1)&amp;"*|",$D$8)))),FALSE)))),ROW()-19,999)</f>
        <v>999</v>
      </c>
      <c r="AO42" t="str">
        <f ca="1">IFERROR(INDEX($A$20:$A$78,SMALL($AP$20:$AP$78,23)),"")</f>
        <v>近战武器</v>
      </c>
      <c r="AP42">
        <f ca="1">IF(AND($A42&lt;&gt;"",COUNTIF($A$20:A42,A42)=1,AND($A42&lt;&gt;"",$A42&lt;&gt;"非自然知识",COUNTIF($A$20:$A$78,$A42)&gt;0,OR($B$9="any",$B$9="fixed",AND($B$9="group",LEFT($A42,LEN($E$9)+1)=$E$9&amp;"（"),IFERROR(OR(ISNUMBER(FIND("|"&amp;$A42&amp;"|",$D$9)),AND(IFERROR(FIND("（",$A42),0)&gt;0,ISNUMBER(FIND("|"&amp;LEFT($A42,FIND("（",$A42)-1)&amp;"*|",$D$9)))),FALSE)))),ROW()-19,999)</f>
        <v>999</v>
      </c>
    </row>
    <row r="43" spans="1:42">
      <c r="A43" t="str">
        <f>IF(TRIM(人物卡!J37)="","","外语（"&amp;TRIM(人物卡!J37)&amp;"）")</f>
        <v/>
      </c>
      <c r="B43" t="str">
        <f t="shared" si="2"/>
        <v/>
      </c>
      <c r="C43">
        <f ca="1">IF(人物卡!V37="",N(人物卡!S37),N(人物卡!V37))</f>
        <v>0</v>
      </c>
      <c r="D43">
        <f ca="1">IF(AND(A43&lt;&gt;"",COUNTIF($A$20:A43,A43)=1),COUNTIF($H$2:$H$9,A43)*20,0)</f>
        <v>0</v>
      </c>
      <c r="E43">
        <f ca="1" t="shared" si="3"/>
        <v>0</v>
      </c>
      <c r="F43">
        <f ca="1">IF(AND(A43&lt;&gt;"",COUNTIF($A$20:A43,A43)=1),IF(A43="神秘学",IF(人物卡!$DF$46="人类不应知道之事",20,IF(OR(人物卡!$DF$46="极端暴力",人物卡!$DF$46="关押或入狱",人物卡!$DF$46="艰苦经历"),10,0)),0)+IF(人物卡!$DF$46="艰苦经历",COUNTIF($H$12:$H$16,A43)*10,0),0)</f>
        <v>0</v>
      </c>
      <c r="G43">
        <f ca="1">IF(人物卡!$DF$46="艰苦经历",MIN(F43,MAX(0,90-C43-E43)),MIN(F43,MAX(0,99-C43-E43)))</f>
        <v>0</v>
      </c>
      <c r="H43" t="str">
        <f ca="1" t="shared" si="4"/>
        <v/>
      </c>
      <c r="I43" t="str">
        <f ca="1" t="shared" si="5"/>
        <v/>
      </c>
      <c r="J43" t="s">
        <v>1328</v>
      </c>
      <c r="K43" t="s">
        <v>1335</v>
      </c>
      <c r="Y43">
        <f ca="1">IF(AND($A43&lt;&gt;"",COUNTIF($A$20:A43,A43)=1,$A43&lt;&gt;"非自然知识"),ROW()-19,999)</f>
        <v>999</v>
      </c>
      <c r="Z43" t="str">
        <f ca="1">IFERROR(INDEX($A$20:$A$78,SMALL($Y$20:$Y$78,24)),"")</f>
        <v>导航</v>
      </c>
      <c r="AA43" t="str">
        <f ca="1">IFERROR(INDEX($A$20:$A$78,SMALL($AB$20:$AB$78,24)),"")</f>
        <v>导航</v>
      </c>
      <c r="AB43">
        <f ca="1">IF(AND($A43&lt;&gt;"",COUNTIF($A$20:A43,A43)=1,AND($A43&lt;&gt;"",$A43&lt;&gt;"非自然知识",COUNTIF($A$20:$A$78,$A43)&gt;0,OR($B$2="any",$B$2="fixed",AND($B$2="group",LEFT($A43,LEN($E$2)+1)=$E$2&amp;"（"),IFERROR(OR(ISNUMBER(FIND("|"&amp;$A43&amp;"|",$D$2)),AND(IFERROR(FIND("（",$A43),0)&gt;0,ISNUMBER(FIND("|"&amp;LEFT($A43,FIND("（",$A43)-1)&amp;"*|",$D$2)))),FALSE)))),ROW()-19,999)</f>
        <v>999</v>
      </c>
      <c r="AC43" t="str">
        <f ca="1">IFERROR(INDEX($A$20:$A$78,SMALL($AD$20:$AD$78,24)),"")</f>
        <v>导航</v>
      </c>
      <c r="AD43">
        <f ca="1">IF(AND($A43&lt;&gt;"",COUNTIF($A$20:A43,A43)=1,AND($A43&lt;&gt;"",$A43&lt;&gt;"非自然知识",COUNTIF($A$20:$A$78,$A43)&gt;0,OR($B$3="any",$B$3="fixed",AND($B$3="group",LEFT($A43,LEN($E$3)+1)=$E$3&amp;"（"),IFERROR(OR(ISNUMBER(FIND("|"&amp;$A43&amp;"|",$D$3)),AND(IFERROR(FIND("（",$A43),0)&gt;0,ISNUMBER(FIND("|"&amp;LEFT($A43,FIND("（",$A43)-1)&amp;"*|",$D$3)))),FALSE)))),ROW()-19,999)</f>
        <v>999</v>
      </c>
      <c r="AE43" t="str">
        <f ca="1">IFERROR(INDEX($A$20:$A$78,SMALL($AF$20:$AF$78,24)),"")</f>
        <v>导航</v>
      </c>
      <c r="AF43">
        <f ca="1">IF(AND($A43&lt;&gt;"",COUNTIF($A$20:A43,A43)=1,AND($A43&lt;&gt;"",$A43&lt;&gt;"非自然知识",COUNTIF($A$20:$A$78,$A43)&gt;0,OR($B$4="any",$B$4="fixed",AND($B$4="group",LEFT($A43,LEN($E$4)+1)=$E$4&amp;"（"),IFERROR(OR(ISNUMBER(FIND("|"&amp;$A43&amp;"|",$D$4)),AND(IFERROR(FIND("（",$A43),0)&gt;0,ISNUMBER(FIND("|"&amp;LEFT($A43,FIND("（",$A43)-1)&amp;"*|",$D$4)))),FALSE)))),ROW()-19,999)</f>
        <v>999</v>
      </c>
      <c r="AG43" t="str">
        <f ca="1">IFERROR(INDEX($A$20:$A$78,SMALL($AH$20:$AH$78,24)),"")</f>
        <v>导航</v>
      </c>
      <c r="AH43">
        <f ca="1">IF(AND($A43&lt;&gt;"",COUNTIF($A$20:A43,A43)=1,AND($A43&lt;&gt;"",$A43&lt;&gt;"非自然知识",COUNTIF($A$20:$A$78,$A43)&gt;0,OR($B$5="any",$B$5="fixed",AND($B$5="group",LEFT($A43,LEN($E$5)+1)=$E$5&amp;"（"),IFERROR(OR(ISNUMBER(FIND("|"&amp;$A43&amp;"|",$D$5)),AND(IFERROR(FIND("（",$A43),0)&gt;0,ISNUMBER(FIND("|"&amp;LEFT($A43,FIND("（",$A43)-1)&amp;"*|",$D$5)))),FALSE)))),ROW()-19,999)</f>
        <v>999</v>
      </c>
      <c r="AI43" t="str">
        <f ca="1">IFERROR(INDEX($A$20:$A$78,SMALL($AJ$20:$AJ$78,24)),"")</f>
        <v>导航</v>
      </c>
      <c r="AJ43">
        <f ca="1">IF(AND($A43&lt;&gt;"",COUNTIF($A$20:A43,A43)=1,AND($A43&lt;&gt;"",$A43&lt;&gt;"非自然知识",COUNTIF($A$20:$A$78,$A43)&gt;0,OR($B$6="any",$B$6="fixed",AND($B$6="group",LEFT($A43,LEN($E$6)+1)=$E$6&amp;"（"),IFERROR(OR(ISNUMBER(FIND("|"&amp;$A43&amp;"|",$D$6)),AND(IFERROR(FIND("（",$A43),0)&gt;0,ISNUMBER(FIND("|"&amp;LEFT($A43,FIND("（",$A43)-1)&amp;"*|",$D$6)))),FALSE)))),ROW()-19,999)</f>
        <v>999</v>
      </c>
      <c r="AK43" t="str">
        <f ca="1">IFERROR(INDEX($A$20:$A$78,SMALL($AL$20:$AL$78,24)),"")</f>
        <v>导航</v>
      </c>
      <c r="AL43">
        <f ca="1">IF(AND($A43&lt;&gt;"",COUNTIF($A$20:A43,A43)=1,AND($A43&lt;&gt;"",$A43&lt;&gt;"非自然知识",COUNTIF($A$20:$A$78,$A43)&gt;0,OR($B$7="any",$B$7="fixed",AND($B$7="group",LEFT($A43,LEN($E$7)+1)=$E$7&amp;"（"),IFERROR(OR(ISNUMBER(FIND("|"&amp;$A43&amp;"|",$D$7)),AND(IFERROR(FIND("（",$A43),0)&gt;0,ISNUMBER(FIND("|"&amp;LEFT($A43,FIND("（",$A43)-1)&amp;"*|",$D$7)))),FALSE)))),ROW()-19,999)</f>
        <v>999</v>
      </c>
      <c r="AM43" t="str">
        <f ca="1">IFERROR(INDEX($A$20:$A$78,SMALL($AN$20:$AN$78,24)),"")</f>
        <v>导航</v>
      </c>
      <c r="AN43">
        <f ca="1">IF(AND($A43&lt;&gt;"",COUNTIF($A$20:A43,A43)=1,AND($A43&lt;&gt;"",$A43&lt;&gt;"非自然知识",COUNTIF($A$20:$A$78,$A43)&gt;0,OR($B$8="any",$B$8="fixed",AND($B$8="group",LEFT($A43,LEN($E$8)+1)=$E$8&amp;"（"),IFERROR(OR(ISNUMBER(FIND("|"&amp;$A43&amp;"|",$D$8)),AND(IFERROR(FIND("（",$A43),0)&gt;0,ISNUMBER(FIND("|"&amp;LEFT($A43,FIND("（",$A43)-1)&amp;"*|",$D$8)))),FALSE)))),ROW()-19,999)</f>
        <v>999</v>
      </c>
      <c r="AO43" t="str">
        <f ca="1">IFERROR(INDEX($A$20:$A$78,SMALL($AP$20:$AP$78,24)),"")</f>
        <v>导航</v>
      </c>
      <c r="AP43">
        <f ca="1">IF(AND($A43&lt;&gt;"",COUNTIF($A$20:A43,A43)=1,AND($A43&lt;&gt;"",$A43&lt;&gt;"非自然知识",COUNTIF($A$20:$A$78,$A43)&gt;0,OR($B$9="any",$B$9="fixed",AND($B$9="group",LEFT($A43,LEN($E$9)+1)=$E$9&amp;"（"),IFERROR(OR(ISNUMBER(FIND("|"&amp;$A43&amp;"|",$D$9)),AND(IFERROR(FIND("（",$A43),0)&gt;0,ISNUMBER(FIND("|"&amp;LEFT($A43,FIND("（",$A43)-1)&amp;"*|",$D$9)))),FALSE)))),ROW()-19,999)</f>
        <v>999</v>
      </c>
    </row>
    <row r="44" spans="1:42">
      <c r="A44" t="str">
        <f ca="1">IF(TRIM(人物卡!J38)="","","外语（"&amp;TRIM(人物卡!J38)&amp;"）")</f>
        <v/>
      </c>
      <c r="B44" t="str">
        <f ca="1" t="shared" si="2"/>
        <v/>
      </c>
      <c r="C44">
        <f ca="1">IF(人物卡!V38="",N(人物卡!S38),N(人物卡!V38))</f>
        <v>0</v>
      </c>
      <c r="D44">
        <f ca="1">IF(AND(A44&lt;&gt;"",COUNTIF($A$20:A44,A44)=1),COUNTIF($H$2:$H$9,A44)*20,0)</f>
        <v>0</v>
      </c>
      <c r="E44">
        <f ca="1" t="shared" si="3"/>
        <v>0</v>
      </c>
      <c r="F44">
        <f ca="1">IF(AND(A44&lt;&gt;"",COUNTIF($A$20:A44,A44)=1),IF(A44="神秘学",IF(人物卡!$DF$46="人类不应知道之事",20,IF(OR(人物卡!$DF$46="极端暴力",人物卡!$DF$46="关押或入狱",人物卡!$DF$46="艰苦经历"),10,0)),0)+IF(人物卡!$DF$46="艰苦经历",COUNTIF($H$12:$H$16,A44)*10,0),0)</f>
        <v>0</v>
      </c>
      <c r="G44">
        <f ca="1">IF(人物卡!$DF$46="艰苦经历",MIN(F44,MAX(0,90-C44-E44)),MIN(F44,MAX(0,99-C44-E44)))</f>
        <v>0</v>
      </c>
      <c r="H44" t="str">
        <f ca="1" t="shared" si="4"/>
        <v/>
      </c>
      <c r="I44" t="str">
        <f ca="1" t="shared" si="5"/>
        <v/>
      </c>
      <c r="J44" t="s">
        <v>2290</v>
      </c>
      <c r="K44" t="s">
        <v>2291</v>
      </c>
      <c r="Y44">
        <f ca="1">IF(AND($A44&lt;&gt;"",COUNTIF($A$20:A44,A44)=1,$A44&lt;&gt;"非自然知识"),ROW()-19,999)</f>
        <v>999</v>
      </c>
      <c r="Z44" t="str">
        <f ca="1">IFERROR(INDEX($A$20:$A$78,SMALL($Y$20:$Y$78,25)),"")</f>
        <v>神秘学</v>
      </c>
      <c r="AA44" t="str">
        <f ca="1">IFERROR(INDEX($A$20:$A$78,SMALL($AB$20:$AB$78,25)),"")</f>
        <v>神秘学</v>
      </c>
      <c r="AB44">
        <f ca="1">IF(AND($A44&lt;&gt;"",COUNTIF($A$20:A44,A44)=1,AND($A44&lt;&gt;"",$A44&lt;&gt;"非自然知识",COUNTIF($A$20:$A$78,$A44)&gt;0,OR($B$2="any",$B$2="fixed",AND($B$2="group",LEFT($A44,LEN($E$2)+1)=$E$2&amp;"（"),IFERROR(OR(ISNUMBER(FIND("|"&amp;$A44&amp;"|",$D$2)),AND(IFERROR(FIND("（",$A44),0)&gt;0,ISNUMBER(FIND("|"&amp;LEFT($A44,FIND("（",$A44)-1)&amp;"*|",$D$2)))),FALSE)))),ROW()-19,999)</f>
        <v>999</v>
      </c>
      <c r="AC44" t="str">
        <f ca="1">IFERROR(INDEX($A$20:$A$78,SMALL($AD$20:$AD$78,25)),"")</f>
        <v>神秘学</v>
      </c>
      <c r="AD44">
        <f ca="1">IF(AND($A44&lt;&gt;"",COUNTIF($A$20:A44,A44)=1,AND($A44&lt;&gt;"",$A44&lt;&gt;"非自然知识",COUNTIF($A$20:$A$78,$A44)&gt;0,OR($B$3="any",$B$3="fixed",AND($B$3="group",LEFT($A44,LEN($E$3)+1)=$E$3&amp;"（"),IFERROR(OR(ISNUMBER(FIND("|"&amp;$A44&amp;"|",$D$3)),AND(IFERROR(FIND("（",$A44),0)&gt;0,ISNUMBER(FIND("|"&amp;LEFT($A44,FIND("（",$A44)-1)&amp;"*|",$D$3)))),FALSE)))),ROW()-19,999)</f>
        <v>999</v>
      </c>
      <c r="AE44" t="str">
        <f ca="1">IFERROR(INDEX($A$20:$A$78,SMALL($AF$20:$AF$78,25)),"")</f>
        <v>神秘学</v>
      </c>
      <c r="AF44">
        <f ca="1">IF(AND($A44&lt;&gt;"",COUNTIF($A$20:A44,A44)=1,AND($A44&lt;&gt;"",$A44&lt;&gt;"非自然知识",COUNTIF($A$20:$A$78,$A44)&gt;0,OR($B$4="any",$B$4="fixed",AND($B$4="group",LEFT($A44,LEN($E$4)+1)=$E$4&amp;"（"),IFERROR(OR(ISNUMBER(FIND("|"&amp;$A44&amp;"|",$D$4)),AND(IFERROR(FIND("（",$A44),0)&gt;0,ISNUMBER(FIND("|"&amp;LEFT($A44,FIND("（",$A44)-1)&amp;"*|",$D$4)))),FALSE)))),ROW()-19,999)</f>
        <v>999</v>
      </c>
      <c r="AG44" t="str">
        <f ca="1">IFERROR(INDEX($A$20:$A$78,SMALL($AH$20:$AH$78,25)),"")</f>
        <v>神秘学</v>
      </c>
      <c r="AH44">
        <f ca="1">IF(AND($A44&lt;&gt;"",COUNTIF($A$20:A44,A44)=1,AND($A44&lt;&gt;"",$A44&lt;&gt;"非自然知识",COUNTIF($A$20:$A$78,$A44)&gt;0,OR($B$5="any",$B$5="fixed",AND($B$5="group",LEFT($A44,LEN($E$5)+1)=$E$5&amp;"（"),IFERROR(OR(ISNUMBER(FIND("|"&amp;$A44&amp;"|",$D$5)),AND(IFERROR(FIND("（",$A44),0)&gt;0,ISNUMBER(FIND("|"&amp;LEFT($A44,FIND("（",$A44)-1)&amp;"*|",$D$5)))),FALSE)))),ROW()-19,999)</f>
        <v>999</v>
      </c>
      <c r="AI44" t="str">
        <f ca="1">IFERROR(INDEX($A$20:$A$78,SMALL($AJ$20:$AJ$78,25)),"")</f>
        <v>神秘学</v>
      </c>
      <c r="AJ44">
        <f ca="1">IF(AND($A44&lt;&gt;"",COUNTIF($A$20:A44,A44)=1,AND($A44&lt;&gt;"",$A44&lt;&gt;"非自然知识",COUNTIF($A$20:$A$78,$A44)&gt;0,OR($B$6="any",$B$6="fixed",AND($B$6="group",LEFT($A44,LEN($E$6)+1)=$E$6&amp;"（"),IFERROR(OR(ISNUMBER(FIND("|"&amp;$A44&amp;"|",$D$6)),AND(IFERROR(FIND("（",$A44),0)&gt;0,ISNUMBER(FIND("|"&amp;LEFT($A44,FIND("（",$A44)-1)&amp;"*|",$D$6)))),FALSE)))),ROW()-19,999)</f>
        <v>999</v>
      </c>
      <c r="AK44" t="str">
        <f ca="1">IFERROR(INDEX($A$20:$A$78,SMALL($AL$20:$AL$78,25)),"")</f>
        <v>神秘学</v>
      </c>
      <c r="AL44">
        <f ca="1">IF(AND($A44&lt;&gt;"",COUNTIF($A$20:A44,A44)=1,AND($A44&lt;&gt;"",$A44&lt;&gt;"非自然知识",COUNTIF($A$20:$A$78,$A44)&gt;0,OR($B$7="any",$B$7="fixed",AND($B$7="group",LEFT($A44,LEN($E$7)+1)=$E$7&amp;"（"),IFERROR(OR(ISNUMBER(FIND("|"&amp;$A44&amp;"|",$D$7)),AND(IFERROR(FIND("（",$A44),0)&gt;0,ISNUMBER(FIND("|"&amp;LEFT($A44,FIND("（",$A44)-1)&amp;"*|",$D$7)))),FALSE)))),ROW()-19,999)</f>
        <v>999</v>
      </c>
      <c r="AM44" t="str">
        <f ca="1">IFERROR(INDEX($A$20:$A$78,SMALL($AN$20:$AN$78,25)),"")</f>
        <v>神秘学</v>
      </c>
      <c r="AN44">
        <f ca="1">IF(AND($A44&lt;&gt;"",COUNTIF($A$20:A44,A44)=1,AND($A44&lt;&gt;"",$A44&lt;&gt;"非自然知识",COUNTIF($A$20:$A$78,$A44)&gt;0,OR($B$8="any",$B$8="fixed",AND($B$8="group",LEFT($A44,LEN($E$8)+1)=$E$8&amp;"（"),IFERROR(OR(ISNUMBER(FIND("|"&amp;$A44&amp;"|",$D$8)),AND(IFERROR(FIND("（",$A44),0)&gt;0,ISNUMBER(FIND("|"&amp;LEFT($A44,FIND("（",$A44)-1)&amp;"*|",$D$8)))),FALSE)))),ROW()-19,999)</f>
        <v>999</v>
      </c>
      <c r="AO44" t="str">
        <f ca="1">IFERROR(INDEX($A$20:$A$78,SMALL($AP$20:$AP$78,25)),"")</f>
        <v>神秘学</v>
      </c>
      <c r="AP44">
        <f ca="1">IF(AND($A44&lt;&gt;"",COUNTIF($A$20:A44,A44)=1,AND($A44&lt;&gt;"",$A44&lt;&gt;"非自然知识",COUNTIF($A$20:$A$78,$A44)&gt;0,OR($B$9="any",$B$9="fixed",AND($B$9="group",LEFT($A44,LEN($E$9)+1)=$E$9&amp;"（"),IFERROR(OR(ISNUMBER(FIND("|"&amp;$A44&amp;"|",$D$9)),AND(IFERROR(FIND("（",$A44),0)&gt;0,ISNUMBER(FIND("|"&amp;LEFT($A44,FIND("（",$A44)-1)&amp;"*|",$D$9)))),FALSE)))),ROW()-19,999)</f>
        <v>999</v>
      </c>
    </row>
    <row r="45" spans="1:42">
      <c r="A45" t="str">
        <f>人物卡!D39</f>
        <v>法证学</v>
      </c>
      <c r="B45" t="str">
        <f t="shared" si="2"/>
        <v/>
      </c>
      <c r="C45">
        <f ca="1">IF(人物卡!V39="",N(人物卡!S39),N(人物卡!V39))</f>
        <v>0</v>
      </c>
      <c r="D45">
        <f ca="1">IF(AND(A45&lt;&gt;"",COUNTIF($A$20:A45,A45)=1),COUNTIF($H$2:$H$9,A45)*20,0)</f>
        <v>0</v>
      </c>
      <c r="E45">
        <f ca="1" t="shared" si="3"/>
        <v>0</v>
      </c>
      <c r="F45">
        <f ca="1">IF(AND(A45&lt;&gt;"",COUNTIF($A$20:A45,A45)=1),IF(A45="神秘学",IF(人物卡!$DF$46="人类不应知道之事",20,IF(OR(人物卡!$DF$46="极端暴力",人物卡!$DF$46="关押或入狱",人物卡!$DF$46="艰苦经历"),10,0)),0)+IF(人物卡!$DF$46="艰苦经历",COUNTIF($H$12:$H$16,A45)*10,0),0)</f>
        <v>0</v>
      </c>
      <c r="G45">
        <f ca="1">IF(人物卡!$DF$46="艰苦经历",MIN(F45,MAX(0,90-C45-E45)),MIN(F45,MAX(0,99-C45-E45)))</f>
        <v>0</v>
      </c>
      <c r="H45" t="str">
        <f ca="1" t="shared" si="4"/>
        <v/>
      </c>
      <c r="I45" t="str">
        <f ca="1" t="shared" si="5"/>
        <v/>
      </c>
      <c r="J45" t="s">
        <v>2292</v>
      </c>
      <c r="K45" t="s">
        <v>2293</v>
      </c>
      <c r="Y45">
        <f ca="1">IF(AND($A45&lt;&gt;"",COUNTIF($A$20:A45,A45)=1,$A45&lt;&gt;"非自然知识"),ROW()-19,999)</f>
        <v>26</v>
      </c>
      <c r="Z45" t="str">
        <f ca="1">IFERROR(INDEX($A$20:$A$78,SMALL($Y$20:$Y$78,26)),"")</f>
        <v>说服</v>
      </c>
      <c r="AA45" t="str">
        <f ca="1">IFERROR(INDEX($A$20:$A$78,SMALL($AB$20:$AB$78,26)),"")</f>
        <v>说服</v>
      </c>
      <c r="AB45">
        <f ca="1">IF(AND($A45&lt;&gt;"",COUNTIF($A$20:A45,A45)=1,AND($A45&lt;&gt;"",$A45&lt;&gt;"非自然知识",COUNTIF($A$20:$A$78,$A45)&gt;0,OR($B$2="any",$B$2="fixed",AND($B$2="group",LEFT($A45,LEN($E$2)+1)=$E$2&amp;"（"),IFERROR(OR(ISNUMBER(FIND("|"&amp;$A45&amp;"|",$D$2)),AND(IFERROR(FIND("（",$A45),0)&gt;0,ISNUMBER(FIND("|"&amp;LEFT($A45,FIND("（",$A45)-1)&amp;"*|",$D$2)))),FALSE)))),ROW()-19,999)</f>
        <v>26</v>
      </c>
      <c r="AC45" t="str">
        <f ca="1">IFERROR(INDEX($A$20:$A$78,SMALL($AD$20:$AD$78,26)),"")</f>
        <v>说服</v>
      </c>
      <c r="AD45">
        <f ca="1">IF(AND($A45&lt;&gt;"",COUNTIF($A$20:A45,A45)=1,AND($A45&lt;&gt;"",$A45&lt;&gt;"非自然知识",COUNTIF($A$20:$A$78,$A45)&gt;0,OR($B$3="any",$B$3="fixed",AND($B$3="group",LEFT($A45,LEN($E$3)+1)=$E$3&amp;"（"),IFERROR(OR(ISNUMBER(FIND("|"&amp;$A45&amp;"|",$D$3)),AND(IFERROR(FIND("（",$A45),0)&gt;0,ISNUMBER(FIND("|"&amp;LEFT($A45,FIND("（",$A45)-1)&amp;"*|",$D$3)))),FALSE)))),ROW()-19,999)</f>
        <v>26</v>
      </c>
      <c r="AE45" t="str">
        <f ca="1">IFERROR(INDEX($A$20:$A$78,SMALL($AF$20:$AF$78,26)),"")</f>
        <v>说服</v>
      </c>
      <c r="AF45">
        <f ca="1">IF(AND($A45&lt;&gt;"",COUNTIF($A$20:A45,A45)=1,AND($A45&lt;&gt;"",$A45&lt;&gt;"非自然知识",COUNTIF($A$20:$A$78,$A45)&gt;0,OR($B$4="any",$B$4="fixed",AND($B$4="group",LEFT($A45,LEN($E$4)+1)=$E$4&amp;"（"),IFERROR(OR(ISNUMBER(FIND("|"&amp;$A45&amp;"|",$D$4)),AND(IFERROR(FIND("（",$A45),0)&gt;0,ISNUMBER(FIND("|"&amp;LEFT($A45,FIND("（",$A45)-1)&amp;"*|",$D$4)))),FALSE)))),ROW()-19,999)</f>
        <v>26</v>
      </c>
      <c r="AG45" t="str">
        <f ca="1">IFERROR(INDEX($A$20:$A$78,SMALL($AH$20:$AH$78,26)),"")</f>
        <v>说服</v>
      </c>
      <c r="AH45">
        <f ca="1">IF(AND($A45&lt;&gt;"",COUNTIF($A$20:A45,A45)=1,AND($A45&lt;&gt;"",$A45&lt;&gt;"非自然知识",COUNTIF($A$20:$A$78,$A45)&gt;0,OR($B$5="any",$B$5="fixed",AND($B$5="group",LEFT($A45,LEN($E$5)+1)=$E$5&amp;"（"),IFERROR(OR(ISNUMBER(FIND("|"&amp;$A45&amp;"|",$D$5)),AND(IFERROR(FIND("（",$A45),0)&gt;0,ISNUMBER(FIND("|"&amp;LEFT($A45,FIND("（",$A45)-1)&amp;"*|",$D$5)))),FALSE)))),ROW()-19,999)</f>
        <v>26</v>
      </c>
      <c r="AI45" t="str">
        <f ca="1">IFERROR(INDEX($A$20:$A$78,SMALL($AJ$20:$AJ$78,26)),"")</f>
        <v>说服</v>
      </c>
      <c r="AJ45">
        <f ca="1">IF(AND($A45&lt;&gt;"",COUNTIF($A$20:A45,A45)=1,AND($A45&lt;&gt;"",$A45&lt;&gt;"非自然知识",COUNTIF($A$20:$A$78,$A45)&gt;0,OR($B$6="any",$B$6="fixed",AND($B$6="group",LEFT($A45,LEN($E$6)+1)=$E$6&amp;"（"),IFERROR(OR(ISNUMBER(FIND("|"&amp;$A45&amp;"|",$D$6)),AND(IFERROR(FIND("（",$A45),0)&gt;0,ISNUMBER(FIND("|"&amp;LEFT($A45,FIND("（",$A45)-1)&amp;"*|",$D$6)))),FALSE)))),ROW()-19,999)</f>
        <v>26</v>
      </c>
      <c r="AK45" t="str">
        <f ca="1">IFERROR(INDEX($A$20:$A$78,SMALL($AL$20:$AL$78,26)),"")</f>
        <v>说服</v>
      </c>
      <c r="AL45">
        <f ca="1">IF(AND($A45&lt;&gt;"",COUNTIF($A$20:A45,A45)=1,AND($A45&lt;&gt;"",$A45&lt;&gt;"非自然知识",COUNTIF($A$20:$A$78,$A45)&gt;0,OR($B$7="any",$B$7="fixed",AND($B$7="group",LEFT($A45,LEN($E$7)+1)=$E$7&amp;"（"),IFERROR(OR(ISNUMBER(FIND("|"&amp;$A45&amp;"|",$D$7)),AND(IFERROR(FIND("（",$A45),0)&gt;0,ISNUMBER(FIND("|"&amp;LEFT($A45,FIND("（",$A45)-1)&amp;"*|",$D$7)))),FALSE)))),ROW()-19,999)</f>
        <v>26</v>
      </c>
      <c r="AM45" t="str">
        <f ca="1">IFERROR(INDEX($A$20:$A$78,SMALL($AN$20:$AN$78,26)),"")</f>
        <v>说服</v>
      </c>
      <c r="AN45">
        <f ca="1">IF(AND($A45&lt;&gt;"",COUNTIF($A$20:A45,A45)=1,AND($A45&lt;&gt;"",$A45&lt;&gt;"非自然知识",COUNTIF($A$20:$A$78,$A45)&gt;0,OR($B$8="any",$B$8="fixed",AND($B$8="group",LEFT($A45,LEN($E$8)+1)=$E$8&amp;"（"),IFERROR(OR(ISNUMBER(FIND("|"&amp;$A45&amp;"|",$D$8)),AND(IFERROR(FIND("（",$A45),0)&gt;0,ISNUMBER(FIND("|"&amp;LEFT($A45,FIND("（",$A45)-1)&amp;"*|",$D$8)))),FALSE)))),ROW()-19,999)</f>
        <v>26</v>
      </c>
      <c r="AO45" t="str">
        <f ca="1">IFERROR(INDEX($A$20:$A$78,SMALL($AP$20:$AP$78,26)),"")</f>
        <v>说服</v>
      </c>
      <c r="AP45">
        <f ca="1">IF(AND($A45&lt;&gt;"",COUNTIF($A$20:A45,A45)=1,AND($A45&lt;&gt;"",$A45&lt;&gt;"非自然知识",COUNTIF($A$20:$A$78,$A45)&gt;0,OR($B$9="any",$B$9="fixed",AND($B$9="group",LEFT($A45,LEN($E$9)+1)=$E$9&amp;"（"),IFERROR(OR(ISNUMBER(FIND("|"&amp;$A45&amp;"|",$D$9)),AND(IFERROR(FIND("（",$A45),0)&gt;0,ISNUMBER(FIND("|"&amp;LEFT($A45,FIND("（",$A45)-1)&amp;"*|",$D$9)))),FALSE)))),ROW()-19,999)</f>
        <v>26</v>
      </c>
    </row>
    <row r="46" spans="1:42">
      <c r="A46" t="str">
        <f>人物卡!D40</f>
        <v>重型机械</v>
      </c>
      <c r="B46" t="str">
        <f t="shared" si="2"/>
        <v/>
      </c>
      <c r="C46">
        <f ca="1">IF(人物卡!V40="",N(人物卡!S40),N(人物卡!V40))</f>
        <v>10</v>
      </c>
      <c r="D46">
        <f ca="1">IF(AND(A46&lt;&gt;"",COUNTIF($A$20:A46,A46)=1),COUNTIF($H$2:$H$9,A46)*20,0)</f>
        <v>0</v>
      </c>
      <c r="E46">
        <f ca="1" t="shared" si="3"/>
        <v>0</v>
      </c>
      <c r="F46">
        <f ca="1">IF(AND(A46&lt;&gt;"",COUNTIF($A$20:A46,A46)=1),IF(A46="神秘学",IF(人物卡!$DF$46="人类不应知道之事",20,IF(OR(人物卡!$DF$46="极端暴力",人物卡!$DF$46="关押或入狱",人物卡!$DF$46="艰苦经历"),10,0)),0)+IF(人物卡!$DF$46="艰苦经历",COUNTIF($H$12:$H$16,A46)*10,0),0)</f>
        <v>0</v>
      </c>
      <c r="G46">
        <f ca="1">IF(人物卡!$DF$46="艰苦经历",MIN(F46,MAX(0,90-C46-E46)),MIN(F46,MAX(0,99-C46-E46)))</f>
        <v>0</v>
      </c>
      <c r="H46" t="str">
        <f ca="1" t="shared" si="4"/>
        <v/>
      </c>
      <c r="I46" t="str">
        <f ca="1" t="shared" si="5"/>
        <v/>
      </c>
      <c r="J46" t="s">
        <v>1354</v>
      </c>
      <c r="K46" t="s">
        <v>1361</v>
      </c>
      <c r="Y46">
        <f ca="1">IF(AND($A46&lt;&gt;"",COUNTIF($A$20:A46,A46)=1,$A46&lt;&gt;"非自然知识"),ROW()-19,999)</f>
        <v>27</v>
      </c>
      <c r="Z46" t="str">
        <f ca="1">IFERROR(INDEX($A$20:$A$78,SMALL($Y$20:$Y$78,27)),"")</f>
        <v>药学</v>
      </c>
      <c r="AA46" t="str">
        <f ca="1">IFERROR(INDEX($A$20:$A$78,SMALL($AB$20:$AB$78,27)),"")</f>
        <v>药学</v>
      </c>
      <c r="AB46">
        <f ca="1">IF(AND($A46&lt;&gt;"",COUNTIF($A$20:A46,A46)=1,AND($A46&lt;&gt;"",$A46&lt;&gt;"非自然知识",COUNTIF($A$20:$A$78,$A46)&gt;0,OR($B$2="any",$B$2="fixed",AND($B$2="group",LEFT($A46,LEN($E$2)+1)=$E$2&amp;"（"),IFERROR(OR(ISNUMBER(FIND("|"&amp;$A46&amp;"|",$D$2)),AND(IFERROR(FIND("（",$A46),0)&gt;0,ISNUMBER(FIND("|"&amp;LEFT($A46,FIND("（",$A46)-1)&amp;"*|",$D$2)))),FALSE)))),ROW()-19,999)</f>
        <v>27</v>
      </c>
      <c r="AC46" t="str">
        <f ca="1">IFERROR(INDEX($A$20:$A$78,SMALL($AD$20:$AD$78,27)),"")</f>
        <v>药学</v>
      </c>
      <c r="AD46">
        <f ca="1">IF(AND($A46&lt;&gt;"",COUNTIF($A$20:A46,A46)=1,AND($A46&lt;&gt;"",$A46&lt;&gt;"非自然知识",COUNTIF($A$20:$A$78,$A46)&gt;0,OR($B$3="any",$B$3="fixed",AND($B$3="group",LEFT($A46,LEN($E$3)+1)=$E$3&amp;"（"),IFERROR(OR(ISNUMBER(FIND("|"&amp;$A46&amp;"|",$D$3)),AND(IFERROR(FIND("（",$A46),0)&gt;0,ISNUMBER(FIND("|"&amp;LEFT($A46,FIND("（",$A46)-1)&amp;"*|",$D$3)))),FALSE)))),ROW()-19,999)</f>
        <v>27</v>
      </c>
      <c r="AE46" t="str">
        <f ca="1">IFERROR(INDEX($A$20:$A$78,SMALL($AF$20:$AF$78,27)),"")</f>
        <v>药学</v>
      </c>
      <c r="AF46">
        <f ca="1">IF(AND($A46&lt;&gt;"",COUNTIF($A$20:A46,A46)=1,AND($A46&lt;&gt;"",$A46&lt;&gt;"非自然知识",COUNTIF($A$20:$A$78,$A46)&gt;0,OR($B$4="any",$B$4="fixed",AND($B$4="group",LEFT($A46,LEN($E$4)+1)=$E$4&amp;"（"),IFERROR(OR(ISNUMBER(FIND("|"&amp;$A46&amp;"|",$D$4)),AND(IFERROR(FIND("（",$A46),0)&gt;0,ISNUMBER(FIND("|"&amp;LEFT($A46,FIND("（",$A46)-1)&amp;"*|",$D$4)))),FALSE)))),ROW()-19,999)</f>
        <v>27</v>
      </c>
      <c r="AG46" t="str">
        <f ca="1">IFERROR(INDEX($A$20:$A$78,SMALL($AH$20:$AH$78,27)),"")</f>
        <v>药学</v>
      </c>
      <c r="AH46">
        <f ca="1">IF(AND($A46&lt;&gt;"",COUNTIF($A$20:A46,A46)=1,AND($A46&lt;&gt;"",$A46&lt;&gt;"非自然知识",COUNTIF($A$20:$A$78,$A46)&gt;0,OR($B$5="any",$B$5="fixed",AND($B$5="group",LEFT($A46,LEN($E$5)+1)=$E$5&amp;"（"),IFERROR(OR(ISNUMBER(FIND("|"&amp;$A46&amp;"|",$D$5)),AND(IFERROR(FIND("（",$A46),0)&gt;0,ISNUMBER(FIND("|"&amp;LEFT($A46,FIND("（",$A46)-1)&amp;"*|",$D$5)))),FALSE)))),ROW()-19,999)</f>
        <v>27</v>
      </c>
      <c r="AI46" t="str">
        <f ca="1">IFERROR(INDEX($A$20:$A$78,SMALL($AJ$20:$AJ$78,27)),"")</f>
        <v>药学</v>
      </c>
      <c r="AJ46">
        <f ca="1">IF(AND($A46&lt;&gt;"",COUNTIF($A$20:A46,A46)=1,AND($A46&lt;&gt;"",$A46&lt;&gt;"非自然知识",COUNTIF($A$20:$A$78,$A46)&gt;0,OR($B$6="any",$B$6="fixed",AND($B$6="group",LEFT($A46,LEN($E$6)+1)=$E$6&amp;"（"),IFERROR(OR(ISNUMBER(FIND("|"&amp;$A46&amp;"|",$D$6)),AND(IFERROR(FIND("（",$A46),0)&gt;0,ISNUMBER(FIND("|"&amp;LEFT($A46,FIND("（",$A46)-1)&amp;"*|",$D$6)))),FALSE)))),ROW()-19,999)</f>
        <v>27</v>
      </c>
      <c r="AK46" t="str">
        <f ca="1">IFERROR(INDEX($A$20:$A$78,SMALL($AL$20:$AL$78,27)),"")</f>
        <v>药学</v>
      </c>
      <c r="AL46">
        <f ca="1">IF(AND($A46&lt;&gt;"",COUNTIF($A$20:A46,A46)=1,AND($A46&lt;&gt;"",$A46&lt;&gt;"非自然知识",COUNTIF($A$20:$A$78,$A46)&gt;0,OR($B$7="any",$B$7="fixed",AND($B$7="group",LEFT($A46,LEN($E$7)+1)=$E$7&amp;"（"),IFERROR(OR(ISNUMBER(FIND("|"&amp;$A46&amp;"|",$D$7)),AND(IFERROR(FIND("（",$A46),0)&gt;0,ISNUMBER(FIND("|"&amp;LEFT($A46,FIND("（",$A46)-1)&amp;"*|",$D$7)))),FALSE)))),ROW()-19,999)</f>
        <v>27</v>
      </c>
      <c r="AM46" t="str">
        <f ca="1">IFERROR(INDEX($A$20:$A$78,SMALL($AN$20:$AN$78,27)),"")</f>
        <v>药学</v>
      </c>
      <c r="AN46">
        <f ca="1">IF(AND($A46&lt;&gt;"",COUNTIF($A$20:A46,A46)=1,AND($A46&lt;&gt;"",$A46&lt;&gt;"非自然知识",COUNTIF($A$20:$A$78,$A46)&gt;0,OR($B$8="any",$B$8="fixed",AND($B$8="group",LEFT($A46,LEN($E$8)+1)=$E$8&amp;"（"),IFERROR(OR(ISNUMBER(FIND("|"&amp;$A46&amp;"|",$D$8)),AND(IFERROR(FIND("（",$A46),0)&gt;0,ISNUMBER(FIND("|"&amp;LEFT($A46,FIND("（",$A46)-1)&amp;"*|",$D$8)))),FALSE)))),ROW()-19,999)</f>
        <v>27</v>
      </c>
      <c r="AO46" t="str">
        <f ca="1">IFERROR(INDEX($A$20:$A$78,SMALL($AP$20:$AP$78,27)),"")</f>
        <v>药学</v>
      </c>
      <c r="AP46">
        <f ca="1">IF(AND($A46&lt;&gt;"",COUNTIF($A$20:A46,A46)=1,AND($A46&lt;&gt;"",$A46&lt;&gt;"非自然知识",COUNTIF($A$20:$A$78,$A46)&gt;0,OR($B$9="any",$B$9="fixed",AND($B$9="group",LEFT($A46,LEN($E$9)+1)=$E$9&amp;"（"),IFERROR(OR(ISNUMBER(FIND("|"&amp;$A46&amp;"|",$D$9)),AND(IFERROR(FIND("（",$A46),0)&gt;0,ISNUMBER(FIND("|"&amp;LEFT($A46,FIND("（",$A46)-1)&amp;"*|",$D$9)))),FALSE)))),ROW()-19,999)</f>
        <v>27</v>
      </c>
    </row>
    <row r="47" spans="1:42">
      <c r="A47" t="str">
        <f>人物卡!D41</f>
        <v>重型武器</v>
      </c>
      <c r="B47" t="str">
        <f t="shared" si="2"/>
        <v/>
      </c>
      <c r="C47">
        <f ca="1">IF(人物卡!V41="",N(人物卡!S41),N(人物卡!V41))</f>
        <v>0</v>
      </c>
      <c r="D47">
        <f ca="1">IF(AND(A47&lt;&gt;"",COUNTIF($A$20:A47,A47)=1),COUNTIF($H$2:$H$9,A47)*20,0)</f>
        <v>0</v>
      </c>
      <c r="E47">
        <f ca="1" t="shared" si="3"/>
        <v>0</v>
      </c>
      <c r="F47">
        <f ca="1">IF(AND(A47&lt;&gt;"",COUNTIF($A$20:A47,A47)=1),IF(A47="神秘学",IF(人物卡!$DF$46="人类不应知道之事",20,IF(OR(人物卡!$DF$46="极端暴力",人物卡!$DF$46="关押或入狱",人物卡!$DF$46="艰苦经历"),10,0)),0)+IF(人物卡!$DF$46="艰苦经历",COUNTIF($H$12:$H$16,A47)*10,0),0)</f>
        <v>0</v>
      </c>
      <c r="G47">
        <f ca="1">IF(人物卡!$DF$46="艰苦经历",MIN(F47,MAX(0,90-C47-E47)),MIN(F47,MAX(0,99-C47-E47)))</f>
        <v>0</v>
      </c>
      <c r="H47" t="str">
        <f ca="1" t="shared" si="4"/>
        <v/>
      </c>
      <c r="I47" t="str">
        <f ca="1" t="shared" si="5"/>
        <v/>
      </c>
      <c r="J47" t="s">
        <v>2294</v>
      </c>
      <c r="K47" t="s">
        <v>2295</v>
      </c>
      <c r="Y47">
        <f ca="1">IF(AND($A47&lt;&gt;"",COUNTIF($A$20:A47,A47)=1,$A47&lt;&gt;"非自然知识"),ROW()-19,999)</f>
        <v>28</v>
      </c>
      <c r="Z47" t="str">
        <f ca="1">IFERROR(INDEX($A$20:$A$78,SMALL($Y$20:$Y$78,28)),"")</f>
        <v>精神治疗</v>
      </c>
      <c r="AA47" t="str">
        <f ca="1">IFERROR(INDEX($A$20:$A$78,SMALL($AB$20:$AB$78,28)),"")</f>
        <v>精神治疗</v>
      </c>
      <c r="AB47">
        <f ca="1">IF(AND($A47&lt;&gt;"",COUNTIF($A$20:A47,A47)=1,AND($A47&lt;&gt;"",$A47&lt;&gt;"非自然知识",COUNTIF($A$20:$A$78,$A47)&gt;0,OR($B$2="any",$B$2="fixed",AND($B$2="group",LEFT($A47,LEN($E$2)+1)=$E$2&amp;"（"),IFERROR(OR(ISNUMBER(FIND("|"&amp;$A47&amp;"|",$D$2)),AND(IFERROR(FIND("（",$A47),0)&gt;0,ISNUMBER(FIND("|"&amp;LEFT($A47,FIND("（",$A47)-1)&amp;"*|",$D$2)))),FALSE)))),ROW()-19,999)</f>
        <v>28</v>
      </c>
      <c r="AC47" t="str">
        <f ca="1">IFERROR(INDEX($A$20:$A$78,SMALL($AD$20:$AD$78,28)),"")</f>
        <v>精神治疗</v>
      </c>
      <c r="AD47">
        <f ca="1">IF(AND($A47&lt;&gt;"",COUNTIF($A$20:A47,A47)=1,AND($A47&lt;&gt;"",$A47&lt;&gt;"非自然知识",COUNTIF($A$20:$A$78,$A47)&gt;0,OR($B$3="any",$B$3="fixed",AND($B$3="group",LEFT($A47,LEN($E$3)+1)=$E$3&amp;"（"),IFERROR(OR(ISNUMBER(FIND("|"&amp;$A47&amp;"|",$D$3)),AND(IFERROR(FIND("（",$A47),0)&gt;0,ISNUMBER(FIND("|"&amp;LEFT($A47,FIND("（",$A47)-1)&amp;"*|",$D$3)))),FALSE)))),ROW()-19,999)</f>
        <v>28</v>
      </c>
      <c r="AE47" t="str">
        <f ca="1">IFERROR(INDEX($A$20:$A$78,SMALL($AF$20:$AF$78,28)),"")</f>
        <v>精神治疗</v>
      </c>
      <c r="AF47">
        <f ca="1">IF(AND($A47&lt;&gt;"",COUNTIF($A$20:A47,A47)=1,AND($A47&lt;&gt;"",$A47&lt;&gt;"非自然知识",COUNTIF($A$20:$A$78,$A47)&gt;0,OR($B$4="any",$B$4="fixed",AND($B$4="group",LEFT($A47,LEN($E$4)+1)=$E$4&amp;"（"),IFERROR(OR(ISNUMBER(FIND("|"&amp;$A47&amp;"|",$D$4)),AND(IFERROR(FIND("（",$A47),0)&gt;0,ISNUMBER(FIND("|"&amp;LEFT($A47,FIND("（",$A47)-1)&amp;"*|",$D$4)))),FALSE)))),ROW()-19,999)</f>
        <v>28</v>
      </c>
      <c r="AG47" t="str">
        <f ca="1">IFERROR(INDEX($A$20:$A$78,SMALL($AH$20:$AH$78,28)),"")</f>
        <v>精神治疗</v>
      </c>
      <c r="AH47">
        <f ca="1">IF(AND($A47&lt;&gt;"",COUNTIF($A$20:A47,A47)=1,AND($A47&lt;&gt;"",$A47&lt;&gt;"非自然知识",COUNTIF($A$20:$A$78,$A47)&gt;0,OR($B$5="any",$B$5="fixed",AND($B$5="group",LEFT($A47,LEN($E$5)+1)=$E$5&amp;"（"),IFERROR(OR(ISNUMBER(FIND("|"&amp;$A47&amp;"|",$D$5)),AND(IFERROR(FIND("（",$A47),0)&gt;0,ISNUMBER(FIND("|"&amp;LEFT($A47,FIND("（",$A47)-1)&amp;"*|",$D$5)))),FALSE)))),ROW()-19,999)</f>
        <v>28</v>
      </c>
      <c r="AI47" t="str">
        <f ca="1">IFERROR(INDEX($A$20:$A$78,SMALL($AJ$20:$AJ$78,28)),"")</f>
        <v>精神治疗</v>
      </c>
      <c r="AJ47">
        <f ca="1">IF(AND($A47&lt;&gt;"",COUNTIF($A$20:A47,A47)=1,AND($A47&lt;&gt;"",$A47&lt;&gt;"非自然知识",COUNTIF($A$20:$A$78,$A47)&gt;0,OR($B$6="any",$B$6="fixed",AND($B$6="group",LEFT($A47,LEN($E$6)+1)=$E$6&amp;"（"),IFERROR(OR(ISNUMBER(FIND("|"&amp;$A47&amp;"|",$D$6)),AND(IFERROR(FIND("（",$A47),0)&gt;0,ISNUMBER(FIND("|"&amp;LEFT($A47,FIND("（",$A47)-1)&amp;"*|",$D$6)))),FALSE)))),ROW()-19,999)</f>
        <v>28</v>
      </c>
      <c r="AK47" t="str">
        <f ca="1">IFERROR(INDEX($A$20:$A$78,SMALL($AL$20:$AL$78,28)),"")</f>
        <v>精神治疗</v>
      </c>
      <c r="AL47">
        <f ca="1">IF(AND($A47&lt;&gt;"",COUNTIF($A$20:A47,A47)=1,AND($A47&lt;&gt;"",$A47&lt;&gt;"非自然知识",COUNTIF($A$20:$A$78,$A47)&gt;0,OR($B$7="any",$B$7="fixed",AND($B$7="group",LEFT($A47,LEN($E$7)+1)=$E$7&amp;"（"),IFERROR(OR(ISNUMBER(FIND("|"&amp;$A47&amp;"|",$D$7)),AND(IFERROR(FIND("（",$A47),0)&gt;0,ISNUMBER(FIND("|"&amp;LEFT($A47,FIND("（",$A47)-1)&amp;"*|",$D$7)))),FALSE)))),ROW()-19,999)</f>
        <v>28</v>
      </c>
      <c r="AM47" t="str">
        <f ca="1">IFERROR(INDEX($A$20:$A$78,SMALL($AN$20:$AN$78,28)),"")</f>
        <v>精神治疗</v>
      </c>
      <c r="AN47">
        <f ca="1">IF(AND($A47&lt;&gt;"",COUNTIF($A$20:A47,A47)=1,AND($A47&lt;&gt;"",$A47&lt;&gt;"非自然知识",COUNTIF($A$20:$A$78,$A47)&gt;0,OR($B$8="any",$B$8="fixed",AND($B$8="group",LEFT($A47,LEN($E$8)+1)=$E$8&amp;"（"),IFERROR(OR(ISNUMBER(FIND("|"&amp;$A47&amp;"|",$D$8)),AND(IFERROR(FIND("（",$A47),0)&gt;0,ISNUMBER(FIND("|"&amp;LEFT($A47,FIND("（",$A47)-1)&amp;"*|",$D$8)))),FALSE)))),ROW()-19,999)</f>
        <v>28</v>
      </c>
      <c r="AO47" t="str">
        <f ca="1">IFERROR(INDEX($A$20:$A$78,SMALL($AP$20:$AP$78,28)),"")</f>
        <v>精神治疗</v>
      </c>
      <c r="AP47">
        <f ca="1">IF(AND($A47&lt;&gt;"",COUNTIF($A$20:A47,A47)=1,AND($A47&lt;&gt;"",$A47&lt;&gt;"非自然知识",COUNTIF($A$20:$A$78,$A47)&gt;0,OR($B$9="any",$B$9="fixed",AND($B$9="group",LEFT($A47,LEN($E$9)+1)=$E$9&amp;"（"),IFERROR(OR(ISNUMBER(FIND("|"&amp;$A47&amp;"|",$D$9)),AND(IFERROR(FIND("（",$A47),0)&gt;0,ISNUMBER(FIND("|"&amp;LEFT($A47,FIND("（",$A47)-1)&amp;"*|",$D$9)))),FALSE)))),ROW()-19,999)</f>
        <v>28</v>
      </c>
    </row>
    <row r="48" spans="1:42">
      <c r="A48" t="str">
        <f>人物卡!D42</f>
        <v>历史</v>
      </c>
      <c r="B48" t="str">
        <f t="shared" si="2"/>
        <v/>
      </c>
      <c r="C48">
        <f ca="1">IF(人物卡!V42="",N(人物卡!S42),N(人物卡!V42))</f>
        <v>10</v>
      </c>
      <c r="D48">
        <f ca="1">IF(AND(A48&lt;&gt;"",COUNTIF($A$20:A48,A48)=1),COUNTIF($H$2:$H$9,A48)*20,0)</f>
        <v>0</v>
      </c>
      <c r="E48">
        <f ca="1" t="shared" si="3"/>
        <v>0</v>
      </c>
      <c r="F48">
        <f ca="1">IF(AND(A48&lt;&gt;"",COUNTIF($A$20:A48,A48)=1),IF(A48="神秘学",IF(人物卡!$DF$46="人类不应知道之事",20,IF(OR(人物卡!$DF$46="极端暴力",人物卡!$DF$46="关押或入狱",人物卡!$DF$46="艰苦经历"),10,0)),0)+IF(人物卡!$DF$46="艰苦经历",COUNTIF($H$12:$H$16,A48)*10,0),0)</f>
        <v>0</v>
      </c>
      <c r="G48">
        <f ca="1">IF(人物卡!$DF$46="艰苦经历",MIN(F48,MAX(0,90-C48-E48)),MIN(F48,MAX(0,99-C48-E48)))</f>
        <v>0</v>
      </c>
      <c r="H48" t="str">
        <f ca="1" t="shared" si="4"/>
        <v/>
      </c>
      <c r="I48" t="str">
        <f ca="1" t="shared" si="5"/>
        <v/>
      </c>
      <c r="J48" t="s">
        <v>2296</v>
      </c>
      <c r="K48" t="s">
        <v>2297</v>
      </c>
      <c r="Y48">
        <f ca="1">IF(AND($A48&lt;&gt;"",COUNTIF($A$20:A48,A48)=1,$A48&lt;&gt;"非自然知识"),ROW()-19,999)</f>
        <v>29</v>
      </c>
      <c r="Z48" t="str">
        <f ca="1">IFERROR(INDEX($A$20:$A$78,SMALL($Y$20:$Y$78,29)),"")</f>
        <v>骑术</v>
      </c>
      <c r="AA48" t="str">
        <f ca="1">IFERROR(INDEX($A$20:$A$78,SMALL($AB$20:$AB$78,29)),"")</f>
        <v>骑术</v>
      </c>
      <c r="AB48">
        <f ca="1">IF(AND($A48&lt;&gt;"",COUNTIF($A$20:A48,A48)=1,AND($A48&lt;&gt;"",$A48&lt;&gt;"非自然知识",COUNTIF($A$20:$A$78,$A48)&gt;0,OR($B$2="any",$B$2="fixed",AND($B$2="group",LEFT($A48,LEN($E$2)+1)=$E$2&amp;"（"),IFERROR(OR(ISNUMBER(FIND("|"&amp;$A48&amp;"|",$D$2)),AND(IFERROR(FIND("（",$A48),0)&gt;0,ISNUMBER(FIND("|"&amp;LEFT($A48,FIND("（",$A48)-1)&amp;"*|",$D$2)))),FALSE)))),ROW()-19,999)</f>
        <v>29</v>
      </c>
      <c r="AC48" t="str">
        <f ca="1">IFERROR(INDEX($A$20:$A$78,SMALL($AD$20:$AD$78,29)),"")</f>
        <v>骑术</v>
      </c>
      <c r="AD48">
        <f ca="1">IF(AND($A48&lt;&gt;"",COUNTIF($A$20:A48,A48)=1,AND($A48&lt;&gt;"",$A48&lt;&gt;"非自然知识",COUNTIF($A$20:$A$78,$A48)&gt;0,OR($B$3="any",$B$3="fixed",AND($B$3="group",LEFT($A48,LEN($E$3)+1)=$E$3&amp;"（"),IFERROR(OR(ISNUMBER(FIND("|"&amp;$A48&amp;"|",$D$3)),AND(IFERROR(FIND("（",$A48),0)&gt;0,ISNUMBER(FIND("|"&amp;LEFT($A48,FIND("（",$A48)-1)&amp;"*|",$D$3)))),FALSE)))),ROW()-19,999)</f>
        <v>29</v>
      </c>
      <c r="AE48" t="str">
        <f ca="1">IFERROR(INDEX($A$20:$A$78,SMALL($AF$20:$AF$78,29)),"")</f>
        <v>骑术</v>
      </c>
      <c r="AF48">
        <f ca="1">IF(AND($A48&lt;&gt;"",COUNTIF($A$20:A48,A48)=1,AND($A48&lt;&gt;"",$A48&lt;&gt;"非自然知识",COUNTIF($A$20:$A$78,$A48)&gt;0,OR($B$4="any",$B$4="fixed",AND($B$4="group",LEFT($A48,LEN($E$4)+1)=$E$4&amp;"（"),IFERROR(OR(ISNUMBER(FIND("|"&amp;$A48&amp;"|",$D$4)),AND(IFERROR(FIND("（",$A48),0)&gt;0,ISNUMBER(FIND("|"&amp;LEFT($A48,FIND("（",$A48)-1)&amp;"*|",$D$4)))),FALSE)))),ROW()-19,999)</f>
        <v>29</v>
      </c>
      <c r="AG48" t="str">
        <f ca="1">IFERROR(INDEX($A$20:$A$78,SMALL($AH$20:$AH$78,29)),"")</f>
        <v>骑术</v>
      </c>
      <c r="AH48">
        <f ca="1">IF(AND($A48&lt;&gt;"",COUNTIF($A$20:A48,A48)=1,AND($A48&lt;&gt;"",$A48&lt;&gt;"非自然知识",COUNTIF($A$20:$A$78,$A48)&gt;0,OR($B$5="any",$B$5="fixed",AND($B$5="group",LEFT($A48,LEN($E$5)+1)=$E$5&amp;"（"),IFERROR(OR(ISNUMBER(FIND("|"&amp;$A48&amp;"|",$D$5)),AND(IFERROR(FIND("（",$A48),0)&gt;0,ISNUMBER(FIND("|"&amp;LEFT($A48,FIND("（",$A48)-1)&amp;"*|",$D$5)))),FALSE)))),ROW()-19,999)</f>
        <v>29</v>
      </c>
      <c r="AI48" t="str">
        <f ca="1">IFERROR(INDEX($A$20:$A$78,SMALL($AJ$20:$AJ$78,29)),"")</f>
        <v>骑术</v>
      </c>
      <c r="AJ48">
        <f ca="1">IF(AND($A48&lt;&gt;"",COUNTIF($A$20:A48,A48)=1,AND($A48&lt;&gt;"",$A48&lt;&gt;"非自然知识",COUNTIF($A$20:$A$78,$A48)&gt;0,OR($B$6="any",$B$6="fixed",AND($B$6="group",LEFT($A48,LEN($E$6)+1)=$E$6&amp;"（"),IFERROR(OR(ISNUMBER(FIND("|"&amp;$A48&amp;"|",$D$6)),AND(IFERROR(FIND("（",$A48),0)&gt;0,ISNUMBER(FIND("|"&amp;LEFT($A48,FIND("（",$A48)-1)&amp;"*|",$D$6)))),FALSE)))),ROW()-19,999)</f>
        <v>29</v>
      </c>
      <c r="AK48" t="str">
        <f ca="1">IFERROR(INDEX($A$20:$A$78,SMALL($AL$20:$AL$78,29)),"")</f>
        <v>骑术</v>
      </c>
      <c r="AL48">
        <f ca="1">IF(AND($A48&lt;&gt;"",COUNTIF($A$20:A48,A48)=1,AND($A48&lt;&gt;"",$A48&lt;&gt;"非自然知识",COUNTIF($A$20:$A$78,$A48)&gt;0,OR($B$7="any",$B$7="fixed",AND($B$7="group",LEFT($A48,LEN($E$7)+1)=$E$7&amp;"（"),IFERROR(OR(ISNUMBER(FIND("|"&amp;$A48&amp;"|",$D$7)),AND(IFERROR(FIND("（",$A48),0)&gt;0,ISNUMBER(FIND("|"&amp;LEFT($A48,FIND("（",$A48)-1)&amp;"*|",$D$7)))),FALSE)))),ROW()-19,999)</f>
        <v>29</v>
      </c>
      <c r="AM48" t="str">
        <f ca="1">IFERROR(INDEX($A$20:$A$78,SMALL($AN$20:$AN$78,29)),"")</f>
        <v>骑术</v>
      </c>
      <c r="AN48">
        <f ca="1">IF(AND($A48&lt;&gt;"",COUNTIF($A$20:A48,A48)=1,AND($A48&lt;&gt;"",$A48&lt;&gt;"非自然知识",COUNTIF($A$20:$A$78,$A48)&gt;0,OR($B$8="any",$B$8="fixed",AND($B$8="group",LEFT($A48,LEN($E$8)+1)=$E$8&amp;"（"),IFERROR(OR(ISNUMBER(FIND("|"&amp;$A48&amp;"|",$D$8)),AND(IFERROR(FIND("（",$A48),0)&gt;0,ISNUMBER(FIND("|"&amp;LEFT($A48,FIND("（",$A48)-1)&amp;"*|",$D$8)))),FALSE)))),ROW()-19,999)</f>
        <v>29</v>
      </c>
      <c r="AO48" t="str">
        <f ca="1">IFERROR(INDEX($A$20:$A$78,SMALL($AP$20:$AP$78,29)),"")</f>
        <v>骑术</v>
      </c>
      <c r="AP48">
        <f ca="1">IF(AND($A48&lt;&gt;"",COUNTIF($A$20:A48,A48)=1,AND($A48&lt;&gt;"",$A48&lt;&gt;"非自然知识",COUNTIF($A$20:$A$78,$A48)&gt;0,OR($B$9="any",$B$9="fixed",AND($B$9="group",LEFT($A48,LEN($E$9)+1)=$E$9&amp;"（"),IFERROR(OR(ISNUMBER(FIND("|"&amp;$A48&amp;"|",$D$9)),AND(IFERROR(FIND("（",$A48),0)&gt;0,ISNUMBER(FIND("|"&amp;LEFT($A48,FIND("（",$A48)-1)&amp;"*|",$D$9)))),FALSE)))),ROW()-19,999)</f>
        <v>29</v>
      </c>
    </row>
    <row r="49" spans="1:42">
      <c r="A49" t="str">
        <f>人物卡!D43</f>
        <v>人源情报</v>
      </c>
      <c r="B49" t="str">
        <f t="shared" si="2"/>
        <v/>
      </c>
      <c r="C49">
        <f ca="1">IF(人物卡!V43="",N(人物卡!S43),N(人物卡!V43))</f>
        <v>10</v>
      </c>
      <c r="D49">
        <f ca="1">IF(AND(A49&lt;&gt;"",COUNTIF($A$20:A49,A49)=1),COUNTIF($H$2:$H$9,A49)*20,0)</f>
        <v>0</v>
      </c>
      <c r="E49">
        <f ca="1" t="shared" si="3"/>
        <v>0</v>
      </c>
      <c r="F49">
        <f ca="1">IF(AND(A49&lt;&gt;"",COUNTIF($A$20:A49,A49)=1),IF(A49="神秘学",IF(人物卡!$DF$46="人类不应知道之事",20,IF(OR(人物卡!$DF$46="极端暴力",人物卡!$DF$46="关押或入狱",人物卡!$DF$46="艰苦经历"),10,0)),0)+IF(人物卡!$DF$46="艰苦经历",COUNTIF($H$12:$H$16,A49)*10,0),0)</f>
        <v>0</v>
      </c>
      <c r="G49">
        <f ca="1">IF(人物卡!$DF$46="艰苦经历",MIN(F49,MAX(0,90-C49-E49)),MIN(F49,MAX(0,99-C49-E49)))</f>
        <v>0</v>
      </c>
      <c r="H49" t="str">
        <f ca="1" t="shared" si="4"/>
        <v/>
      </c>
      <c r="I49" t="str">
        <f ca="1" t="shared" si="5"/>
        <v/>
      </c>
      <c r="J49" t="s">
        <v>1380</v>
      </c>
      <c r="K49" t="s">
        <v>1387</v>
      </c>
      <c r="Y49">
        <f ca="1">IF(AND($A49&lt;&gt;"",COUNTIF($A$20:A49,A49)=1,$A49&lt;&gt;"非自然知识"),ROW()-19,999)</f>
        <v>30</v>
      </c>
      <c r="Z49" t="str">
        <f ca="1">IFERROR(INDEX($A$20:$A$78,SMALL($Y$20:$Y$78,30)),"")</f>
        <v>搜寻</v>
      </c>
      <c r="AA49" t="str">
        <f ca="1">IFERROR(INDEX($A$20:$A$78,SMALL($AB$20:$AB$78,30)),"")</f>
        <v>搜寻</v>
      </c>
      <c r="AB49">
        <f ca="1">IF(AND($A49&lt;&gt;"",COUNTIF($A$20:A49,A49)=1,AND($A49&lt;&gt;"",$A49&lt;&gt;"非自然知识",COUNTIF($A$20:$A$78,$A49)&gt;0,OR($B$2="any",$B$2="fixed",AND($B$2="group",LEFT($A49,LEN($E$2)+1)=$E$2&amp;"（"),IFERROR(OR(ISNUMBER(FIND("|"&amp;$A49&amp;"|",$D$2)),AND(IFERROR(FIND("（",$A49),0)&gt;0,ISNUMBER(FIND("|"&amp;LEFT($A49,FIND("（",$A49)-1)&amp;"*|",$D$2)))),FALSE)))),ROW()-19,999)</f>
        <v>30</v>
      </c>
      <c r="AC49" t="str">
        <f ca="1">IFERROR(INDEX($A$20:$A$78,SMALL($AD$20:$AD$78,30)),"")</f>
        <v>搜寻</v>
      </c>
      <c r="AD49">
        <f ca="1">IF(AND($A49&lt;&gt;"",COUNTIF($A$20:A49,A49)=1,AND($A49&lt;&gt;"",$A49&lt;&gt;"非自然知识",COUNTIF($A$20:$A$78,$A49)&gt;0,OR($B$3="any",$B$3="fixed",AND($B$3="group",LEFT($A49,LEN($E$3)+1)=$E$3&amp;"（"),IFERROR(OR(ISNUMBER(FIND("|"&amp;$A49&amp;"|",$D$3)),AND(IFERROR(FIND("（",$A49),0)&gt;0,ISNUMBER(FIND("|"&amp;LEFT($A49,FIND("（",$A49)-1)&amp;"*|",$D$3)))),FALSE)))),ROW()-19,999)</f>
        <v>30</v>
      </c>
      <c r="AE49" t="str">
        <f ca="1">IFERROR(INDEX($A$20:$A$78,SMALL($AF$20:$AF$78,30)),"")</f>
        <v>搜寻</v>
      </c>
      <c r="AF49">
        <f ca="1">IF(AND($A49&lt;&gt;"",COUNTIF($A$20:A49,A49)=1,AND($A49&lt;&gt;"",$A49&lt;&gt;"非自然知识",COUNTIF($A$20:$A$78,$A49)&gt;0,OR($B$4="any",$B$4="fixed",AND($B$4="group",LEFT($A49,LEN($E$4)+1)=$E$4&amp;"（"),IFERROR(OR(ISNUMBER(FIND("|"&amp;$A49&amp;"|",$D$4)),AND(IFERROR(FIND("（",$A49),0)&gt;0,ISNUMBER(FIND("|"&amp;LEFT($A49,FIND("（",$A49)-1)&amp;"*|",$D$4)))),FALSE)))),ROW()-19,999)</f>
        <v>30</v>
      </c>
      <c r="AG49" t="str">
        <f ca="1">IFERROR(INDEX($A$20:$A$78,SMALL($AH$20:$AH$78,30)),"")</f>
        <v>搜寻</v>
      </c>
      <c r="AH49">
        <f ca="1">IF(AND($A49&lt;&gt;"",COUNTIF($A$20:A49,A49)=1,AND($A49&lt;&gt;"",$A49&lt;&gt;"非自然知识",COUNTIF($A$20:$A$78,$A49)&gt;0,OR($B$5="any",$B$5="fixed",AND($B$5="group",LEFT($A49,LEN($E$5)+1)=$E$5&amp;"（"),IFERROR(OR(ISNUMBER(FIND("|"&amp;$A49&amp;"|",$D$5)),AND(IFERROR(FIND("（",$A49),0)&gt;0,ISNUMBER(FIND("|"&amp;LEFT($A49,FIND("（",$A49)-1)&amp;"*|",$D$5)))),FALSE)))),ROW()-19,999)</f>
        <v>30</v>
      </c>
      <c r="AI49" t="str">
        <f ca="1">IFERROR(INDEX($A$20:$A$78,SMALL($AJ$20:$AJ$78,30)),"")</f>
        <v>搜寻</v>
      </c>
      <c r="AJ49">
        <f ca="1">IF(AND($A49&lt;&gt;"",COUNTIF($A$20:A49,A49)=1,AND($A49&lt;&gt;"",$A49&lt;&gt;"非自然知识",COUNTIF($A$20:$A$78,$A49)&gt;0,OR($B$6="any",$B$6="fixed",AND($B$6="group",LEFT($A49,LEN($E$6)+1)=$E$6&amp;"（"),IFERROR(OR(ISNUMBER(FIND("|"&amp;$A49&amp;"|",$D$6)),AND(IFERROR(FIND("（",$A49),0)&gt;0,ISNUMBER(FIND("|"&amp;LEFT($A49,FIND("（",$A49)-1)&amp;"*|",$D$6)))),FALSE)))),ROW()-19,999)</f>
        <v>30</v>
      </c>
      <c r="AK49" t="str">
        <f ca="1">IFERROR(INDEX($A$20:$A$78,SMALL($AL$20:$AL$78,30)),"")</f>
        <v>搜寻</v>
      </c>
      <c r="AL49">
        <f ca="1">IF(AND($A49&lt;&gt;"",COUNTIF($A$20:A49,A49)=1,AND($A49&lt;&gt;"",$A49&lt;&gt;"非自然知识",COUNTIF($A$20:$A$78,$A49)&gt;0,OR($B$7="any",$B$7="fixed",AND($B$7="group",LEFT($A49,LEN($E$7)+1)=$E$7&amp;"（"),IFERROR(OR(ISNUMBER(FIND("|"&amp;$A49&amp;"|",$D$7)),AND(IFERROR(FIND("（",$A49),0)&gt;0,ISNUMBER(FIND("|"&amp;LEFT($A49,FIND("（",$A49)-1)&amp;"*|",$D$7)))),FALSE)))),ROW()-19,999)</f>
        <v>30</v>
      </c>
      <c r="AM49" t="str">
        <f ca="1">IFERROR(INDEX($A$20:$A$78,SMALL($AN$20:$AN$78,30)),"")</f>
        <v>搜寻</v>
      </c>
      <c r="AN49">
        <f ca="1">IF(AND($A49&lt;&gt;"",COUNTIF($A$20:A49,A49)=1,AND($A49&lt;&gt;"",$A49&lt;&gt;"非自然知识",COUNTIF($A$20:$A$78,$A49)&gt;0,OR($B$8="any",$B$8="fixed",AND($B$8="group",LEFT($A49,LEN($E$8)+1)=$E$8&amp;"（"),IFERROR(OR(ISNUMBER(FIND("|"&amp;$A49&amp;"|",$D$8)),AND(IFERROR(FIND("（",$A49),0)&gt;0,ISNUMBER(FIND("|"&amp;LEFT($A49,FIND("（",$A49)-1)&amp;"*|",$D$8)))),FALSE)))),ROW()-19,999)</f>
        <v>30</v>
      </c>
      <c r="AO49" t="str">
        <f ca="1">IFERROR(INDEX($A$20:$A$78,SMALL($AP$20:$AP$78,30)),"")</f>
        <v>搜寻</v>
      </c>
      <c r="AP49">
        <f ca="1">IF(AND($A49&lt;&gt;"",COUNTIF($A$20:A49,A49)=1,AND($A49&lt;&gt;"",$A49&lt;&gt;"非自然知识",COUNTIF($A$20:$A$78,$A49)&gt;0,OR($B$9="any",$B$9="fixed",AND($B$9="group",LEFT($A49,LEN($E$9)+1)=$E$9&amp;"（"),IFERROR(OR(ISNUMBER(FIND("|"&amp;$A49&amp;"|",$D$9)),AND(IFERROR(FIND("（",$A49),0)&gt;0,ISNUMBER(FIND("|"&amp;LEFT($A49,FIND("（",$A49)-1)&amp;"*|",$D$9)))),FALSE)))),ROW()-19,999)</f>
        <v>30</v>
      </c>
    </row>
    <row r="50" spans="1:42">
      <c r="A50" t="str">
        <f>人物卡!AG14</f>
        <v>法律</v>
      </c>
      <c r="B50" t="str">
        <f t="shared" si="2"/>
        <v/>
      </c>
      <c r="C50">
        <f ca="1">IF(人物卡!AY14="",N(人物卡!AV14),N(人物卡!AY14))</f>
        <v>0</v>
      </c>
      <c r="D50">
        <f ca="1">IF(AND(A50&lt;&gt;"",COUNTIF($A$20:A50,A50)=1),COUNTIF($H$2:$H$9,A50)*20,0)</f>
        <v>0</v>
      </c>
      <c r="E50">
        <f ca="1" t="shared" si="3"/>
        <v>0</v>
      </c>
      <c r="F50">
        <f ca="1">IF(AND(A50&lt;&gt;"",COUNTIF($A$20:A50,A50)=1),IF(A50="神秘学",IF(人物卡!$DF$46="人类不应知道之事",20,IF(OR(人物卡!$DF$46="极端暴力",人物卡!$DF$46="关押或入狱",人物卡!$DF$46="艰苦经历"),10,0)),0)+IF(人物卡!$DF$46="艰苦经历",COUNTIF($H$12:$H$16,A50)*10,0),0)</f>
        <v>0</v>
      </c>
      <c r="G50">
        <f ca="1">IF(人物卡!$DF$46="艰苦经历",MIN(F50,MAX(0,90-C50-E50)),MIN(F50,MAX(0,99-C50-E50)))</f>
        <v>0</v>
      </c>
      <c r="H50" t="str">
        <f ca="1" t="shared" si="4"/>
        <v/>
      </c>
      <c r="I50" t="str">
        <f ca="1" t="shared" si="5"/>
        <v/>
      </c>
      <c r="J50" t="s">
        <v>2298</v>
      </c>
      <c r="K50" t="s">
        <v>2299</v>
      </c>
      <c r="Y50">
        <f ca="1">IF(AND($A50&lt;&gt;"",COUNTIF($A$20:A50,A50)=1,$A50&lt;&gt;"非自然知识"),ROW()-19,999)</f>
        <v>31</v>
      </c>
      <c r="Z50" t="str">
        <f ca="1">IFERROR(INDEX($A$20:$A$78,SMALL($Y$20:$Y$78,31)),"")</f>
        <v>信号情报</v>
      </c>
      <c r="AA50" t="str">
        <f ca="1">IFERROR(INDEX($A$20:$A$78,SMALL($AB$20:$AB$78,31)),"")</f>
        <v>信号情报</v>
      </c>
      <c r="AB50">
        <f ca="1">IF(AND($A50&lt;&gt;"",COUNTIF($A$20:A50,A50)=1,AND($A50&lt;&gt;"",$A50&lt;&gt;"非自然知识",COUNTIF($A$20:$A$78,$A50)&gt;0,OR($B$2="any",$B$2="fixed",AND($B$2="group",LEFT($A50,LEN($E$2)+1)=$E$2&amp;"（"),IFERROR(OR(ISNUMBER(FIND("|"&amp;$A50&amp;"|",$D$2)),AND(IFERROR(FIND("（",$A50),0)&gt;0,ISNUMBER(FIND("|"&amp;LEFT($A50,FIND("（",$A50)-1)&amp;"*|",$D$2)))),FALSE)))),ROW()-19,999)</f>
        <v>31</v>
      </c>
      <c r="AC50" t="str">
        <f ca="1">IFERROR(INDEX($A$20:$A$78,SMALL($AD$20:$AD$78,31)),"")</f>
        <v>信号情报</v>
      </c>
      <c r="AD50">
        <f ca="1">IF(AND($A50&lt;&gt;"",COUNTIF($A$20:A50,A50)=1,AND($A50&lt;&gt;"",$A50&lt;&gt;"非自然知识",COUNTIF($A$20:$A$78,$A50)&gt;0,OR($B$3="any",$B$3="fixed",AND($B$3="group",LEFT($A50,LEN($E$3)+1)=$E$3&amp;"（"),IFERROR(OR(ISNUMBER(FIND("|"&amp;$A50&amp;"|",$D$3)),AND(IFERROR(FIND("（",$A50),0)&gt;0,ISNUMBER(FIND("|"&amp;LEFT($A50,FIND("（",$A50)-1)&amp;"*|",$D$3)))),FALSE)))),ROW()-19,999)</f>
        <v>31</v>
      </c>
      <c r="AE50" t="str">
        <f ca="1">IFERROR(INDEX($A$20:$A$78,SMALL($AF$20:$AF$78,31)),"")</f>
        <v>信号情报</v>
      </c>
      <c r="AF50">
        <f ca="1">IF(AND($A50&lt;&gt;"",COUNTIF($A$20:A50,A50)=1,AND($A50&lt;&gt;"",$A50&lt;&gt;"非自然知识",COUNTIF($A$20:$A$78,$A50)&gt;0,OR($B$4="any",$B$4="fixed",AND($B$4="group",LEFT($A50,LEN($E$4)+1)=$E$4&amp;"（"),IFERROR(OR(ISNUMBER(FIND("|"&amp;$A50&amp;"|",$D$4)),AND(IFERROR(FIND("（",$A50),0)&gt;0,ISNUMBER(FIND("|"&amp;LEFT($A50,FIND("（",$A50)-1)&amp;"*|",$D$4)))),FALSE)))),ROW()-19,999)</f>
        <v>31</v>
      </c>
      <c r="AG50" t="str">
        <f ca="1">IFERROR(INDEX($A$20:$A$78,SMALL($AH$20:$AH$78,31)),"")</f>
        <v>信号情报</v>
      </c>
      <c r="AH50">
        <f ca="1">IF(AND($A50&lt;&gt;"",COUNTIF($A$20:A50,A50)=1,AND($A50&lt;&gt;"",$A50&lt;&gt;"非自然知识",COUNTIF($A$20:$A$78,$A50)&gt;0,OR($B$5="any",$B$5="fixed",AND($B$5="group",LEFT($A50,LEN($E$5)+1)=$E$5&amp;"（"),IFERROR(OR(ISNUMBER(FIND("|"&amp;$A50&amp;"|",$D$5)),AND(IFERROR(FIND("（",$A50),0)&gt;0,ISNUMBER(FIND("|"&amp;LEFT($A50,FIND("（",$A50)-1)&amp;"*|",$D$5)))),FALSE)))),ROW()-19,999)</f>
        <v>31</v>
      </c>
      <c r="AI50" t="str">
        <f ca="1">IFERROR(INDEX($A$20:$A$78,SMALL($AJ$20:$AJ$78,31)),"")</f>
        <v>信号情报</v>
      </c>
      <c r="AJ50">
        <f ca="1">IF(AND($A50&lt;&gt;"",COUNTIF($A$20:A50,A50)=1,AND($A50&lt;&gt;"",$A50&lt;&gt;"非自然知识",COUNTIF($A$20:$A$78,$A50)&gt;0,OR($B$6="any",$B$6="fixed",AND($B$6="group",LEFT($A50,LEN($E$6)+1)=$E$6&amp;"（"),IFERROR(OR(ISNUMBER(FIND("|"&amp;$A50&amp;"|",$D$6)),AND(IFERROR(FIND("（",$A50),0)&gt;0,ISNUMBER(FIND("|"&amp;LEFT($A50,FIND("（",$A50)-1)&amp;"*|",$D$6)))),FALSE)))),ROW()-19,999)</f>
        <v>31</v>
      </c>
      <c r="AK50" t="str">
        <f ca="1">IFERROR(INDEX($A$20:$A$78,SMALL($AL$20:$AL$78,31)),"")</f>
        <v>信号情报</v>
      </c>
      <c r="AL50">
        <f ca="1">IF(AND($A50&lt;&gt;"",COUNTIF($A$20:A50,A50)=1,AND($A50&lt;&gt;"",$A50&lt;&gt;"非自然知识",COUNTIF($A$20:$A$78,$A50)&gt;0,OR($B$7="any",$B$7="fixed",AND($B$7="group",LEFT($A50,LEN($E$7)+1)=$E$7&amp;"（"),IFERROR(OR(ISNUMBER(FIND("|"&amp;$A50&amp;"|",$D$7)),AND(IFERROR(FIND("（",$A50),0)&gt;0,ISNUMBER(FIND("|"&amp;LEFT($A50,FIND("（",$A50)-1)&amp;"*|",$D$7)))),FALSE)))),ROW()-19,999)</f>
        <v>31</v>
      </c>
      <c r="AM50" t="str">
        <f ca="1">IFERROR(INDEX($A$20:$A$78,SMALL($AN$20:$AN$78,31)),"")</f>
        <v>信号情报</v>
      </c>
      <c r="AN50">
        <f ca="1">IF(AND($A50&lt;&gt;"",COUNTIF($A$20:A50,A50)=1,AND($A50&lt;&gt;"",$A50&lt;&gt;"非自然知识",COUNTIF($A$20:$A$78,$A50)&gt;0,OR($B$8="any",$B$8="fixed",AND($B$8="group",LEFT($A50,LEN($E$8)+1)=$E$8&amp;"（"),IFERROR(OR(ISNUMBER(FIND("|"&amp;$A50&amp;"|",$D$8)),AND(IFERROR(FIND("（",$A50),0)&gt;0,ISNUMBER(FIND("|"&amp;LEFT($A50,FIND("（",$A50)-1)&amp;"*|",$D$8)))),FALSE)))),ROW()-19,999)</f>
        <v>31</v>
      </c>
      <c r="AO50" t="str">
        <f ca="1">IFERROR(INDEX($A$20:$A$78,SMALL($AP$20:$AP$78,31)),"")</f>
        <v>信号情报</v>
      </c>
      <c r="AP50">
        <f ca="1">IF(AND($A50&lt;&gt;"",COUNTIF($A$20:A50,A50)=1,AND($A50&lt;&gt;"",$A50&lt;&gt;"非自然知识",COUNTIF($A$20:$A$78,$A50)&gt;0,OR($B$9="any",$B$9="fixed",AND($B$9="group",LEFT($A50,LEN($E$9)+1)=$E$9&amp;"（"),IFERROR(OR(ISNUMBER(FIND("|"&amp;$A50&amp;"|",$D$9)),AND(IFERROR(FIND("（",$A50),0)&gt;0,ISNUMBER(FIND("|"&amp;LEFT($A50,FIND("（",$A50)-1)&amp;"*|",$D$9)))),FALSE)))),ROW()-19,999)</f>
        <v>31</v>
      </c>
    </row>
    <row r="51" spans="1:42">
      <c r="A51" t="str">
        <f>人物卡!AG15</f>
        <v>医学</v>
      </c>
      <c r="B51" t="str">
        <f t="shared" si="2"/>
        <v/>
      </c>
      <c r="C51">
        <f ca="1">IF(人物卡!AY15="",N(人物卡!AV15),N(人物卡!AY15))</f>
        <v>0</v>
      </c>
      <c r="D51">
        <f ca="1">IF(AND(A51&lt;&gt;"",COUNTIF($A$20:A51,A51)=1),COUNTIF($H$2:$H$9,A51)*20,0)</f>
        <v>0</v>
      </c>
      <c r="E51">
        <f ca="1" t="shared" si="3"/>
        <v>0</v>
      </c>
      <c r="F51">
        <f ca="1">IF(AND(A51&lt;&gt;"",COUNTIF($A$20:A51,A51)=1),IF(A51="神秘学",IF(人物卡!$DF$46="人类不应知道之事",20,IF(OR(人物卡!$DF$46="极端暴力",人物卡!$DF$46="关押或入狱",人物卡!$DF$46="艰苦经历"),10,0)),0)+IF(人物卡!$DF$46="艰苦经历",COUNTIF($H$12:$H$16,A51)*10,0),0)</f>
        <v>0</v>
      </c>
      <c r="G51">
        <f ca="1">IF(人物卡!$DF$46="艰苦经历",MIN(F51,MAX(0,90-C51-E51)),MIN(F51,MAX(0,99-C51-E51)))</f>
        <v>0</v>
      </c>
      <c r="H51" t="str">
        <f ca="1" t="shared" si="4"/>
        <v/>
      </c>
      <c r="I51" t="str">
        <f ca="1" t="shared" si="5"/>
        <v/>
      </c>
      <c r="J51" t="s">
        <v>2300</v>
      </c>
      <c r="K51" t="s">
        <v>2301</v>
      </c>
      <c r="Y51">
        <f ca="1">IF(AND($A51&lt;&gt;"",COUNTIF($A$20:A51,A51)=1,$A51&lt;&gt;"非自然知识"),ROW()-19,999)</f>
        <v>32</v>
      </c>
      <c r="Z51" t="str">
        <f ca="1">IFERROR(INDEX($A$20:$A$78,SMALL($Y$20:$Y$78,32)),"")</f>
        <v>潜藏</v>
      </c>
      <c r="AA51" t="str">
        <f ca="1">IFERROR(INDEX($A$20:$A$78,SMALL($AB$20:$AB$78,32)),"")</f>
        <v>潜藏</v>
      </c>
      <c r="AB51">
        <f ca="1">IF(AND($A51&lt;&gt;"",COUNTIF($A$20:A51,A51)=1,AND($A51&lt;&gt;"",$A51&lt;&gt;"非自然知识",COUNTIF($A$20:$A$78,$A51)&gt;0,OR($B$2="any",$B$2="fixed",AND($B$2="group",LEFT($A51,LEN($E$2)+1)=$E$2&amp;"（"),IFERROR(OR(ISNUMBER(FIND("|"&amp;$A51&amp;"|",$D$2)),AND(IFERROR(FIND("（",$A51),0)&gt;0,ISNUMBER(FIND("|"&amp;LEFT($A51,FIND("（",$A51)-1)&amp;"*|",$D$2)))),FALSE)))),ROW()-19,999)</f>
        <v>32</v>
      </c>
      <c r="AC51" t="str">
        <f ca="1">IFERROR(INDEX($A$20:$A$78,SMALL($AD$20:$AD$78,32)),"")</f>
        <v>潜藏</v>
      </c>
      <c r="AD51">
        <f ca="1">IF(AND($A51&lt;&gt;"",COUNTIF($A$20:A51,A51)=1,AND($A51&lt;&gt;"",$A51&lt;&gt;"非自然知识",COUNTIF($A$20:$A$78,$A51)&gt;0,OR($B$3="any",$B$3="fixed",AND($B$3="group",LEFT($A51,LEN($E$3)+1)=$E$3&amp;"（"),IFERROR(OR(ISNUMBER(FIND("|"&amp;$A51&amp;"|",$D$3)),AND(IFERROR(FIND("（",$A51),0)&gt;0,ISNUMBER(FIND("|"&amp;LEFT($A51,FIND("（",$A51)-1)&amp;"*|",$D$3)))),FALSE)))),ROW()-19,999)</f>
        <v>32</v>
      </c>
      <c r="AE51" t="str">
        <f ca="1">IFERROR(INDEX($A$20:$A$78,SMALL($AF$20:$AF$78,32)),"")</f>
        <v>潜藏</v>
      </c>
      <c r="AF51">
        <f ca="1">IF(AND($A51&lt;&gt;"",COUNTIF($A$20:A51,A51)=1,AND($A51&lt;&gt;"",$A51&lt;&gt;"非自然知识",COUNTIF($A$20:$A$78,$A51)&gt;0,OR($B$4="any",$B$4="fixed",AND($B$4="group",LEFT($A51,LEN($E$4)+1)=$E$4&amp;"（"),IFERROR(OR(ISNUMBER(FIND("|"&amp;$A51&amp;"|",$D$4)),AND(IFERROR(FIND("（",$A51),0)&gt;0,ISNUMBER(FIND("|"&amp;LEFT($A51,FIND("（",$A51)-1)&amp;"*|",$D$4)))),FALSE)))),ROW()-19,999)</f>
        <v>32</v>
      </c>
      <c r="AG51" t="str">
        <f ca="1">IFERROR(INDEX($A$20:$A$78,SMALL($AH$20:$AH$78,32)),"")</f>
        <v>潜藏</v>
      </c>
      <c r="AH51">
        <f ca="1">IF(AND($A51&lt;&gt;"",COUNTIF($A$20:A51,A51)=1,AND($A51&lt;&gt;"",$A51&lt;&gt;"非自然知识",COUNTIF($A$20:$A$78,$A51)&gt;0,OR($B$5="any",$B$5="fixed",AND($B$5="group",LEFT($A51,LEN($E$5)+1)=$E$5&amp;"（"),IFERROR(OR(ISNUMBER(FIND("|"&amp;$A51&amp;"|",$D$5)),AND(IFERROR(FIND("（",$A51),0)&gt;0,ISNUMBER(FIND("|"&amp;LEFT($A51,FIND("（",$A51)-1)&amp;"*|",$D$5)))),FALSE)))),ROW()-19,999)</f>
        <v>32</v>
      </c>
      <c r="AI51" t="str">
        <f ca="1">IFERROR(INDEX($A$20:$A$78,SMALL($AJ$20:$AJ$78,32)),"")</f>
        <v>潜藏</v>
      </c>
      <c r="AJ51">
        <f ca="1">IF(AND($A51&lt;&gt;"",COUNTIF($A$20:A51,A51)=1,AND($A51&lt;&gt;"",$A51&lt;&gt;"非自然知识",COUNTIF($A$20:$A$78,$A51)&gt;0,OR($B$6="any",$B$6="fixed",AND($B$6="group",LEFT($A51,LEN($E$6)+1)=$E$6&amp;"（"),IFERROR(OR(ISNUMBER(FIND("|"&amp;$A51&amp;"|",$D$6)),AND(IFERROR(FIND("（",$A51),0)&gt;0,ISNUMBER(FIND("|"&amp;LEFT($A51,FIND("（",$A51)-1)&amp;"*|",$D$6)))),FALSE)))),ROW()-19,999)</f>
        <v>32</v>
      </c>
      <c r="AK51" t="str">
        <f ca="1">IFERROR(INDEX($A$20:$A$78,SMALL($AL$20:$AL$78,32)),"")</f>
        <v>潜藏</v>
      </c>
      <c r="AL51">
        <f ca="1">IF(AND($A51&lt;&gt;"",COUNTIF($A$20:A51,A51)=1,AND($A51&lt;&gt;"",$A51&lt;&gt;"非自然知识",COUNTIF($A$20:$A$78,$A51)&gt;0,OR($B$7="any",$B$7="fixed",AND($B$7="group",LEFT($A51,LEN($E$7)+1)=$E$7&amp;"（"),IFERROR(OR(ISNUMBER(FIND("|"&amp;$A51&amp;"|",$D$7)),AND(IFERROR(FIND("（",$A51),0)&gt;0,ISNUMBER(FIND("|"&amp;LEFT($A51,FIND("（",$A51)-1)&amp;"*|",$D$7)))),FALSE)))),ROW()-19,999)</f>
        <v>32</v>
      </c>
      <c r="AM51" t="str">
        <f ca="1">IFERROR(INDEX($A$20:$A$78,SMALL($AN$20:$AN$78,32)),"")</f>
        <v>潜藏</v>
      </c>
      <c r="AN51">
        <f ca="1">IF(AND($A51&lt;&gt;"",COUNTIF($A$20:A51,A51)=1,AND($A51&lt;&gt;"",$A51&lt;&gt;"非自然知识",COUNTIF($A$20:$A$78,$A51)&gt;0,OR($B$8="any",$B$8="fixed",AND($B$8="group",LEFT($A51,LEN($E$8)+1)=$E$8&amp;"（"),IFERROR(OR(ISNUMBER(FIND("|"&amp;$A51&amp;"|",$D$8)),AND(IFERROR(FIND("（",$A51),0)&gt;0,ISNUMBER(FIND("|"&amp;LEFT($A51,FIND("（",$A51)-1)&amp;"*|",$D$8)))),FALSE)))),ROW()-19,999)</f>
        <v>32</v>
      </c>
      <c r="AO51" t="str">
        <f ca="1">IFERROR(INDEX($A$20:$A$78,SMALL($AP$20:$AP$78,32)),"")</f>
        <v>潜藏</v>
      </c>
      <c r="AP51">
        <f ca="1">IF(AND($A51&lt;&gt;"",COUNTIF($A$20:A51,A51)=1,AND($A51&lt;&gt;"",$A51&lt;&gt;"非自然知识",COUNTIF($A$20:$A$78,$A51)&gt;0,OR($B$9="any",$B$9="fixed",AND($B$9="group",LEFT($A51,LEN($E$9)+1)=$E$9&amp;"（"),IFERROR(OR(ISNUMBER(FIND("|"&amp;$A51&amp;"|",$D$9)),AND(IFERROR(FIND("（",$A51),0)&gt;0,ISNUMBER(FIND("|"&amp;LEFT($A51,FIND("（",$A51)-1)&amp;"*|",$D$9)))),FALSE)))),ROW()-19,999)</f>
        <v>32</v>
      </c>
    </row>
    <row r="52" spans="1:42">
      <c r="A52" t="str">
        <f>人物卡!AG16</f>
        <v>近战武器</v>
      </c>
      <c r="B52" t="str">
        <f t="shared" si="2"/>
        <v/>
      </c>
      <c r="C52">
        <f ca="1">IF(人物卡!AY16="",N(人物卡!AV16),N(人物卡!AY16))</f>
        <v>30</v>
      </c>
      <c r="D52">
        <f ca="1">IF(AND(A52&lt;&gt;"",COUNTIF($A$20:A52,A52)=1),COUNTIF($H$2:$H$9,A52)*20,0)</f>
        <v>0</v>
      </c>
      <c r="E52">
        <f ca="1" t="shared" si="3"/>
        <v>0</v>
      </c>
      <c r="F52">
        <f ca="1">IF(AND(A52&lt;&gt;"",COUNTIF($A$20:A52,A52)=1),IF(A52="神秘学",IF(人物卡!$DF$46="人类不应知道之事",20,IF(OR(人物卡!$DF$46="极端暴力",人物卡!$DF$46="关押或入狱",人物卡!$DF$46="艰苦经历"),10,0)),0)+IF(人物卡!$DF$46="艰苦经历",COUNTIF($H$12:$H$16,A52)*10,0),0)</f>
        <v>0</v>
      </c>
      <c r="G52">
        <f ca="1">IF(人物卡!$DF$46="艰苦经历",MIN(F52,MAX(0,90-C52-E52)),MIN(F52,MAX(0,99-C52-E52)))</f>
        <v>0</v>
      </c>
      <c r="H52" t="str">
        <f ca="1" t="shared" si="4"/>
        <v/>
      </c>
      <c r="I52" t="str">
        <f ca="1" t="shared" si="5"/>
        <v/>
      </c>
      <c r="J52" t="s">
        <v>2302</v>
      </c>
      <c r="K52" t="s">
        <v>2303</v>
      </c>
      <c r="Y52">
        <f ca="1">IF(AND($A52&lt;&gt;"",COUNTIF($A$20:A52,A52)=1,$A52&lt;&gt;"非自然知识"),ROW()-19,999)</f>
        <v>33</v>
      </c>
      <c r="Z52" t="str">
        <f ca="1">IFERROR(INDEX($A$20:$A$78,SMALL($Y$20:$Y$78,33)),"")</f>
        <v>手术</v>
      </c>
      <c r="AA52" t="str">
        <f ca="1">IFERROR(INDEX($A$20:$A$78,SMALL($AB$20:$AB$78,33)),"")</f>
        <v>手术</v>
      </c>
      <c r="AB52">
        <f ca="1">IF(AND($A52&lt;&gt;"",COUNTIF($A$20:A52,A52)=1,AND($A52&lt;&gt;"",$A52&lt;&gt;"非自然知识",COUNTIF($A$20:$A$78,$A52)&gt;0,OR($B$2="any",$B$2="fixed",AND($B$2="group",LEFT($A52,LEN($E$2)+1)=$E$2&amp;"（"),IFERROR(OR(ISNUMBER(FIND("|"&amp;$A52&amp;"|",$D$2)),AND(IFERROR(FIND("（",$A52),0)&gt;0,ISNUMBER(FIND("|"&amp;LEFT($A52,FIND("（",$A52)-1)&amp;"*|",$D$2)))),FALSE)))),ROW()-19,999)</f>
        <v>33</v>
      </c>
      <c r="AC52" t="str">
        <f ca="1">IFERROR(INDEX($A$20:$A$78,SMALL($AD$20:$AD$78,33)),"")</f>
        <v>手术</v>
      </c>
      <c r="AD52">
        <f ca="1">IF(AND($A52&lt;&gt;"",COUNTIF($A$20:A52,A52)=1,AND($A52&lt;&gt;"",$A52&lt;&gt;"非自然知识",COUNTIF($A$20:$A$78,$A52)&gt;0,OR($B$3="any",$B$3="fixed",AND($B$3="group",LEFT($A52,LEN($E$3)+1)=$E$3&amp;"（"),IFERROR(OR(ISNUMBER(FIND("|"&amp;$A52&amp;"|",$D$3)),AND(IFERROR(FIND("（",$A52),0)&gt;0,ISNUMBER(FIND("|"&amp;LEFT($A52,FIND("（",$A52)-1)&amp;"*|",$D$3)))),FALSE)))),ROW()-19,999)</f>
        <v>33</v>
      </c>
      <c r="AE52" t="str">
        <f ca="1">IFERROR(INDEX($A$20:$A$78,SMALL($AF$20:$AF$78,33)),"")</f>
        <v>手术</v>
      </c>
      <c r="AF52">
        <f ca="1">IF(AND($A52&lt;&gt;"",COUNTIF($A$20:A52,A52)=1,AND($A52&lt;&gt;"",$A52&lt;&gt;"非自然知识",COUNTIF($A$20:$A$78,$A52)&gt;0,OR($B$4="any",$B$4="fixed",AND($B$4="group",LEFT($A52,LEN($E$4)+1)=$E$4&amp;"（"),IFERROR(OR(ISNUMBER(FIND("|"&amp;$A52&amp;"|",$D$4)),AND(IFERROR(FIND("（",$A52),0)&gt;0,ISNUMBER(FIND("|"&amp;LEFT($A52,FIND("（",$A52)-1)&amp;"*|",$D$4)))),FALSE)))),ROW()-19,999)</f>
        <v>33</v>
      </c>
      <c r="AG52" t="str">
        <f ca="1">IFERROR(INDEX($A$20:$A$78,SMALL($AH$20:$AH$78,33)),"")</f>
        <v>手术</v>
      </c>
      <c r="AH52">
        <f ca="1">IF(AND($A52&lt;&gt;"",COUNTIF($A$20:A52,A52)=1,AND($A52&lt;&gt;"",$A52&lt;&gt;"非自然知识",COUNTIF($A$20:$A$78,$A52)&gt;0,OR($B$5="any",$B$5="fixed",AND($B$5="group",LEFT($A52,LEN($E$5)+1)=$E$5&amp;"（"),IFERROR(OR(ISNUMBER(FIND("|"&amp;$A52&amp;"|",$D$5)),AND(IFERROR(FIND("（",$A52),0)&gt;0,ISNUMBER(FIND("|"&amp;LEFT($A52,FIND("（",$A52)-1)&amp;"*|",$D$5)))),FALSE)))),ROW()-19,999)</f>
        <v>33</v>
      </c>
      <c r="AI52" t="str">
        <f ca="1">IFERROR(INDEX($A$20:$A$78,SMALL($AJ$20:$AJ$78,33)),"")</f>
        <v>手术</v>
      </c>
      <c r="AJ52">
        <f ca="1">IF(AND($A52&lt;&gt;"",COUNTIF($A$20:A52,A52)=1,AND($A52&lt;&gt;"",$A52&lt;&gt;"非自然知识",COUNTIF($A$20:$A$78,$A52)&gt;0,OR($B$6="any",$B$6="fixed",AND($B$6="group",LEFT($A52,LEN($E$6)+1)=$E$6&amp;"（"),IFERROR(OR(ISNUMBER(FIND("|"&amp;$A52&amp;"|",$D$6)),AND(IFERROR(FIND("（",$A52),0)&gt;0,ISNUMBER(FIND("|"&amp;LEFT($A52,FIND("（",$A52)-1)&amp;"*|",$D$6)))),FALSE)))),ROW()-19,999)</f>
        <v>33</v>
      </c>
      <c r="AK52" t="str">
        <f ca="1">IFERROR(INDEX($A$20:$A$78,SMALL($AL$20:$AL$78,33)),"")</f>
        <v>手术</v>
      </c>
      <c r="AL52">
        <f ca="1">IF(AND($A52&lt;&gt;"",COUNTIF($A$20:A52,A52)=1,AND($A52&lt;&gt;"",$A52&lt;&gt;"非自然知识",COUNTIF($A$20:$A$78,$A52)&gt;0,OR($B$7="any",$B$7="fixed",AND($B$7="group",LEFT($A52,LEN($E$7)+1)=$E$7&amp;"（"),IFERROR(OR(ISNUMBER(FIND("|"&amp;$A52&amp;"|",$D$7)),AND(IFERROR(FIND("（",$A52),0)&gt;0,ISNUMBER(FIND("|"&amp;LEFT($A52,FIND("（",$A52)-1)&amp;"*|",$D$7)))),FALSE)))),ROW()-19,999)</f>
        <v>33</v>
      </c>
      <c r="AM52" t="str">
        <f ca="1">IFERROR(INDEX($A$20:$A$78,SMALL($AN$20:$AN$78,33)),"")</f>
        <v>手术</v>
      </c>
      <c r="AN52">
        <f ca="1">IF(AND($A52&lt;&gt;"",COUNTIF($A$20:A52,A52)=1,AND($A52&lt;&gt;"",$A52&lt;&gt;"非自然知识",COUNTIF($A$20:$A$78,$A52)&gt;0,OR($B$8="any",$B$8="fixed",AND($B$8="group",LEFT($A52,LEN($E$8)+1)=$E$8&amp;"（"),IFERROR(OR(ISNUMBER(FIND("|"&amp;$A52&amp;"|",$D$8)),AND(IFERROR(FIND("（",$A52),0)&gt;0,ISNUMBER(FIND("|"&amp;LEFT($A52,FIND("（",$A52)-1)&amp;"*|",$D$8)))),FALSE)))),ROW()-19,999)</f>
        <v>33</v>
      </c>
      <c r="AO52" t="str">
        <f ca="1">IFERROR(INDEX($A$20:$A$78,SMALL($AP$20:$AP$78,33)),"")</f>
        <v>手术</v>
      </c>
      <c r="AP52">
        <f ca="1">IF(AND($A52&lt;&gt;"",COUNTIF($A$20:A52,A52)=1,AND($A52&lt;&gt;"",$A52&lt;&gt;"非自然知识",COUNTIF($A$20:$A$78,$A52)&gt;0,OR($B$9="any",$B$9="fixed",AND($B$9="group",LEFT($A52,LEN($E$9)+1)=$E$9&amp;"（"),IFERROR(OR(ISNUMBER(FIND("|"&amp;$A52&amp;"|",$D$9)),AND(IFERROR(FIND("（",$A52),0)&gt;0,ISNUMBER(FIND("|"&amp;LEFT($A52,FIND("（",$A52)-1)&amp;"*|",$D$9)))),FALSE)))),ROW()-19,999)</f>
        <v>33</v>
      </c>
    </row>
    <row r="53" spans="1:42">
      <c r="A53" t="str">
        <f ca="1">IF(TRIM(人物卡!AM17)="","","军事科学（"&amp;TRIM(人物卡!AM17)&amp;"）")</f>
        <v/>
      </c>
      <c r="B53" t="str">
        <f ca="1" t="shared" si="2"/>
        <v/>
      </c>
      <c r="C53">
        <f ca="1">IF(人物卡!AY17="",N(人物卡!AV17),N(人物卡!AY17))</f>
        <v>0</v>
      </c>
      <c r="D53">
        <f ca="1">IF(AND(A53&lt;&gt;"",COUNTIF($A$20:A53,A53)=1),COUNTIF($H$2:$H$9,A53)*20,0)</f>
        <v>0</v>
      </c>
      <c r="E53">
        <f ca="1" t="shared" si="3"/>
        <v>0</v>
      </c>
      <c r="F53">
        <f ca="1">IF(AND(A53&lt;&gt;"",COUNTIF($A$20:A53,A53)=1),IF(A53="神秘学",IF(人物卡!$DF$46="人类不应知道之事",20,IF(OR(人物卡!$DF$46="极端暴力",人物卡!$DF$46="关押或入狱",人物卡!$DF$46="艰苦经历"),10,0)),0)+IF(人物卡!$DF$46="艰苦经历",COUNTIF($H$12:$H$16,A53)*10,0),0)</f>
        <v>0</v>
      </c>
      <c r="G53">
        <f ca="1">IF(人物卡!$DF$46="艰苦经历",MIN(F53,MAX(0,90-C53-E53)),MIN(F53,MAX(0,99-C53-E53)))</f>
        <v>0</v>
      </c>
      <c r="H53" t="str">
        <f ca="1" t="shared" si="4"/>
        <v/>
      </c>
      <c r="I53" t="str">
        <f ca="1" t="shared" si="5"/>
        <v/>
      </c>
      <c r="J53" t="s">
        <v>2304</v>
      </c>
      <c r="K53" t="s">
        <v>2305</v>
      </c>
      <c r="Y53">
        <f ca="1">IF(AND($A53&lt;&gt;"",COUNTIF($A$20:A53,A53)=1,$A53&lt;&gt;"非自然知识"),ROW()-19,999)</f>
        <v>999</v>
      </c>
      <c r="Z53" t="str">
        <f ca="1">IFERROR(INDEX($A$20:$A$78,SMALL($Y$20:$Y$78,34)),"")</f>
        <v>生存</v>
      </c>
      <c r="AA53" t="str">
        <f ca="1">IFERROR(INDEX($A$20:$A$78,SMALL($AB$20:$AB$78,34)),"")</f>
        <v>生存</v>
      </c>
      <c r="AB53">
        <f ca="1">IF(AND($A53&lt;&gt;"",COUNTIF($A$20:A53,A53)=1,AND($A53&lt;&gt;"",$A53&lt;&gt;"非自然知识",COUNTIF($A$20:$A$78,$A53)&gt;0,OR($B$2="any",$B$2="fixed",AND($B$2="group",LEFT($A53,LEN($E$2)+1)=$E$2&amp;"（"),IFERROR(OR(ISNUMBER(FIND("|"&amp;$A53&amp;"|",$D$2)),AND(IFERROR(FIND("（",$A53),0)&gt;0,ISNUMBER(FIND("|"&amp;LEFT($A53,FIND("（",$A53)-1)&amp;"*|",$D$2)))),FALSE)))),ROW()-19,999)</f>
        <v>999</v>
      </c>
      <c r="AC53" t="str">
        <f ca="1">IFERROR(INDEX($A$20:$A$78,SMALL($AD$20:$AD$78,34)),"")</f>
        <v>生存</v>
      </c>
      <c r="AD53">
        <f ca="1">IF(AND($A53&lt;&gt;"",COUNTIF($A$20:A53,A53)=1,AND($A53&lt;&gt;"",$A53&lt;&gt;"非自然知识",COUNTIF($A$20:$A$78,$A53)&gt;0,OR($B$3="any",$B$3="fixed",AND($B$3="group",LEFT($A53,LEN($E$3)+1)=$E$3&amp;"（"),IFERROR(OR(ISNUMBER(FIND("|"&amp;$A53&amp;"|",$D$3)),AND(IFERROR(FIND("（",$A53),0)&gt;0,ISNUMBER(FIND("|"&amp;LEFT($A53,FIND("（",$A53)-1)&amp;"*|",$D$3)))),FALSE)))),ROW()-19,999)</f>
        <v>999</v>
      </c>
      <c r="AE53" t="str">
        <f ca="1">IFERROR(INDEX($A$20:$A$78,SMALL($AF$20:$AF$78,34)),"")</f>
        <v>生存</v>
      </c>
      <c r="AF53">
        <f ca="1">IF(AND($A53&lt;&gt;"",COUNTIF($A$20:A53,A53)=1,AND($A53&lt;&gt;"",$A53&lt;&gt;"非自然知识",COUNTIF($A$20:$A$78,$A53)&gt;0,OR($B$4="any",$B$4="fixed",AND($B$4="group",LEFT($A53,LEN($E$4)+1)=$E$4&amp;"（"),IFERROR(OR(ISNUMBER(FIND("|"&amp;$A53&amp;"|",$D$4)),AND(IFERROR(FIND("（",$A53),0)&gt;0,ISNUMBER(FIND("|"&amp;LEFT($A53,FIND("（",$A53)-1)&amp;"*|",$D$4)))),FALSE)))),ROW()-19,999)</f>
        <v>999</v>
      </c>
      <c r="AG53" t="str">
        <f ca="1">IFERROR(INDEX($A$20:$A$78,SMALL($AH$20:$AH$78,34)),"")</f>
        <v>生存</v>
      </c>
      <c r="AH53">
        <f ca="1">IF(AND($A53&lt;&gt;"",COUNTIF($A$20:A53,A53)=1,AND($A53&lt;&gt;"",$A53&lt;&gt;"非自然知识",COUNTIF($A$20:$A$78,$A53)&gt;0,OR($B$5="any",$B$5="fixed",AND($B$5="group",LEFT($A53,LEN($E$5)+1)=$E$5&amp;"（"),IFERROR(OR(ISNUMBER(FIND("|"&amp;$A53&amp;"|",$D$5)),AND(IFERROR(FIND("（",$A53),0)&gt;0,ISNUMBER(FIND("|"&amp;LEFT($A53,FIND("（",$A53)-1)&amp;"*|",$D$5)))),FALSE)))),ROW()-19,999)</f>
        <v>999</v>
      </c>
      <c r="AI53" t="str">
        <f ca="1">IFERROR(INDEX($A$20:$A$78,SMALL($AJ$20:$AJ$78,34)),"")</f>
        <v>生存</v>
      </c>
      <c r="AJ53">
        <f ca="1">IF(AND($A53&lt;&gt;"",COUNTIF($A$20:A53,A53)=1,AND($A53&lt;&gt;"",$A53&lt;&gt;"非自然知识",COUNTIF($A$20:$A$78,$A53)&gt;0,OR($B$6="any",$B$6="fixed",AND($B$6="group",LEFT($A53,LEN($E$6)+1)=$E$6&amp;"（"),IFERROR(OR(ISNUMBER(FIND("|"&amp;$A53&amp;"|",$D$6)),AND(IFERROR(FIND("（",$A53),0)&gt;0,ISNUMBER(FIND("|"&amp;LEFT($A53,FIND("（",$A53)-1)&amp;"*|",$D$6)))),FALSE)))),ROW()-19,999)</f>
        <v>999</v>
      </c>
      <c r="AK53" t="str">
        <f ca="1">IFERROR(INDEX($A$20:$A$78,SMALL($AL$20:$AL$78,34)),"")</f>
        <v>生存</v>
      </c>
      <c r="AL53">
        <f ca="1">IF(AND($A53&lt;&gt;"",COUNTIF($A$20:A53,A53)=1,AND($A53&lt;&gt;"",$A53&lt;&gt;"非自然知识",COUNTIF($A$20:$A$78,$A53)&gt;0,OR($B$7="any",$B$7="fixed",AND($B$7="group",LEFT($A53,LEN($E$7)+1)=$E$7&amp;"（"),IFERROR(OR(ISNUMBER(FIND("|"&amp;$A53&amp;"|",$D$7)),AND(IFERROR(FIND("（",$A53),0)&gt;0,ISNUMBER(FIND("|"&amp;LEFT($A53,FIND("（",$A53)-1)&amp;"*|",$D$7)))),FALSE)))),ROW()-19,999)</f>
        <v>999</v>
      </c>
      <c r="AM53" t="str">
        <f ca="1">IFERROR(INDEX($A$20:$A$78,SMALL($AN$20:$AN$78,34)),"")</f>
        <v>生存</v>
      </c>
      <c r="AN53">
        <f ca="1">IF(AND($A53&lt;&gt;"",COUNTIF($A$20:A53,A53)=1,AND($A53&lt;&gt;"",$A53&lt;&gt;"非自然知识",COUNTIF($A$20:$A$78,$A53)&gt;0,OR($B$8="any",$B$8="fixed",AND($B$8="group",LEFT($A53,LEN($E$8)+1)=$E$8&amp;"（"),IFERROR(OR(ISNUMBER(FIND("|"&amp;$A53&amp;"|",$D$8)),AND(IFERROR(FIND("（",$A53),0)&gt;0,ISNUMBER(FIND("|"&amp;LEFT($A53,FIND("（",$A53)-1)&amp;"*|",$D$8)))),FALSE)))),ROW()-19,999)</f>
        <v>999</v>
      </c>
      <c r="AO53" t="str">
        <f ca="1">IFERROR(INDEX($A$20:$A$78,SMALL($AP$20:$AP$78,34)),"")</f>
        <v>生存</v>
      </c>
      <c r="AP53">
        <f ca="1">IF(AND($A53&lt;&gt;"",COUNTIF($A$20:A53,A53)=1,AND($A53&lt;&gt;"",$A53&lt;&gt;"非自然知识",COUNTIF($A$20:$A$78,$A53)&gt;0,OR($B$9="any",$B$9="fixed",AND($B$9="group",LEFT($A53,LEN($E$9)+1)=$E$9&amp;"（"),IFERROR(OR(ISNUMBER(FIND("|"&amp;$A53&amp;"|",$D$9)),AND(IFERROR(FIND("（",$A53),0)&gt;0,ISNUMBER(FIND("|"&amp;LEFT($A53,FIND("（",$A53)-1)&amp;"*|",$D$9)))),FALSE)))),ROW()-19,999)</f>
        <v>999</v>
      </c>
    </row>
    <row r="54" spans="1:42">
      <c r="A54" t="str">
        <f ca="1">IF(TRIM(人物卡!AM18)="","","军事科学（"&amp;TRIM(人物卡!AM18)&amp;"）")</f>
        <v/>
      </c>
      <c r="B54" t="str">
        <f ca="1" t="shared" si="2"/>
        <v/>
      </c>
      <c r="C54">
        <f ca="1">IF(人物卡!AY18="",N(人物卡!AV18),N(人物卡!AY18))</f>
        <v>0</v>
      </c>
      <c r="D54">
        <f ca="1">IF(AND(A54&lt;&gt;"",COUNTIF($A$20:A54,A54)=1),COUNTIF($H$2:$H$9,A54)*20,0)</f>
        <v>0</v>
      </c>
      <c r="E54">
        <f ca="1" t="shared" si="3"/>
        <v>0</v>
      </c>
      <c r="F54">
        <f ca="1">IF(AND(A54&lt;&gt;"",COUNTIF($A$20:A54,A54)=1),IF(A54="神秘学",IF(人物卡!$DF$46="人类不应知道之事",20,IF(OR(人物卡!$DF$46="极端暴力",人物卡!$DF$46="关押或入狱",人物卡!$DF$46="艰苦经历"),10,0)),0)+IF(人物卡!$DF$46="艰苦经历",COUNTIF($H$12:$H$16,A54)*10,0),0)</f>
        <v>0</v>
      </c>
      <c r="G54">
        <f ca="1">IF(人物卡!$DF$46="艰苦经历",MIN(F54,MAX(0,90-C54-E54)),MIN(F54,MAX(0,99-C54-E54)))</f>
        <v>0</v>
      </c>
      <c r="H54" t="str">
        <f ca="1" t="shared" si="4"/>
        <v/>
      </c>
      <c r="I54" t="str">
        <f ca="1" t="shared" si="5"/>
        <v/>
      </c>
      <c r="J54" t="s">
        <v>2306</v>
      </c>
      <c r="K54" t="s">
        <v>2307</v>
      </c>
      <c r="Y54">
        <f ca="1">IF(AND($A54&lt;&gt;"",COUNTIF($A$20:A54,A54)=1,$A54&lt;&gt;"非自然知识"),ROW()-19,999)</f>
        <v>999</v>
      </c>
      <c r="Z54" t="str">
        <f ca="1">IFERROR(INDEX($A$20:$A$78,SMALL($Y$20:$Y$78,35)),"")</f>
        <v>游泳</v>
      </c>
      <c r="AA54" t="str">
        <f ca="1">IFERROR(INDEX($A$20:$A$78,SMALL($AB$20:$AB$78,35)),"")</f>
        <v>游泳</v>
      </c>
      <c r="AB54">
        <f ca="1">IF(AND($A54&lt;&gt;"",COUNTIF($A$20:A54,A54)=1,AND($A54&lt;&gt;"",$A54&lt;&gt;"非自然知识",COUNTIF($A$20:$A$78,$A54)&gt;0,OR($B$2="any",$B$2="fixed",AND($B$2="group",LEFT($A54,LEN($E$2)+1)=$E$2&amp;"（"),IFERROR(OR(ISNUMBER(FIND("|"&amp;$A54&amp;"|",$D$2)),AND(IFERROR(FIND("（",$A54),0)&gt;0,ISNUMBER(FIND("|"&amp;LEFT($A54,FIND("（",$A54)-1)&amp;"*|",$D$2)))),FALSE)))),ROW()-19,999)</f>
        <v>999</v>
      </c>
      <c r="AC54" t="str">
        <f ca="1">IFERROR(INDEX($A$20:$A$78,SMALL($AD$20:$AD$78,35)),"")</f>
        <v>游泳</v>
      </c>
      <c r="AD54">
        <f ca="1">IF(AND($A54&lt;&gt;"",COUNTIF($A$20:A54,A54)=1,AND($A54&lt;&gt;"",$A54&lt;&gt;"非自然知识",COUNTIF($A$20:$A$78,$A54)&gt;0,OR($B$3="any",$B$3="fixed",AND($B$3="group",LEFT($A54,LEN($E$3)+1)=$E$3&amp;"（"),IFERROR(OR(ISNUMBER(FIND("|"&amp;$A54&amp;"|",$D$3)),AND(IFERROR(FIND("（",$A54),0)&gt;0,ISNUMBER(FIND("|"&amp;LEFT($A54,FIND("（",$A54)-1)&amp;"*|",$D$3)))),FALSE)))),ROW()-19,999)</f>
        <v>999</v>
      </c>
      <c r="AE54" t="str">
        <f ca="1">IFERROR(INDEX($A$20:$A$78,SMALL($AF$20:$AF$78,35)),"")</f>
        <v>游泳</v>
      </c>
      <c r="AF54">
        <f ca="1">IF(AND($A54&lt;&gt;"",COUNTIF($A$20:A54,A54)=1,AND($A54&lt;&gt;"",$A54&lt;&gt;"非自然知识",COUNTIF($A$20:$A$78,$A54)&gt;0,OR($B$4="any",$B$4="fixed",AND($B$4="group",LEFT($A54,LEN($E$4)+1)=$E$4&amp;"（"),IFERROR(OR(ISNUMBER(FIND("|"&amp;$A54&amp;"|",$D$4)),AND(IFERROR(FIND("（",$A54),0)&gt;0,ISNUMBER(FIND("|"&amp;LEFT($A54,FIND("（",$A54)-1)&amp;"*|",$D$4)))),FALSE)))),ROW()-19,999)</f>
        <v>999</v>
      </c>
      <c r="AG54" t="str">
        <f ca="1">IFERROR(INDEX($A$20:$A$78,SMALL($AH$20:$AH$78,35)),"")</f>
        <v>游泳</v>
      </c>
      <c r="AH54">
        <f ca="1">IF(AND($A54&lt;&gt;"",COUNTIF($A$20:A54,A54)=1,AND($A54&lt;&gt;"",$A54&lt;&gt;"非自然知识",COUNTIF($A$20:$A$78,$A54)&gt;0,OR($B$5="any",$B$5="fixed",AND($B$5="group",LEFT($A54,LEN($E$5)+1)=$E$5&amp;"（"),IFERROR(OR(ISNUMBER(FIND("|"&amp;$A54&amp;"|",$D$5)),AND(IFERROR(FIND("（",$A54),0)&gt;0,ISNUMBER(FIND("|"&amp;LEFT($A54,FIND("（",$A54)-1)&amp;"*|",$D$5)))),FALSE)))),ROW()-19,999)</f>
        <v>999</v>
      </c>
      <c r="AI54" t="str">
        <f ca="1">IFERROR(INDEX($A$20:$A$78,SMALL($AJ$20:$AJ$78,35)),"")</f>
        <v>游泳</v>
      </c>
      <c r="AJ54">
        <f ca="1">IF(AND($A54&lt;&gt;"",COUNTIF($A$20:A54,A54)=1,AND($A54&lt;&gt;"",$A54&lt;&gt;"非自然知识",COUNTIF($A$20:$A$78,$A54)&gt;0,OR($B$6="any",$B$6="fixed",AND($B$6="group",LEFT($A54,LEN($E$6)+1)=$E$6&amp;"（"),IFERROR(OR(ISNUMBER(FIND("|"&amp;$A54&amp;"|",$D$6)),AND(IFERROR(FIND("（",$A54),0)&gt;0,ISNUMBER(FIND("|"&amp;LEFT($A54,FIND("（",$A54)-1)&amp;"*|",$D$6)))),FALSE)))),ROW()-19,999)</f>
        <v>999</v>
      </c>
      <c r="AK54" t="str">
        <f ca="1">IFERROR(INDEX($A$20:$A$78,SMALL($AL$20:$AL$78,35)),"")</f>
        <v>游泳</v>
      </c>
      <c r="AL54">
        <f ca="1">IF(AND($A54&lt;&gt;"",COUNTIF($A$20:A54,A54)=1,AND($A54&lt;&gt;"",$A54&lt;&gt;"非自然知识",COUNTIF($A$20:$A$78,$A54)&gt;0,OR($B$7="any",$B$7="fixed",AND($B$7="group",LEFT($A54,LEN($E$7)+1)=$E$7&amp;"（"),IFERROR(OR(ISNUMBER(FIND("|"&amp;$A54&amp;"|",$D$7)),AND(IFERROR(FIND("（",$A54),0)&gt;0,ISNUMBER(FIND("|"&amp;LEFT($A54,FIND("（",$A54)-1)&amp;"*|",$D$7)))),FALSE)))),ROW()-19,999)</f>
        <v>999</v>
      </c>
      <c r="AM54" t="str">
        <f ca="1">IFERROR(INDEX($A$20:$A$78,SMALL($AN$20:$AN$78,35)),"")</f>
        <v>游泳</v>
      </c>
      <c r="AN54">
        <f ca="1">IF(AND($A54&lt;&gt;"",COUNTIF($A$20:A54,A54)=1,AND($A54&lt;&gt;"",$A54&lt;&gt;"非自然知识",COUNTIF($A$20:$A$78,$A54)&gt;0,OR($B$8="any",$B$8="fixed",AND($B$8="group",LEFT($A54,LEN($E$8)+1)=$E$8&amp;"（"),IFERROR(OR(ISNUMBER(FIND("|"&amp;$A54&amp;"|",$D$8)),AND(IFERROR(FIND("（",$A54),0)&gt;0,ISNUMBER(FIND("|"&amp;LEFT($A54,FIND("（",$A54)-1)&amp;"*|",$D$8)))),FALSE)))),ROW()-19,999)</f>
        <v>999</v>
      </c>
      <c r="AO54" t="str">
        <f ca="1">IFERROR(INDEX($A$20:$A$78,SMALL($AP$20:$AP$78,35)),"")</f>
        <v>游泳</v>
      </c>
      <c r="AP54">
        <f ca="1">IF(AND($A54&lt;&gt;"",COUNTIF($A$20:A54,A54)=1,AND($A54&lt;&gt;"",$A54&lt;&gt;"非自然知识",COUNTIF($A$20:$A$78,$A54)&gt;0,OR($B$9="any",$B$9="fixed",AND($B$9="group",LEFT($A54,LEN($E$9)+1)=$E$9&amp;"（"),IFERROR(OR(ISNUMBER(FIND("|"&amp;$A54&amp;"|",$D$9)),AND(IFERROR(FIND("（",$A54),0)&gt;0,ISNUMBER(FIND("|"&amp;LEFT($A54,FIND("（",$A54)-1)&amp;"*|",$D$9)))),FALSE)))),ROW()-19,999)</f>
        <v>999</v>
      </c>
    </row>
    <row r="55" spans="1:42">
      <c r="A55" t="str">
        <f ca="1">IF(TRIM(人物卡!AM19)="","","军事科学（"&amp;TRIM(人物卡!AM19)&amp;"）")</f>
        <v/>
      </c>
      <c r="B55" t="str">
        <f ca="1" t="shared" si="2"/>
        <v/>
      </c>
      <c r="C55">
        <f ca="1">IF(人物卡!AY19="",N(人物卡!AV19),N(人物卡!AY19))</f>
        <v>0</v>
      </c>
      <c r="D55">
        <f ca="1">IF(AND(A55&lt;&gt;"",COUNTIF($A$20:A55,A55)=1),COUNTIF($H$2:$H$9,A55)*20,0)</f>
        <v>0</v>
      </c>
      <c r="E55">
        <f ca="1" t="shared" si="3"/>
        <v>0</v>
      </c>
      <c r="F55">
        <f ca="1">IF(AND(A55&lt;&gt;"",COUNTIF($A$20:A55,A55)=1),IF(A55="神秘学",IF(人物卡!$DF$46="人类不应知道之事",20,IF(OR(人物卡!$DF$46="极端暴力",人物卡!$DF$46="关押或入狱",人物卡!$DF$46="艰苦经历"),10,0)),0)+IF(人物卡!$DF$46="艰苦经历",COUNTIF($H$12:$H$16,A55)*10,0),0)</f>
        <v>0</v>
      </c>
      <c r="G55">
        <f ca="1">IF(人物卡!$DF$46="艰苦经历",MIN(F55,MAX(0,90-C55-E55)),MIN(F55,MAX(0,99-C55-E55)))</f>
        <v>0</v>
      </c>
      <c r="H55" t="str">
        <f ca="1" t="shared" si="4"/>
        <v/>
      </c>
      <c r="I55" t="str">
        <f ca="1" t="shared" si="5"/>
        <v/>
      </c>
      <c r="J55" t="s">
        <v>2308</v>
      </c>
      <c r="K55" t="s">
        <v>2309</v>
      </c>
      <c r="Y55">
        <f ca="1">IF(AND($A55&lt;&gt;"",COUNTIF($A$20:A55,A55)=1,$A55&lt;&gt;"非自然知识"),ROW()-19,999)</f>
        <v>999</v>
      </c>
      <c r="Z55" t="str">
        <f ca="1">IFERROR(INDEX($A$20:$A$78,SMALL($Y$20:$Y$78,36)),"")</f>
        <v>徒手搏斗</v>
      </c>
      <c r="AA55" t="str">
        <f ca="1">IFERROR(INDEX($A$20:$A$78,SMALL($AB$20:$AB$78,36)),"")</f>
        <v>徒手搏斗</v>
      </c>
      <c r="AB55">
        <f ca="1">IF(AND($A55&lt;&gt;"",COUNTIF($A$20:A55,A55)=1,AND($A55&lt;&gt;"",$A55&lt;&gt;"非自然知识",COUNTIF($A$20:$A$78,$A55)&gt;0,OR($B$2="any",$B$2="fixed",AND($B$2="group",LEFT($A55,LEN($E$2)+1)=$E$2&amp;"（"),IFERROR(OR(ISNUMBER(FIND("|"&amp;$A55&amp;"|",$D$2)),AND(IFERROR(FIND("（",$A55),0)&gt;0,ISNUMBER(FIND("|"&amp;LEFT($A55,FIND("（",$A55)-1)&amp;"*|",$D$2)))),FALSE)))),ROW()-19,999)</f>
        <v>999</v>
      </c>
      <c r="AC55" t="str">
        <f ca="1">IFERROR(INDEX($A$20:$A$78,SMALL($AD$20:$AD$78,36)),"")</f>
        <v>徒手搏斗</v>
      </c>
      <c r="AD55">
        <f ca="1">IF(AND($A55&lt;&gt;"",COUNTIF($A$20:A55,A55)=1,AND($A55&lt;&gt;"",$A55&lt;&gt;"非自然知识",COUNTIF($A$20:$A$78,$A55)&gt;0,OR($B$3="any",$B$3="fixed",AND($B$3="group",LEFT($A55,LEN($E$3)+1)=$E$3&amp;"（"),IFERROR(OR(ISNUMBER(FIND("|"&amp;$A55&amp;"|",$D$3)),AND(IFERROR(FIND("（",$A55),0)&gt;0,ISNUMBER(FIND("|"&amp;LEFT($A55,FIND("（",$A55)-1)&amp;"*|",$D$3)))),FALSE)))),ROW()-19,999)</f>
        <v>999</v>
      </c>
      <c r="AE55" t="str">
        <f ca="1">IFERROR(INDEX($A$20:$A$78,SMALL($AF$20:$AF$78,36)),"")</f>
        <v>徒手搏斗</v>
      </c>
      <c r="AF55">
        <f ca="1">IF(AND($A55&lt;&gt;"",COUNTIF($A$20:A55,A55)=1,AND($A55&lt;&gt;"",$A55&lt;&gt;"非自然知识",COUNTIF($A$20:$A$78,$A55)&gt;0,OR($B$4="any",$B$4="fixed",AND($B$4="group",LEFT($A55,LEN($E$4)+1)=$E$4&amp;"（"),IFERROR(OR(ISNUMBER(FIND("|"&amp;$A55&amp;"|",$D$4)),AND(IFERROR(FIND("（",$A55),0)&gt;0,ISNUMBER(FIND("|"&amp;LEFT($A55,FIND("（",$A55)-1)&amp;"*|",$D$4)))),FALSE)))),ROW()-19,999)</f>
        <v>999</v>
      </c>
      <c r="AG55" t="str">
        <f ca="1">IFERROR(INDEX($A$20:$A$78,SMALL($AH$20:$AH$78,36)),"")</f>
        <v>徒手搏斗</v>
      </c>
      <c r="AH55">
        <f ca="1">IF(AND($A55&lt;&gt;"",COUNTIF($A$20:A55,A55)=1,AND($A55&lt;&gt;"",$A55&lt;&gt;"非自然知识",COUNTIF($A$20:$A$78,$A55)&gt;0,OR($B$5="any",$B$5="fixed",AND($B$5="group",LEFT($A55,LEN($E$5)+1)=$E$5&amp;"（"),IFERROR(OR(ISNUMBER(FIND("|"&amp;$A55&amp;"|",$D$5)),AND(IFERROR(FIND("（",$A55),0)&gt;0,ISNUMBER(FIND("|"&amp;LEFT($A55,FIND("（",$A55)-1)&amp;"*|",$D$5)))),FALSE)))),ROW()-19,999)</f>
        <v>999</v>
      </c>
      <c r="AI55" t="str">
        <f ca="1">IFERROR(INDEX($A$20:$A$78,SMALL($AJ$20:$AJ$78,36)),"")</f>
        <v>徒手搏斗</v>
      </c>
      <c r="AJ55">
        <f ca="1">IF(AND($A55&lt;&gt;"",COUNTIF($A$20:A55,A55)=1,AND($A55&lt;&gt;"",$A55&lt;&gt;"非自然知识",COUNTIF($A$20:$A$78,$A55)&gt;0,OR($B$6="any",$B$6="fixed",AND($B$6="group",LEFT($A55,LEN($E$6)+1)=$E$6&amp;"（"),IFERROR(OR(ISNUMBER(FIND("|"&amp;$A55&amp;"|",$D$6)),AND(IFERROR(FIND("（",$A55),0)&gt;0,ISNUMBER(FIND("|"&amp;LEFT($A55,FIND("（",$A55)-1)&amp;"*|",$D$6)))),FALSE)))),ROW()-19,999)</f>
        <v>999</v>
      </c>
      <c r="AK55" t="str">
        <f ca="1">IFERROR(INDEX($A$20:$A$78,SMALL($AL$20:$AL$78,36)),"")</f>
        <v>徒手搏斗</v>
      </c>
      <c r="AL55">
        <f ca="1">IF(AND($A55&lt;&gt;"",COUNTIF($A$20:A55,A55)=1,AND($A55&lt;&gt;"",$A55&lt;&gt;"非自然知识",COUNTIF($A$20:$A$78,$A55)&gt;0,OR($B$7="any",$B$7="fixed",AND($B$7="group",LEFT($A55,LEN($E$7)+1)=$E$7&amp;"（"),IFERROR(OR(ISNUMBER(FIND("|"&amp;$A55&amp;"|",$D$7)),AND(IFERROR(FIND("（",$A55),0)&gt;0,ISNUMBER(FIND("|"&amp;LEFT($A55,FIND("（",$A55)-1)&amp;"*|",$D$7)))),FALSE)))),ROW()-19,999)</f>
        <v>999</v>
      </c>
      <c r="AM55" t="str">
        <f ca="1">IFERROR(INDEX($A$20:$A$78,SMALL($AN$20:$AN$78,36)),"")</f>
        <v>徒手搏斗</v>
      </c>
      <c r="AN55">
        <f ca="1">IF(AND($A55&lt;&gt;"",COUNTIF($A$20:A55,A55)=1,AND($A55&lt;&gt;"",$A55&lt;&gt;"非自然知识",COUNTIF($A$20:$A$78,$A55)&gt;0,OR($B$8="any",$B$8="fixed",AND($B$8="group",LEFT($A55,LEN($E$8)+1)=$E$8&amp;"（"),IFERROR(OR(ISNUMBER(FIND("|"&amp;$A55&amp;"|",$D$8)),AND(IFERROR(FIND("（",$A55),0)&gt;0,ISNUMBER(FIND("|"&amp;LEFT($A55,FIND("（",$A55)-1)&amp;"*|",$D$8)))),FALSE)))),ROW()-19,999)</f>
        <v>999</v>
      </c>
      <c r="AO55" t="str">
        <f ca="1">IFERROR(INDEX($A$20:$A$78,SMALL($AP$20:$AP$78,36)),"")</f>
        <v>徒手搏斗</v>
      </c>
      <c r="AP55">
        <f ca="1">IF(AND($A55&lt;&gt;"",COUNTIF($A$20:A55,A55)=1,AND($A55&lt;&gt;"",$A55&lt;&gt;"非自然知识",COUNTIF($A$20:$A$78,$A55)&gt;0,OR($B$9="any",$B$9="fixed",AND($B$9="group",LEFT($A55,LEN($E$9)+1)=$E$9&amp;"（"),IFERROR(OR(ISNUMBER(FIND("|"&amp;$A55&amp;"|",$D$9)),AND(IFERROR(FIND("（",$A55),0)&gt;0,ISNUMBER(FIND("|"&amp;LEFT($A55,FIND("（",$A55)-1)&amp;"*|",$D$9)))),FALSE)))),ROW()-19,999)</f>
        <v>999</v>
      </c>
    </row>
    <row r="56" spans="1:42">
      <c r="A56" t="str">
        <f>人物卡!AG20</f>
        <v>导航</v>
      </c>
      <c r="B56" t="str">
        <f t="shared" si="2"/>
        <v/>
      </c>
      <c r="C56">
        <f ca="1">IF(人物卡!AY20="",N(人物卡!AV20),N(人物卡!AY20))</f>
        <v>10</v>
      </c>
      <c r="D56">
        <f ca="1">IF(AND(A56&lt;&gt;"",COUNTIF($A$20:A56,A56)=1),COUNTIF($H$2:$H$9,A56)*20,0)</f>
        <v>0</v>
      </c>
      <c r="E56">
        <f ca="1" t="shared" si="3"/>
        <v>0</v>
      </c>
      <c r="F56">
        <f ca="1">IF(AND(A56&lt;&gt;"",COUNTIF($A$20:A56,A56)=1),IF(A56="神秘学",IF(人物卡!$DF$46="人类不应知道之事",20,IF(OR(人物卡!$DF$46="极端暴力",人物卡!$DF$46="关押或入狱",人物卡!$DF$46="艰苦经历"),10,0)),0)+IF(人物卡!$DF$46="艰苦经历",COUNTIF($H$12:$H$16,A56)*10,0),0)</f>
        <v>0</v>
      </c>
      <c r="G56">
        <f ca="1">IF(人物卡!$DF$46="艰苦经历",MIN(F56,MAX(0,90-C56-E56)),MIN(F56,MAX(0,99-C56-E56)))</f>
        <v>0</v>
      </c>
      <c r="H56" t="str">
        <f ca="1" t="shared" si="4"/>
        <v/>
      </c>
      <c r="I56" t="str">
        <f ca="1" t="shared" si="5"/>
        <v/>
      </c>
      <c r="J56" t="s">
        <v>2310</v>
      </c>
      <c r="K56" t="s">
        <v>2311</v>
      </c>
      <c r="Y56">
        <f ca="1">IF(AND($A56&lt;&gt;"",COUNTIF($A$20:A56,A56)=1,$A56&lt;&gt;"非自然知识"),ROW()-19,999)</f>
        <v>37</v>
      </c>
      <c r="Z56" t="str">
        <f ca="1">IFERROR(INDEX($A$20:$A$78,SMALL($Y$20:$Y$78,37)),"")</f>
        <v/>
      </c>
      <c r="AA56" t="str">
        <f ca="1">IFERROR(INDEX($A$20:$A$78,SMALL($AB$20:$AB$78,37)),"")</f>
        <v/>
      </c>
      <c r="AB56">
        <f ca="1">IF(AND($A56&lt;&gt;"",COUNTIF($A$20:A56,A56)=1,AND($A56&lt;&gt;"",$A56&lt;&gt;"非自然知识",COUNTIF($A$20:$A$78,$A56)&gt;0,OR($B$2="any",$B$2="fixed",AND($B$2="group",LEFT($A56,LEN($E$2)+1)=$E$2&amp;"（"),IFERROR(OR(ISNUMBER(FIND("|"&amp;$A56&amp;"|",$D$2)),AND(IFERROR(FIND("（",$A56),0)&gt;0,ISNUMBER(FIND("|"&amp;LEFT($A56,FIND("（",$A56)-1)&amp;"*|",$D$2)))),FALSE)))),ROW()-19,999)</f>
        <v>37</v>
      </c>
      <c r="AC56" t="str">
        <f ca="1">IFERROR(INDEX($A$20:$A$78,SMALL($AD$20:$AD$78,37)),"")</f>
        <v/>
      </c>
      <c r="AD56">
        <f ca="1">IF(AND($A56&lt;&gt;"",COUNTIF($A$20:A56,A56)=1,AND($A56&lt;&gt;"",$A56&lt;&gt;"非自然知识",COUNTIF($A$20:$A$78,$A56)&gt;0,OR($B$3="any",$B$3="fixed",AND($B$3="group",LEFT($A56,LEN($E$3)+1)=$E$3&amp;"（"),IFERROR(OR(ISNUMBER(FIND("|"&amp;$A56&amp;"|",$D$3)),AND(IFERROR(FIND("（",$A56),0)&gt;0,ISNUMBER(FIND("|"&amp;LEFT($A56,FIND("（",$A56)-1)&amp;"*|",$D$3)))),FALSE)))),ROW()-19,999)</f>
        <v>37</v>
      </c>
      <c r="AE56" t="str">
        <f ca="1">IFERROR(INDEX($A$20:$A$78,SMALL($AF$20:$AF$78,37)),"")</f>
        <v/>
      </c>
      <c r="AF56">
        <f ca="1">IF(AND($A56&lt;&gt;"",COUNTIF($A$20:A56,A56)=1,AND($A56&lt;&gt;"",$A56&lt;&gt;"非自然知识",COUNTIF($A$20:$A$78,$A56)&gt;0,OR($B$4="any",$B$4="fixed",AND($B$4="group",LEFT($A56,LEN($E$4)+1)=$E$4&amp;"（"),IFERROR(OR(ISNUMBER(FIND("|"&amp;$A56&amp;"|",$D$4)),AND(IFERROR(FIND("（",$A56),0)&gt;0,ISNUMBER(FIND("|"&amp;LEFT($A56,FIND("（",$A56)-1)&amp;"*|",$D$4)))),FALSE)))),ROW()-19,999)</f>
        <v>37</v>
      </c>
      <c r="AG56" t="str">
        <f ca="1">IFERROR(INDEX($A$20:$A$78,SMALL($AH$20:$AH$78,37)),"")</f>
        <v/>
      </c>
      <c r="AH56">
        <f ca="1">IF(AND($A56&lt;&gt;"",COUNTIF($A$20:A56,A56)=1,AND($A56&lt;&gt;"",$A56&lt;&gt;"非自然知识",COUNTIF($A$20:$A$78,$A56)&gt;0,OR($B$5="any",$B$5="fixed",AND($B$5="group",LEFT($A56,LEN($E$5)+1)=$E$5&amp;"（"),IFERROR(OR(ISNUMBER(FIND("|"&amp;$A56&amp;"|",$D$5)),AND(IFERROR(FIND("（",$A56),0)&gt;0,ISNUMBER(FIND("|"&amp;LEFT($A56,FIND("（",$A56)-1)&amp;"*|",$D$5)))),FALSE)))),ROW()-19,999)</f>
        <v>37</v>
      </c>
      <c r="AI56" t="str">
        <f ca="1">IFERROR(INDEX($A$20:$A$78,SMALL($AJ$20:$AJ$78,37)),"")</f>
        <v/>
      </c>
      <c r="AJ56">
        <f ca="1">IF(AND($A56&lt;&gt;"",COUNTIF($A$20:A56,A56)=1,AND($A56&lt;&gt;"",$A56&lt;&gt;"非自然知识",COUNTIF($A$20:$A$78,$A56)&gt;0,OR($B$6="any",$B$6="fixed",AND($B$6="group",LEFT($A56,LEN($E$6)+1)=$E$6&amp;"（"),IFERROR(OR(ISNUMBER(FIND("|"&amp;$A56&amp;"|",$D$6)),AND(IFERROR(FIND("（",$A56),0)&gt;0,ISNUMBER(FIND("|"&amp;LEFT($A56,FIND("（",$A56)-1)&amp;"*|",$D$6)))),FALSE)))),ROW()-19,999)</f>
        <v>37</v>
      </c>
      <c r="AK56" t="str">
        <f ca="1">IFERROR(INDEX($A$20:$A$78,SMALL($AL$20:$AL$78,37)),"")</f>
        <v/>
      </c>
      <c r="AL56">
        <f ca="1">IF(AND($A56&lt;&gt;"",COUNTIF($A$20:A56,A56)=1,AND($A56&lt;&gt;"",$A56&lt;&gt;"非自然知识",COUNTIF($A$20:$A$78,$A56)&gt;0,OR($B$7="any",$B$7="fixed",AND($B$7="group",LEFT($A56,LEN($E$7)+1)=$E$7&amp;"（"),IFERROR(OR(ISNUMBER(FIND("|"&amp;$A56&amp;"|",$D$7)),AND(IFERROR(FIND("（",$A56),0)&gt;0,ISNUMBER(FIND("|"&amp;LEFT($A56,FIND("（",$A56)-1)&amp;"*|",$D$7)))),FALSE)))),ROW()-19,999)</f>
        <v>37</v>
      </c>
      <c r="AM56" t="str">
        <f ca="1">IFERROR(INDEX($A$20:$A$78,SMALL($AN$20:$AN$78,37)),"")</f>
        <v/>
      </c>
      <c r="AN56">
        <f ca="1">IF(AND($A56&lt;&gt;"",COUNTIF($A$20:A56,A56)=1,AND($A56&lt;&gt;"",$A56&lt;&gt;"非自然知识",COUNTIF($A$20:$A$78,$A56)&gt;0,OR($B$8="any",$B$8="fixed",AND($B$8="group",LEFT($A56,LEN($E$8)+1)=$E$8&amp;"（"),IFERROR(OR(ISNUMBER(FIND("|"&amp;$A56&amp;"|",$D$8)),AND(IFERROR(FIND("（",$A56),0)&gt;0,ISNUMBER(FIND("|"&amp;LEFT($A56,FIND("（",$A56)-1)&amp;"*|",$D$8)))),FALSE)))),ROW()-19,999)</f>
        <v>37</v>
      </c>
      <c r="AO56" t="str">
        <f ca="1">IFERROR(INDEX($A$20:$A$78,SMALL($AP$20:$AP$78,37)),"")</f>
        <v/>
      </c>
      <c r="AP56">
        <f ca="1">IF(AND($A56&lt;&gt;"",COUNTIF($A$20:A56,A56)=1,AND($A56&lt;&gt;"",$A56&lt;&gt;"非自然知识",COUNTIF($A$20:$A$78,$A56)&gt;0,OR($B$9="any",$B$9="fixed",AND($B$9="group",LEFT($A56,LEN($E$9)+1)=$E$9&amp;"（"),IFERROR(OR(ISNUMBER(FIND("|"&amp;$A56&amp;"|",$D$9)),AND(IFERROR(FIND("（",$A56),0)&gt;0,ISNUMBER(FIND("|"&amp;LEFT($A56,FIND("（",$A56)-1)&amp;"*|",$D$9)))),FALSE)))),ROW()-19,999)</f>
        <v>37</v>
      </c>
    </row>
    <row r="57" spans="1:42">
      <c r="A57" t="str">
        <f>人物卡!AG21</f>
        <v>神秘学</v>
      </c>
      <c r="B57" t="str">
        <f t="shared" si="2"/>
        <v/>
      </c>
      <c r="C57">
        <f ca="1">IF(人物卡!AY21="",N(人物卡!AV21),N(人物卡!AY21))</f>
        <v>10</v>
      </c>
      <c r="D57">
        <f ca="1">IF(AND(A57&lt;&gt;"",COUNTIF($A$20:A57,A57)=1),COUNTIF($H$2:$H$9,A57)*20,0)</f>
        <v>0</v>
      </c>
      <c r="E57">
        <f ca="1" t="shared" si="3"/>
        <v>0</v>
      </c>
      <c r="F57">
        <f ca="1">IF(AND(A57&lt;&gt;"",COUNTIF($A$20:A57,A57)=1),IF(A57="神秘学",IF(人物卡!$DF$46="人类不应知道之事",20,IF(OR(人物卡!$DF$46="极端暴力",人物卡!$DF$46="关押或入狱",人物卡!$DF$46="艰苦经历"),10,0)),0)+IF(人物卡!$DF$46="艰苦经历",COUNTIF($H$12:$H$16,A57)*10,0),0)</f>
        <v>0</v>
      </c>
      <c r="G57">
        <f ca="1">IF(人物卡!$DF$46="艰苦经历",MIN(F57,MAX(0,90-C57-E57)),MIN(F57,MAX(0,99-C57-E57)))</f>
        <v>0</v>
      </c>
      <c r="H57" t="str">
        <f ca="1" t="shared" si="4"/>
        <v/>
      </c>
      <c r="I57" t="str">
        <f ca="1" t="shared" si="5"/>
        <v/>
      </c>
      <c r="J57" t="s">
        <v>2312</v>
      </c>
      <c r="K57" t="s">
        <v>2313</v>
      </c>
      <c r="Y57">
        <f ca="1">IF(AND($A57&lt;&gt;"",COUNTIF($A$20:A57,A57)=1,$A57&lt;&gt;"非自然知识"),ROW()-19,999)</f>
        <v>38</v>
      </c>
      <c r="Z57" t="str">
        <f ca="1">IFERROR(INDEX($A$20:$A$78,SMALL($Y$20:$Y$78,38)),"")</f>
        <v/>
      </c>
      <c r="AA57" t="str">
        <f ca="1">IFERROR(INDEX($A$20:$A$78,SMALL($AB$20:$AB$78,38)),"")</f>
        <v/>
      </c>
      <c r="AB57">
        <f ca="1">IF(AND($A57&lt;&gt;"",COUNTIF($A$20:A57,A57)=1,AND($A57&lt;&gt;"",$A57&lt;&gt;"非自然知识",COUNTIF($A$20:$A$78,$A57)&gt;0,OR($B$2="any",$B$2="fixed",AND($B$2="group",LEFT($A57,LEN($E$2)+1)=$E$2&amp;"（"),IFERROR(OR(ISNUMBER(FIND("|"&amp;$A57&amp;"|",$D$2)),AND(IFERROR(FIND("（",$A57),0)&gt;0,ISNUMBER(FIND("|"&amp;LEFT($A57,FIND("（",$A57)-1)&amp;"*|",$D$2)))),FALSE)))),ROW()-19,999)</f>
        <v>38</v>
      </c>
      <c r="AC57" t="str">
        <f ca="1">IFERROR(INDEX($A$20:$A$78,SMALL($AD$20:$AD$78,38)),"")</f>
        <v/>
      </c>
      <c r="AD57">
        <f ca="1">IF(AND($A57&lt;&gt;"",COUNTIF($A$20:A57,A57)=1,AND($A57&lt;&gt;"",$A57&lt;&gt;"非自然知识",COUNTIF($A$20:$A$78,$A57)&gt;0,OR($B$3="any",$B$3="fixed",AND($B$3="group",LEFT($A57,LEN($E$3)+1)=$E$3&amp;"（"),IFERROR(OR(ISNUMBER(FIND("|"&amp;$A57&amp;"|",$D$3)),AND(IFERROR(FIND("（",$A57),0)&gt;0,ISNUMBER(FIND("|"&amp;LEFT($A57,FIND("（",$A57)-1)&amp;"*|",$D$3)))),FALSE)))),ROW()-19,999)</f>
        <v>38</v>
      </c>
      <c r="AE57" t="str">
        <f ca="1">IFERROR(INDEX($A$20:$A$78,SMALL($AF$20:$AF$78,38)),"")</f>
        <v/>
      </c>
      <c r="AF57">
        <f ca="1">IF(AND($A57&lt;&gt;"",COUNTIF($A$20:A57,A57)=1,AND($A57&lt;&gt;"",$A57&lt;&gt;"非自然知识",COUNTIF($A$20:$A$78,$A57)&gt;0,OR($B$4="any",$B$4="fixed",AND($B$4="group",LEFT($A57,LEN($E$4)+1)=$E$4&amp;"（"),IFERROR(OR(ISNUMBER(FIND("|"&amp;$A57&amp;"|",$D$4)),AND(IFERROR(FIND("（",$A57),0)&gt;0,ISNUMBER(FIND("|"&amp;LEFT($A57,FIND("（",$A57)-1)&amp;"*|",$D$4)))),FALSE)))),ROW()-19,999)</f>
        <v>38</v>
      </c>
      <c r="AG57" t="str">
        <f ca="1">IFERROR(INDEX($A$20:$A$78,SMALL($AH$20:$AH$78,38)),"")</f>
        <v/>
      </c>
      <c r="AH57">
        <f ca="1">IF(AND($A57&lt;&gt;"",COUNTIF($A$20:A57,A57)=1,AND($A57&lt;&gt;"",$A57&lt;&gt;"非自然知识",COUNTIF($A$20:$A$78,$A57)&gt;0,OR($B$5="any",$B$5="fixed",AND($B$5="group",LEFT($A57,LEN($E$5)+1)=$E$5&amp;"（"),IFERROR(OR(ISNUMBER(FIND("|"&amp;$A57&amp;"|",$D$5)),AND(IFERROR(FIND("（",$A57),0)&gt;0,ISNUMBER(FIND("|"&amp;LEFT($A57,FIND("（",$A57)-1)&amp;"*|",$D$5)))),FALSE)))),ROW()-19,999)</f>
        <v>38</v>
      </c>
      <c r="AI57" t="str">
        <f ca="1">IFERROR(INDEX($A$20:$A$78,SMALL($AJ$20:$AJ$78,38)),"")</f>
        <v/>
      </c>
      <c r="AJ57">
        <f ca="1">IF(AND($A57&lt;&gt;"",COUNTIF($A$20:A57,A57)=1,AND($A57&lt;&gt;"",$A57&lt;&gt;"非自然知识",COUNTIF($A$20:$A$78,$A57)&gt;0,OR($B$6="any",$B$6="fixed",AND($B$6="group",LEFT($A57,LEN($E$6)+1)=$E$6&amp;"（"),IFERROR(OR(ISNUMBER(FIND("|"&amp;$A57&amp;"|",$D$6)),AND(IFERROR(FIND("（",$A57),0)&gt;0,ISNUMBER(FIND("|"&amp;LEFT($A57,FIND("（",$A57)-1)&amp;"*|",$D$6)))),FALSE)))),ROW()-19,999)</f>
        <v>38</v>
      </c>
      <c r="AK57" t="str">
        <f ca="1">IFERROR(INDEX($A$20:$A$78,SMALL($AL$20:$AL$78,38)),"")</f>
        <v/>
      </c>
      <c r="AL57">
        <f ca="1">IF(AND($A57&lt;&gt;"",COUNTIF($A$20:A57,A57)=1,AND($A57&lt;&gt;"",$A57&lt;&gt;"非自然知识",COUNTIF($A$20:$A$78,$A57)&gt;0,OR($B$7="any",$B$7="fixed",AND($B$7="group",LEFT($A57,LEN($E$7)+1)=$E$7&amp;"（"),IFERROR(OR(ISNUMBER(FIND("|"&amp;$A57&amp;"|",$D$7)),AND(IFERROR(FIND("（",$A57),0)&gt;0,ISNUMBER(FIND("|"&amp;LEFT($A57,FIND("（",$A57)-1)&amp;"*|",$D$7)))),FALSE)))),ROW()-19,999)</f>
        <v>38</v>
      </c>
      <c r="AM57" t="str">
        <f ca="1">IFERROR(INDEX($A$20:$A$78,SMALL($AN$20:$AN$78,38)),"")</f>
        <v/>
      </c>
      <c r="AN57">
        <f ca="1">IF(AND($A57&lt;&gt;"",COUNTIF($A$20:A57,A57)=1,AND($A57&lt;&gt;"",$A57&lt;&gt;"非自然知识",COUNTIF($A$20:$A$78,$A57)&gt;0,OR($B$8="any",$B$8="fixed",AND($B$8="group",LEFT($A57,LEN($E$8)+1)=$E$8&amp;"（"),IFERROR(OR(ISNUMBER(FIND("|"&amp;$A57&amp;"|",$D$8)),AND(IFERROR(FIND("（",$A57),0)&gt;0,ISNUMBER(FIND("|"&amp;LEFT($A57,FIND("（",$A57)-1)&amp;"*|",$D$8)))),FALSE)))),ROW()-19,999)</f>
        <v>38</v>
      </c>
      <c r="AO57" t="str">
        <f ca="1">IFERROR(INDEX($A$20:$A$78,SMALL($AP$20:$AP$78,38)),"")</f>
        <v/>
      </c>
      <c r="AP57">
        <f ca="1">IF(AND($A57&lt;&gt;"",COUNTIF($A$20:A57,A57)=1,AND($A57&lt;&gt;"",$A57&lt;&gt;"非自然知识",COUNTIF($A$20:$A$78,$A57)&gt;0,OR($B$9="any",$B$9="fixed",AND($B$9="group",LEFT($A57,LEN($E$9)+1)=$E$9&amp;"（"),IFERROR(OR(ISNUMBER(FIND("|"&amp;$A57&amp;"|",$D$9)),AND(IFERROR(FIND("（",$A57),0)&gt;0,ISNUMBER(FIND("|"&amp;LEFT($A57,FIND("（",$A57)-1)&amp;"*|",$D$9)))),FALSE)))),ROW()-19,999)</f>
        <v>38</v>
      </c>
    </row>
    <row r="58" spans="1:42">
      <c r="A58" t="str">
        <f>人物卡!AG22</f>
        <v>说服</v>
      </c>
      <c r="B58" t="str">
        <f t="shared" si="2"/>
        <v/>
      </c>
      <c r="C58">
        <f ca="1">IF(人物卡!AY22="",N(人物卡!AV22),N(人物卡!AY22))</f>
        <v>20</v>
      </c>
      <c r="D58">
        <f ca="1">IF(AND(A58&lt;&gt;"",COUNTIF($A$20:A58,A58)=1),COUNTIF($H$2:$H$9,A58)*20,0)</f>
        <v>0</v>
      </c>
      <c r="E58">
        <f ca="1" t="shared" si="3"/>
        <v>0</v>
      </c>
      <c r="F58">
        <f ca="1">IF(AND(A58&lt;&gt;"",COUNTIF($A$20:A58,A58)=1),IF(A58="神秘学",IF(人物卡!$DF$46="人类不应知道之事",20,IF(OR(人物卡!$DF$46="极端暴力",人物卡!$DF$46="关押或入狱",人物卡!$DF$46="艰苦经历"),10,0)),0)+IF(人物卡!$DF$46="艰苦经历",COUNTIF($H$12:$H$16,A58)*10,0),0)</f>
        <v>0</v>
      </c>
      <c r="G58">
        <f ca="1">IF(人物卡!$DF$46="艰苦经历",MIN(F58,MAX(0,90-C58-E58)),MIN(F58,MAX(0,99-C58-E58)))</f>
        <v>0</v>
      </c>
      <c r="H58" t="str">
        <f ca="1" t="shared" si="4"/>
        <v/>
      </c>
      <c r="I58" t="str">
        <f ca="1" t="shared" si="5"/>
        <v/>
      </c>
      <c r="J58" t="s">
        <v>2314</v>
      </c>
      <c r="K58" t="s">
        <v>2315</v>
      </c>
      <c r="Y58">
        <f ca="1">IF(AND($A58&lt;&gt;"",COUNTIF($A$20:A58,A58)=1,$A58&lt;&gt;"非自然知识"),ROW()-19,999)</f>
        <v>39</v>
      </c>
      <c r="Z58" t="str">
        <f ca="1">IFERROR(INDEX($A$20:$A$78,SMALL($Y$20:$Y$78,39)),"")</f>
        <v/>
      </c>
      <c r="AA58" t="str">
        <f ca="1">IFERROR(INDEX($A$20:$A$78,SMALL($AB$20:$AB$78,39)),"")</f>
        <v/>
      </c>
      <c r="AB58">
        <f ca="1">IF(AND($A58&lt;&gt;"",COUNTIF($A$20:A58,A58)=1,AND($A58&lt;&gt;"",$A58&lt;&gt;"非自然知识",COUNTIF($A$20:$A$78,$A58)&gt;0,OR($B$2="any",$B$2="fixed",AND($B$2="group",LEFT($A58,LEN($E$2)+1)=$E$2&amp;"（"),IFERROR(OR(ISNUMBER(FIND("|"&amp;$A58&amp;"|",$D$2)),AND(IFERROR(FIND("（",$A58),0)&gt;0,ISNUMBER(FIND("|"&amp;LEFT($A58,FIND("（",$A58)-1)&amp;"*|",$D$2)))),FALSE)))),ROW()-19,999)</f>
        <v>39</v>
      </c>
      <c r="AC58" t="str">
        <f ca="1">IFERROR(INDEX($A$20:$A$78,SMALL($AD$20:$AD$78,39)),"")</f>
        <v/>
      </c>
      <c r="AD58">
        <f ca="1">IF(AND($A58&lt;&gt;"",COUNTIF($A$20:A58,A58)=1,AND($A58&lt;&gt;"",$A58&lt;&gt;"非自然知识",COUNTIF($A$20:$A$78,$A58)&gt;0,OR($B$3="any",$B$3="fixed",AND($B$3="group",LEFT($A58,LEN($E$3)+1)=$E$3&amp;"（"),IFERROR(OR(ISNUMBER(FIND("|"&amp;$A58&amp;"|",$D$3)),AND(IFERROR(FIND("（",$A58),0)&gt;0,ISNUMBER(FIND("|"&amp;LEFT($A58,FIND("（",$A58)-1)&amp;"*|",$D$3)))),FALSE)))),ROW()-19,999)</f>
        <v>39</v>
      </c>
      <c r="AE58" t="str">
        <f ca="1">IFERROR(INDEX($A$20:$A$78,SMALL($AF$20:$AF$78,39)),"")</f>
        <v/>
      </c>
      <c r="AF58">
        <f ca="1">IF(AND($A58&lt;&gt;"",COUNTIF($A$20:A58,A58)=1,AND($A58&lt;&gt;"",$A58&lt;&gt;"非自然知识",COUNTIF($A$20:$A$78,$A58)&gt;0,OR($B$4="any",$B$4="fixed",AND($B$4="group",LEFT($A58,LEN($E$4)+1)=$E$4&amp;"（"),IFERROR(OR(ISNUMBER(FIND("|"&amp;$A58&amp;"|",$D$4)),AND(IFERROR(FIND("（",$A58),0)&gt;0,ISNUMBER(FIND("|"&amp;LEFT($A58,FIND("（",$A58)-1)&amp;"*|",$D$4)))),FALSE)))),ROW()-19,999)</f>
        <v>39</v>
      </c>
      <c r="AG58" t="str">
        <f ca="1">IFERROR(INDEX($A$20:$A$78,SMALL($AH$20:$AH$78,39)),"")</f>
        <v/>
      </c>
      <c r="AH58">
        <f ca="1">IF(AND($A58&lt;&gt;"",COUNTIF($A$20:A58,A58)=1,AND($A58&lt;&gt;"",$A58&lt;&gt;"非自然知识",COUNTIF($A$20:$A$78,$A58)&gt;0,OR($B$5="any",$B$5="fixed",AND($B$5="group",LEFT($A58,LEN($E$5)+1)=$E$5&amp;"（"),IFERROR(OR(ISNUMBER(FIND("|"&amp;$A58&amp;"|",$D$5)),AND(IFERROR(FIND("（",$A58),0)&gt;0,ISNUMBER(FIND("|"&amp;LEFT($A58,FIND("（",$A58)-1)&amp;"*|",$D$5)))),FALSE)))),ROW()-19,999)</f>
        <v>39</v>
      </c>
      <c r="AI58" t="str">
        <f ca="1">IFERROR(INDEX($A$20:$A$78,SMALL($AJ$20:$AJ$78,39)),"")</f>
        <v/>
      </c>
      <c r="AJ58">
        <f ca="1">IF(AND($A58&lt;&gt;"",COUNTIF($A$20:A58,A58)=1,AND($A58&lt;&gt;"",$A58&lt;&gt;"非自然知识",COUNTIF($A$20:$A$78,$A58)&gt;0,OR($B$6="any",$B$6="fixed",AND($B$6="group",LEFT($A58,LEN($E$6)+1)=$E$6&amp;"（"),IFERROR(OR(ISNUMBER(FIND("|"&amp;$A58&amp;"|",$D$6)),AND(IFERROR(FIND("（",$A58),0)&gt;0,ISNUMBER(FIND("|"&amp;LEFT($A58,FIND("（",$A58)-1)&amp;"*|",$D$6)))),FALSE)))),ROW()-19,999)</f>
        <v>39</v>
      </c>
      <c r="AK58" t="str">
        <f ca="1">IFERROR(INDEX($A$20:$A$78,SMALL($AL$20:$AL$78,39)),"")</f>
        <v/>
      </c>
      <c r="AL58">
        <f ca="1">IF(AND($A58&lt;&gt;"",COUNTIF($A$20:A58,A58)=1,AND($A58&lt;&gt;"",$A58&lt;&gt;"非自然知识",COUNTIF($A$20:$A$78,$A58)&gt;0,OR($B$7="any",$B$7="fixed",AND($B$7="group",LEFT($A58,LEN($E$7)+1)=$E$7&amp;"（"),IFERROR(OR(ISNUMBER(FIND("|"&amp;$A58&amp;"|",$D$7)),AND(IFERROR(FIND("（",$A58),0)&gt;0,ISNUMBER(FIND("|"&amp;LEFT($A58,FIND("（",$A58)-1)&amp;"*|",$D$7)))),FALSE)))),ROW()-19,999)</f>
        <v>39</v>
      </c>
      <c r="AM58" t="str">
        <f ca="1">IFERROR(INDEX($A$20:$A$78,SMALL($AN$20:$AN$78,39)),"")</f>
        <v/>
      </c>
      <c r="AN58">
        <f ca="1">IF(AND($A58&lt;&gt;"",COUNTIF($A$20:A58,A58)=1,AND($A58&lt;&gt;"",$A58&lt;&gt;"非自然知识",COUNTIF($A$20:$A$78,$A58)&gt;0,OR($B$8="any",$B$8="fixed",AND($B$8="group",LEFT($A58,LEN($E$8)+1)=$E$8&amp;"（"),IFERROR(OR(ISNUMBER(FIND("|"&amp;$A58&amp;"|",$D$8)),AND(IFERROR(FIND("（",$A58),0)&gt;0,ISNUMBER(FIND("|"&amp;LEFT($A58,FIND("（",$A58)-1)&amp;"*|",$D$8)))),FALSE)))),ROW()-19,999)</f>
        <v>39</v>
      </c>
      <c r="AO58" t="str">
        <f ca="1">IFERROR(INDEX($A$20:$A$78,SMALL($AP$20:$AP$78,39)),"")</f>
        <v/>
      </c>
      <c r="AP58">
        <f ca="1">IF(AND($A58&lt;&gt;"",COUNTIF($A$20:A58,A58)=1,AND($A58&lt;&gt;"",$A58&lt;&gt;"非自然知识",COUNTIF($A$20:$A$78,$A58)&gt;0,OR($B$9="any",$B$9="fixed",AND($B$9="group",LEFT($A58,LEN($E$9)+1)=$E$9&amp;"（"),IFERROR(OR(ISNUMBER(FIND("|"&amp;$A58&amp;"|",$D$9)),AND(IFERROR(FIND("（",$A58),0)&gt;0,ISNUMBER(FIND("|"&amp;LEFT($A58,FIND("（",$A58)-1)&amp;"*|",$D$9)))),FALSE)))),ROW()-19,999)</f>
        <v>39</v>
      </c>
    </row>
    <row r="59" spans="1:42">
      <c r="A59" t="str">
        <f>人物卡!AG23</f>
        <v>药学</v>
      </c>
      <c r="B59" t="str">
        <f t="shared" si="2"/>
        <v/>
      </c>
      <c r="C59">
        <f ca="1">IF(人物卡!AY23="",N(人物卡!AV23),N(人物卡!AY23))</f>
        <v>0</v>
      </c>
      <c r="D59">
        <f ca="1">IF(AND(A59&lt;&gt;"",COUNTIF($A$20:A59,A59)=1),COUNTIF($H$2:$H$9,A59)*20,0)</f>
        <v>0</v>
      </c>
      <c r="E59">
        <f ca="1" t="shared" si="3"/>
        <v>0</v>
      </c>
      <c r="F59">
        <f ca="1">IF(AND(A59&lt;&gt;"",COUNTIF($A$20:A59,A59)=1),IF(A59="神秘学",IF(人物卡!$DF$46="人类不应知道之事",20,IF(OR(人物卡!$DF$46="极端暴力",人物卡!$DF$46="关押或入狱",人物卡!$DF$46="艰苦经历"),10,0)),0)+IF(人物卡!$DF$46="艰苦经历",COUNTIF($H$12:$H$16,A59)*10,0),0)</f>
        <v>0</v>
      </c>
      <c r="G59">
        <f ca="1">IF(人物卡!$DF$46="艰苦经历",MIN(F59,MAX(0,90-C59-E59)),MIN(F59,MAX(0,99-C59-E59)))</f>
        <v>0</v>
      </c>
      <c r="H59" t="str">
        <f ca="1" t="shared" si="4"/>
        <v/>
      </c>
      <c r="I59" t="str">
        <f ca="1" t="shared" si="5"/>
        <v/>
      </c>
      <c r="J59" t="s">
        <v>2316</v>
      </c>
      <c r="K59" t="s">
        <v>2317</v>
      </c>
      <c r="Y59">
        <f ca="1">IF(AND($A59&lt;&gt;"",COUNTIF($A$20:A59,A59)=1,$A59&lt;&gt;"非自然知识"),ROW()-19,999)</f>
        <v>40</v>
      </c>
      <c r="Z59" t="str">
        <f ca="1">IFERROR(INDEX($A$20:$A$78,SMALL($Y$20:$Y$78,40)),"")</f>
        <v/>
      </c>
      <c r="AA59" t="str">
        <f ca="1">IFERROR(INDEX($A$20:$A$78,SMALL($AB$20:$AB$78,40)),"")</f>
        <v/>
      </c>
      <c r="AB59">
        <f ca="1">IF(AND($A59&lt;&gt;"",COUNTIF($A$20:A59,A59)=1,AND($A59&lt;&gt;"",$A59&lt;&gt;"非自然知识",COUNTIF($A$20:$A$78,$A59)&gt;0,OR($B$2="any",$B$2="fixed",AND($B$2="group",LEFT($A59,LEN($E$2)+1)=$E$2&amp;"（"),IFERROR(OR(ISNUMBER(FIND("|"&amp;$A59&amp;"|",$D$2)),AND(IFERROR(FIND("（",$A59),0)&gt;0,ISNUMBER(FIND("|"&amp;LEFT($A59,FIND("（",$A59)-1)&amp;"*|",$D$2)))),FALSE)))),ROW()-19,999)</f>
        <v>40</v>
      </c>
      <c r="AC59" t="str">
        <f ca="1">IFERROR(INDEX($A$20:$A$78,SMALL($AD$20:$AD$78,40)),"")</f>
        <v/>
      </c>
      <c r="AD59">
        <f ca="1">IF(AND($A59&lt;&gt;"",COUNTIF($A$20:A59,A59)=1,AND($A59&lt;&gt;"",$A59&lt;&gt;"非自然知识",COUNTIF($A$20:$A$78,$A59)&gt;0,OR($B$3="any",$B$3="fixed",AND($B$3="group",LEFT($A59,LEN($E$3)+1)=$E$3&amp;"（"),IFERROR(OR(ISNUMBER(FIND("|"&amp;$A59&amp;"|",$D$3)),AND(IFERROR(FIND("（",$A59),0)&gt;0,ISNUMBER(FIND("|"&amp;LEFT($A59,FIND("（",$A59)-1)&amp;"*|",$D$3)))),FALSE)))),ROW()-19,999)</f>
        <v>40</v>
      </c>
      <c r="AE59" t="str">
        <f ca="1">IFERROR(INDEX($A$20:$A$78,SMALL($AF$20:$AF$78,40)),"")</f>
        <v/>
      </c>
      <c r="AF59">
        <f ca="1">IF(AND($A59&lt;&gt;"",COUNTIF($A$20:A59,A59)=1,AND($A59&lt;&gt;"",$A59&lt;&gt;"非自然知识",COUNTIF($A$20:$A$78,$A59)&gt;0,OR($B$4="any",$B$4="fixed",AND($B$4="group",LEFT($A59,LEN($E$4)+1)=$E$4&amp;"（"),IFERROR(OR(ISNUMBER(FIND("|"&amp;$A59&amp;"|",$D$4)),AND(IFERROR(FIND("（",$A59),0)&gt;0,ISNUMBER(FIND("|"&amp;LEFT($A59,FIND("（",$A59)-1)&amp;"*|",$D$4)))),FALSE)))),ROW()-19,999)</f>
        <v>40</v>
      </c>
      <c r="AG59" t="str">
        <f ca="1">IFERROR(INDEX($A$20:$A$78,SMALL($AH$20:$AH$78,40)),"")</f>
        <v/>
      </c>
      <c r="AH59">
        <f ca="1">IF(AND($A59&lt;&gt;"",COUNTIF($A$20:A59,A59)=1,AND($A59&lt;&gt;"",$A59&lt;&gt;"非自然知识",COUNTIF($A$20:$A$78,$A59)&gt;0,OR($B$5="any",$B$5="fixed",AND($B$5="group",LEFT($A59,LEN($E$5)+1)=$E$5&amp;"（"),IFERROR(OR(ISNUMBER(FIND("|"&amp;$A59&amp;"|",$D$5)),AND(IFERROR(FIND("（",$A59),0)&gt;0,ISNUMBER(FIND("|"&amp;LEFT($A59,FIND("（",$A59)-1)&amp;"*|",$D$5)))),FALSE)))),ROW()-19,999)</f>
        <v>40</v>
      </c>
      <c r="AI59" t="str">
        <f ca="1">IFERROR(INDEX($A$20:$A$78,SMALL($AJ$20:$AJ$78,40)),"")</f>
        <v/>
      </c>
      <c r="AJ59">
        <f ca="1">IF(AND($A59&lt;&gt;"",COUNTIF($A$20:A59,A59)=1,AND($A59&lt;&gt;"",$A59&lt;&gt;"非自然知识",COUNTIF($A$20:$A$78,$A59)&gt;0,OR($B$6="any",$B$6="fixed",AND($B$6="group",LEFT($A59,LEN($E$6)+1)=$E$6&amp;"（"),IFERROR(OR(ISNUMBER(FIND("|"&amp;$A59&amp;"|",$D$6)),AND(IFERROR(FIND("（",$A59),0)&gt;0,ISNUMBER(FIND("|"&amp;LEFT($A59,FIND("（",$A59)-1)&amp;"*|",$D$6)))),FALSE)))),ROW()-19,999)</f>
        <v>40</v>
      </c>
      <c r="AK59" t="str">
        <f ca="1">IFERROR(INDEX($A$20:$A$78,SMALL($AL$20:$AL$78,40)),"")</f>
        <v/>
      </c>
      <c r="AL59">
        <f ca="1">IF(AND($A59&lt;&gt;"",COUNTIF($A$20:A59,A59)=1,AND($A59&lt;&gt;"",$A59&lt;&gt;"非自然知识",COUNTIF($A$20:$A$78,$A59)&gt;0,OR($B$7="any",$B$7="fixed",AND($B$7="group",LEFT($A59,LEN($E$7)+1)=$E$7&amp;"（"),IFERROR(OR(ISNUMBER(FIND("|"&amp;$A59&amp;"|",$D$7)),AND(IFERROR(FIND("（",$A59),0)&gt;0,ISNUMBER(FIND("|"&amp;LEFT($A59,FIND("（",$A59)-1)&amp;"*|",$D$7)))),FALSE)))),ROW()-19,999)</f>
        <v>40</v>
      </c>
      <c r="AM59" t="str">
        <f ca="1">IFERROR(INDEX($A$20:$A$78,SMALL($AN$20:$AN$78,40)),"")</f>
        <v/>
      </c>
      <c r="AN59">
        <f ca="1">IF(AND($A59&lt;&gt;"",COUNTIF($A$20:A59,A59)=1,AND($A59&lt;&gt;"",$A59&lt;&gt;"非自然知识",COUNTIF($A$20:$A$78,$A59)&gt;0,OR($B$8="any",$B$8="fixed",AND($B$8="group",LEFT($A59,LEN($E$8)+1)=$E$8&amp;"（"),IFERROR(OR(ISNUMBER(FIND("|"&amp;$A59&amp;"|",$D$8)),AND(IFERROR(FIND("（",$A59),0)&gt;0,ISNUMBER(FIND("|"&amp;LEFT($A59,FIND("（",$A59)-1)&amp;"*|",$D$8)))),FALSE)))),ROW()-19,999)</f>
        <v>40</v>
      </c>
      <c r="AO59" t="str">
        <f ca="1">IFERROR(INDEX($A$20:$A$78,SMALL($AP$20:$AP$78,40)),"")</f>
        <v/>
      </c>
      <c r="AP59">
        <f ca="1">IF(AND($A59&lt;&gt;"",COUNTIF($A$20:A59,A59)=1,AND($A59&lt;&gt;"",$A59&lt;&gt;"非自然知识",COUNTIF($A$20:$A$78,$A59)&gt;0,OR($B$9="any",$B$9="fixed",AND($B$9="group",LEFT($A59,LEN($E$9)+1)=$E$9&amp;"（"),IFERROR(OR(ISNUMBER(FIND("|"&amp;$A59&amp;"|",$D$9)),AND(IFERROR(FIND("（",$A59),0)&gt;0,ISNUMBER(FIND("|"&amp;LEFT($A59,FIND("（",$A59)-1)&amp;"*|",$D$9)))),FALSE)))),ROW()-19,999)</f>
        <v>40</v>
      </c>
    </row>
    <row r="60" spans="1:42">
      <c r="A60" t="str">
        <f ca="1">IF(TRIM(人物卡!AM24)="","","特种载具（"&amp;TRIM(人物卡!AM24)&amp;"）")</f>
        <v/>
      </c>
      <c r="B60" t="str">
        <f ca="1" t="shared" si="2"/>
        <v/>
      </c>
      <c r="C60">
        <f ca="1">IF(人物卡!AY24="",N(人物卡!AV24),N(人物卡!AY24))</f>
        <v>0</v>
      </c>
      <c r="D60">
        <f ca="1">IF(AND(A60&lt;&gt;"",COUNTIF($A$20:A60,A60)=1),COUNTIF($H$2:$H$9,A60)*20,0)</f>
        <v>0</v>
      </c>
      <c r="E60">
        <f ca="1" t="shared" si="3"/>
        <v>0</v>
      </c>
      <c r="F60">
        <f ca="1">IF(AND(A60&lt;&gt;"",COUNTIF($A$20:A60,A60)=1),IF(A60="神秘学",IF(人物卡!$DF$46="人类不应知道之事",20,IF(OR(人物卡!$DF$46="极端暴力",人物卡!$DF$46="关押或入狱",人物卡!$DF$46="艰苦经历"),10,0)),0)+IF(人物卡!$DF$46="艰苦经历",COUNTIF($H$12:$H$16,A60)*10,0),0)</f>
        <v>0</v>
      </c>
      <c r="G60">
        <f ca="1">IF(人物卡!$DF$46="艰苦经历",MIN(F60,MAX(0,90-C60-E60)),MIN(F60,MAX(0,99-C60-E60)))</f>
        <v>0</v>
      </c>
      <c r="H60" t="str">
        <f ca="1" t="shared" si="4"/>
        <v/>
      </c>
      <c r="I60" t="str">
        <f ca="1" t="shared" si="5"/>
        <v/>
      </c>
      <c r="J60" t="s">
        <v>2318</v>
      </c>
      <c r="K60" t="s">
        <v>2319</v>
      </c>
      <c r="Y60">
        <f ca="1">IF(AND($A60&lt;&gt;"",COUNTIF($A$20:A60,A60)=1,$A60&lt;&gt;"非自然知识"),ROW()-19,999)</f>
        <v>999</v>
      </c>
      <c r="Z60" t="str">
        <f ca="1">IFERROR(INDEX($A$20:$A$78,SMALL($Y$20:$Y$78,41)),"")</f>
        <v/>
      </c>
      <c r="AA60" t="str">
        <f ca="1">IFERROR(INDEX($A$20:$A$78,SMALL($AB$20:$AB$78,41)),"")</f>
        <v/>
      </c>
      <c r="AB60">
        <f ca="1">IF(AND($A60&lt;&gt;"",COUNTIF($A$20:A60,A60)=1,AND($A60&lt;&gt;"",$A60&lt;&gt;"非自然知识",COUNTIF($A$20:$A$78,$A60)&gt;0,OR($B$2="any",$B$2="fixed",AND($B$2="group",LEFT($A60,LEN($E$2)+1)=$E$2&amp;"（"),IFERROR(OR(ISNUMBER(FIND("|"&amp;$A60&amp;"|",$D$2)),AND(IFERROR(FIND("（",$A60),0)&gt;0,ISNUMBER(FIND("|"&amp;LEFT($A60,FIND("（",$A60)-1)&amp;"*|",$D$2)))),FALSE)))),ROW()-19,999)</f>
        <v>999</v>
      </c>
      <c r="AC60" t="str">
        <f ca="1">IFERROR(INDEX($A$20:$A$78,SMALL($AD$20:$AD$78,41)),"")</f>
        <v/>
      </c>
      <c r="AD60">
        <f ca="1">IF(AND($A60&lt;&gt;"",COUNTIF($A$20:A60,A60)=1,AND($A60&lt;&gt;"",$A60&lt;&gt;"非自然知识",COUNTIF($A$20:$A$78,$A60)&gt;0,OR($B$3="any",$B$3="fixed",AND($B$3="group",LEFT($A60,LEN($E$3)+1)=$E$3&amp;"（"),IFERROR(OR(ISNUMBER(FIND("|"&amp;$A60&amp;"|",$D$3)),AND(IFERROR(FIND("（",$A60),0)&gt;0,ISNUMBER(FIND("|"&amp;LEFT($A60,FIND("（",$A60)-1)&amp;"*|",$D$3)))),FALSE)))),ROW()-19,999)</f>
        <v>999</v>
      </c>
      <c r="AE60" t="str">
        <f ca="1">IFERROR(INDEX($A$20:$A$78,SMALL($AF$20:$AF$78,41)),"")</f>
        <v/>
      </c>
      <c r="AF60">
        <f ca="1">IF(AND($A60&lt;&gt;"",COUNTIF($A$20:A60,A60)=1,AND($A60&lt;&gt;"",$A60&lt;&gt;"非自然知识",COUNTIF($A$20:$A$78,$A60)&gt;0,OR($B$4="any",$B$4="fixed",AND($B$4="group",LEFT($A60,LEN($E$4)+1)=$E$4&amp;"（"),IFERROR(OR(ISNUMBER(FIND("|"&amp;$A60&amp;"|",$D$4)),AND(IFERROR(FIND("（",$A60),0)&gt;0,ISNUMBER(FIND("|"&amp;LEFT($A60,FIND("（",$A60)-1)&amp;"*|",$D$4)))),FALSE)))),ROW()-19,999)</f>
        <v>999</v>
      </c>
      <c r="AG60" t="str">
        <f ca="1">IFERROR(INDEX($A$20:$A$78,SMALL($AH$20:$AH$78,41)),"")</f>
        <v/>
      </c>
      <c r="AH60">
        <f ca="1">IF(AND($A60&lt;&gt;"",COUNTIF($A$20:A60,A60)=1,AND($A60&lt;&gt;"",$A60&lt;&gt;"非自然知识",COUNTIF($A$20:$A$78,$A60)&gt;0,OR($B$5="any",$B$5="fixed",AND($B$5="group",LEFT($A60,LEN($E$5)+1)=$E$5&amp;"（"),IFERROR(OR(ISNUMBER(FIND("|"&amp;$A60&amp;"|",$D$5)),AND(IFERROR(FIND("（",$A60),0)&gt;0,ISNUMBER(FIND("|"&amp;LEFT($A60,FIND("（",$A60)-1)&amp;"*|",$D$5)))),FALSE)))),ROW()-19,999)</f>
        <v>999</v>
      </c>
      <c r="AI60" t="str">
        <f ca="1">IFERROR(INDEX($A$20:$A$78,SMALL($AJ$20:$AJ$78,41)),"")</f>
        <v/>
      </c>
      <c r="AJ60">
        <f ca="1">IF(AND($A60&lt;&gt;"",COUNTIF($A$20:A60,A60)=1,AND($A60&lt;&gt;"",$A60&lt;&gt;"非自然知识",COUNTIF($A$20:$A$78,$A60)&gt;0,OR($B$6="any",$B$6="fixed",AND($B$6="group",LEFT($A60,LEN($E$6)+1)=$E$6&amp;"（"),IFERROR(OR(ISNUMBER(FIND("|"&amp;$A60&amp;"|",$D$6)),AND(IFERROR(FIND("（",$A60),0)&gt;0,ISNUMBER(FIND("|"&amp;LEFT($A60,FIND("（",$A60)-1)&amp;"*|",$D$6)))),FALSE)))),ROW()-19,999)</f>
        <v>999</v>
      </c>
      <c r="AK60" t="str">
        <f ca="1">IFERROR(INDEX($A$20:$A$78,SMALL($AL$20:$AL$78,41)),"")</f>
        <v/>
      </c>
      <c r="AL60">
        <f ca="1">IF(AND($A60&lt;&gt;"",COUNTIF($A$20:A60,A60)=1,AND($A60&lt;&gt;"",$A60&lt;&gt;"非自然知识",COUNTIF($A$20:$A$78,$A60)&gt;0,OR($B$7="any",$B$7="fixed",AND($B$7="group",LEFT($A60,LEN($E$7)+1)=$E$7&amp;"（"),IFERROR(OR(ISNUMBER(FIND("|"&amp;$A60&amp;"|",$D$7)),AND(IFERROR(FIND("（",$A60),0)&gt;0,ISNUMBER(FIND("|"&amp;LEFT($A60,FIND("（",$A60)-1)&amp;"*|",$D$7)))),FALSE)))),ROW()-19,999)</f>
        <v>999</v>
      </c>
      <c r="AM60" t="str">
        <f ca="1">IFERROR(INDEX($A$20:$A$78,SMALL($AN$20:$AN$78,41)),"")</f>
        <v/>
      </c>
      <c r="AN60">
        <f ca="1">IF(AND($A60&lt;&gt;"",COUNTIF($A$20:A60,A60)=1,AND($A60&lt;&gt;"",$A60&lt;&gt;"非自然知识",COUNTIF($A$20:$A$78,$A60)&gt;0,OR($B$8="any",$B$8="fixed",AND($B$8="group",LEFT($A60,LEN($E$8)+1)=$E$8&amp;"（"),IFERROR(OR(ISNUMBER(FIND("|"&amp;$A60&amp;"|",$D$8)),AND(IFERROR(FIND("（",$A60),0)&gt;0,ISNUMBER(FIND("|"&amp;LEFT($A60,FIND("（",$A60)-1)&amp;"*|",$D$8)))),FALSE)))),ROW()-19,999)</f>
        <v>999</v>
      </c>
      <c r="AO60" t="str">
        <f ca="1">IFERROR(INDEX($A$20:$A$78,SMALL($AP$20:$AP$78,41)),"")</f>
        <v/>
      </c>
      <c r="AP60">
        <f ca="1">IF(AND($A60&lt;&gt;"",COUNTIF($A$20:A60,A60)=1,AND($A60&lt;&gt;"",$A60&lt;&gt;"非自然知识",COUNTIF($A$20:$A$78,$A60)&gt;0,OR($B$9="any",$B$9="fixed",AND($B$9="group",LEFT($A60,LEN($E$9)+1)=$E$9&amp;"（"),IFERROR(OR(ISNUMBER(FIND("|"&amp;$A60&amp;"|",$D$9)),AND(IFERROR(FIND("（",$A60),0)&gt;0,ISNUMBER(FIND("|"&amp;LEFT($A60,FIND("（",$A60)-1)&amp;"*|",$D$9)))),FALSE)))),ROW()-19,999)</f>
        <v>999</v>
      </c>
    </row>
    <row r="61" spans="1:42">
      <c r="A61" t="str">
        <f ca="1">IF(TRIM(人物卡!AM25)="","","特种载具（"&amp;TRIM(人物卡!AM25)&amp;"）")</f>
        <v/>
      </c>
      <c r="B61" t="str">
        <f ca="1" t="shared" si="2"/>
        <v/>
      </c>
      <c r="C61">
        <f ca="1">IF(人物卡!AY25="",N(人物卡!AV25),N(人物卡!AY25))</f>
        <v>0</v>
      </c>
      <c r="D61">
        <f ca="1">IF(AND(A61&lt;&gt;"",COUNTIF($A$20:A61,A61)=1),COUNTIF($H$2:$H$9,A61)*20,0)</f>
        <v>0</v>
      </c>
      <c r="E61">
        <f ca="1" t="shared" si="3"/>
        <v>0</v>
      </c>
      <c r="F61">
        <f ca="1">IF(AND(A61&lt;&gt;"",COUNTIF($A$20:A61,A61)=1),IF(A61="神秘学",IF(人物卡!$DF$46="人类不应知道之事",20,IF(OR(人物卡!$DF$46="极端暴力",人物卡!$DF$46="关押或入狱",人物卡!$DF$46="艰苦经历"),10,0)),0)+IF(人物卡!$DF$46="艰苦经历",COUNTIF($H$12:$H$16,A61)*10,0),0)</f>
        <v>0</v>
      </c>
      <c r="G61">
        <f ca="1">IF(人物卡!$DF$46="艰苦经历",MIN(F61,MAX(0,90-C61-E61)),MIN(F61,MAX(0,99-C61-E61)))</f>
        <v>0</v>
      </c>
      <c r="H61" t="str">
        <f ca="1" t="shared" si="4"/>
        <v/>
      </c>
      <c r="I61" t="str">
        <f ca="1" t="shared" si="5"/>
        <v/>
      </c>
      <c r="J61" t="s">
        <v>2320</v>
      </c>
      <c r="K61" t="s">
        <v>2321</v>
      </c>
      <c r="Y61">
        <f ca="1">IF(AND($A61&lt;&gt;"",COUNTIF($A$20:A61,A61)=1,$A61&lt;&gt;"非自然知识"),ROW()-19,999)</f>
        <v>999</v>
      </c>
      <c r="Z61" t="str">
        <f ca="1">IFERROR(INDEX($A$20:$A$78,SMALL($Y$20:$Y$78,42)),"")</f>
        <v/>
      </c>
      <c r="AA61" t="str">
        <f ca="1">IFERROR(INDEX($A$20:$A$78,SMALL($AB$20:$AB$78,42)),"")</f>
        <v/>
      </c>
      <c r="AB61">
        <f ca="1">IF(AND($A61&lt;&gt;"",COUNTIF($A$20:A61,A61)=1,AND($A61&lt;&gt;"",$A61&lt;&gt;"非自然知识",COUNTIF($A$20:$A$78,$A61)&gt;0,OR($B$2="any",$B$2="fixed",AND($B$2="group",LEFT($A61,LEN($E$2)+1)=$E$2&amp;"（"),IFERROR(OR(ISNUMBER(FIND("|"&amp;$A61&amp;"|",$D$2)),AND(IFERROR(FIND("（",$A61),0)&gt;0,ISNUMBER(FIND("|"&amp;LEFT($A61,FIND("（",$A61)-1)&amp;"*|",$D$2)))),FALSE)))),ROW()-19,999)</f>
        <v>999</v>
      </c>
      <c r="AC61" t="str">
        <f ca="1">IFERROR(INDEX($A$20:$A$78,SMALL($AD$20:$AD$78,42)),"")</f>
        <v/>
      </c>
      <c r="AD61">
        <f ca="1">IF(AND($A61&lt;&gt;"",COUNTIF($A$20:A61,A61)=1,AND($A61&lt;&gt;"",$A61&lt;&gt;"非自然知识",COUNTIF($A$20:$A$78,$A61)&gt;0,OR($B$3="any",$B$3="fixed",AND($B$3="group",LEFT($A61,LEN($E$3)+1)=$E$3&amp;"（"),IFERROR(OR(ISNUMBER(FIND("|"&amp;$A61&amp;"|",$D$3)),AND(IFERROR(FIND("（",$A61),0)&gt;0,ISNUMBER(FIND("|"&amp;LEFT($A61,FIND("（",$A61)-1)&amp;"*|",$D$3)))),FALSE)))),ROW()-19,999)</f>
        <v>999</v>
      </c>
      <c r="AE61" t="str">
        <f ca="1">IFERROR(INDEX($A$20:$A$78,SMALL($AF$20:$AF$78,42)),"")</f>
        <v/>
      </c>
      <c r="AF61">
        <f ca="1">IF(AND($A61&lt;&gt;"",COUNTIF($A$20:A61,A61)=1,AND($A61&lt;&gt;"",$A61&lt;&gt;"非自然知识",COUNTIF($A$20:$A$78,$A61)&gt;0,OR($B$4="any",$B$4="fixed",AND($B$4="group",LEFT($A61,LEN($E$4)+1)=$E$4&amp;"（"),IFERROR(OR(ISNUMBER(FIND("|"&amp;$A61&amp;"|",$D$4)),AND(IFERROR(FIND("（",$A61),0)&gt;0,ISNUMBER(FIND("|"&amp;LEFT($A61,FIND("（",$A61)-1)&amp;"*|",$D$4)))),FALSE)))),ROW()-19,999)</f>
        <v>999</v>
      </c>
      <c r="AG61" t="str">
        <f ca="1">IFERROR(INDEX($A$20:$A$78,SMALL($AH$20:$AH$78,42)),"")</f>
        <v/>
      </c>
      <c r="AH61">
        <f ca="1">IF(AND($A61&lt;&gt;"",COUNTIF($A$20:A61,A61)=1,AND($A61&lt;&gt;"",$A61&lt;&gt;"非自然知识",COUNTIF($A$20:$A$78,$A61)&gt;0,OR($B$5="any",$B$5="fixed",AND($B$5="group",LEFT($A61,LEN($E$5)+1)=$E$5&amp;"（"),IFERROR(OR(ISNUMBER(FIND("|"&amp;$A61&amp;"|",$D$5)),AND(IFERROR(FIND("（",$A61),0)&gt;0,ISNUMBER(FIND("|"&amp;LEFT($A61,FIND("（",$A61)-1)&amp;"*|",$D$5)))),FALSE)))),ROW()-19,999)</f>
        <v>999</v>
      </c>
      <c r="AI61" t="str">
        <f ca="1">IFERROR(INDEX($A$20:$A$78,SMALL($AJ$20:$AJ$78,42)),"")</f>
        <v/>
      </c>
      <c r="AJ61">
        <f ca="1">IF(AND($A61&lt;&gt;"",COUNTIF($A$20:A61,A61)=1,AND($A61&lt;&gt;"",$A61&lt;&gt;"非自然知识",COUNTIF($A$20:$A$78,$A61)&gt;0,OR($B$6="any",$B$6="fixed",AND($B$6="group",LEFT($A61,LEN($E$6)+1)=$E$6&amp;"（"),IFERROR(OR(ISNUMBER(FIND("|"&amp;$A61&amp;"|",$D$6)),AND(IFERROR(FIND("（",$A61),0)&gt;0,ISNUMBER(FIND("|"&amp;LEFT($A61,FIND("（",$A61)-1)&amp;"*|",$D$6)))),FALSE)))),ROW()-19,999)</f>
        <v>999</v>
      </c>
      <c r="AK61" t="str">
        <f ca="1">IFERROR(INDEX($A$20:$A$78,SMALL($AL$20:$AL$78,42)),"")</f>
        <v/>
      </c>
      <c r="AL61">
        <f ca="1">IF(AND($A61&lt;&gt;"",COUNTIF($A$20:A61,A61)=1,AND($A61&lt;&gt;"",$A61&lt;&gt;"非自然知识",COUNTIF($A$20:$A$78,$A61)&gt;0,OR($B$7="any",$B$7="fixed",AND($B$7="group",LEFT($A61,LEN($E$7)+1)=$E$7&amp;"（"),IFERROR(OR(ISNUMBER(FIND("|"&amp;$A61&amp;"|",$D$7)),AND(IFERROR(FIND("（",$A61),0)&gt;0,ISNUMBER(FIND("|"&amp;LEFT($A61,FIND("（",$A61)-1)&amp;"*|",$D$7)))),FALSE)))),ROW()-19,999)</f>
        <v>999</v>
      </c>
      <c r="AM61" t="str">
        <f ca="1">IFERROR(INDEX($A$20:$A$78,SMALL($AN$20:$AN$78,42)),"")</f>
        <v/>
      </c>
      <c r="AN61">
        <f ca="1">IF(AND($A61&lt;&gt;"",COUNTIF($A$20:A61,A61)=1,AND($A61&lt;&gt;"",$A61&lt;&gt;"非自然知识",COUNTIF($A$20:$A$78,$A61)&gt;0,OR($B$8="any",$B$8="fixed",AND($B$8="group",LEFT($A61,LEN($E$8)+1)=$E$8&amp;"（"),IFERROR(OR(ISNUMBER(FIND("|"&amp;$A61&amp;"|",$D$8)),AND(IFERROR(FIND("（",$A61),0)&gt;0,ISNUMBER(FIND("|"&amp;LEFT($A61,FIND("（",$A61)-1)&amp;"*|",$D$8)))),FALSE)))),ROW()-19,999)</f>
        <v>999</v>
      </c>
      <c r="AO61" t="str">
        <f ca="1">IFERROR(INDEX($A$20:$A$78,SMALL($AP$20:$AP$78,42)),"")</f>
        <v/>
      </c>
      <c r="AP61">
        <f ca="1">IF(AND($A61&lt;&gt;"",COUNTIF($A$20:A61,A61)=1,AND($A61&lt;&gt;"",$A61&lt;&gt;"非自然知识",COUNTIF($A$20:$A$78,$A61)&gt;0,OR($B$9="any",$B$9="fixed",AND($B$9="group",LEFT($A61,LEN($E$9)+1)=$E$9&amp;"（"),IFERROR(OR(ISNUMBER(FIND("|"&amp;$A61&amp;"|",$D$9)),AND(IFERROR(FIND("（",$A61),0)&gt;0,ISNUMBER(FIND("|"&amp;LEFT($A61,FIND("（",$A61)-1)&amp;"*|",$D$9)))),FALSE)))),ROW()-19,999)</f>
        <v>999</v>
      </c>
    </row>
    <row r="62" spans="1:42">
      <c r="A62" t="str">
        <f ca="1">IF(TRIM(人物卡!AM26)="","","特种载具（"&amp;TRIM(人物卡!AM26)&amp;"）")</f>
        <v/>
      </c>
      <c r="B62" t="str">
        <f ca="1" t="shared" si="2"/>
        <v/>
      </c>
      <c r="C62">
        <f ca="1">IF(人物卡!AY26="",N(人物卡!AV26),N(人物卡!AY26))</f>
        <v>0</v>
      </c>
      <c r="D62">
        <f ca="1">IF(AND(A62&lt;&gt;"",COUNTIF($A$20:A62,A62)=1),COUNTIF($H$2:$H$9,A62)*20,0)</f>
        <v>0</v>
      </c>
      <c r="E62">
        <f ca="1" t="shared" si="3"/>
        <v>0</v>
      </c>
      <c r="F62">
        <f ca="1">IF(AND(A62&lt;&gt;"",COUNTIF($A$20:A62,A62)=1),IF(A62="神秘学",IF(人物卡!$DF$46="人类不应知道之事",20,IF(OR(人物卡!$DF$46="极端暴力",人物卡!$DF$46="关押或入狱",人物卡!$DF$46="艰苦经历"),10,0)),0)+IF(人物卡!$DF$46="艰苦经历",COUNTIF($H$12:$H$16,A62)*10,0),0)</f>
        <v>0</v>
      </c>
      <c r="G62">
        <f ca="1">IF(人物卡!$DF$46="艰苦经历",MIN(F62,MAX(0,90-C62-E62)),MIN(F62,MAX(0,99-C62-E62)))</f>
        <v>0</v>
      </c>
      <c r="H62" t="str">
        <f ca="1" t="shared" si="4"/>
        <v/>
      </c>
      <c r="I62" t="str">
        <f ca="1" t="shared" si="5"/>
        <v/>
      </c>
      <c r="J62" t="s">
        <v>2322</v>
      </c>
      <c r="K62" t="s">
        <v>2323</v>
      </c>
      <c r="Y62">
        <f ca="1">IF(AND($A62&lt;&gt;"",COUNTIF($A$20:A62,A62)=1,$A62&lt;&gt;"非自然知识"),ROW()-19,999)</f>
        <v>999</v>
      </c>
      <c r="Z62" t="str">
        <f ca="1">IFERROR(INDEX($A$20:$A$78,SMALL($Y$20:$Y$78,43)),"")</f>
        <v/>
      </c>
      <c r="AA62" t="str">
        <f ca="1">IFERROR(INDEX($A$20:$A$78,SMALL($AB$20:$AB$78,43)),"")</f>
        <v/>
      </c>
      <c r="AB62">
        <f ca="1">IF(AND($A62&lt;&gt;"",COUNTIF($A$20:A62,A62)=1,AND($A62&lt;&gt;"",$A62&lt;&gt;"非自然知识",COUNTIF($A$20:$A$78,$A62)&gt;0,OR($B$2="any",$B$2="fixed",AND($B$2="group",LEFT($A62,LEN($E$2)+1)=$E$2&amp;"（"),IFERROR(OR(ISNUMBER(FIND("|"&amp;$A62&amp;"|",$D$2)),AND(IFERROR(FIND("（",$A62),0)&gt;0,ISNUMBER(FIND("|"&amp;LEFT($A62,FIND("（",$A62)-1)&amp;"*|",$D$2)))),FALSE)))),ROW()-19,999)</f>
        <v>999</v>
      </c>
      <c r="AC62" t="str">
        <f ca="1">IFERROR(INDEX($A$20:$A$78,SMALL($AD$20:$AD$78,43)),"")</f>
        <v/>
      </c>
      <c r="AD62">
        <f ca="1">IF(AND($A62&lt;&gt;"",COUNTIF($A$20:A62,A62)=1,AND($A62&lt;&gt;"",$A62&lt;&gt;"非自然知识",COUNTIF($A$20:$A$78,$A62)&gt;0,OR($B$3="any",$B$3="fixed",AND($B$3="group",LEFT($A62,LEN($E$3)+1)=$E$3&amp;"（"),IFERROR(OR(ISNUMBER(FIND("|"&amp;$A62&amp;"|",$D$3)),AND(IFERROR(FIND("（",$A62),0)&gt;0,ISNUMBER(FIND("|"&amp;LEFT($A62,FIND("（",$A62)-1)&amp;"*|",$D$3)))),FALSE)))),ROW()-19,999)</f>
        <v>999</v>
      </c>
      <c r="AE62" t="str">
        <f ca="1">IFERROR(INDEX($A$20:$A$78,SMALL($AF$20:$AF$78,43)),"")</f>
        <v/>
      </c>
      <c r="AF62">
        <f ca="1">IF(AND($A62&lt;&gt;"",COUNTIF($A$20:A62,A62)=1,AND($A62&lt;&gt;"",$A62&lt;&gt;"非自然知识",COUNTIF($A$20:$A$78,$A62)&gt;0,OR($B$4="any",$B$4="fixed",AND($B$4="group",LEFT($A62,LEN($E$4)+1)=$E$4&amp;"（"),IFERROR(OR(ISNUMBER(FIND("|"&amp;$A62&amp;"|",$D$4)),AND(IFERROR(FIND("（",$A62),0)&gt;0,ISNUMBER(FIND("|"&amp;LEFT($A62,FIND("（",$A62)-1)&amp;"*|",$D$4)))),FALSE)))),ROW()-19,999)</f>
        <v>999</v>
      </c>
      <c r="AG62" t="str">
        <f ca="1">IFERROR(INDEX($A$20:$A$78,SMALL($AH$20:$AH$78,43)),"")</f>
        <v/>
      </c>
      <c r="AH62">
        <f ca="1">IF(AND($A62&lt;&gt;"",COUNTIF($A$20:A62,A62)=1,AND($A62&lt;&gt;"",$A62&lt;&gt;"非自然知识",COUNTIF($A$20:$A$78,$A62)&gt;0,OR($B$5="any",$B$5="fixed",AND($B$5="group",LEFT($A62,LEN($E$5)+1)=$E$5&amp;"（"),IFERROR(OR(ISNUMBER(FIND("|"&amp;$A62&amp;"|",$D$5)),AND(IFERROR(FIND("（",$A62),0)&gt;0,ISNUMBER(FIND("|"&amp;LEFT($A62,FIND("（",$A62)-1)&amp;"*|",$D$5)))),FALSE)))),ROW()-19,999)</f>
        <v>999</v>
      </c>
      <c r="AI62" t="str">
        <f ca="1">IFERROR(INDEX($A$20:$A$78,SMALL($AJ$20:$AJ$78,43)),"")</f>
        <v/>
      </c>
      <c r="AJ62">
        <f ca="1">IF(AND($A62&lt;&gt;"",COUNTIF($A$20:A62,A62)=1,AND($A62&lt;&gt;"",$A62&lt;&gt;"非自然知识",COUNTIF($A$20:$A$78,$A62)&gt;0,OR($B$6="any",$B$6="fixed",AND($B$6="group",LEFT($A62,LEN($E$6)+1)=$E$6&amp;"（"),IFERROR(OR(ISNUMBER(FIND("|"&amp;$A62&amp;"|",$D$6)),AND(IFERROR(FIND("（",$A62),0)&gt;0,ISNUMBER(FIND("|"&amp;LEFT($A62,FIND("（",$A62)-1)&amp;"*|",$D$6)))),FALSE)))),ROW()-19,999)</f>
        <v>999</v>
      </c>
      <c r="AK62" t="str">
        <f ca="1">IFERROR(INDEX($A$20:$A$78,SMALL($AL$20:$AL$78,43)),"")</f>
        <v/>
      </c>
      <c r="AL62">
        <f ca="1">IF(AND($A62&lt;&gt;"",COUNTIF($A$20:A62,A62)=1,AND($A62&lt;&gt;"",$A62&lt;&gt;"非自然知识",COUNTIF($A$20:$A$78,$A62)&gt;0,OR($B$7="any",$B$7="fixed",AND($B$7="group",LEFT($A62,LEN($E$7)+1)=$E$7&amp;"（"),IFERROR(OR(ISNUMBER(FIND("|"&amp;$A62&amp;"|",$D$7)),AND(IFERROR(FIND("（",$A62),0)&gt;0,ISNUMBER(FIND("|"&amp;LEFT($A62,FIND("（",$A62)-1)&amp;"*|",$D$7)))),FALSE)))),ROW()-19,999)</f>
        <v>999</v>
      </c>
      <c r="AM62" t="str">
        <f ca="1">IFERROR(INDEX($A$20:$A$78,SMALL($AN$20:$AN$78,43)),"")</f>
        <v/>
      </c>
      <c r="AN62">
        <f ca="1">IF(AND($A62&lt;&gt;"",COUNTIF($A$20:A62,A62)=1,AND($A62&lt;&gt;"",$A62&lt;&gt;"非自然知识",COUNTIF($A$20:$A$78,$A62)&gt;0,OR($B$8="any",$B$8="fixed",AND($B$8="group",LEFT($A62,LEN($E$8)+1)=$E$8&amp;"（"),IFERROR(OR(ISNUMBER(FIND("|"&amp;$A62&amp;"|",$D$8)),AND(IFERROR(FIND("（",$A62),0)&gt;0,ISNUMBER(FIND("|"&amp;LEFT($A62,FIND("（",$A62)-1)&amp;"*|",$D$8)))),FALSE)))),ROW()-19,999)</f>
        <v>999</v>
      </c>
      <c r="AO62" t="str">
        <f ca="1">IFERROR(INDEX($A$20:$A$78,SMALL($AP$20:$AP$78,43)),"")</f>
        <v/>
      </c>
      <c r="AP62">
        <f ca="1">IF(AND($A62&lt;&gt;"",COUNTIF($A$20:A62,A62)=1,AND($A62&lt;&gt;"",$A62&lt;&gt;"非自然知识",COUNTIF($A$20:$A$78,$A62)&gt;0,OR($B$9="any",$B$9="fixed",AND($B$9="group",LEFT($A62,LEN($E$9)+1)=$E$9&amp;"（"),IFERROR(OR(ISNUMBER(FIND("|"&amp;$A62&amp;"|",$D$9)),AND(IFERROR(FIND("（",$A62),0)&gt;0,ISNUMBER(FIND("|"&amp;LEFT($A62,FIND("（",$A62)-1)&amp;"*|",$D$9)))),FALSE)))),ROW()-19,999)</f>
        <v>999</v>
      </c>
    </row>
    <row r="63" spans="1:42">
      <c r="A63" t="str">
        <f>人物卡!AG27</f>
        <v>精神治疗</v>
      </c>
      <c r="B63" t="str">
        <f t="shared" si="2"/>
        <v/>
      </c>
      <c r="C63">
        <f ca="1">IF(人物卡!AY27="",N(人物卡!AV27),N(人物卡!AY27))</f>
        <v>10</v>
      </c>
      <c r="D63">
        <f ca="1">IF(AND(A63&lt;&gt;"",COUNTIF($A$20:A63,A63)=1),COUNTIF($H$2:$H$9,A63)*20,0)</f>
        <v>0</v>
      </c>
      <c r="E63">
        <f ca="1" t="shared" si="3"/>
        <v>0</v>
      </c>
      <c r="F63">
        <f ca="1">IF(AND(A63&lt;&gt;"",COUNTIF($A$20:A63,A63)=1),IF(A63="神秘学",IF(人物卡!$DF$46="人类不应知道之事",20,IF(OR(人物卡!$DF$46="极端暴力",人物卡!$DF$46="关押或入狱",人物卡!$DF$46="艰苦经历"),10,0)),0)+IF(人物卡!$DF$46="艰苦经历",COUNTIF($H$12:$H$16,A63)*10,0),0)</f>
        <v>0</v>
      </c>
      <c r="G63">
        <f ca="1">IF(人物卡!$DF$46="艰苦经历",MIN(F63,MAX(0,90-C63-E63)),MIN(F63,MAX(0,99-C63-E63)))</f>
        <v>0</v>
      </c>
      <c r="H63" t="str">
        <f ca="1" t="shared" si="4"/>
        <v/>
      </c>
      <c r="I63" t="str">
        <f ca="1" t="shared" si="5"/>
        <v/>
      </c>
      <c r="J63" t="s">
        <v>2324</v>
      </c>
      <c r="K63" t="s">
        <v>2325</v>
      </c>
      <c r="Y63">
        <f ca="1">IF(AND($A63&lt;&gt;"",COUNTIF($A$20:A63,A63)=1,$A63&lt;&gt;"非自然知识"),ROW()-19,999)</f>
        <v>44</v>
      </c>
      <c r="Z63" t="str">
        <f ca="1">IFERROR(INDEX($A$20:$A$78,SMALL($Y$20:$Y$78,44)),"")</f>
        <v/>
      </c>
      <c r="AA63" t="str">
        <f ca="1">IFERROR(INDEX($A$20:$A$78,SMALL($AB$20:$AB$78,44)),"")</f>
        <v/>
      </c>
      <c r="AB63">
        <f ca="1">IF(AND($A63&lt;&gt;"",COUNTIF($A$20:A63,A63)=1,AND($A63&lt;&gt;"",$A63&lt;&gt;"非自然知识",COUNTIF($A$20:$A$78,$A63)&gt;0,OR($B$2="any",$B$2="fixed",AND($B$2="group",LEFT($A63,LEN($E$2)+1)=$E$2&amp;"（"),IFERROR(OR(ISNUMBER(FIND("|"&amp;$A63&amp;"|",$D$2)),AND(IFERROR(FIND("（",$A63),0)&gt;0,ISNUMBER(FIND("|"&amp;LEFT($A63,FIND("（",$A63)-1)&amp;"*|",$D$2)))),FALSE)))),ROW()-19,999)</f>
        <v>44</v>
      </c>
      <c r="AC63" t="str">
        <f ca="1">IFERROR(INDEX($A$20:$A$78,SMALL($AD$20:$AD$78,44)),"")</f>
        <v/>
      </c>
      <c r="AD63">
        <f ca="1">IF(AND($A63&lt;&gt;"",COUNTIF($A$20:A63,A63)=1,AND($A63&lt;&gt;"",$A63&lt;&gt;"非自然知识",COUNTIF($A$20:$A$78,$A63)&gt;0,OR($B$3="any",$B$3="fixed",AND($B$3="group",LEFT($A63,LEN($E$3)+1)=$E$3&amp;"（"),IFERROR(OR(ISNUMBER(FIND("|"&amp;$A63&amp;"|",$D$3)),AND(IFERROR(FIND("（",$A63),0)&gt;0,ISNUMBER(FIND("|"&amp;LEFT($A63,FIND("（",$A63)-1)&amp;"*|",$D$3)))),FALSE)))),ROW()-19,999)</f>
        <v>44</v>
      </c>
      <c r="AE63" t="str">
        <f ca="1">IFERROR(INDEX($A$20:$A$78,SMALL($AF$20:$AF$78,44)),"")</f>
        <v/>
      </c>
      <c r="AF63">
        <f ca="1">IF(AND($A63&lt;&gt;"",COUNTIF($A$20:A63,A63)=1,AND($A63&lt;&gt;"",$A63&lt;&gt;"非自然知识",COUNTIF($A$20:$A$78,$A63)&gt;0,OR($B$4="any",$B$4="fixed",AND($B$4="group",LEFT($A63,LEN($E$4)+1)=$E$4&amp;"（"),IFERROR(OR(ISNUMBER(FIND("|"&amp;$A63&amp;"|",$D$4)),AND(IFERROR(FIND("（",$A63),0)&gt;0,ISNUMBER(FIND("|"&amp;LEFT($A63,FIND("（",$A63)-1)&amp;"*|",$D$4)))),FALSE)))),ROW()-19,999)</f>
        <v>44</v>
      </c>
      <c r="AG63" t="str">
        <f ca="1">IFERROR(INDEX($A$20:$A$78,SMALL($AH$20:$AH$78,44)),"")</f>
        <v/>
      </c>
      <c r="AH63">
        <f ca="1">IF(AND($A63&lt;&gt;"",COUNTIF($A$20:A63,A63)=1,AND($A63&lt;&gt;"",$A63&lt;&gt;"非自然知识",COUNTIF($A$20:$A$78,$A63)&gt;0,OR($B$5="any",$B$5="fixed",AND($B$5="group",LEFT($A63,LEN($E$5)+1)=$E$5&amp;"（"),IFERROR(OR(ISNUMBER(FIND("|"&amp;$A63&amp;"|",$D$5)),AND(IFERROR(FIND("（",$A63),0)&gt;0,ISNUMBER(FIND("|"&amp;LEFT($A63,FIND("（",$A63)-1)&amp;"*|",$D$5)))),FALSE)))),ROW()-19,999)</f>
        <v>44</v>
      </c>
      <c r="AI63" t="str">
        <f ca="1">IFERROR(INDEX($A$20:$A$78,SMALL($AJ$20:$AJ$78,44)),"")</f>
        <v/>
      </c>
      <c r="AJ63">
        <f ca="1">IF(AND($A63&lt;&gt;"",COUNTIF($A$20:A63,A63)=1,AND($A63&lt;&gt;"",$A63&lt;&gt;"非自然知识",COUNTIF($A$20:$A$78,$A63)&gt;0,OR($B$6="any",$B$6="fixed",AND($B$6="group",LEFT($A63,LEN($E$6)+1)=$E$6&amp;"（"),IFERROR(OR(ISNUMBER(FIND("|"&amp;$A63&amp;"|",$D$6)),AND(IFERROR(FIND("（",$A63),0)&gt;0,ISNUMBER(FIND("|"&amp;LEFT($A63,FIND("（",$A63)-1)&amp;"*|",$D$6)))),FALSE)))),ROW()-19,999)</f>
        <v>44</v>
      </c>
      <c r="AK63" t="str">
        <f ca="1">IFERROR(INDEX($A$20:$A$78,SMALL($AL$20:$AL$78,44)),"")</f>
        <v/>
      </c>
      <c r="AL63">
        <f ca="1">IF(AND($A63&lt;&gt;"",COUNTIF($A$20:A63,A63)=1,AND($A63&lt;&gt;"",$A63&lt;&gt;"非自然知识",COUNTIF($A$20:$A$78,$A63)&gt;0,OR($B$7="any",$B$7="fixed",AND($B$7="group",LEFT($A63,LEN($E$7)+1)=$E$7&amp;"（"),IFERROR(OR(ISNUMBER(FIND("|"&amp;$A63&amp;"|",$D$7)),AND(IFERROR(FIND("（",$A63),0)&gt;0,ISNUMBER(FIND("|"&amp;LEFT($A63,FIND("（",$A63)-1)&amp;"*|",$D$7)))),FALSE)))),ROW()-19,999)</f>
        <v>44</v>
      </c>
      <c r="AM63" t="str">
        <f ca="1">IFERROR(INDEX($A$20:$A$78,SMALL($AN$20:$AN$78,44)),"")</f>
        <v/>
      </c>
      <c r="AN63">
        <f ca="1">IF(AND($A63&lt;&gt;"",COUNTIF($A$20:A63,A63)=1,AND($A63&lt;&gt;"",$A63&lt;&gt;"非自然知识",COUNTIF($A$20:$A$78,$A63)&gt;0,OR($B$8="any",$B$8="fixed",AND($B$8="group",LEFT($A63,LEN($E$8)+1)=$E$8&amp;"（"),IFERROR(OR(ISNUMBER(FIND("|"&amp;$A63&amp;"|",$D$8)),AND(IFERROR(FIND("（",$A63),0)&gt;0,ISNUMBER(FIND("|"&amp;LEFT($A63,FIND("（",$A63)-1)&amp;"*|",$D$8)))),FALSE)))),ROW()-19,999)</f>
        <v>44</v>
      </c>
      <c r="AO63" t="str">
        <f ca="1">IFERROR(INDEX($A$20:$A$78,SMALL($AP$20:$AP$78,44)),"")</f>
        <v/>
      </c>
      <c r="AP63">
        <f ca="1">IF(AND($A63&lt;&gt;"",COUNTIF($A$20:A63,A63)=1,AND($A63&lt;&gt;"",$A63&lt;&gt;"非自然知识",COUNTIF($A$20:$A$78,$A63)&gt;0,OR($B$9="any",$B$9="fixed",AND($B$9="group",LEFT($A63,LEN($E$9)+1)=$E$9&amp;"（"),IFERROR(OR(ISNUMBER(FIND("|"&amp;$A63&amp;"|",$D$9)),AND(IFERROR(FIND("（",$A63),0)&gt;0,ISNUMBER(FIND("|"&amp;LEFT($A63,FIND("（",$A63)-1)&amp;"*|",$D$9)))),FALSE)))),ROW()-19,999)</f>
        <v>44</v>
      </c>
    </row>
    <row r="64" spans="1:42">
      <c r="A64" t="str">
        <f>人物卡!AG28</f>
        <v>骑术</v>
      </c>
      <c r="B64" t="str">
        <f t="shared" si="2"/>
        <v/>
      </c>
      <c r="C64">
        <f ca="1">IF(人物卡!AY28="",N(人物卡!AV28),N(人物卡!AY28))</f>
        <v>10</v>
      </c>
      <c r="D64">
        <f ca="1">IF(AND(A64&lt;&gt;"",COUNTIF($A$20:A64,A64)=1),COUNTIF($H$2:$H$9,A64)*20,0)</f>
        <v>0</v>
      </c>
      <c r="E64">
        <f ca="1" t="shared" si="3"/>
        <v>0</v>
      </c>
      <c r="F64">
        <f ca="1">IF(AND(A64&lt;&gt;"",COUNTIF($A$20:A64,A64)=1),IF(A64="神秘学",IF(人物卡!$DF$46="人类不应知道之事",20,IF(OR(人物卡!$DF$46="极端暴力",人物卡!$DF$46="关押或入狱",人物卡!$DF$46="艰苦经历"),10,0)),0)+IF(人物卡!$DF$46="艰苦经历",COUNTIF($H$12:$H$16,A64)*10,0),0)</f>
        <v>0</v>
      </c>
      <c r="G64">
        <f ca="1">IF(人物卡!$DF$46="艰苦经历",MIN(F64,MAX(0,90-C64-E64)),MIN(F64,MAX(0,99-C64-E64)))</f>
        <v>0</v>
      </c>
      <c r="H64" t="str">
        <f ca="1" t="shared" si="4"/>
        <v/>
      </c>
      <c r="I64" t="str">
        <f ca="1" t="shared" si="5"/>
        <v/>
      </c>
      <c r="J64" t="s">
        <v>2326</v>
      </c>
      <c r="K64" t="s">
        <v>2327</v>
      </c>
      <c r="Y64">
        <f ca="1">IF(AND($A64&lt;&gt;"",COUNTIF($A$20:A64,A64)=1,$A64&lt;&gt;"非自然知识"),ROW()-19,999)</f>
        <v>45</v>
      </c>
      <c r="Z64" t="str">
        <f ca="1">IFERROR(INDEX($A$20:$A$78,SMALL($Y$20:$Y$78,45)),"")</f>
        <v/>
      </c>
      <c r="AA64" t="str">
        <f ca="1">IFERROR(INDEX($A$20:$A$78,SMALL($AB$20:$AB$78,45)),"")</f>
        <v/>
      </c>
      <c r="AB64">
        <f ca="1">IF(AND($A64&lt;&gt;"",COUNTIF($A$20:A64,A64)=1,AND($A64&lt;&gt;"",$A64&lt;&gt;"非自然知识",COUNTIF($A$20:$A$78,$A64)&gt;0,OR($B$2="any",$B$2="fixed",AND($B$2="group",LEFT($A64,LEN($E$2)+1)=$E$2&amp;"（"),IFERROR(OR(ISNUMBER(FIND("|"&amp;$A64&amp;"|",$D$2)),AND(IFERROR(FIND("（",$A64),0)&gt;0,ISNUMBER(FIND("|"&amp;LEFT($A64,FIND("（",$A64)-1)&amp;"*|",$D$2)))),FALSE)))),ROW()-19,999)</f>
        <v>45</v>
      </c>
      <c r="AC64" t="str">
        <f ca="1">IFERROR(INDEX($A$20:$A$78,SMALL($AD$20:$AD$78,45)),"")</f>
        <v/>
      </c>
      <c r="AD64">
        <f ca="1">IF(AND($A64&lt;&gt;"",COUNTIF($A$20:A64,A64)=1,AND($A64&lt;&gt;"",$A64&lt;&gt;"非自然知识",COUNTIF($A$20:$A$78,$A64)&gt;0,OR($B$3="any",$B$3="fixed",AND($B$3="group",LEFT($A64,LEN($E$3)+1)=$E$3&amp;"（"),IFERROR(OR(ISNUMBER(FIND("|"&amp;$A64&amp;"|",$D$3)),AND(IFERROR(FIND("（",$A64),0)&gt;0,ISNUMBER(FIND("|"&amp;LEFT($A64,FIND("（",$A64)-1)&amp;"*|",$D$3)))),FALSE)))),ROW()-19,999)</f>
        <v>45</v>
      </c>
      <c r="AE64" t="str">
        <f ca="1">IFERROR(INDEX($A$20:$A$78,SMALL($AF$20:$AF$78,45)),"")</f>
        <v/>
      </c>
      <c r="AF64">
        <f ca="1">IF(AND($A64&lt;&gt;"",COUNTIF($A$20:A64,A64)=1,AND($A64&lt;&gt;"",$A64&lt;&gt;"非自然知识",COUNTIF($A$20:$A$78,$A64)&gt;0,OR($B$4="any",$B$4="fixed",AND($B$4="group",LEFT($A64,LEN($E$4)+1)=$E$4&amp;"（"),IFERROR(OR(ISNUMBER(FIND("|"&amp;$A64&amp;"|",$D$4)),AND(IFERROR(FIND("（",$A64),0)&gt;0,ISNUMBER(FIND("|"&amp;LEFT($A64,FIND("（",$A64)-1)&amp;"*|",$D$4)))),FALSE)))),ROW()-19,999)</f>
        <v>45</v>
      </c>
      <c r="AG64" t="str">
        <f ca="1">IFERROR(INDEX($A$20:$A$78,SMALL($AH$20:$AH$78,45)),"")</f>
        <v/>
      </c>
      <c r="AH64">
        <f ca="1">IF(AND($A64&lt;&gt;"",COUNTIF($A$20:A64,A64)=1,AND($A64&lt;&gt;"",$A64&lt;&gt;"非自然知识",COUNTIF($A$20:$A$78,$A64)&gt;0,OR($B$5="any",$B$5="fixed",AND($B$5="group",LEFT($A64,LEN($E$5)+1)=$E$5&amp;"（"),IFERROR(OR(ISNUMBER(FIND("|"&amp;$A64&amp;"|",$D$5)),AND(IFERROR(FIND("（",$A64),0)&gt;0,ISNUMBER(FIND("|"&amp;LEFT($A64,FIND("（",$A64)-1)&amp;"*|",$D$5)))),FALSE)))),ROW()-19,999)</f>
        <v>45</v>
      </c>
      <c r="AI64" t="str">
        <f ca="1">IFERROR(INDEX($A$20:$A$78,SMALL($AJ$20:$AJ$78,45)),"")</f>
        <v/>
      </c>
      <c r="AJ64">
        <f ca="1">IF(AND($A64&lt;&gt;"",COUNTIF($A$20:A64,A64)=1,AND($A64&lt;&gt;"",$A64&lt;&gt;"非自然知识",COUNTIF($A$20:$A$78,$A64)&gt;0,OR($B$6="any",$B$6="fixed",AND($B$6="group",LEFT($A64,LEN($E$6)+1)=$E$6&amp;"（"),IFERROR(OR(ISNUMBER(FIND("|"&amp;$A64&amp;"|",$D$6)),AND(IFERROR(FIND("（",$A64),0)&gt;0,ISNUMBER(FIND("|"&amp;LEFT($A64,FIND("（",$A64)-1)&amp;"*|",$D$6)))),FALSE)))),ROW()-19,999)</f>
        <v>45</v>
      </c>
      <c r="AK64" t="str">
        <f ca="1">IFERROR(INDEX($A$20:$A$78,SMALL($AL$20:$AL$78,45)),"")</f>
        <v/>
      </c>
      <c r="AL64">
        <f ca="1">IF(AND($A64&lt;&gt;"",COUNTIF($A$20:A64,A64)=1,AND($A64&lt;&gt;"",$A64&lt;&gt;"非自然知识",COUNTIF($A$20:$A$78,$A64)&gt;0,OR($B$7="any",$B$7="fixed",AND($B$7="group",LEFT($A64,LEN($E$7)+1)=$E$7&amp;"（"),IFERROR(OR(ISNUMBER(FIND("|"&amp;$A64&amp;"|",$D$7)),AND(IFERROR(FIND("（",$A64),0)&gt;0,ISNUMBER(FIND("|"&amp;LEFT($A64,FIND("（",$A64)-1)&amp;"*|",$D$7)))),FALSE)))),ROW()-19,999)</f>
        <v>45</v>
      </c>
      <c r="AM64" t="str">
        <f ca="1">IFERROR(INDEX($A$20:$A$78,SMALL($AN$20:$AN$78,45)),"")</f>
        <v/>
      </c>
      <c r="AN64">
        <f ca="1">IF(AND($A64&lt;&gt;"",COUNTIF($A$20:A64,A64)=1,AND($A64&lt;&gt;"",$A64&lt;&gt;"非自然知识",COUNTIF($A$20:$A$78,$A64)&gt;0,OR($B$8="any",$B$8="fixed",AND($B$8="group",LEFT($A64,LEN($E$8)+1)=$E$8&amp;"（"),IFERROR(OR(ISNUMBER(FIND("|"&amp;$A64&amp;"|",$D$8)),AND(IFERROR(FIND("（",$A64),0)&gt;0,ISNUMBER(FIND("|"&amp;LEFT($A64,FIND("（",$A64)-1)&amp;"*|",$D$8)))),FALSE)))),ROW()-19,999)</f>
        <v>45</v>
      </c>
      <c r="AO64" t="str">
        <f ca="1">IFERROR(INDEX($A$20:$A$78,SMALL($AP$20:$AP$78,45)),"")</f>
        <v/>
      </c>
      <c r="AP64">
        <f ca="1">IF(AND($A64&lt;&gt;"",COUNTIF($A$20:A64,A64)=1,AND($A64&lt;&gt;"",$A64&lt;&gt;"非自然知识",COUNTIF($A$20:$A$78,$A64)&gt;0,OR($B$9="any",$B$9="fixed",AND($B$9="group",LEFT($A64,LEN($E$9)+1)=$E$9&amp;"（"),IFERROR(OR(ISNUMBER(FIND("|"&amp;$A64&amp;"|",$D$9)),AND(IFERROR(FIND("（",$A64),0)&gt;0,ISNUMBER(FIND("|"&amp;LEFT($A64,FIND("（",$A64)-1)&amp;"*|",$D$9)))),FALSE)))),ROW()-19,999)</f>
        <v>45</v>
      </c>
    </row>
    <row r="65" spans="1:42">
      <c r="A65" t="str">
        <f ca="1">IF(TRIM(人物卡!AM29)="","","科学（"&amp;TRIM(人物卡!AM29)&amp;"）")</f>
        <v/>
      </c>
      <c r="B65" t="str">
        <f ca="1" t="shared" si="2"/>
        <v/>
      </c>
      <c r="C65">
        <f ca="1">IF(人物卡!AY29="",N(人物卡!AV29),N(人物卡!AY29))</f>
        <v>0</v>
      </c>
      <c r="D65">
        <f ca="1">IF(AND(A65&lt;&gt;"",COUNTIF($A$20:A65,A65)=1),COUNTIF($H$2:$H$9,A65)*20,0)</f>
        <v>0</v>
      </c>
      <c r="E65">
        <f ca="1" t="shared" si="3"/>
        <v>0</v>
      </c>
      <c r="F65">
        <f ca="1">IF(AND(A65&lt;&gt;"",COUNTIF($A$20:A65,A65)=1),IF(A65="神秘学",IF(人物卡!$DF$46="人类不应知道之事",20,IF(OR(人物卡!$DF$46="极端暴力",人物卡!$DF$46="关押或入狱",人物卡!$DF$46="艰苦经历"),10,0)),0)+IF(人物卡!$DF$46="艰苦经历",COUNTIF($H$12:$H$16,A65)*10,0),0)</f>
        <v>0</v>
      </c>
      <c r="G65">
        <f ca="1">IF(人物卡!$DF$46="艰苦经历",MIN(F65,MAX(0,90-C65-E65)),MIN(F65,MAX(0,99-C65-E65)))</f>
        <v>0</v>
      </c>
      <c r="H65" t="str">
        <f ca="1" t="shared" si="4"/>
        <v/>
      </c>
      <c r="I65" t="str">
        <f ca="1" t="shared" si="5"/>
        <v/>
      </c>
      <c r="J65" t="s">
        <v>2328</v>
      </c>
      <c r="K65" t="s">
        <v>2329</v>
      </c>
      <c r="Y65">
        <f ca="1">IF(AND($A65&lt;&gt;"",COUNTIF($A$20:A65,A65)=1,$A65&lt;&gt;"非自然知识"),ROW()-19,999)</f>
        <v>999</v>
      </c>
      <c r="Z65" t="str">
        <f ca="1">IFERROR(INDEX($A$20:$A$78,SMALL($Y$20:$Y$78,46)),"")</f>
        <v/>
      </c>
      <c r="AA65" t="str">
        <f ca="1">IFERROR(INDEX($A$20:$A$78,SMALL($AB$20:$AB$78,46)),"")</f>
        <v/>
      </c>
      <c r="AB65">
        <f ca="1">IF(AND($A65&lt;&gt;"",COUNTIF($A$20:A65,A65)=1,AND($A65&lt;&gt;"",$A65&lt;&gt;"非自然知识",COUNTIF($A$20:$A$78,$A65)&gt;0,OR($B$2="any",$B$2="fixed",AND($B$2="group",LEFT($A65,LEN($E$2)+1)=$E$2&amp;"（"),IFERROR(OR(ISNUMBER(FIND("|"&amp;$A65&amp;"|",$D$2)),AND(IFERROR(FIND("（",$A65),0)&gt;0,ISNUMBER(FIND("|"&amp;LEFT($A65,FIND("（",$A65)-1)&amp;"*|",$D$2)))),FALSE)))),ROW()-19,999)</f>
        <v>999</v>
      </c>
      <c r="AC65" t="str">
        <f ca="1">IFERROR(INDEX($A$20:$A$78,SMALL($AD$20:$AD$78,46)),"")</f>
        <v/>
      </c>
      <c r="AD65">
        <f ca="1">IF(AND($A65&lt;&gt;"",COUNTIF($A$20:A65,A65)=1,AND($A65&lt;&gt;"",$A65&lt;&gt;"非自然知识",COUNTIF($A$20:$A$78,$A65)&gt;0,OR($B$3="any",$B$3="fixed",AND($B$3="group",LEFT($A65,LEN($E$3)+1)=$E$3&amp;"（"),IFERROR(OR(ISNUMBER(FIND("|"&amp;$A65&amp;"|",$D$3)),AND(IFERROR(FIND("（",$A65),0)&gt;0,ISNUMBER(FIND("|"&amp;LEFT($A65,FIND("（",$A65)-1)&amp;"*|",$D$3)))),FALSE)))),ROW()-19,999)</f>
        <v>999</v>
      </c>
      <c r="AE65" t="str">
        <f ca="1">IFERROR(INDEX($A$20:$A$78,SMALL($AF$20:$AF$78,46)),"")</f>
        <v/>
      </c>
      <c r="AF65">
        <f ca="1">IF(AND($A65&lt;&gt;"",COUNTIF($A$20:A65,A65)=1,AND($A65&lt;&gt;"",$A65&lt;&gt;"非自然知识",COUNTIF($A$20:$A$78,$A65)&gt;0,OR($B$4="any",$B$4="fixed",AND($B$4="group",LEFT($A65,LEN($E$4)+1)=$E$4&amp;"（"),IFERROR(OR(ISNUMBER(FIND("|"&amp;$A65&amp;"|",$D$4)),AND(IFERROR(FIND("（",$A65),0)&gt;0,ISNUMBER(FIND("|"&amp;LEFT($A65,FIND("（",$A65)-1)&amp;"*|",$D$4)))),FALSE)))),ROW()-19,999)</f>
        <v>999</v>
      </c>
      <c r="AG65" t="str">
        <f ca="1">IFERROR(INDEX($A$20:$A$78,SMALL($AH$20:$AH$78,46)),"")</f>
        <v/>
      </c>
      <c r="AH65">
        <f ca="1">IF(AND($A65&lt;&gt;"",COUNTIF($A$20:A65,A65)=1,AND($A65&lt;&gt;"",$A65&lt;&gt;"非自然知识",COUNTIF($A$20:$A$78,$A65)&gt;0,OR($B$5="any",$B$5="fixed",AND($B$5="group",LEFT($A65,LEN($E$5)+1)=$E$5&amp;"（"),IFERROR(OR(ISNUMBER(FIND("|"&amp;$A65&amp;"|",$D$5)),AND(IFERROR(FIND("（",$A65),0)&gt;0,ISNUMBER(FIND("|"&amp;LEFT($A65,FIND("（",$A65)-1)&amp;"*|",$D$5)))),FALSE)))),ROW()-19,999)</f>
        <v>999</v>
      </c>
      <c r="AI65" t="str">
        <f ca="1">IFERROR(INDEX($A$20:$A$78,SMALL($AJ$20:$AJ$78,46)),"")</f>
        <v/>
      </c>
      <c r="AJ65">
        <f ca="1">IF(AND($A65&lt;&gt;"",COUNTIF($A$20:A65,A65)=1,AND($A65&lt;&gt;"",$A65&lt;&gt;"非自然知识",COUNTIF($A$20:$A$78,$A65)&gt;0,OR($B$6="any",$B$6="fixed",AND($B$6="group",LEFT($A65,LEN($E$6)+1)=$E$6&amp;"（"),IFERROR(OR(ISNUMBER(FIND("|"&amp;$A65&amp;"|",$D$6)),AND(IFERROR(FIND("（",$A65),0)&gt;0,ISNUMBER(FIND("|"&amp;LEFT($A65,FIND("（",$A65)-1)&amp;"*|",$D$6)))),FALSE)))),ROW()-19,999)</f>
        <v>999</v>
      </c>
      <c r="AK65" t="str">
        <f ca="1">IFERROR(INDEX($A$20:$A$78,SMALL($AL$20:$AL$78,46)),"")</f>
        <v/>
      </c>
      <c r="AL65">
        <f ca="1">IF(AND($A65&lt;&gt;"",COUNTIF($A$20:A65,A65)=1,AND($A65&lt;&gt;"",$A65&lt;&gt;"非自然知识",COUNTIF($A$20:$A$78,$A65)&gt;0,OR($B$7="any",$B$7="fixed",AND($B$7="group",LEFT($A65,LEN($E$7)+1)=$E$7&amp;"（"),IFERROR(OR(ISNUMBER(FIND("|"&amp;$A65&amp;"|",$D$7)),AND(IFERROR(FIND("（",$A65),0)&gt;0,ISNUMBER(FIND("|"&amp;LEFT($A65,FIND("（",$A65)-1)&amp;"*|",$D$7)))),FALSE)))),ROW()-19,999)</f>
        <v>999</v>
      </c>
      <c r="AM65" t="str">
        <f ca="1">IFERROR(INDEX($A$20:$A$78,SMALL($AN$20:$AN$78,46)),"")</f>
        <v/>
      </c>
      <c r="AN65">
        <f ca="1">IF(AND($A65&lt;&gt;"",COUNTIF($A$20:A65,A65)=1,AND($A65&lt;&gt;"",$A65&lt;&gt;"非自然知识",COUNTIF($A$20:$A$78,$A65)&gt;0,OR($B$8="any",$B$8="fixed",AND($B$8="group",LEFT($A65,LEN($E$8)+1)=$E$8&amp;"（"),IFERROR(OR(ISNUMBER(FIND("|"&amp;$A65&amp;"|",$D$8)),AND(IFERROR(FIND("（",$A65),0)&gt;0,ISNUMBER(FIND("|"&amp;LEFT($A65,FIND("（",$A65)-1)&amp;"*|",$D$8)))),FALSE)))),ROW()-19,999)</f>
        <v>999</v>
      </c>
      <c r="AO65" t="str">
        <f ca="1">IFERROR(INDEX($A$20:$A$78,SMALL($AP$20:$AP$78,46)),"")</f>
        <v/>
      </c>
      <c r="AP65">
        <f ca="1">IF(AND($A65&lt;&gt;"",COUNTIF($A$20:A65,A65)=1,AND($A65&lt;&gt;"",$A65&lt;&gt;"非自然知识",COUNTIF($A$20:$A$78,$A65)&gt;0,OR($B$9="any",$B$9="fixed",AND($B$9="group",LEFT($A65,LEN($E$9)+1)=$E$9&amp;"（"),IFERROR(OR(ISNUMBER(FIND("|"&amp;$A65&amp;"|",$D$9)),AND(IFERROR(FIND("（",$A65),0)&gt;0,ISNUMBER(FIND("|"&amp;LEFT($A65,FIND("（",$A65)-1)&amp;"*|",$D$9)))),FALSE)))),ROW()-19,999)</f>
        <v>999</v>
      </c>
    </row>
    <row r="66" spans="1:42">
      <c r="A66" t="str">
        <f ca="1">IF(TRIM(人物卡!AM30)="","","科学（"&amp;TRIM(人物卡!AM30)&amp;"）")</f>
        <v/>
      </c>
      <c r="B66" t="str">
        <f ca="1" t="shared" si="2"/>
        <v/>
      </c>
      <c r="C66">
        <f ca="1">IF(人物卡!AY30="",N(人物卡!AV30),N(人物卡!AY30))</f>
        <v>0</v>
      </c>
      <c r="D66">
        <f ca="1">IF(AND(A66&lt;&gt;"",COUNTIF($A$20:A66,A66)=1),COUNTIF($H$2:$H$9,A66)*20,0)</f>
        <v>0</v>
      </c>
      <c r="E66">
        <f ca="1" t="shared" si="3"/>
        <v>0</v>
      </c>
      <c r="F66">
        <f ca="1">IF(AND(A66&lt;&gt;"",COUNTIF($A$20:A66,A66)=1),IF(A66="神秘学",IF(人物卡!$DF$46="人类不应知道之事",20,IF(OR(人物卡!$DF$46="极端暴力",人物卡!$DF$46="关押或入狱",人物卡!$DF$46="艰苦经历"),10,0)),0)+IF(人物卡!$DF$46="艰苦经历",COUNTIF($H$12:$H$16,A66)*10,0),0)</f>
        <v>0</v>
      </c>
      <c r="G66">
        <f ca="1">IF(人物卡!$DF$46="艰苦经历",MIN(F66,MAX(0,90-C66-E66)),MIN(F66,MAX(0,99-C66-E66)))</f>
        <v>0</v>
      </c>
      <c r="H66" t="str">
        <f ca="1" t="shared" si="4"/>
        <v/>
      </c>
      <c r="I66" t="str">
        <f ca="1" t="shared" si="5"/>
        <v/>
      </c>
      <c r="J66" t="s">
        <v>2330</v>
      </c>
      <c r="K66" t="s">
        <v>2331</v>
      </c>
      <c r="Y66">
        <f ca="1">IF(AND($A66&lt;&gt;"",COUNTIF($A$20:A66,A66)=1,$A66&lt;&gt;"非自然知识"),ROW()-19,999)</f>
        <v>999</v>
      </c>
      <c r="Z66" t="str">
        <f ca="1">IFERROR(INDEX($A$20:$A$78,SMALL($Y$20:$Y$78,47)),"")</f>
        <v/>
      </c>
      <c r="AA66" t="str">
        <f ca="1">IFERROR(INDEX($A$20:$A$78,SMALL($AB$20:$AB$78,47)),"")</f>
        <v/>
      </c>
      <c r="AB66">
        <f ca="1">IF(AND($A66&lt;&gt;"",COUNTIF($A$20:A66,A66)=1,AND($A66&lt;&gt;"",$A66&lt;&gt;"非自然知识",COUNTIF($A$20:$A$78,$A66)&gt;0,OR($B$2="any",$B$2="fixed",AND($B$2="group",LEFT($A66,LEN($E$2)+1)=$E$2&amp;"（"),IFERROR(OR(ISNUMBER(FIND("|"&amp;$A66&amp;"|",$D$2)),AND(IFERROR(FIND("（",$A66),0)&gt;0,ISNUMBER(FIND("|"&amp;LEFT($A66,FIND("（",$A66)-1)&amp;"*|",$D$2)))),FALSE)))),ROW()-19,999)</f>
        <v>999</v>
      </c>
      <c r="AC66" t="str">
        <f ca="1">IFERROR(INDEX($A$20:$A$78,SMALL($AD$20:$AD$78,47)),"")</f>
        <v/>
      </c>
      <c r="AD66">
        <f ca="1">IF(AND($A66&lt;&gt;"",COUNTIF($A$20:A66,A66)=1,AND($A66&lt;&gt;"",$A66&lt;&gt;"非自然知识",COUNTIF($A$20:$A$78,$A66)&gt;0,OR($B$3="any",$B$3="fixed",AND($B$3="group",LEFT($A66,LEN($E$3)+1)=$E$3&amp;"（"),IFERROR(OR(ISNUMBER(FIND("|"&amp;$A66&amp;"|",$D$3)),AND(IFERROR(FIND("（",$A66),0)&gt;0,ISNUMBER(FIND("|"&amp;LEFT($A66,FIND("（",$A66)-1)&amp;"*|",$D$3)))),FALSE)))),ROW()-19,999)</f>
        <v>999</v>
      </c>
      <c r="AE66" t="str">
        <f ca="1">IFERROR(INDEX($A$20:$A$78,SMALL($AF$20:$AF$78,47)),"")</f>
        <v/>
      </c>
      <c r="AF66">
        <f ca="1">IF(AND($A66&lt;&gt;"",COUNTIF($A$20:A66,A66)=1,AND($A66&lt;&gt;"",$A66&lt;&gt;"非自然知识",COUNTIF($A$20:$A$78,$A66)&gt;0,OR($B$4="any",$B$4="fixed",AND($B$4="group",LEFT($A66,LEN($E$4)+1)=$E$4&amp;"（"),IFERROR(OR(ISNUMBER(FIND("|"&amp;$A66&amp;"|",$D$4)),AND(IFERROR(FIND("（",$A66),0)&gt;0,ISNUMBER(FIND("|"&amp;LEFT($A66,FIND("（",$A66)-1)&amp;"*|",$D$4)))),FALSE)))),ROW()-19,999)</f>
        <v>999</v>
      </c>
      <c r="AG66" t="str">
        <f ca="1">IFERROR(INDEX($A$20:$A$78,SMALL($AH$20:$AH$78,47)),"")</f>
        <v/>
      </c>
      <c r="AH66">
        <f ca="1">IF(AND($A66&lt;&gt;"",COUNTIF($A$20:A66,A66)=1,AND($A66&lt;&gt;"",$A66&lt;&gt;"非自然知识",COUNTIF($A$20:$A$78,$A66)&gt;0,OR($B$5="any",$B$5="fixed",AND($B$5="group",LEFT($A66,LEN($E$5)+1)=$E$5&amp;"（"),IFERROR(OR(ISNUMBER(FIND("|"&amp;$A66&amp;"|",$D$5)),AND(IFERROR(FIND("（",$A66),0)&gt;0,ISNUMBER(FIND("|"&amp;LEFT($A66,FIND("（",$A66)-1)&amp;"*|",$D$5)))),FALSE)))),ROW()-19,999)</f>
        <v>999</v>
      </c>
      <c r="AI66" t="str">
        <f ca="1">IFERROR(INDEX($A$20:$A$78,SMALL($AJ$20:$AJ$78,47)),"")</f>
        <v/>
      </c>
      <c r="AJ66">
        <f ca="1">IF(AND($A66&lt;&gt;"",COUNTIF($A$20:A66,A66)=1,AND($A66&lt;&gt;"",$A66&lt;&gt;"非自然知识",COUNTIF($A$20:$A$78,$A66)&gt;0,OR($B$6="any",$B$6="fixed",AND($B$6="group",LEFT($A66,LEN($E$6)+1)=$E$6&amp;"（"),IFERROR(OR(ISNUMBER(FIND("|"&amp;$A66&amp;"|",$D$6)),AND(IFERROR(FIND("（",$A66),0)&gt;0,ISNUMBER(FIND("|"&amp;LEFT($A66,FIND("（",$A66)-1)&amp;"*|",$D$6)))),FALSE)))),ROW()-19,999)</f>
        <v>999</v>
      </c>
      <c r="AK66" t="str">
        <f ca="1">IFERROR(INDEX($A$20:$A$78,SMALL($AL$20:$AL$78,47)),"")</f>
        <v/>
      </c>
      <c r="AL66">
        <f ca="1">IF(AND($A66&lt;&gt;"",COUNTIF($A$20:A66,A66)=1,AND($A66&lt;&gt;"",$A66&lt;&gt;"非自然知识",COUNTIF($A$20:$A$78,$A66)&gt;0,OR($B$7="any",$B$7="fixed",AND($B$7="group",LEFT($A66,LEN($E$7)+1)=$E$7&amp;"（"),IFERROR(OR(ISNUMBER(FIND("|"&amp;$A66&amp;"|",$D$7)),AND(IFERROR(FIND("（",$A66),0)&gt;0,ISNUMBER(FIND("|"&amp;LEFT($A66,FIND("（",$A66)-1)&amp;"*|",$D$7)))),FALSE)))),ROW()-19,999)</f>
        <v>999</v>
      </c>
      <c r="AM66" t="str">
        <f ca="1">IFERROR(INDEX($A$20:$A$78,SMALL($AN$20:$AN$78,47)),"")</f>
        <v/>
      </c>
      <c r="AN66">
        <f ca="1">IF(AND($A66&lt;&gt;"",COUNTIF($A$20:A66,A66)=1,AND($A66&lt;&gt;"",$A66&lt;&gt;"非自然知识",COUNTIF($A$20:$A$78,$A66)&gt;0,OR($B$8="any",$B$8="fixed",AND($B$8="group",LEFT($A66,LEN($E$8)+1)=$E$8&amp;"（"),IFERROR(OR(ISNUMBER(FIND("|"&amp;$A66&amp;"|",$D$8)),AND(IFERROR(FIND("（",$A66),0)&gt;0,ISNUMBER(FIND("|"&amp;LEFT($A66,FIND("（",$A66)-1)&amp;"*|",$D$8)))),FALSE)))),ROW()-19,999)</f>
        <v>999</v>
      </c>
      <c r="AO66" t="str">
        <f ca="1">IFERROR(INDEX($A$20:$A$78,SMALL($AP$20:$AP$78,47)),"")</f>
        <v/>
      </c>
      <c r="AP66">
        <f ca="1">IF(AND($A66&lt;&gt;"",COUNTIF($A$20:A66,A66)=1,AND($A66&lt;&gt;"",$A66&lt;&gt;"非自然知识",COUNTIF($A$20:$A$78,$A66)&gt;0,OR($B$9="any",$B$9="fixed",AND($B$9="group",LEFT($A66,LEN($E$9)+1)=$E$9&amp;"（"),IFERROR(OR(ISNUMBER(FIND("|"&amp;$A66&amp;"|",$D$9)),AND(IFERROR(FIND("（",$A66),0)&gt;0,ISNUMBER(FIND("|"&amp;LEFT($A66,FIND("（",$A66)-1)&amp;"*|",$D$9)))),FALSE)))),ROW()-19,999)</f>
        <v>999</v>
      </c>
    </row>
    <row r="67" spans="1:42">
      <c r="A67" t="str">
        <f ca="1">IF(TRIM(人物卡!AM31)="","","科学（"&amp;TRIM(人物卡!AM31)&amp;"）")</f>
        <v/>
      </c>
      <c r="B67" t="str">
        <f ca="1" t="shared" si="2"/>
        <v/>
      </c>
      <c r="C67">
        <f ca="1">IF(人物卡!AY31="",N(人物卡!AV31),N(人物卡!AY31))</f>
        <v>0</v>
      </c>
      <c r="D67">
        <f ca="1">IF(AND(A67&lt;&gt;"",COUNTIF($A$20:A67,A67)=1),COUNTIF($H$2:$H$9,A67)*20,0)</f>
        <v>0</v>
      </c>
      <c r="E67">
        <f ca="1" t="shared" si="3"/>
        <v>0</v>
      </c>
      <c r="F67">
        <f ca="1">IF(AND(A67&lt;&gt;"",COUNTIF($A$20:A67,A67)=1),IF(A67="神秘学",IF(人物卡!$DF$46="人类不应知道之事",20,IF(OR(人物卡!$DF$46="极端暴力",人物卡!$DF$46="关押或入狱",人物卡!$DF$46="艰苦经历"),10,0)),0)+IF(人物卡!$DF$46="艰苦经历",COUNTIF($H$12:$H$16,A67)*10,0),0)</f>
        <v>0</v>
      </c>
      <c r="G67">
        <f ca="1">IF(人物卡!$DF$46="艰苦经历",MIN(F67,MAX(0,90-C67-E67)),MIN(F67,MAX(0,99-C67-E67)))</f>
        <v>0</v>
      </c>
      <c r="H67" t="str">
        <f ca="1" t="shared" si="4"/>
        <v/>
      </c>
      <c r="I67" t="str">
        <f ca="1" t="shared" si="5"/>
        <v/>
      </c>
      <c r="J67" t="s">
        <v>2332</v>
      </c>
      <c r="K67" t="s">
        <v>2333</v>
      </c>
      <c r="Y67">
        <f ca="1">IF(AND($A67&lt;&gt;"",COUNTIF($A$20:A67,A67)=1,$A67&lt;&gt;"非自然知识"),ROW()-19,999)</f>
        <v>999</v>
      </c>
      <c r="Z67" t="str">
        <f ca="1">IFERROR(INDEX($A$20:$A$78,SMALL($Y$20:$Y$78,48)),"")</f>
        <v/>
      </c>
      <c r="AA67" t="str">
        <f ca="1">IFERROR(INDEX($A$20:$A$78,SMALL($AB$20:$AB$78,48)),"")</f>
        <v/>
      </c>
      <c r="AB67">
        <f ca="1">IF(AND($A67&lt;&gt;"",COUNTIF($A$20:A67,A67)=1,AND($A67&lt;&gt;"",$A67&lt;&gt;"非自然知识",COUNTIF($A$20:$A$78,$A67)&gt;0,OR($B$2="any",$B$2="fixed",AND($B$2="group",LEFT($A67,LEN($E$2)+1)=$E$2&amp;"（"),IFERROR(OR(ISNUMBER(FIND("|"&amp;$A67&amp;"|",$D$2)),AND(IFERROR(FIND("（",$A67),0)&gt;0,ISNUMBER(FIND("|"&amp;LEFT($A67,FIND("（",$A67)-1)&amp;"*|",$D$2)))),FALSE)))),ROW()-19,999)</f>
        <v>999</v>
      </c>
      <c r="AC67" t="str">
        <f ca="1">IFERROR(INDEX($A$20:$A$78,SMALL($AD$20:$AD$78,48)),"")</f>
        <v/>
      </c>
      <c r="AD67">
        <f ca="1">IF(AND($A67&lt;&gt;"",COUNTIF($A$20:A67,A67)=1,AND($A67&lt;&gt;"",$A67&lt;&gt;"非自然知识",COUNTIF($A$20:$A$78,$A67)&gt;0,OR($B$3="any",$B$3="fixed",AND($B$3="group",LEFT($A67,LEN($E$3)+1)=$E$3&amp;"（"),IFERROR(OR(ISNUMBER(FIND("|"&amp;$A67&amp;"|",$D$3)),AND(IFERROR(FIND("（",$A67),0)&gt;0,ISNUMBER(FIND("|"&amp;LEFT($A67,FIND("（",$A67)-1)&amp;"*|",$D$3)))),FALSE)))),ROW()-19,999)</f>
        <v>999</v>
      </c>
      <c r="AE67" t="str">
        <f ca="1">IFERROR(INDEX($A$20:$A$78,SMALL($AF$20:$AF$78,48)),"")</f>
        <v/>
      </c>
      <c r="AF67">
        <f ca="1">IF(AND($A67&lt;&gt;"",COUNTIF($A$20:A67,A67)=1,AND($A67&lt;&gt;"",$A67&lt;&gt;"非自然知识",COUNTIF($A$20:$A$78,$A67)&gt;0,OR($B$4="any",$B$4="fixed",AND($B$4="group",LEFT($A67,LEN($E$4)+1)=$E$4&amp;"（"),IFERROR(OR(ISNUMBER(FIND("|"&amp;$A67&amp;"|",$D$4)),AND(IFERROR(FIND("（",$A67),0)&gt;0,ISNUMBER(FIND("|"&amp;LEFT($A67,FIND("（",$A67)-1)&amp;"*|",$D$4)))),FALSE)))),ROW()-19,999)</f>
        <v>999</v>
      </c>
      <c r="AG67" t="str">
        <f ca="1">IFERROR(INDEX($A$20:$A$78,SMALL($AH$20:$AH$78,48)),"")</f>
        <v/>
      </c>
      <c r="AH67">
        <f ca="1">IF(AND($A67&lt;&gt;"",COUNTIF($A$20:A67,A67)=1,AND($A67&lt;&gt;"",$A67&lt;&gt;"非自然知识",COUNTIF($A$20:$A$78,$A67)&gt;0,OR($B$5="any",$B$5="fixed",AND($B$5="group",LEFT($A67,LEN($E$5)+1)=$E$5&amp;"（"),IFERROR(OR(ISNUMBER(FIND("|"&amp;$A67&amp;"|",$D$5)),AND(IFERROR(FIND("（",$A67),0)&gt;0,ISNUMBER(FIND("|"&amp;LEFT($A67,FIND("（",$A67)-1)&amp;"*|",$D$5)))),FALSE)))),ROW()-19,999)</f>
        <v>999</v>
      </c>
      <c r="AI67" t="str">
        <f ca="1">IFERROR(INDEX($A$20:$A$78,SMALL($AJ$20:$AJ$78,48)),"")</f>
        <v/>
      </c>
      <c r="AJ67">
        <f ca="1">IF(AND($A67&lt;&gt;"",COUNTIF($A$20:A67,A67)=1,AND($A67&lt;&gt;"",$A67&lt;&gt;"非自然知识",COUNTIF($A$20:$A$78,$A67)&gt;0,OR($B$6="any",$B$6="fixed",AND($B$6="group",LEFT($A67,LEN($E$6)+1)=$E$6&amp;"（"),IFERROR(OR(ISNUMBER(FIND("|"&amp;$A67&amp;"|",$D$6)),AND(IFERROR(FIND("（",$A67),0)&gt;0,ISNUMBER(FIND("|"&amp;LEFT($A67,FIND("（",$A67)-1)&amp;"*|",$D$6)))),FALSE)))),ROW()-19,999)</f>
        <v>999</v>
      </c>
      <c r="AK67" t="str">
        <f ca="1">IFERROR(INDEX($A$20:$A$78,SMALL($AL$20:$AL$78,48)),"")</f>
        <v/>
      </c>
      <c r="AL67">
        <f ca="1">IF(AND($A67&lt;&gt;"",COUNTIF($A$20:A67,A67)=1,AND($A67&lt;&gt;"",$A67&lt;&gt;"非自然知识",COUNTIF($A$20:$A$78,$A67)&gt;0,OR($B$7="any",$B$7="fixed",AND($B$7="group",LEFT($A67,LEN($E$7)+1)=$E$7&amp;"（"),IFERROR(OR(ISNUMBER(FIND("|"&amp;$A67&amp;"|",$D$7)),AND(IFERROR(FIND("（",$A67),0)&gt;0,ISNUMBER(FIND("|"&amp;LEFT($A67,FIND("（",$A67)-1)&amp;"*|",$D$7)))),FALSE)))),ROW()-19,999)</f>
        <v>999</v>
      </c>
      <c r="AM67" t="str">
        <f ca="1">IFERROR(INDEX($A$20:$A$78,SMALL($AN$20:$AN$78,48)),"")</f>
        <v/>
      </c>
      <c r="AN67">
        <f ca="1">IF(AND($A67&lt;&gt;"",COUNTIF($A$20:A67,A67)=1,AND($A67&lt;&gt;"",$A67&lt;&gt;"非自然知识",COUNTIF($A$20:$A$78,$A67)&gt;0,OR($B$8="any",$B$8="fixed",AND($B$8="group",LEFT($A67,LEN($E$8)+1)=$E$8&amp;"（"),IFERROR(OR(ISNUMBER(FIND("|"&amp;$A67&amp;"|",$D$8)),AND(IFERROR(FIND("（",$A67),0)&gt;0,ISNUMBER(FIND("|"&amp;LEFT($A67,FIND("（",$A67)-1)&amp;"*|",$D$8)))),FALSE)))),ROW()-19,999)</f>
        <v>999</v>
      </c>
      <c r="AO67" t="str">
        <f ca="1">IFERROR(INDEX($A$20:$A$78,SMALL($AP$20:$AP$78,48)),"")</f>
        <v/>
      </c>
      <c r="AP67">
        <f ca="1">IF(AND($A67&lt;&gt;"",COUNTIF($A$20:A67,A67)=1,AND($A67&lt;&gt;"",$A67&lt;&gt;"非自然知识",COUNTIF($A$20:$A$78,$A67)&gt;0,OR($B$9="any",$B$9="fixed",AND($B$9="group",LEFT($A67,LEN($E$9)+1)=$E$9&amp;"（"),IFERROR(OR(ISNUMBER(FIND("|"&amp;$A67&amp;"|",$D$9)),AND(IFERROR(FIND("（",$A67),0)&gt;0,ISNUMBER(FIND("|"&amp;LEFT($A67,FIND("（",$A67)-1)&amp;"*|",$D$9)))),FALSE)))),ROW()-19,999)</f>
        <v>999</v>
      </c>
    </row>
    <row r="68" spans="1:42">
      <c r="A68" t="str">
        <f>人物卡!AG32</f>
        <v>搜寻</v>
      </c>
      <c r="B68" t="str">
        <f t="shared" si="2"/>
        <v/>
      </c>
      <c r="C68">
        <f ca="1">IF(人物卡!AY32="",N(人物卡!AV32),N(人物卡!AY32))</f>
        <v>20</v>
      </c>
      <c r="D68">
        <f ca="1">IF(AND(A68&lt;&gt;"",COUNTIF($A$20:A68,A68)=1),COUNTIF($H$2:$H$9,A68)*20,0)</f>
        <v>0</v>
      </c>
      <c r="E68">
        <f ca="1" t="shared" si="3"/>
        <v>0</v>
      </c>
      <c r="F68">
        <f ca="1">IF(AND(A68&lt;&gt;"",COUNTIF($A$20:A68,A68)=1),IF(A68="神秘学",IF(人物卡!$DF$46="人类不应知道之事",20,IF(OR(人物卡!$DF$46="极端暴力",人物卡!$DF$46="关押或入狱",人物卡!$DF$46="艰苦经历"),10,0)),0)+IF(人物卡!$DF$46="艰苦经历",COUNTIF($H$12:$H$16,A68)*10,0),0)</f>
        <v>0</v>
      </c>
      <c r="G68">
        <f ca="1">IF(人物卡!$DF$46="艰苦经历",MIN(F68,MAX(0,90-C68-E68)),MIN(F68,MAX(0,99-C68-E68)))</f>
        <v>0</v>
      </c>
      <c r="H68" t="str">
        <f ca="1" t="shared" si="4"/>
        <v/>
      </c>
      <c r="I68" t="str">
        <f ca="1" t="shared" si="5"/>
        <v/>
      </c>
      <c r="J68" t="s">
        <v>2334</v>
      </c>
      <c r="K68" t="s">
        <v>2335</v>
      </c>
      <c r="Y68">
        <f ca="1">IF(AND($A68&lt;&gt;"",COUNTIF($A$20:A68,A68)=1,$A68&lt;&gt;"非自然知识"),ROW()-19,999)</f>
        <v>49</v>
      </c>
      <c r="Z68" t="str">
        <f ca="1">IFERROR(INDEX($A$20:$A$78,SMALL($Y$20:$Y$78,49)),"")</f>
        <v/>
      </c>
      <c r="AA68" t="str">
        <f ca="1">IFERROR(INDEX($A$20:$A$78,SMALL($AB$20:$AB$78,49)),"")</f>
        <v/>
      </c>
      <c r="AB68">
        <f ca="1">IF(AND($A68&lt;&gt;"",COUNTIF($A$20:A68,A68)=1,AND($A68&lt;&gt;"",$A68&lt;&gt;"非自然知识",COUNTIF($A$20:$A$78,$A68)&gt;0,OR($B$2="any",$B$2="fixed",AND($B$2="group",LEFT($A68,LEN($E$2)+1)=$E$2&amp;"（"),IFERROR(OR(ISNUMBER(FIND("|"&amp;$A68&amp;"|",$D$2)),AND(IFERROR(FIND("（",$A68),0)&gt;0,ISNUMBER(FIND("|"&amp;LEFT($A68,FIND("（",$A68)-1)&amp;"*|",$D$2)))),FALSE)))),ROW()-19,999)</f>
        <v>49</v>
      </c>
      <c r="AC68" t="str">
        <f ca="1">IFERROR(INDEX($A$20:$A$78,SMALL($AD$20:$AD$78,49)),"")</f>
        <v/>
      </c>
      <c r="AD68">
        <f ca="1">IF(AND($A68&lt;&gt;"",COUNTIF($A$20:A68,A68)=1,AND($A68&lt;&gt;"",$A68&lt;&gt;"非自然知识",COUNTIF($A$20:$A$78,$A68)&gt;0,OR($B$3="any",$B$3="fixed",AND($B$3="group",LEFT($A68,LEN($E$3)+1)=$E$3&amp;"（"),IFERROR(OR(ISNUMBER(FIND("|"&amp;$A68&amp;"|",$D$3)),AND(IFERROR(FIND("（",$A68),0)&gt;0,ISNUMBER(FIND("|"&amp;LEFT($A68,FIND("（",$A68)-1)&amp;"*|",$D$3)))),FALSE)))),ROW()-19,999)</f>
        <v>49</v>
      </c>
      <c r="AE68" t="str">
        <f ca="1">IFERROR(INDEX($A$20:$A$78,SMALL($AF$20:$AF$78,49)),"")</f>
        <v/>
      </c>
      <c r="AF68">
        <f ca="1">IF(AND($A68&lt;&gt;"",COUNTIF($A$20:A68,A68)=1,AND($A68&lt;&gt;"",$A68&lt;&gt;"非自然知识",COUNTIF($A$20:$A$78,$A68)&gt;0,OR($B$4="any",$B$4="fixed",AND($B$4="group",LEFT($A68,LEN($E$4)+1)=$E$4&amp;"（"),IFERROR(OR(ISNUMBER(FIND("|"&amp;$A68&amp;"|",$D$4)),AND(IFERROR(FIND("（",$A68),0)&gt;0,ISNUMBER(FIND("|"&amp;LEFT($A68,FIND("（",$A68)-1)&amp;"*|",$D$4)))),FALSE)))),ROW()-19,999)</f>
        <v>49</v>
      </c>
      <c r="AG68" t="str">
        <f ca="1">IFERROR(INDEX($A$20:$A$78,SMALL($AH$20:$AH$78,49)),"")</f>
        <v/>
      </c>
      <c r="AH68">
        <f ca="1">IF(AND($A68&lt;&gt;"",COUNTIF($A$20:A68,A68)=1,AND($A68&lt;&gt;"",$A68&lt;&gt;"非自然知识",COUNTIF($A$20:$A$78,$A68)&gt;0,OR($B$5="any",$B$5="fixed",AND($B$5="group",LEFT($A68,LEN($E$5)+1)=$E$5&amp;"（"),IFERROR(OR(ISNUMBER(FIND("|"&amp;$A68&amp;"|",$D$5)),AND(IFERROR(FIND("（",$A68),0)&gt;0,ISNUMBER(FIND("|"&amp;LEFT($A68,FIND("（",$A68)-1)&amp;"*|",$D$5)))),FALSE)))),ROW()-19,999)</f>
        <v>49</v>
      </c>
      <c r="AI68" t="str">
        <f ca="1">IFERROR(INDEX($A$20:$A$78,SMALL($AJ$20:$AJ$78,49)),"")</f>
        <v/>
      </c>
      <c r="AJ68">
        <f ca="1">IF(AND($A68&lt;&gt;"",COUNTIF($A$20:A68,A68)=1,AND($A68&lt;&gt;"",$A68&lt;&gt;"非自然知识",COUNTIF($A$20:$A$78,$A68)&gt;0,OR($B$6="any",$B$6="fixed",AND($B$6="group",LEFT($A68,LEN($E$6)+1)=$E$6&amp;"（"),IFERROR(OR(ISNUMBER(FIND("|"&amp;$A68&amp;"|",$D$6)),AND(IFERROR(FIND("（",$A68),0)&gt;0,ISNUMBER(FIND("|"&amp;LEFT($A68,FIND("（",$A68)-1)&amp;"*|",$D$6)))),FALSE)))),ROW()-19,999)</f>
        <v>49</v>
      </c>
      <c r="AK68" t="str">
        <f ca="1">IFERROR(INDEX($A$20:$A$78,SMALL($AL$20:$AL$78,49)),"")</f>
        <v/>
      </c>
      <c r="AL68">
        <f ca="1">IF(AND($A68&lt;&gt;"",COUNTIF($A$20:A68,A68)=1,AND($A68&lt;&gt;"",$A68&lt;&gt;"非自然知识",COUNTIF($A$20:$A$78,$A68)&gt;0,OR($B$7="any",$B$7="fixed",AND($B$7="group",LEFT($A68,LEN($E$7)+1)=$E$7&amp;"（"),IFERROR(OR(ISNUMBER(FIND("|"&amp;$A68&amp;"|",$D$7)),AND(IFERROR(FIND("（",$A68),0)&gt;0,ISNUMBER(FIND("|"&amp;LEFT($A68,FIND("（",$A68)-1)&amp;"*|",$D$7)))),FALSE)))),ROW()-19,999)</f>
        <v>49</v>
      </c>
      <c r="AM68" t="str">
        <f ca="1">IFERROR(INDEX($A$20:$A$78,SMALL($AN$20:$AN$78,49)),"")</f>
        <v/>
      </c>
      <c r="AN68">
        <f ca="1">IF(AND($A68&lt;&gt;"",COUNTIF($A$20:A68,A68)=1,AND($A68&lt;&gt;"",$A68&lt;&gt;"非自然知识",COUNTIF($A$20:$A$78,$A68)&gt;0,OR($B$8="any",$B$8="fixed",AND($B$8="group",LEFT($A68,LEN($E$8)+1)=$E$8&amp;"（"),IFERROR(OR(ISNUMBER(FIND("|"&amp;$A68&amp;"|",$D$8)),AND(IFERROR(FIND("（",$A68),0)&gt;0,ISNUMBER(FIND("|"&amp;LEFT($A68,FIND("（",$A68)-1)&amp;"*|",$D$8)))),FALSE)))),ROW()-19,999)</f>
        <v>49</v>
      </c>
      <c r="AO68" t="str">
        <f ca="1">IFERROR(INDEX($A$20:$A$78,SMALL($AP$20:$AP$78,49)),"")</f>
        <v/>
      </c>
      <c r="AP68">
        <f ca="1">IF(AND($A68&lt;&gt;"",COUNTIF($A$20:A68,A68)=1,AND($A68&lt;&gt;"",$A68&lt;&gt;"非自然知识",COUNTIF($A$20:$A$78,$A68)&gt;0,OR($B$9="any",$B$9="fixed",AND($B$9="group",LEFT($A68,LEN($E$9)+1)=$E$9&amp;"（"),IFERROR(OR(ISNUMBER(FIND("|"&amp;$A68&amp;"|",$D$9)),AND(IFERROR(FIND("（",$A68),0)&gt;0,ISNUMBER(FIND("|"&amp;LEFT($A68,FIND("（",$A68)-1)&amp;"*|",$D$9)))),FALSE)))),ROW()-19,999)</f>
        <v>49</v>
      </c>
    </row>
    <row r="69" spans="1:42">
      <c r="A69" t="str">
        <f>人物卡!AG33</f>
        <v>信号情报</v>
      </c>
      <c r="B69" t="str">
        <f t="shared" si="2"/>
        <v/>
      </c>
      <c r="C69">
        <f ca="1">IF(人物卡!AY33="",N(人物卡!AV33),N(人物卡!AY33))</f>
        <v>0</v>
      </c>
      <c r="D69">
        <f ca="1">IF(AND(A69&lt;&gt;"",COUNTIF($A$20:A69,A69)=1),COUNTIF($H$2:$H$9,A69)*20,0)</f>
        <v>0</v>
      </c>
      <c r="E69">
        <f ca="1" t="shared" si="3"/>
        <v>0</v>
      </c>
      <c r="F69">
        <f ca="1">IF(AND(A69&lt;&gt;"",COUNTIF($A$20:A69,A69)=1),IF(A69="神秘学",IF(人物卡!$DF$46="人类不应知道之事",20,IF(OR(人物卡!$DF$46="极端暴力",人物卡!$DF$46="关押或入狱",人物卡!$DF$46="艰苦经历"),10,0)),0)+IF(人物卡!$DF$46="艰苦经历",COUNTIF($H$12:$H$16,A69)*10,0),0)</f>
        <v>0</v>
      </c>
      <c r="G69">
        <f ca="1">IF(人物卡!$DF$46="艰苦经历",MIN(F69,MAX(0,90-C69-E69)),MIN(F69,MAX(0,99-C69-E69)))</f>
        <v>0</v>
      </c>
      <c r="H69" t="str">
        <f ca="1" t="shared" si="4"/>
        <v/>
      </c>
      <c r="I69" t="str">
        <f ca="1" t="shared" si="5"/>
        <v/>
      </c>
      <c r="J69" t="s">
        <v>2336</v>
      </c>
      <c r="K69" t="s">
        <v>2337</v>
      </c>
      <c r="Y69">
        <f ca="1">IF(AND($A69&lt;&gt;"",COUNTIF($A$20:A69,A69)=1,$A69&lt;&gt;"非自然知识"),ROW()-19,999)</f>
        <v>50</v>
      </c>
      <c r="Z69" t="str">
        <f ca="1">IFERROR(INDEX($A$20:$A$78,SMALL($Y$20:$Y$78,50)),"")</f>
        <v/>
      </c>
      <c r="AA69" t="str">
        <f ca="1">IFERROR(INDEX($A$20:$A$78,SMALL($AB$20:$AB$78,50)),"")</f>
        <v/>
      </c>
      <c r="AB69">
        <f ca="1">IF(AND($A69&lt;&gt;"",COUNTIF($A$20:A69,A69)=1,AND($A69&lt;&gt;"",$A69&lt;&gt;"非自然知识",COUNTIF($A$20:$A$78,$A69)&gt;0,OR($B$2="any",$B$2="fixed",AND($B$2="group",LEFT($A69,LEN($E$2)+1)=$E$2&amp;"（"),IFERROR(OR(ISNUMBER(FIND("|"&amp;$A69&amp;"|",$D$2)),AND(IFERROR(FIND("（",$A69),0)&gt;0,ISNUMBER(FIND("|"&amp;LEFT($A69,FIND("（",$A69)-1)&amp;"*|",$D$2)))),FALSE)))),ROW()-19,999)</f>
        <v>50</v>
      </c>
      <c r="AC69" t="str">
        <f ca="1">IFERROR(INDEX($A$20:$A$78,SMALL($AD$20:$AD$78,50)),"")</f>
        <v/>
      </c>
      <c r="AD69">
        <f ca="1">IF(AND($A69&lt;&gt;"",COUNTIF($A$20:A69,A69)=1,AND($A69&lt;&gt;"",$A69&lt;&gt;"非自然知识",COUNTIF($A$20:$A$78,$A69)&gt;0,OR($B$3="any",$B$3="fixed",AND($B$3="group",LEFT($A69,LEN($E$3)+1)=$E$3&amp;"（"),IFERROR(OR(ISNUMBER(FIND("|"&amp;$A69&amp;"|",$D$3)),AND(IFERROR(FIND("（",$A69),0)&gt;0,ISNUMBER(FIND("|"&amp;LEFT($A69,FIND("（",$A69)-1)&amp;"*|",$D$3)))),FALSE)))),ROW()-19,999)</f>
        <v>50</v>
      </c>
      <c r="AE69" t="str">
        <f ca="1">IFERROR(INDEX($A$20:$A$78,SMALL($AF$20:$AF$78,50)),"")</f>
        <v/>
      </c>
      <c r="AF69">
        <f ca="1">IF(AND($A69&lt;&gt;"",COUNTIF($A$20:A69,A69)=1,AND($A69&lt;&gt;"",$A69&lt;&gt;"非自然知识",COUNTIF($A$20:$A$78,$A69)&gt;0,OR($B$4="any",$B$4="fixed",AND($B$4="group",LEFT($A69,LEN($E$4)+1)=$E$4&amp;"（"),IFERROR(OR(ISNUMBER(FIND("|"&amp;$A69&amp;"|",$D$4)),AND(IFERROR(FIND("（",$A69),0)&gt;0,ISNUMBER(FIND("|"&amp;LEFT($A69,FIND("（",$A69)-1)&amp;"*|",$D$4)))),FALSE)))),ROW()-19,999)</f>
        <v>50</v>
      </c>
      <c r="AG69" t="str">
        <f ca="1">IFERROR(INDEX($A$20:$A$78,SMALL($AH$20:$AH$78,50)),"")</f>
        <v/>
      </c>
      <c r="AH69">
        <f ca="1">IF(AND($A69&lt;&gt;"",COUNTIF($A$20:A69,A69)=1,AND($A69&lt;&gt;"",$A69&lt;&gt;"非自然知识",COUNTIF($A$20:$A$78,$A69)&gt;0,OR($B$5="any",$B$5="fixed",AND($B$5="group",LEFT($A69,LEN($E$5)+1)=$E$5&amp;"（"),IFERROR(OR(ISNUMBER(FIND("|"&amp;$A69&amp;"|",$D$5)),AND(IFERROR(FIND("（",$A69),0)&gt;0,ISNUMBER(FIND("|"&amp;LEFT($A69,FIND("（",$A69)-1)&amp;"*|",$D$5)))),FALSE)))),ROW()-19,999)</f>
        <v>50</v>
      </c>
      <c r="AI69" t="str">
        <f ca="1">IFERROR(INDEX($A$20:$A$78,SMALL($AJ$20:$AJ$78,50)),"")</f>
        <v/>
      </c>
      <c r="AJ69">
        <f ca="1">IF(AND($A69&lt;&gt;"",COUNTIF($A$20:A69,A69)=1,AND($A69&lt;&gt;"",$A69&lt;&gt;"非自然知识",COUNTIF($A$20:$A$78,$A69)&gt;0,OR($B$6="any",$B$6="fixed",AND($B$6="group",LEFT($A69,LEN($E$6)+1)=$E$6&amp;"（"),IFERROR(OR(ISNUMBER(FIND("|"&amp;$A69&amp;"|",$D$6)),AND(IFERROR(FIND("（",$A69),0)&gt;0,ISNUMBER(FIND("|"&amp;LEFT($A69,FIND("（",$A69)-1)&amp;"*|",$D$6)))),FALSE)))),ROW()-19,999)</f>
        <v>50</v>
      </c>
      <c r="AK69" t="str">
        <f ca="1">IFERROR(INDEX($A$20:$A$78,SMALL($AL$20:$AL$78,50)),"")</f>
        <v/>
      </c>
      <c r="AL69">
        <f ca="1">IF(AND($A69&lt;&gt;"",COUNTIF($A$20:A69,A69)=1,AND($A69&lt;&gt;"",$A69&lt;&gt;"非自然知识",COUNTIF($A$20:$A$78,$A69)&gt;0,OR($B$7="any",$B$7="fixed",AND($B$7="group",LEFT($A69,LEN($E$7)+1)=$E$7&amp;"（"),IFERROR(OR(ISNUMBER(FIND("|"&amp;$A69&amp;"|",$D$7)),AND(IFERROR(FIND("（",$A69),0)&gt;0,ISNUMBER(FIND("|"&amp;LEFT($A69,FIND("（",$A69)-1)&amp;"*|",$D$7)))),FALSE)))),ROW()-19,999)</f>
        <v>50</v>
      </c>
      <c r="AM69" t="str">
        <f ca="1">IFERROR(INDEX($A$20:$A$78,SMALL($AN$20:$AN$78,50)),"")</f>
        <v/>
      </c>
      <c r="AN69">
        <f ca="1">IF(AND($A69&lt;&gt;"",COUNTIF($A$20:A69,A69)=1,AND($A69&lt;&gt;"",$A69&lt;&gt;"非自然知识",COUNTIF($A$20:$A$78,$A69)&gt;0,OR($B$8="any",$B$8="fixed",AND($B$8="group",LEFT($A69,LEN($E$8)+1)=$E$8&amp;"（"),IFERROR(OR(ISNUMBER(FIND("|"&amp;$A69&amp;"|",$D$8)),AND(IFERROR(FIND("（",$A69),0)&gt;0,ISNUMBER(FIND("|"&amp;LEFT($A69,FIND("（",$A69)-1)&amp;"*|",$D$8)))),FALSE)))),ROW()-19,999)</f>
        <v>50</v>
      </c>
      <c r="AO69" t="str">
        <f ca="1">IFERROR(INDEX($A$20:$A$78,SMALL($AP$20:$AP$78,50)),"")</f>
        <v/>
      </c>
      <c r="AP69">
        <f ca="1">IF(AND($A69&lt;&gt;"",COUNTIF($A$20:A69,A69)=1,AND($A69&lt;&gt;"",$A69&lt;&gt;"非自然知识",COUNTIF($A$20:$A$78,$A69)&gt;0,OR($B$9="any",$B$9="fixed",AND($B$9="group",LEFT($A69,LEN($E$9)+1)=$E$9&amp;"（"),IFERROR(OR(ISNUMBER(FIND("|"&amp;$A69&amp;"|",$D$9)),AND(IFERROR(FIND("（",$A69),0)&gt;0,ISNUMBER(FIND("|"&amp;LEFT($A69,FIND("（",$A69)-1)&amp;"*|",$D$9)))),FALSE)))),ROW()-19,999)</f>
        <v>50</v>
      </c>
    </row>
    <row r="70" spans="1:42">
      <c r="A70" t="str">
        <f>人物卡!AG34</f>
        <v>潜藏</v>
      </c>
      <c r="B70" t="str">
        <f t="shared" si="2"/>
        <v/>
      </c>
      <c r="C70">
        <f ca="1">IF(人物卡!AY34="",N(人物卡!AV34),N(人物卡!AY34))</f>
        <v>10</v>
      </c>
      <c r="D70">
        <f ca="1">IF(AND(A70&lt;&gt;"",COUNTIF($A$20:A70,A70)=1),COUNTIF($H$2:$H$9,A70)*20,0)</f>
        <v>0</v>
      </c>
      <c r="E70">
        <f ca="1" t="shared" si="3"/>
        <v>0</v>
      </c>
      <c r="F70">
        <f ca="1">IF(AND(A70&lt;&gt;"",COUNTIF($A$20:A70,A70)=1),IF(A70="神秘学",IF(人物卡!$DF$46="人类不应知道之事",20,IF(OR(人物卡!$DF$46="极端暴力",人物卡!$DF$46="关押或入狱",人物卡!$DF$46="艰苦经历"),10,0)),0)+IF(人物卡!$DF$46="艰苦经历",COUNTIF($H$12:$H$16,A70)*10,0),0)</f>
        <v>0</v>
      </c>
      <c r="G70">
        <f ca="1">IF(人物卡!$DF$46="艰苦经历",MIN(F70,MAX(0,90-C70-E70)),MIN(F70,MAX(0,99-C70-E70)))</f>
        <v>0</v>
      </c>
      <c r="H70" t="str">
        <f ca="1" t="shared" si="4"/>
        <v/>
      </c>
      <c r="I70" t="str">
        <f ca="1" t="shared" si="5"/>
        <v/>
      </c>
      <c r="J70" t="s">
        <v>2338</v>
      </c>
      <c r="K70" t="s">
        <v>2339</v>
      </c>
      <c r="Y70">
        <f ca="1">IF(AND($A70&lt;&gt;"",COUNTIF($A$20:A70,A70)=1,$A70&lt;&gt;"非自然知识"),ROW()-19,999)</f>
        <v>51</v>
      </c>
      <c r="Z70" t="str">
        <f ca="1">IFERROR(INDEX($A$20:$A$78,SMALL($Y$20:$Y$78,51)),"")</f>
        <v/>
      </c>
      <c r="AA70" t="str">
        <f ca="1">IFERROR(INDEX($A$20:$A$78,SMALL($AB$20:$AB$78,51)),"")</f>
        <v/>
      </c>
      <c r="AB70">
        <f ca="1">IF(AND($A70&lt;&gt;"",COUNTIF($A$20:A70,A70)=1,AND($A70&lt;&gt;"",$A70&lt;&gt;"非自然知识",COUNTIF($A$20:$A$78,$A70)&gt;0,OR($B$2="any",$B$2="fixed",AND($B$2="group",LEFT($A70,LEN($E$2)+1)=$E$2&amp;"（"),IFERROR(OR(ISNUMBER(FIND("|"&amp;$A70&amp;"|",$D$2)),AND(IFERROR(FIND("（",$A70),0)&gt;0,ISNUMBER(FIND("|"&amp;LEFT($A70,FIND("（",$A70)-1)&amp;"*|",$D$2)))),FALSE)))),ROW()-19,999)</f>
        <v>51</v>
      </c>
      <c r="AC70" t="str">
        <f ca="1">IFERROR(INDEX($A$20:$A$78,SMALL($AD$20:$AD$78,51)),"")</f>
        <v/>
      </c>
      <c r="AD70">
        <f ca="1">IF(AND($A70&lt;&gt;"",COUNTIF($A$20:A70,A70)=1,AND($A70&lt;&gt;"",$A70&lt;&gt;"非自然知识",COUNTIF($A$20:$A$78,$A70)&gt;0,OR($B$3="any",$B$3="fixed",AND($B$3="group",LEFT($A70,LEN($E$3)+1)=$E$3&amp;"（"),IFERROR(OR(ISNUMBER(FIND("|"&amp;$A70&amp;"|",$D$3)),AND(IFERROR(FIND("（",$A70),0)&gt;0,ISNUMBER(FIND("|"&amp;LEFT($A70,FIND("（",$A70)-1)&amp;"*|",$D$3)))),FALSE)))),ROW()-19,999)</f>
        <v>51</v>
      </c>
      <c r="AE70" t="str">
        <f ca="1">IFERROR(INDEX($A$20:$A$78,SMALL($AF$20:$AF$78,51)),"")</f>
        <v/>
      </c>
      <c r="AF70">
        <f ca="1">IF(AND($A70&lt;&gt;"",COUNTIF($A$20:A70,A70)=1,AND($A70&lt;&gt;"",$A70&lt;&gt;"非自然知识",COUNTIF($A$20:$A$78,$A70)&gt;0,OR($B$4="any",$B$4="fixed",AND($B$4="group",LEFT($A70,LEN($E$4)+1)=$E$4&amp;"（"),IFERROR(OR(ISNUMBER(FIND("|"&amp;$A70&amp;"|",$D$4)),AND(IFERROR(FIND("（",$A70),0)&gt;0,ISNUMBER(FIND("|"&amp;LEFT($A70,FIND("（",$A70)-1)&amp;"*|",$D$4)))),FALSE)))),ROW()-19,999)</f>
        <v>51</v>
      </c>
      <c r="AG70" t="str">
        <f ca="1">IFERROR(INDEX($A$20:$A$78,SMALL($AH$20:$AH$78,51)),"")</f>
        <v/>
      </c>
      <c r="AH70">
        <f ca="1">IF(AND($A70&lt;&gt;"",COUNTIF($A$20:A70,A70)=1,AND($A70&lt;&gt;"",$A70&lt;&gt;"非自然知识",COUNTIF($A$20:$A$78,$A70)&gt;0,OR($B$5="any",$B$5="fixed",AND($B$5="group",LEFT($A70,LEN($E$5)+1)=$E$5&amp;"（"),IFERROR(OR(ISNUMBER(FIND("|"&amp;$A70&amp;"|",$D$5)),AND(IFERROR(FIND("（",$A70),0)&gt;0,ISNUMBER(FIND("|"&amp;LEFT($A70,FIND("（",$A70)-1)&amp;"*|",$D$5)))),FALSE)))),ROW()-19,999)</f>
        <v>51</v>
      </c>
      <c r="AI70" t="str">
        <f ca="1">IFERROR(INDEX($A$20:$A$78,SMALL($AJ$20:$AJ$78,51)),"")</f>
        <v/>
      </c>
      <c r="AJ70">
        <f ca="1">IF(AND($A70&lt;&gt;"",COUNTIF($A$20:A70,A70)=1,AND($A70&lt;&gt;"",$A70&lt;&gt;"非自然知识",COUNTIF($A$20:$A$78,$A70)&gt;0,OR($B$6="any",$B$6="fixed",AND($B$6="group",LEFT($A70,LEN($E$6)+1)=$E$6&amp;"（"),IFERROR(OR(ISNUMBER(FIND("|"&amp;$A70&amp;"|",$D$6)),AND(IFERROR(FIND("（",$A70),0)&gt;0,ISNUMBER(FIND("|"&amp;LEFT($A70,FIND("（",$A70)-1)&amp;"*|",$D$6)))),FALSE)))),ROW()-19,999)</f>
        <v>51</v>
      </c>
      <c r="AK70" t="str">
        <f ca="1">IFERROR(INDEX($A$20:$A$78,SMALL($AL$20:$AL$78,51)),"")</f>
        <v/>
      </c>
      <c r="AL70">
        <f ca="1">IF(AND($A70&lt;&gt;"",COUNTIF($A$20:A70,A70)=1,AND($A70&lt;&gt;"",$A70&lt;&gt;"非自然知识",COUNTIF($A$20:$A$78,$A70)&gt;0,OR($B$7="any",$B$7="fixed",AND($B$7="group",LEFT($A70,LEN($E$7)+1)=$E$7&amp;"（"),IFERROR(OR(ISNUMBER(FIND("|"&amp;$A70&amp;"|",$D$7)),AND(IFERROR(FIND("（",$A70),0)&gt;0,ISNUMBER(FIND("|"&amp;LEFT($A70,FIND("（",$A70)-1)&amp;"*|",$D$7)))),FALSE)))),ROW()-19,999)</f>
        <v>51</v>
      </c>
      <c r="AM70" t="str">
        <f ca="1">IFERROR(INDEX($A$20:$A$78,SMALL($AN$20:$AN$78,51)),"")</f>
        <v/>
      </c>
      <c r="AN70">
        <f ca="1">IF(AND($A70&lt;&gt;"",COUNTIF($A$20:A70,A70)=1,AND($A70&lt;&gt;"",$A70&lt;&gt;"非自然知识",COUNTIF($A$20:$A$78,$A70)&gt;0,OR($B$8="any",$B$8="fixed",AND($B$8="group",LEFT($A70,LEN($E$8)+1)=$E$8&amp;"（"),IFERROR(OR(ISNUMBER(FIND("|"&amp;$A70&amp;"|",$D$8)),AND(IFERROR(FIND("（",$A70),0)&gt;0,ISNUMBER(FIND("|"&amp;LEFT($A70,FIND("（",$A70)-1)&amp;"*|",$D$8)))),FALSE)))),ROW()-19,999)</f>
        <v>51</v>
      </c>
      <c r="AO70" t="str">
        <f ca="1">IFERROR(INDEX($A$20:$A$78,SMALL($AP$20:$AP$78,51)),"")</f>
        <v/>
      </c>
      <c r="AP70">
        <f ca="1">IF(AND($A70&lt;&gt;"",COUNTIF($A$20:A70,A70)=1,AND($A70&lt;&gt;"",$A70&lt;&gt;"非自然知识",COUNTIF($A$20:$A$78,$A70)&gt;0,OR($B$9="any",$B$9="fixed",AND($B$9="group",LEFT($A70,LEN($E$9)+1)=$E$9&amp;"（"),IFERROR(OR(ISNUMBER(FIND("|"&amp;$A70&amp;"|",$D$9)),AND(IFERROR(FIND("（",$A70),0)&gt;0,ISNUMBER(FIND("|"&amp;LEFT($A70,FIND("（",$A70)-1)&amp;"*|",$D$9)))),FALSE)))),ROW()-19,999)</f>
        <v>51</v>
      </c>
    </row>
    <row r="71" spans="1:42">
      <c r="A71" t="str">
        <f>人物卡!AG35</f>
        <v>手术</v>
      </c>
      <c r="B71" t="str">
        <f t="shared" si="2"/>
        <v/>
      </c>
      <c r="C71">
        <f ca="1">IF(人物卡!AY35="",N(人物卡!AV35),N(人物卡!AY35))</f>
        <v>0</v>
      </c>
      <c r="D71">
        <f ca="1">IF(AND(A71&lt;&gt;"",COUNTIF($A$20:A71,A71)=1),COUNTIF($H$2:$H$9,A71)*20,0)</f>
        <v>0</v>
      </c>
      <c r="E71">
        <f ca="1" t="shared" si="3"/>
        <v>0</v>
      </c>
      <c r="F71">
        <f ca="1">IF(AND(A71&lt;&gt;"",COUNTIF($A$20:A71,A71)=1),IF(A71="神秘学",IF(人物卡!$DF$46="人类不应知道之事",20,IF(OR(人物卡!$DF$46="极端暴力",人物卡!$DF$46="关押或入狱",人物卡!$DF$46="艰苦经历"),10,0)),0)+IF(人物卡!$DF$46="艰苦经历",COUNTIF($H$12:$H$16,A71)*10,0),0)</f>
        <v>0</v>
      </c>
      <c r="G71">
        <f ca="1">IF(人物卡!$DF$46="艰苦经历",MIN(F71,MAX(0,90-C71-E71)),MIN(F71,MAX(0,99-C71-E71)))</f>
        <v>0</v>
      </c>
      <c r="H71" t="str">
        <f ca="1" t="shared" si="4"/>
        <v/>
      </c>
      <c r="I71" t="str">
        <f ca="1" t="shared" si="5"/>
        <v/>
      </c>
      <c r="J71" t="s">
        <v>2340</v>
      </c>
      <c r="K71" t="s">
        <v>2341</v>
      </c>
      <c r="Y71">
        <f ca="1">IF(AND($A71&lt;&gt;"",COUNTIF($A$20:A71,A71)=1,$A71&lt;&gt;"非自然知识"),ROW()-19,999)</f>
        <v>52</v>
      </c>
      <c r="Z71" t="str">
        <f ca="1">IFERROR(INDEX($A$20:$A$78,SMALL($Y$20:$Y$78,52)),"")</f>
        <v/>
      </c>
      <c r="AA71" t="str">
        <f ca="1">IFERROR(INDEX($A$20:$A$78,SMALL($AB$20:$AB$78,52)),"")</f>
        <v/>
      </c>
      <c r="AB71">
        <f ca="1">IF(AND($A71&lt;&gt;"",COUNTIF($A$20:A71,A71)=1,AND($A71&lt;&gt;"",$A71&lt;&gt;"非自然知识",COUNTIF($A$20:$A$78,$A71)&gt;0,OR($B$2="any",$B$2="fixed",AND($B$2="group",LEFT($A71,LEN($E$2)+1)=$E$2&amp;"（"),IFERROR(OR(ISNUMBER(FIND("|"&amp;$A71&amp;"|",$D$2)),AND(IFERROR(FIND("（",$A71),0)&gt;0,ISNUMBER(FIND("|"&amp;LEFT($A71,FIND("（",$A71)-1)&amp;"*|",$D$2)))),FALSE)))),ROW()-19,999)</f>
        <v>52</v>
      </c>
      <c r="AC71" t="str">
        <f ca="1">IFERROR(INDEX($A$20:$A$78,SMALL($AD$20:$AD$78,52)),"")</f>
        <v/>
      </c>
      <c r="AD71">
        <f ca="1">IF(AND($A71&lt;&gt;"",COUNTIF($A$20:A71,A71)=1,AND($A71&lt;&gt;"",$A71&lt;&gt;"非自然知识",COUNTIF($A$20:$A$78,$A71)&gt;0,OR($B$3="any",$B$3="fixed",AND($B$3="group",LEFT($A71,LEN($E$3)+1)=$E$3&amp;"（"),IFERROR(OR(ISNUMBER(FIND("|"&amp;$A71&amp;"|",$D$3)),AND(IFERROR(FIND("（",$A71),0)&gt;0,ISNUMBER(FIND("|"&amp;LEFT($A71,FIND("（",$A71)-1)&amp;"*|",$D$3)))),FALSE)))),ROW()-19,999)</f>
        <v>52</v>
      </c>
      <c r="AE71" t="str">
        <f ca="1">IFERROR(INDEX($A$20:$A$78,SMALL($AF$20:$AF$78,52)),"")</f>
        <v/>
      </c>
      <c r="AF71">
        <f ca="1">IF(AND($A71&lt;&gt;"",COUNTIF($A$20:A71,A71)=1,AND($A71&lt;&gt;"",$A71&lt;&gt;"非自然知识",COUNTIF($A$20:$A$78,$A71)&gt;0,OR($B$4="any",$B$4="fixed",AND($B$4="group",LEFT($A71,LEN($E$4)+1)=$E$4&amp;"（"),IFERROR(OR(ISNUMBER(FIND("|"&amp;$A71&amp;"|",$D$4)),AND(IFERROR(FIND("（",$A71),0)&gt;0,ISNUMBER(FIND("|"&amp;LEFT($A71,FIND("（",$A71)-1)&amp;"*|",$D$4)))),FALSE)))),ROW()-19,999)</f>
        <v>52</v>
      </c>
      <c r="AG71" t="str">
        <f ca="1">IFERROR(INDEX($A$20:$A$78,SMALL($AH$20:$AH$78,52)),"")</f>
        <v/>
      </c>
      <c r="AH71">
        <f ca="1">IF(AND($A71&lt;&gt;"",COUNTIF($A$20:A71,A71)=1,AND($A71&lt;&gt;"",$A71&lt;&gt;"非自然知识",COUNTIF($A$20:$A$78,$A71)&gt;0,OR($B$5="any",$B$5="fixed",AND($B$5="group",LEFT($A71,LEN($E$5)+1)=$E$5&amp;"（"),IFERROR(OR(ISNUMBER(FIND("|"&amp;$A71&amp;"|",$D$5)),AND(IFERROR(FIND("（",$A71),0)&gt;0,ISNUMBER(FIND("|"&amp;LEFT($A71,FIND("（",$A71)-1)&amp;"*|",$D$5)))),FALSE)))),ROW()-19,999)</f>
        <v>52</v>
      </c>
      <c r="AI71" t="str">
        <f ca="1">IFERROR(INDEX($A$20:$A$78,SMALL($AJ$20:$AJ$78,52)),"")</f>
        <v/>
      </c>
      <c r="AJ71">
        <f ca="1">IF(AND($A71&lt;&gt;"",COUNTIF($A$20:A71,A71)=1,AND($A71&lt;&gt;"",$A71&lt;&gt;"非自然知识",COUNTIF($A$20:$A$78,$A71)&gt;0,OR($B$6="any",$B$6="fixed",AND($B$6="group",LEFT($A71,LEN($E$6)+1)=$E$6&amp;"（"),IFERROR(OR(ISNUMBER(FIND("|"&amp;$A71&amp;"|",$D$6)),AND(IFERROR(FIND("（",$A71),0)&gt;0,ISNUMBER(FIND("|"&amp;LEFT($A71,FIND("（",$A71)-1)&amp;"*|",$D$6)))),FALSE)))),ROW()-19,999)</f>
        <v>52</v>
      </c>
      <c r="AK71" t="str">
        <f ca="1">IFERROR(INDEX($A$20:$A$78,SMALL($AL$20:$AL$78,52)),"")</f>
        <v/>
      </c>
      <c r="AL71">
        <f ca="1">IF(AND($A71&lt;&gt;"",COUNTIF($A$20:A71,A71)=1,AND($A71&lt;&gt;"",$A71&lt;&gt;"非自然知识",COUNTIF($A$20:$A$78,$A71)&gt;0,OR($B$7="any",$B$7="fixed",AND($B$7="group",LEFT($A71,LEN($E$7)+1)=$E$7&amp;"（"),IFERROR(OR(ISNUMBER(FIND("|"&amp;$A71&amp;"|",$D$7)),AND(IFERROR(FIND("（",$A71),0)&gt;0,ISNUMBER(FIND("|"&amp;LEFT($A71,FIND("（",$A71)-1)&amp;"*|",$D$7)))),FALSE)))),ROW()-19,999)</f>
        <v>52</v>
      </c>
      <c r="AM71" t="str">
        <f ca="1">IFERROR(INDEX($A$20:$A$78,SMALL($AN$20:$AN$78,52)),"")</f>
        <v/>
      </c>
      <c r="AN71">
        <f ca="1">IF(AND($A71&lt;&gt;"",COUNTIF($A$20:A71,A71)=1,AND($A71&lt;&gt;"",$A71&lt;&gt;"非自然知识",COUNTIF($A$20:$A$78,$A71)&gt;0,OR($B$8="any",$B$8="fixed",AND($B$8="group",LEFT($A71,LEN($E$8)+1)=$E$8&amp;"（"),IFERROR(OR(ISNUMBER(FIND("|"&amp;$A71&amp;"|",$D$8)),AND(IFERROR(FIND("（",$A71),0)&gt;0,ISNUMBER(FIND("|"&amp;LEFT($A71,FIND("（",$A71)-1)&amp;"*|",$D$8)))),FALSE)))),ROW()-19,999)</f>
        <v>52</v>
      </c>
      <c r="AO71" t="str">
        <f ca="1">IFERROR(INDEX($A$20:$A$78,SMALL($AP$20:$AP$78,52)),"")</f>
        <v/>
      </c>
      <c r="AP71">
        <f ca="1">IF(AND($A71&lt;&gt;"",COUNTIF($A$20:A71,A71)=1,AND($A71&lt;&gt;"",$A71&lt;&gt;"非自然知识",COUNTIF($A$20:$A$78,$A71)&gt;0,OR($B$9="any",$B$9="fixed",AND($B$9="group",LEFT($A71,LEN($E$9)+1)=$E$9&amp;"（"),IFERROR(OR(ISNUMBER(FIND("|"&amp;$A71&amp;"|",$D$9)),AND(IFERROR(FIND("（",$A71),0)&gt;0,ISNUMBER(FIND("|"&amp;LEFT($A71,FIND("（",$A71)-1)&amp;"*|",$D$9)))),FALSE)))),ROW()-19,999)</f>
        <v>52</v>
      </c>
    </row>
    <row r="72" spans="1:42">
      <c r="A72" t="str">
        <f>人物卡!AG36</f>
        <v>生存</v>
      </c>
      <c r="B72" t="str">
        <f t="shared" si="2"/>
        <v/>
      </c>
      <c r="C72">
        <f ca="1">IF(人物卡!AY36="",N(人物卡!AV36),N(人物卡!AY36))</f>
        <v>10</v>
      </c>
      <c r="D72">
        <f ca="1">IF(AND(A72&lt;&gt;"",COUNTIF($A$20:A72,A72)=1),COUNTIF($H$2:$H$9,A72)*20,0)</f>
        <v>0</v>
      </c>
      <c r="E72">
        <f ca="1" t="shared" si="3"/>
        <v>0</v>
      </c>
      <c r="F72">
        <f ca="1">IF(AND(A72&lt;&gt;"",COUNTIF($A$20:A72,A72)=1),IF(A72="神秘学",IF(人物卡!$DF$46="人类不应知道之事",20,IF(OR(人物卡!$DF$46="极端暴力",人物卡!$DF$46="关押或入狱",人物卡!$DF$46="艰苦经历"),10,0)),0)+IF(人物卡!$DF$46="艰苦经历",COUNTIF($H$12:$H$16,A72)*10,0),0)</f>
        <v>0</v>
      </c>
      <c r="G72">
        <f ca="1">IF(人物卡!$DF$46="艰苦经历",MIN(F72,MAX(0,90-C72-E72)),MIN(F72,MAX(0,99-C72-E72)))</f>
        <v>0</v>
      </c>
      <c r="H72" t="str">
        <f ca="1" t="shared" si="4"/>
        <v/>
      </c>
      <c r="I72" t="str">
        <f ca="1" t="shared" si="5"/>
        <v/>
      </c>
      <c r="J72" t="s">
        <v>2342</v>
      </c>
      <c r="K72" t="s">
        <v>2343</v>
      </c>
      <c r="Y72">
        <f ca="1">IF(AND($A72&lt;&gt;"",COUNTIF($A$20:A72,A72)=1,$A72&lt;&gt;"非自然知识"),ROW()-19,999)</f>
        <v>53</v>
      </c>
      <c r="Z72" t="str">
        <f ca="1">IFERROR(INDEX($A$20:$A$78,SMALL($Y$20:$Y$78,53)),"")</f>
        <v/>
      </c>
      <c r="AA72" t="str">
        <f ca="1">IFERROR(INDEX($A$20:$A$78,SMALL($AB$20:$AB$78,53)),"")</f>
        <v/>
      </c>
      <c r="AB72">
        <f ca="1">IF(AND($A72&lt;&gt;"",COUNTIF($A$20:A72,A72)=1,AND($A72&lt;&gt;"",$A72&lt;&gt;"非自然知识",COUNTIF($A$20:$A$78,$A72)&gt;0,OR($B$2="any",$B$2="fixed",AND($B$2="group",LEFT($A72,LEN($E$2)+1)=$E$2&amp;"（"),IFERROR(OR(ISNUMBER(FIND("|"&amp;$A72&amp;"|",$D$2)),AND(IFERROR(FIND("（",$A72),0)&gt;0,ISNUMBER(FIND("|"&amp;LEFT($A72,FIND("（",$A72)-1)&amp;"*|",$D$2)))),FALSE)))),ROW()-19,999)</f>
        <v>53</v>
      </c>
      <c r="AC72" t="str">
        <f ca="1">IFERROR(INDEX($A$20:$A$78,SMALL($AD$20:$AD$78,53)),"")</f>
        <v/>
      </c>
      <c r="AD72">
        <f ca="1">IF(AND($A72&lt;&gt;"",COUNTIF($A$20:A72,A72)=1,AND($A72&lt;&gt;"",$A72&lt;&gt;"非自然知识",COUNTIF($A$20:$A$78,$A72)&gt;0,OR($B$3="any",$B$3="fixed",AND($B$3="group",LEFT($A72,LEN($E$3)+1)=$E$3&amp;"（"),IFERROR(OR(ISNUMBER(FIND("|"&amp;$A72&amp;"|",$D$3)),AND(IFERROR(FIND("（",$A72),0)&gt;0,ISNUMBER(FIND("|"&amp;LEFT($A72,FIND("（",$A72)-1)&amp;"*|",$D$3)))),FALSE)))),ROW()-19,999)</f>
        <v>53</v>
      </c>
      <c r="AE72" t="str">
        <f ca="1">IFERROR(INDEX($A$20:$A$78,SMALL($AF$20:$AF$78,53)),"")</f>
        <v/>
      </c>
      <c r="AF72">
        <f ca="1">IF(AND($A72&lt;&gt;"",COUNTIF($A$20:A72,A72)=1,AND($A72&lt;&gt;"",$A72&lt;&gt;"非自然知识",COUNTIF($A$20:$A$78,$A72)&gt;0,OR($B$4="any",$B$4="fixed",AND($B$4="group",LEFT($A72,LEN($E$4)+1)=$E$4&amp;"（"),IFERROR(OR(ISNUMBER(FIND("|"&amp;$A72&amp;"|",$D$4)),AND(IFERROR(FIND("（",$A72),0)&gt;0,ISNUMBER(FIND("|"&amp;LEFT($A72,FIND("（",$A72)-1)&amp;"*|",$D$4)))),FALSE)))),ROW()-19,999)</f>
        <v>53</v>
      </c>
      <c r="AG72" t="str">
        <f ca="1">IFERROR(INDEX($A$20:$A$78,SMALL($AH$20:$AH$78,53)),"")</f>
        <v/>
      </c>
      <c r="AH72">
        <f ca="1">IF(AND($A72&lt;&gt;"",COUNTIF($A$20:A72,A72)=1,AND($A72&lt;&gt;"",$A72&lt;&gt;"非自然知识",COUNTIF($A$20:$A$78,$A72)&gt;0,OR($B$5="any",$B$5="fixed",AND($B$5="group",LEFT($A72,LEN($E$5)+1)=$E$5&amp;"（"),IFERROR(OR(ISNUMBER(FIND("|"&amp;$A72&amp;"|",$D$5)),AND(IFERROR(FIND("（",$A72),0)&gt;0,ISNUMBER(FIND("|"&amp;LEFT($A72,FIND("（",$A72)-1)&amp;"*|",$D$5)))),FALSE)))),ROW()-19,999)</f>
        <v>53</v>
      </c>
      <c r="AI72" t="str">
        <f ca="1">IFERROR(INDEX($A$20:$A$78,SMALL($AJ$20:$AJ$78,53)),"")</f>
        <v/>
      </c>
      <c r="AJ72">
        <f ca="1">IF(AND($A72&lt;&gt;"",COUNTIF($A$20:A72,A72)=1,AND($A72&lt;&gt;"",$A72&lt;&gt;"非自然知识",COUNTIF($A$20:$A$78,$A72)&gt;0,OR($B$6="any",$B$6="fixed",AND($B$6="group",LEFT($A72,LEN($E$6)+1)=$E$6&amp;"（"),IFERROR(OR(ISNUMBER(FIND("|"&amp;$A72&amp;"|",$D$6)),AND(IFERROR(FIND("（",$A72),0)&gt;0,ISNUMBER(FIND("|"&amp;LEFT($A72,FIND("（",$A72)-1)&amp;"*|",$D$6)))),FALSE)))),ROW()-19,999)</f>
        <v>53</v>
      </c>
      <c r="AK72" t="str">
        <f ca="1">IFERROR(INDEX($A$20:$A$78,SMALL($AL$20:$AL$78,53)),"")</f>
        <v/>
      </c>
      <c r="AL72">
        <f ca="1">IF(AND($A72&lt;&gt;"",COUNTIF($A$20:A72,A72)=1,AND($A72&lt;&gt;"",$A72&lt;&gt;"非自然知识",COUNTIF($A$20:$A$78,$A72)&gt;0,OR($B$7="any",$B$7="fixed",AND($B$7="group",LEFT($A72,LEN($E$7)+1)=$E$7&amp;"（"),IFERROR(OR(ISNUMBER(FIND("|"&amp;$A72&amp;"|",$D$7)),AND(IFERROR(FIND("（",$A72),0)&gt;0,ISNUMBER(FIND("|"&amp;LEFT($A72,FIND("（",$A72)-1)&amp;"*|",$D$7)))),FALSE)))),ROW()-19,999)</f>
        <v>53</v>
      </c>
      <c r="AM72" t="str">
        <f ca="1">IFERROR(INDEX($A$20:$A$78,SMALL($AN$20:$AN$78,53)),"")</f>
        <v/>
      </c>
      <c r="AN72">
        <f ca="1">IF(AND($A72&lt;&gt;"",COUNTIF($A$20:A72,A72)=1,AND($A72&lt;&gt;"",$A72&lt;&gt;"非自然知识",COUNTIF($A$20:$A$78,$A72)&gt;0,OR($B$8="any",$B$8="fixed",AND($B$8="group",LEFT($A72,LEN($E$8)+1)=$E$8&amp;"（"),IFERROR(OR(ISNUMBER(FIND("|"&amp;$A72&amp;"|",$D$8)),AND(IFERROR(FIND("（",$A72),0)&gt;0,ISNUMBER(FIND("|"&amp;LEFT($A72,FIND("（",$A72)-1)&amp;"*|",$D$8)))),FALSE)))),ROW()-19,999)</f>
        <v>53</v>
      </c>
      <c r="AO72" t="str">
        <f ca="1">IFERROR(INDEX($A$20:$A$78,SMALL($AP$20:$AP$78,53)),"")</f>
        <v/>
      </c>
      <c r="AP72">
        <f ca="1">IF(AND($A72&lt;&gt;"",COUNTIF($A$20:A72,A72)=1,AND($A72&lt;&gt;"",$A72&lt;&gt;"非自然知识",COUNTIF($A$20:$A$78,$A72)&gt;0,OR($B$9="any",$B$9="fixed",AND($B$9="group",LEFT($A72,LEN($E$9)+1)=$E$9&amp;"（"),IFERROR(OR(ISNUMBER(FIND("|"&amp;$A72&amp;"|",$D$9)),AND(IFERROR(FIND("（",$A72),0)&gt;0,ISNUMBER(FIND("|"&amp;LEFT($A72,FIND("（",$A72)-1)&amp;"*|",$D$9)))),FALSE)))),ROW()-19,999)</f>
        <v>53</v>
      </c>
    </row>
    <row r="73" spans="1:42">
      <c r="A73" t="str">
        <f>人物卡!AG37</f>
        <v>游泳</v>
      </c>
      <c r="B73" t="str">
        <f t="shared" si="2"/>
        <v/>
      </c>
      <c r="C73">
        <f ca="1">IF(人物卡!AY37="",N(人物卡!AV37),N(人物卡!AY37))</f>
        <v>20</v>
      </c>
      <c r="D73">
        <f ca="1">IF(AND(A73&lt;&gt;"",COUNTIF($A$20:A73,A73)=1),COUNTIF($H$2:$H$9,A73)*20,0)</f>
        <v>0</v>
      </c>
      <c r="E73">
        <f ca="1" t="shared" si="3"/>
        <v>0</v>
      </c>
      <c r="F73">
        <f ca="1">IF(AND(A73&lt;&gt;"",COUNTIF($A$20:A73,A73)=1),IF(A73="神秘学",IF(人物卡!$DF$46="人类不应知道之事",20,IF(OR(人物卡!$DF$46="极端暴力",人物卡!$DF$46="关押或入狱",人物卡!$DF$46="艰苦经历"),10,0)),0)+IF(人物卡!$DF$46="艰苦经历",COUNTIF($H$12:$H$16,A73)*10,0),0)</f>
        <v>0</v>
      </c>
      <c r="G73">
        <f ca="1">IF(人物卡!$DF$46="艰苦经历",MIN(F73,MAX(0,90-C73-E73)),MIN(F73,MAX(0,99-C73-E73)))</f>
        <v>0</v>
      </c>
      <c r="H73" t="str">
        <f ca="1" t="shared" si="4"/>
        <v/>
      </c>
      <c r="I73" t="str">
        <f ca="1" t="shared" si="5"/>
        <v/>
      </c>
      <c r="J73" t="s">
        <v>2344</v>
      </c>
      <c r="K73" t="s">
        <v>2345</v>
      </c>
      <c r="Y73">
        <f ca="1">IF(AND($A73&lt;&gt;"",COUNTIF($A$20:A73,A73)=1,$A73&lt;&gt;"非自然知识"),ROW()-19,999)</f>
        <v>54</v>
      </c>
      <c r="Z73" t="str">
        <f ca="1">IFERROR(INDEX($A$20:$A$78,SMALL($Y$20:$Y$78,54)),"")</f>
        <v/>
      </c>
      <c r="AA73" t="str">
        <f ca="1">IFERROR(INDEX($A$20:$A$78,SMALL($AB$20:$AB$78,54)),"")</f>
        <v/>
      </c>
      <c r="AB73">
        <f ca="1">IF(AND($A73&lt;&gt;"",COUNTIF($A$20:A73,A73)=1,AND($A73&lt;&gt;"",$A73&lt;&gt;"非自然知识",COUNTIF($A$20:$A$78,$A73)&gt;0,OR($B$2="any",$B$2="fixed",AND($B$2="group",LEFT($A73,LEN($E$2)+1)=$E$2&amp;"（"),IFERROR(OR(ISNUMBER(FIND("|"&amp;$A73&amp;"|",$D$2)),AND(IFERROR(FIND("（",$A73),0)&gt;0,ISNUMBER(FIND("|"&amp;LEFT($A73,FIND("（",$A73)-1)&amp;"*|",$D$2)))),FALSE)))),ROW()-19,999)</f>
        <v>54</v>
      </c>
      <c r="AC73" t="str">
        <f ca="1">IFERROR(INDEX($A$20:$A$78,SMALL($AD$20:$AD$78,54)),"")</f>
        <v/>
      </c>
      <c r="AD73">
        <f ca="1">IF(AND($A73&lt;&gt;"",COUNTIF($A$20:A73,A73)=1,AND($A73&lt;&gt;"",$A73&lt;&gt;"非自然知识",COUNTIF($A$20:$A$78,$A73)&gt;0,OR($B$3="any",$B$3="fixed",AND($B$3="group",LEFT($A73,LEN($E$3)+1)=$E$3&amp;"（"),IFERROR(OR(ISNUMBER(FIND("|"&amp;$A73&amp;"|",$D$3)),AND(IFERROR(FIND("（",$A73),0)&gt;0,ISNUMBER(FIND("|"&amp;LEFT($A73,FIND("（",$A73)-1)&amp;"*|",$D$3)))),FALSE)))),ROW()-19,999)</f>
        <v>54</v>
      </c>
      <c r="AE73" t="str">
        <f ca="1">IFERROR(INDEX($A$20:$A$78,SMALL($AF$20:$AF$78,54)),"")</f>
        <v/>
      </c>
      <c r="AF73">
        <f ca="1">IF(AND($A73&lt;&gt;"",COUNTIF($A$20:A73,A73)=1,AND($A73&lt;&gt;"",$A73&lt;&gt;"非自然知识",COUNTIF($A$20:$A$78,$A73)&gt;0,OR($B$4="any",$B$4="fixed",AND($B$4="group",LEFT($A73,LEN($E$4)+1)=$E$4&amp;"（"),IFERROR(OR(ISNUMBER(FIND("|"&amp;$A73&amp;"|",$D$4)),AND(IFERROR(FIND("（",$A73),0)&gt;0,ISNUMBER(FIND("|"&amp;LEFT($A73,FIND("（",$A73)-1)&amp;"*|",$D$4)))),FALSE)))),ROW()-19,999)</f>
        <v>54</v>
      </c>
      <c r="AG73" t="str">
        <f ca="1">IFERROR(INDEX($A$20:$A$78,SMALL($AH$20:$AH$78,54)),"")</f>
        <v/>
      </c>
      <c r="AH73">
        <f ca="1">IF(AND($A73&lt;&gt;"",COUNTIF($A$20:A73,A73)=1,AND($A73&lt;&gt;"",$A73&lt;&gt;"非自然知识",COUNTIF($A$20:$A$78,$A73)&gt;0,OR($B$5="any",$B$5="fixed",AND($B$5="group",LEFT($A73,LEN($E$5)+1)=$E$5&amp;"（"),IFERROR(OR(ISNUMBER(FIND("|"&amp;$A73&amp;"|",$D$5)),AND(IFERROR(FIND("（",$A73),0)&gt;0,ISNUMBER(FIND("|"&amp;LEFT($A73,FIND("（",$A73)-1)&amp;"*|",$D$5)))),FALSE)))),ROW()-19,999)</f>
        <v>54</v>
      </c>
      <c r="AI73" t="str">
        <f ca="1">IFERROR(INDEX($A$20:$A$78,SMALL($AJ$20:$AJ$78,54)),"")</f>
        <v/>
      </c>
      <c r="AJ73">
        <f ca="1">IF(AND($A73&lt;&gt;"",COUNTIF($A$20:A73,A73)=1,AND($A73&lt;&gt;"",$A73&lt;&gt;"非自然知识",COUNTIF($A$20:$A$78,$A73)&gt;0,OR($B$6="any",$B$6="fixed",AND($B$6="group",LEFT($A73,LEN($E$6)+1)=$E$6&amp;"（"),IFERROR(OR(ISNUMBER(FIND("|"&amp;$A73&amp;"|",$D$6)),AND(IFERROR(FIND("（",$A73),0)&gt;0,ISNUMBER(FIND("|"&amp;LEFT($A73,FIND("（",$A73)-1)&amp;"*|",$D$6)))),FALSE)))),ROW()-19,999)</f>
        <v>54</v>
      </c>
      <c r="AK73" t="str">
        <f ca="1">IFERROR(INDEX($A$20:$A$78,SMALL($AL$20:$AL$78,54)),"")</f>
        <v/>
      </c>
      <c r="AL73">
        <f ca="1">IF(AND($A73&lt;&gt;"",COUNTIF($A$20:A73,A73)=1,AND($A73&lt;&gt;"",$A73&lt;&gt;"非自然知识",COUNTIF($A$20:$A$78,$A73)&gt;0,OR($B$7="any",$B$7="fixed",AND($B$7="group",LEFT($A73,LEN($E$7)+1)=$E$7&amp;"（"),IFERROR(OR(ISNUMBER(FIND("|"&amp;$A73&amp;"|",$D$7)),AND(IFERROR(FIND("（",$A73),0)&gt;0,ISNUMBER(FIND("|"&amp;LEFT($A73,FIND("（",$A73)-1)&amp;"*|",$D$7)))),FALSE)))),ROW()-19,999)</f>
        <v>54</v>
      </c>
      <c r="AM73" t="str">
        <f ca="1">IFERROR(INDEX($A$20:$A$78,SMALL($AN$20:$AN$78,54)),"")</f>
        <v/>
      </c>
      <c r="AN73">
        <f ca="1">IF(AND($A73&lt;&gt;"",COUNTIF($A$20:A73,A73)=1,AND($A73&lt;&gt;"",$A73&lt;&gt;"非自然知识",COUNTIF($A$20:$A$78,$A73)&gt;0,OR($B$8="any",$B$8="fixed",AND($B$8="group",LEFT($A73,LEN($E$8)+1)=$E$8&amp;"（"),IFERROR(OR(ISNUMBER(FIND("|"&amp;$A73&amp;"|",$D$8)),AND(IFERROR(FIND("（",$A73),0)&gt;0,ISNUMBER(FIND("|"&amp;LEFT($A73,FIND("（",$A73)-1)&amp;"*|",$D$8)))),FALSE)))),ROW()-19,999)</f>
        <v>54</v>
      </c>
      <c r="AO73" t="str">
        <f ca="1">IFERROR(INDEX($A$20:$A$78,SMALL($AP$20:$AP$78,54)),"")</f>
        <v/>
      </c>
      <c r="AP73">
        <f ca="1">IF(AND($A73&lt;&gt;"",COUNTIF($A$20:A73,A73)=1,AND($A73&lt;&gt;"",$A73&lt;&gt;"非自然知识",COUNTIF($A$20:$A$78,$A73)&gt;0,OR($B$9="any",$B$9="fixed",AND($B$9="group",LEFT($A73,LEN($E$9)+1)=$E$9&amp;"（"),IFERROR(OR(ISNUMBER(FIND("|"&amp;$A73&amp;"|",$D$9)),AND(IFERROR(FIND("（",$A73),0)&gt;0,ISNUMBER(FIND("|"&amp;LEFT($A73,FIND("（",$A73)-1)&amp;"*|",$D$9)))),FALSE)))),ROW()-19,999)</f>
        <v>54</v>
      </c>
    </row>
    <row r="74" spans="1:42">
      <c r="A74" t="str">
        <f>人物卡!AG38</f>
        <v>徒手搏斗</v>
      </c>
      <c r="B74" t="str">
        <f t="shared" si="2"/>
        <v/>
      </c>
      <c r="C74">
        <f ca="1">IF(人物卡!AY38="",N(人物卡!AV38),N(人物卡!AY38))</f>
        <v>40</v>
      </c>
      <c r="D74">
        <f ca="1">IF(AND(A74&lt;&gt;"",COUNTIF($A$20:A74,A74)=1),COUNTIF($H$2:$H$9,A74)*20,0)</f>
        <v>0</v>
      </c>
      <c r="E74">
        <f ca="1" t="shared" si="3"/>
        <v>0</v>
      </c>
      <c r="F74">
        <f ca="1">IF(AND(A74&lt;&gt;"",COUNTIF($A$20:A74,A74)=1),IF(A74="神秘学",IF(人物卡!$DF$46="人类不应知道之事",20,IF(OR(人物卡!$DF$46="极端暴力",人物卡!$DF$46="关押或入狱",人物卡!$DF$46="艰苦经历"),10,0)),0)+IF(人物卡!$DF$46="艰苦经历",COUNTIF($H$12:$H$16,A74)*10,0),0)</f>
        <v>0</v>
      </c>
      <c r="G74">
        <f ca="1">IF(人物卡!$DF$46="艰苦经历",MIN(F74,MAX(0,90-C74-E74)),MIN(F74,MAX(0,99-C74-E74)))</f>
        <v>0</v>
      </c>
      <c r="H74" t="str">
        <f ca="1" t="shared" si="4"/>
        <v/>
      </c>
      <c r="I74" t="str">
        <f ca="1" t="shared" si="5"/>
        <v/>
      </c>
      <c r="J74" t="s">
        <v>2346</v>
      </c>
      <c r="K74" t="s">
        <v>2347</v>
      </c>
      <c r="Y74">
        <f ca="1">IF(AND($A74&lt;&gt;"",COUNTIF($A$20:A74,A74)=1,$A74&lt;&gt;"非自然知识"),ROW()-19,999)</f>
        <v>55</v>
      </c>
      <c r="Z74" t="str">
        <f ca="1">IFERROR(INDEX($A$20:$A$78,SMALL($Y$20:$Y$78,55)),"")</f>
        <v/>
      </c>
      <c r="AA74" t="str">
        <f ca="1">IFERROR(INDEX($A$20:$A$78,SMALL($AB$20:$AB$78,55)),"")</f>
        <v/>
      </c>
      <c r="AB74">
        <f ca="1">IF(AND($A74&lt;&gt;"",COUNTIF($A$20:A74,A74)=1,AND($A74&lt;&gt;"",$A74&lt;&gt;"非自然知识",COUNTIF($A$20:$A$78,$A74)&gt;0,OR($B$2="any",$B$2="fixed",AND($B$2="group",LEFT($A74,LEN($E$2)+1)=$E$2&amp;"（"),IFERROR(OR(ISNUMBER(FIND("|"&amp;$A74&amp;"|",$D$2)),AND(IFERROR(FIND("（",$A74),0)&gt;0,ISNUMBER(FIND("|"&amp;LEFT($A74,FIND("（",$A74)-1)&amp;"*|",$D$2)))),FALSE)))),ROW()-19,999)</f>
        <v>55</v>
      </c>
      <c r="AC74" t="str">
        <f ca="1">IFERROR(INDEX($A$20:$A$78,SMALL($AD$20:$AD$78,55)),"")</f>
        <v/>
      </c>
      <c r="AD74">
        <f ca="1">IF(AND($A74&lt;&gt;"",COUNTIF($A$20:A74,A74)=1,AND($A74&lt;&gt;"",$A74&lt;&gt;"非自然知识",COUNTIF($A$20:$A$78,$A74)&gt;0,OR($B$3="any",$B$3="fixed",AND($B$3="group",LEFT($A74,LEN($E$3)+1)=$E$3&amp;"（"),IFERROR(OR(ISNUMBER(FIND("|"&amp;$A74&amp;"|",$D$3)),AND(IFERROR(FIND("（",$A74),0)&gt;0,ISNUMBER(FIND("|"&amp;LEFT($A74,FIND("（",$A74)-1)&amp;"*|",$D$3)))),FALSE)))),ROW()-19,999)</f>
        <v>55</v>
      </c>
      <c r="AE74" t="str">
        <f ca="1">IFERROR(INDEX($A$20:$A$78,SMALL($AF$20:$AF$78,55)),"")</f>
        <v/>
      </c>
      <c r="AF74">
        <f ca="1">IF(AND($A74&lt;&gt;"",COUNTIF($A$20:A74,A74)=1,AND($A74&lt;&gt;"",$A74&lt;&gt;"非自然知识",COUNTIF($A$20:$A$78,$A74)&gt;0,OR($B$4="any",$B$4="fixed",AND($B$4="group",LEFT($A74,LEN($E$4)+1)=$E$4&amp;"（"),IFERROR(OR(ISNUMBER(FIND("|"&amp;$A74&amp;"|",$D$4)),AND(IFERROR(FIND("（",$A74),0)&gt;0,ISNUMBER(FIND("|"&amp;LEFT($A74,FIND("（",$A74)-1)&amp;"*|",$D$4)))),FALSE)))),ROW()-19,999)</f>
        <v>55</v>
      </c>
      <c r="AG74" t="str">
        <f ca="1">IFERROR(INDEX($A$20:$A$78,SMALL($AH$20:$AH$78,55)),"")</f>
        <v/>
      </c>
      <c r="AH74">
        <f ca="1">IF(AND($A74&lt;&gt;"",COUNTIF($A$20:A74,A74)=1,AND($A74&lt;&gt;"",$A74&lt;&gt;"非自然知识",COUNTIF($A$20:$A$78,$A74)&gt;0,OR($B$5="any",$B$5="fixed",AND($B$5="group",LEFT($A74,LEN($E$5)+1)=$E$5&amp;"（"),IFERROR(OR(ISNUMBER(FIND("|"&amp;$A74&amp;"|",$D$5)),AND(IFERROR(FIND("（",$A74),0)&gt;0,ISNUMBER(FIND("|"&amp;LEFT($A74,FIND("（",$A74)-1)&amp;"*|",$D$5)))),FALSE)))),ROW()-19,999)</f>
        <v>55</v>
      </c>
      <c r="AI74" t="str">
        <f ca="1">IFERROR(INDEX($A$20:$A$78,SMALL($AJ$20:$AJ$78,55)),"")</f>
        <v/>
      </c>
      <c r="AJ74">
        <f ca="1">IF(AND($A74&lt;&gt;"",COUNTIF($A$20:A74,A74)=1,AND($A74&lt;&gt;"",$A74&lt;&gt;"非自然知识",COUNTIF($A$20:$A$78,$A74)&gt;0,OR($B$6="any",$B$6="fixed",AND($B$6="group",LEFT($A74,LEN($E$6)+1)=$E$6&amp;"（"),IFERROR(OR(ISNUMBER(FIND("|"&amp;$A74&amp;"|",$D$6)),AND(IFERROR(FIND("（",$A74),0)&gt;0,ISNUMBER(FIND("|"&amp;LEFT($A74,FIND("（",$A74)-1)&amp;"*|",$D$6)))),FALSE)))),ROW()-19,999)</f>
        <v>55</v>
      </c>
      <c r="AK74" t="str">
        <f ca="1">IFERROR(INDEX($A$20:$A$78,SMALL($AL$20:$AL$78,55)),"")</f>
        <v/>
      </c>
      <c r="AL74">
        <f ca="1">IF(AND($A74&lt;&gt;"",COUNTIF($A$20:A74,A74)=1,AND($A74&lt;&gt;"",$A74&lt;&gt;"非自然知识",COUNTIF($A$20:$A$78,$A74)&gt;0,OR($B$7="any",$B$7="fixed",AND($B$7="group",LEFT($A74,LEN($E$7)+1)=$E$7&amp;"（"),IFERROR(OR(ISNUMBER(FIND("|"&amp;$A74&amp;"|",$D$7)),AND(IFERROR(FIND("（",$A74),0)&gt;0,ISNUMBER(FIND("|"&amp;LEFT($A74,FIND("（",$A74)-1)&amp;"*|",$D$7)))),FALSE)))),ROW()-19,999)</f>
        <v>55</v>
      </c>
      <c r="AM74" t="str">
        <f ca="1">IFERROR(INDEX($A$20:$A$78,SMALL($AN$20:$AN$78,55)),"")</f>
        <v/>
      </c>
      <c r="AN74">
        <f ca="1">IF(AND($A74&lt;&gt;"",COUNTIF($A$20:A74,A74)=1,AND($A74&lt;&gt;"",$A74&lt;&gt;"非自然知识",COUNTIF($A$20:$A$78,$A74)&gt;0,OR($B$8="any",$B$8="fixed",AND($B$8="group",LEFT($A74,LEN($E$8)+1)=$E$8&amp;"（"),IFERROR(OR(ISNUMBER(FIND("|"&amp;$A74&amp;"|",$D$8)),AND(IFERROR(FIND("（",$A74),0)&gt;0,ISNUMBER(FIND("|"&amp;LEFT($A74,FIND("（",$A74)-1)&amp;"*|",$D$8)))),FALSE)))),ROW()-19,999)</f>
        <v>55</v>
      </c>
      <c r="AO74" t="str">
        <f ca="1">IFERROR(INDEX($A$20:$A$78,SMALL($AP$20:$AP$78,55)),"")</f>
        <v/>
      </c>
      <c r="AP74">
        <f ca="1">IF(AND($A74&lt;&gt;"",COUNTIF($A$20:A74,A74)=1,AND($A74&lt;&gt;"",$A74&lt;&gt;"非自然知识",COUNTIF($A$20:$A$78,$A74)&gt;0,OR($B$9="any",$B$9="fixed",AND($B$9="group",LEFT($A74,LEN($E$9)+1)=$E$9&amp;"（"),IFERROR(OR(ISNUMBER(FIND("|"&amp;$A74&amp;"|",$D$9)),AND(IFERROR(FIND("（",$A74),0)&gt;0,ISNUMBER(FIND("|"&amp;LEFT($A74,FIND("（",$A74)-1)&amp;"*|",$D$9)))),FALSE)))),ROW()-19,999)</f>
        <v>55</v>
      </c>
    </row>
    <row r="75" spans="1:42">
      <c r="A75" t="str">
        <f ca="1">TRIM(人物卡!AG40)</f>
        <v/>
      </c>
      <c r="B75" t="str">
        <f ca="1" t="shared" si="2"/>
        <v/>
      </c>
      <c r="C75">
        <f>IF(人物卡!AY40="",N(人物卡!AV40),N(人物卡!AY40))</f>
        <v>0</v>
      </c>
      <c r="D75">
        <f ca="1">IF(AND(A75&lt;&gt;"",COUNTIF($A$20:A75,A75)=1),COUNTIF($H$2:$H$9,A75)*20,0)</f>
        <v>0</v>
      </c>
      <c r="E75">
        <f ca="1" t="shared" si="3"/>
        <v>0</v>
      </c>
      <c r="F75">
        <f ca="1">IF(AND(A75&lt;&gt;"",COUNTIF($A$20:A75,A75)=1),IF(A75="神秘学",IF(人物卡!$DF$46="人类不应知道之事",20,IF(OR(人物卡!$DF$46="极端暴力",人物卡!$DF$46="关押或入狱",人物卡!$DF$46="艰苦经历"),10,0)),0)+IF(人物卡!$DF$46="艰苦经历",COUNTIF($H$12:$H$16,A75)*10,0),0)</f>
        <v>0</v>
      </c>
      <c r="G75">
        <f ca="1">IF(人物卡!$DF$46="艰苦经历",MIN(F75,MAX(0,90-C75-E75)),MIN(F75,MAX(0,99-C75-E75)))</f>
        <v>0</v>
      </c>
      <c r="H75" t="str">
        <f ca="1" t="shared" si="4"/>
        <v/>
      </c>
      <c r="I75" t="str">
        <f ca="1" t="shared" si="5"/>
        <v/>
      </c>
      <c r="J75" t="s">
        <v>2348</v>
      </c>
      <c r="K75" t="s">
        <v>2349</v>
      </c>
      <c r="Y75">
        <f ca="1">IF(AND($A75&lt;&gt;"",COUNTIF($A$20:A75,A75)=1,$A75&lt;&gt;"非自然知识"),ROW()-19,999)</f>
        <v>999</v>
      </c>
      <c r="Z75" t="str">
        <f ca="1">IFERROR(INDEX($A$20:$A$78,SMALL($Y$20:$Y$78,56)),"")</f>
        <v/>
      </c>
      <c r="AA75" t="str">
        <f ca="1">IFERROR(INDEX($A$20:$A$78,SMALL($AB$20:$AB$78,56)),"")</f>
        <v/>
      </c>
      <c r="AB75">
        <f ca="1">IF(AND($A75&lt;&gt;"",COUNTIF($A$20:A75,A75)=1,AND($A75&lt;&gt;"",$A75&lt;&gt;"非自然知识",COUNTIF($A$20:$A$78,$A75)&gt;0,OR($B$2="any",$B$2="fixed",AND($B$2="group",LEFT($A75,LEN($E$2)+1)=$E$2&amp;"（"),IFERROR(OR(ISNUMBER(FIND("|"&amp;$A75&amp;"|",$D$2)),AND(IFERROR(FIND("（",$A75),0)&gt;0,ISNUMBER(FIND("|"&amp;LEFT($A75,FIND("（",$A75)-1)&amp;"*|",$D$2)))),FALSE)))),ROW()-19,999)</f>
        <v>999</v>
      </c>
      <c r="AC75" t="str">
        <f ca="1">IFERROR(INDEX($A$20:$A$78,SMALL($AD$20:$AD$78,56)),"")</f>
        <v/>
      </c>
      <c r="AD75">
        <f ca="1">IF(AND($A75&lt;&gt;"",COUNTIF($A$20:A75,A75)=1,AND($A75&lt;&gt;"",$A75&lt;&gt;"非自然知识",COUNTIF($A$20:$A$78,$A75)&gt;0,OR($B$3="any",$B$3="fixed",AND($B$3="group",LEFT($A75,LEN($E$3)+1)=$E$3&amp;"（"),IFERROR(OR(ISNUMBER(FIND("|"&amp;$A75&amp;"|",$D$3)),AND(IFERROR(FIND("（",$A75),0)&gt;0,ISNUMBER(FIND("|"&amp;LEFT($A75,FIND("（",$A75)-1)&amp;"*|",$D$3)))),FALSE)))),ROW()-19,999)</f>
        <v>999</v>
      </c>
      <c r="AE75" t="str">
        <f ca="1">IFERROR(INDEX($A$20:$A$78,SMALL($AF$20:$AF$78,56)),"")</f>
        <v/>
      </c>
      <c r="AF75">
        <f ca="1">IF(AND($A75&lt;&gt;"",COUNTIF($A$20:A75,A75)=1,AND($A75&lt;&gt;"",$A75&lt;&gt;"非自然知识",COUNTIF($A$20:$A$78,$A75)&gt;0,OR($B$4="any",$B$4="fixed",AND($B$4="group",LEFT($A75,LEN($E$4)+1)=$E$4&amp;"（"),IFERROR(OR(ISNUMBER(FIND("|"&amp;$A75&amp;"|",$D$4)),AND(IFERROR(FIND("（",$A75),0)&gt;0,ISNUMBER(FIND("|"&amp;LEFT($A75,FIND("（",$A75)-1)&amp;"*|",$D$4)))),FALSE)))),ROW()-19,999)</f>
        <v>999</v>
      </c>
      <c r="AG75" t="str">
        <f ca="1">IFERROR(INDEX($A$20:$A$78,SMALL($AH$20:$AH$78,56)),"")</f>
        <v/>
      </c>
      <c r="AH75">
        <f ca="1">IF(AND($A75&lt;&gt;"",COUNTIF($A$20:A75,A75)=1,AND($A75&lt;&gt;"",$A75&lt;&gt;"非自然知识",COUNTIF($A$20:$A$78,$A75)&gt;0,OR($B$5="any",$B$5="fixed",AND($B$5="group",LEFT($A75,LEN($E$5)+1)=$E$5&amp;"（"),IFERROR(OR(ISNUMBER(FIND("|"&amp;$A75&amp;"|",$D$5)),AND(IFERROR(FIND("（",$A75),0)&gt;0,ISNUMBER(FIND("|"&amp;LEFT($A75,FIND("（",$A75)-1)&amp;"*|",$D$5)))),FALSE)))),ROW()-19,999)</f>
        <v>999</v>
      </c>
      <c r="AI75" t="str">
        <f ca="1">IFERROR(INDEX($A$20:$A$78,SMALL($AJ$20:$AJ$78,56)),"")</f>
        <v/>
      </c>
      <c r="AJ75">
        <f ca="1">IF(AND($A75&lt;&gt;"",COUNTIF($A$20:A75,A75)=1,AND($A75&lt;&gt;"",$A75&lt;&gt;"非自然知识",COUNTIF($A$20:$A$78,$A75)&gt;0,OR($B$6="any",$B$6="fixed",AND($B$6="group",LEFT($A75,LEN($E$6)+1)=$E$6&amp;"（"),IFERROR(OR(ISNUMBER(FIND("|"&amp;$A75&amp;"|",$D$6)),AND(IFERROR(FIND("（",$A75),0)&gt;0,ISNUMBER(FIND("|"&amp;LEFT($A75,FIND("（",$A75)-1)&amp;"*|",$D$6)))),FALSE)))),ROW()-19,999)</f>
        <v>999</v>
      </c>
      <c r="AK75" t="str">
        <f ca="1">IFERROR(INDEX($A$20:$A$78,SMALL($AL$20:$AL$78,56)),"")</f>
        <v/>
      </c>
      <c r="AL75">
        <f ca="1">IF(AND($A75&lt;&gt;"",COUNTIF($A$20:A75,A75)=1,AND($A75&lt;&gt;"",$A75&lt;&gt;"非自然知识",COUNTIF($A$20:$A$78,$A75)&gt;0,OR($B$7="any",$B$7="fixed",AND($B$7="group",LEFT($A75,LEN($E$7)+1)=$E$7&amp;"（"),IFERROR(OR(ISNUMBER(FIND("|"&amp;$A75&amp;"|",$D$7)),AND(IFERROR(FIND("（",$A75),0)&gt;0,ISNUMBER(FIND("|"&amp;LEFT($A75,FIND("（",$A75)-1)&amp;"*|",$D$7)))),FALSE)))),ROW()-19,999)</f>
        <v>999</v>
      </c>
      <c r="AM75" t="str">
        <f ca="1">IFERROR(INDEX($A$20:$A$78,SMALL($AN$20:$AN$78,56)),"")</f>
        <v/>
      </c>
      <c r="AN75">
        <f ca="1">IF(AND($A75&lt;&gt;"",COUNTIF($A$20:A75,A75)=1,AND($A75&lt;&gt;"",$A75&lt;&gt;"非自然知识",COUNTIF($A$20:$A$78,$A75)&gt;0,OR($B$8="any",$B$8="fixed",AND($B$8="group",LEFT($A75,LEN($E$8)+1)=$E$8&amp;"（"),IFERROR(OR(ISNUMBER(FIND("|"&amp;$A75&amp;"|",$D$8)),AND(IFERROR(FIND("（",$A75),0)&gt;0,ISNUMBER(FIND("|"&amp;LEFT($A75,FIND("（",$A75)-1)&amp;"*|",$D$8)))),FALSE)))),ROW()-19,999)</f>
        <v>999</v>
      </c>
      <c r="AO75" t="str">
        <f ca="1">IFERROR(INDEX($A$20:$A$78,SMALL($AP$20:$AP$78,56)),"")</f>
        <v/>
      </c>
      <c r="AP75">
        <f ca="1">IF(AND($A75&lt;&gt;"",COUNTIF($A$20:A75,A75)=1,AND($A75&lt;&gt;"",$A75&lt;&gt;"非自然知识",COUNTIF($A$20:$A$78,$A75)&gt;0,OR($B$9="any",$B$9="fixed",AND($B$9="group",LEFT($A75,LEN($E$9)+1)=$E$9&amp;"（"),IFERROR(OR(ISNUMBER(FIND("|"&amp;$A75&amp;"|",$D$9)),AND(IFERROR(FIND("（",$A75),0)&gt;0,ISNUMBER(FIND("|"&amp;LEFT($A75,FIND("（",$A75)-1)&amp;"*|",$D$9)))),FALSE)))),ROW()-19,999)</f>
        <v>999</v>
      </c>
    </row>
    <row r="76" spans="1:42">
      <c r="A76" t="str">
        <f ca="1">TRIM(人物卡!AG41)</f>
        <v/>
      </c>
      <c r="B76" t="str">
        <f ca="1" t="shared" si="2"/>
        <v/>
      </c>
      <c r="C76">
        <f>IF(人物卡!AY41="",N(人物卡!AV41),N(人物卡!AY41))</f>
        <v>0</v>
      </c>
      <c r="D76">
        <f ca="1">IF(AND(A76&lt;&gt;"",COUNTIF($A$20:A76,A76)=1),COUNTIF($H$2:$H$9,A76)*20,0)</f>
        <v>0</v>
      </c>
      <c r="E76">
        <f ca="1" t="shared" si="3"/>
        <v>0</v>
      </c>
      <c r="F76">
        <f ca="1">IF(AND(A76&lt;&gt;"",COUNTIF($A$20:A76,A76)=1),IF(A76="神秘学",IF(人物卡!$DF$46="人类不应知道之事",20,IF(OR(人物卡!$DF$46="极端暴力",人物卡!$DF$46="关押或入狱",人物卡!$DF$46="艰苦经历"),10,0)),0)+IF(人物卡!$DF$46="艰苦经历",COUNTIF($H$12:$H$16,A76)*10,0),0)</f>
        <v>0</v>
      </c>
      <c r="G76">
        <f ca="1">IF(人物卡!$DF$46="艰苦经历",MIN(F76,MAX(0,90-C76-E76)),MIN(F76,MAX(0,99-C76-E76)))</f>
        <v>0</v>
      </c>
      <c r="H76" t="str">
        <f ca="1" t="shared" si="4"/>
        <v/>
      </c>
      <c r="I76" t="str">
        <f ca="1" t="shared" si="5"/>
        <v/>
      </c>
      <c r="J76" t="s">
        <v>2350</v>
      </c>
      <c r="K76" t="s">
        <v>2351</v>
      </c>
      <c r="Y76">
        <f ca="1">IF(AND($A76&lt;&gt;"",COUNTIF($A$20:A76,A76)=1,$A76&lt;&gt;"非自然知识"),ROW()-19,999)</f>
        <v>999</v>
      </c>
      <c r="Z76" t="str">
        <f ca="1">IFERROR(INDEX($A$20:$A$78,SMALL($Y$20:$Y$78,57)),"")</f>
        <v/>
      </c>
      <c r="AA76" t="str">
        <f ca="1">IFERROR(INDEX($A$20:$A$78,SMALL($AB$20:$AB$78,57)),"")</f>
        <v/>
      </c>
      <c r="AB76">
        <f ca="1">IF(AND($A76&lt;&gt;"",COUNTIF($A$20:A76,A76)=1,AND($A76&lt;&gt;"",$A76&lt;&gt;"非自然知识",COUNTIF($A$20:$A$78,$A76)&gt;0,OR($B$2="any",$B$2="fixed",AND($B$2="group",LEFT($A76,LEN($E$2)+1)=$E$2&amp;"（"),IFERROR(OR(ISNUMBER(FIND("|"&amp;$A76&amp;"|",$D$2)),AND(IFERROR(FIND("（",$A76),0)&gt;0,ISNUMBER(FIND("|"&amp;LEFT($A76,FIND("（",$A76)-1)&amp;"*|",$D$2)))),FALSE)))),ROW()-19,999)</f>
        <v>999</v>
      </c>
      <c r="AC76" t="str">
        <f ca="1">IFERROR(INDEX($A$20:$A$78,SMALL($AD$20:$AD$78,57)),"")</f>
        <v/>
      </c>
      <c r="AD76">
        <f ca="1">IF(AND($A76&lt;&gt;"",COUNTIF($A$20:A76,A76)=1,AND($A76&lt;&gt;"",$A76&lt;&gt;"非自然知识",COUNTIF($A$20:$A$78,$A76)&gt;0,OR($B$3="any",$B$3="fixed",AND($B$3="group",LEFT($A76,LEN($E$3)+1)=$E$3&amp;"（"),IFERROR(OR(ISNUMBER(FIND("|"&amp;$A76&amp;"|",$D$3)),AND(IFERROR(FIND("（",$A76),0)&gt;0,ISNUMBER(FIND("|"&amp;LEFT($A76,FIND("（",$A76)-1)&amp;"*|",$D$3)))),FALSE)))),ROW()-19,999)</f>
        <v>999</v>
      </c>
      <c r="AE76" t="str">
        <f ca="1">IFERROR(INDEX($A$20:$A$78,SMALL($AF$20:$AF$78,57)),"")</f>
        <v/>
      </c>
      <c r="AF76">
        <f ca="1">IF(AND($A76&lt;&gt;"",COUNTIF($A$20:A76,A76)=1,AND($A76&lt;&gt;"",$A76&lt;&gt;"非自然知识",COUNTIF($A$20:$A$78,$A76)&gt;0,OR($B$4="any",$B$4="fixed",AND($B$4="group",LEFT($A76,LEN($E$4)+1)=$E$4&amp;"（"),IFERROR(OR(ISNUMBER(FIND("|"&amp;$A76&amp;"|",$D$4)),AND(IFERROR(FIND("（",$A76),0)&gt;0,ISNUMBER(FIND("|"&amp;LEFT($A76,FIND("（",$A76)-1)&amp;"*|",$D$4)))),FALSE)))),ROW()-19,999)</f>
        <v>999</v>
      </c>
      <c r="AG76" t="str">
        <f ca="1">IFERROR(INDEX($A$20:$A$78,SMALL($AH$20:$AH$78,57)),"")</f>
        <v/>
      </c>
      <c r="AH76">
        <f ca="1">IF(AND($A76&lt;&gt;"",COUNTIF($A$20:A76,A76)=1,AND($A76&lt;&gt;"",$A76&lt;&gt;"非自然知识",COUNTIF($A$20:$A$78,$A76)&gt;0,OR($B$5="any",$B$5="fixed",AND($B$5="group",LEFT($A76,LEN($E$5)+1)=$E$5&amp;"（"),IFERROR(OR(ISNUMBER(FIND("|"&amp;$A76&amp;"|",$D$5)),AND(IFERROR(FIND("（",$A76),0)&gt;0,ISNUMBER(FIND("|"&amp;LEFT($A76,FIND("（",$A76)-1)&amp;"*|",$D$5)))),FALSE)))),ROW()-19,999)</f>
        <v>999</v>
      </c>
      <c r="AI76" t="str">
        <f ca="1">IFERROR(INDEX($A$20:$A$78,SMALL($AJ$20:$AJ$78,57)),"")</f>
        <v/>
      </c>
      <c r="AJ76">
        <f ca="1">IF(AND($A76&lt;&gt;"",COUNTIF($A$20:A76,A76)=1,AND($A76&lt;&gt;"",$A76&lt;&gt;"非自然知识",COUNTIF($A$20:$A$78,$A76)&gt;0,OR($B$6="any",$B$6="fixed",AND($B$6="group",LEFT($A76,LEN($E$6)+1)=$E$6&amp;"（"),IFERROR(OR(ISNUMBER(FIND("|"&amp;$A76&amp;"|",$D$6)),AND(IFERROR(FIND("（",$A76),0)&gt;0,ISNUMBER(FIND("|"&amp;LEFT($A76,FIND("（",$A76)-1)&amp;"*|",$D$6)))),FALSE)))),ROW()-19,999)</f>
        <v>999</v>
      </c>
      <c r="AK76" t="str">
        <f ca="1">IFERROR(INDEX($A$20:$A$78,SMALL($AL$20:$AL$78,57)),"")</f>
        <v/>
      </c>
      <c r="AL76">
        <f ca="1">IF(AND($A76&lt;&gt;"",COUNTIF($A$20:A76,A76)=1,AND($A76&lt;&gt;"",$A76&lt;&gt;"非自然知识",COUNTIF($A$20:$A$78,$A76)&gt;0,OR($B$7="any",$B$7="fixed",AND($B$7="group",LEFT($A76,LEN($E$7)+1)=$E$7&amp;"（"),IFERROR(OR(ISNUMBER(FIND("|"&amp;$A76&amp;"|",$D$7)),AND(IFERROR(FIND("（",$A76),0)&gt;0,ISNUMBER(FIND("|"&amp;LEFT($A76,FIND("（",$A76)-1)&amp;"*|",$D$7)))),FALSE)))),ROW()-19,999)</f>
        <v>999</v>
      </c>
      <c r="AM76" t="str">
        <f ca="1">IFERROR(INDEX($A$20:$A$78,SMALL($AN$20:$AN$78,57)),"")</f>
        <v/>
      </c>
      <c r="AN76">
        <f ca="1">IF(AND($A76&lt;&gt;"",COUNTIF($A$20:A76,A76)=1,AND($A76&lt;&gt;"",$A76&lt;&gt;"非自然知识",COUNTIF($A$20:$A$78,$A76)&gt;0,OR($B$8="any",$B$8="fixed",AND($B$8="group",LEFT($A76,LEN($E$8)+1)=$E$8&amp;"（"),IFERROR(OR(ISNUMBER(FIND("|"&amp;$A76&amp;"|",$D$8)),AND(IFERROR(FIND("（",$A76),0)&gt;0,ISNUMBER(FIND("|"&amp;LEFT($A76,FIND("（",$A76)-1)&amp;"*|",$D$8)))),FALSE)))),ROW()-19,999)</f>
        <v>999</v>
      </c>
      <c r="AO76" t="str">
        <f ca="1">IFERROR(INDEX($A$20:$A$78,SMALL($AP$20:$AP$78,57)),"")</f>
        <v/>
      </c>
      <c r="AP76">
        <f ca="1">IF(AND($A76&lt;&gt;"",COUNTIF($A$20:A76,A76)=1,AND($A76&lt;&gt;"",$A76&lt;&gt;"非自然知识",COUNTIF($A$20:$A$78,$A76)&gt;0,OR($B$9="any",$B$9="fixed",AND($B$9="group",LEFT($A76,LEN($E$9)+1)=$E$9&amp;"（"),IFERROR(OR(ISNUMBER(FIND("|"&amp;$A76&amp;"|",$D$9)),AND(IFERROR(FIND("（",$A76),0)&gt;0,ISNUMBER(FIND("|"&amp;LEFT($A76,FIND("（",$A76)-1)&amp;"*|",$D$9)))),FALSE)))),ROW()-19,999)</f>
        <v>999</v>
      </c>
    </row>
    <row r="77" spans="1:42">
      <c r="A77" t="str">
        <f ca="1">TRIM(人物卡!AG42)</f>
        <v/>
      </c>
      <c r="B77" t="str">
        <f ca="1" t="shared" si="2"/>
        <v/>
      </c>
      <c r="C77">
        <f>IF(人物卡!AY42="",N(人物卡!AV42),N(人物卡!AY42))</f>
        <v>0</v>
      </c>
      <c r="D77">
        <f ca="1">IF(AND(A77&lt;&gt;"",COUNTIF($A$20:A77,A77)=1),COUNTIF($H$2:$H$9,A77)*20,0)</f>
        <v>0</v>
      </c>
      <c r="E77">
        <f ca="1" t="shared" si="3"/>
        <v>0</v>
      </c>
      <c r="F77">
        <f ca="1">IF(AND(A77&lt;&gt;"",COUNTIF($A$20:A77,A77)=1),IF(A77="神秘学",IF(人物卡!$DF$46="人类不应知道之事",20,IF(OR(人物卡!$DF$46="极端暴力",人物卡!$DF$46="关押或入狱",人物卡!$DF$46="艰苦经历"),10,0)),0)+IF(人物卡!$DF$46="艰苦经历",COUNTIF($H$12:$H$16,A77)*10,0),0)</f>
        <v>0</v>
      </c>
      <c r="G77">
        <f ca="1">IF(人物卡!$DF$46="艰苦经历",MIN(F77,MAX(0,90-C77-E77)),MIN(F77,MAX(0,99-C77-E77)))</f>
        <v>0</v>
      </c>
      <c r="H77" t="str">
        <f ca="1" t="shared" si="4"/>
        <v/>
      </c>
      <c r="I77" t="str">
        <f ca="1" t="shared" si="5"/>
        <v/>
      </c>
      <c r="J77" t="s">
        <v>2352</v>
      </c>
      <c r="K77" t="s">
        <v>2353</v>
      </c>
      <c r="Y77">
        <f ca="1">IF(AND($A77&lt;&gt;"",COUNTIF($A$20:A77,A77)=1,$A77&lt;&gt;"非自然知识"),ROW()-19,999)</f>
        <v>999</v>
      </c>
      <c r="Z77" t="str">
        <f ca="1">IFERROR(INDEX($A$20:$A$78,SMALL($Y$20:$Y$78,58)),"")</f>
        <v/>
      </c>
      <c r="AA77" t="str">
        <f ca="1">IFERROR(INDEX($A$20:$A$78,SMALL($AB$20:$AB$78,58)),"")</f>
        <v/>
      </c>
      <c r="AB77">
        <f ca="1">IF(AND($A77&lt;&gt;"",COUNTIF($A$20:A77,A77)=1,AND($A77&lt;&gt;"",$A77&lt;&gt;"非自然知识",COUNTIF($A$20:$A$78,$A77)&gt;0,OR($B$2="any",$B$2="fixed",AND($B$2="group",LEFT($A77,LEN($E$2)+1)=$E$2&amp;"（"),IFERROR(OR(ISNUMBER(FIND("|"&amp;$A77&amp;"|",$D$2)),AND(IFERROR(FIND("（",$A77),0)&gt;0,ISNUMBER(FIND("|"&amp;LEFT($A77,FIND("（",$A77)-1)&amp;"*|",$D$2)))),FALSE)))),ROW()-19,999)</f>
        <v>999</v>
      </c>
      <c r="AC77" t="str">
        <f ca="1">IFERROR(INDEX($A$20:$A$78,SMALL($AD$20:$AD$78,58)),"")</f>
        <v/>
      </c>
      <c r="AD77">
        <f ca="1">IF(AND($A77&lt;&gt;"",COUNTIF($A$20:A77,A77)=1,AND($A77&lt;&gt;"",$A77&lt;&gt;"非自然知识",COUNTIF($A$20:$A$78,$A77)&gt;0,OR($B$3="any",$B$3="fixed",AND($B$3="group",LEFT($A77,LEN($E$3)+1)=$E$3&amp;"（"),IFERROR(OR(ISNUMBER(FIND("|"&amp;$A77&amp;"|",$D$3)),AND(IFERROR(FIND("（",$A77),0)&gt;0,ISNUMBER(FIND("|"&amp;LEFT($A77,FIND("（",$A77)-1)&amp;"*|",$D$3)))),FALSE)))),ROW()-19,999)</f>
        <v>999</v>
      </c>
      <c r="AE77" t="str">
        <f ca="1">IFERROR(INDEX($A$20:$A$78,SMALL($AF$20:$AF$78,58)),"")</f>
        <v/>
      </c>
      <c r="AF77">
        <f ca="1">IF(AND($A77&lt;&gt;"",COUNTIF($A$20:A77,A77)=1,AND($A77&lt;&gt;"",$A77&lt;&gt;"非自然知识",COUNTIF($A$20:$A$78,$A77)&gt;0,OR($B$4="any",$B$4="fixed",AND($B$4="group",LEFT($A77,LEN($E$4)+1)=$E$4&amp;"（"),IFERROR(OR(ISNUMBER(FIND("|"&amp;$A77&amp;"|",$D$4)),AND(IFERROR(FIND("（",$A77),0)&gt;0,ISNUMBER(FIND("|"&amp;LEFT($A77,FIND("（",$A77)-1)&amp;"*|",$D$4)))),FALSE)))),ROW()-19,999)</f>
        <v>999</v>
      </c>
      <c r="AG77" t="str">
        <f ca="1">IFERROR(INDEX($A$20:$A$78,SMALL($AH$20:$AH$78,58)),"")</f>
        <v/>
      </c>
      <c r="AH77">
        <f ca="1">IF(AND($A77&lt;&gt;"",COUNTIF($A$20:A77,A77)=1,AND($A77&lt;&gt;"",$A77&lt;&gt;"非自然知识",COUNTIF($A$20:$A$78,$A77)&gt;0,OR($B$5="any",$B$5="fixed",AND($B$5="group",LEFT($A77,LEN($E$5)+1)=$E$5&amp;"（"),IFERROR(OR(ISNUMBER(FIND("|"&amp;$A77&amp;"|",$D$5)),AND(IFERROR(FIND("（",$A77),0)&gt;0,ISNUMBER(FIND("|"&amp;LEFT($A77,FIND("（",$A77)-1)&amp;"*|",$D$5)))),FALSE)))),ROW()-19,999)</f>
        <v>999</v>
      </c>
      <c r="AI77" t="str">
        <f ca="1">IFERROR(INDEX($A$20:$A$78,SMALL($AJ$20:$AJ$78,58)),"")</f>
        <v/>
      </c>
      <c r="AJ77">
        <f ca="1">IF(AND($A77&lt;&gt;"",COUNTIF($A$20:A77,A77)=1,AND($A77&lt;&gt;"",$A77&lt;&gt;"非自然知识",COUNTIF($A$20:$A$78,$A77)&gt;0,OR($B$6="any",$B$6="fixed",AND($B$6="group",LEFT($A77,LEN($E$6)+1)=$E$6&amp;"（"),IFERROR(OR(ISNUMBER(FIND("|"&amp;$A77&amp;"|",$D$6)),AND(IFERROR(FIND("（",$A77),0)&gt;0,ISNUMBER(FIND("|"&amp;LEFT($A77,FIND("（",$A77)-1)&amp;"*|",$D$6)))),FALSE)))),ROW()-19,999)</f>
        <v>999</v>
      </c>
      <c r="AK77" t="str">
        <f ca="1">IFERROR(INDEX($A$20:$A$78,SMALL($AL$20:$AL$78,58)),"")</f>
        <v/>
      </c>
      <c r="AL77">
        <f ca="1">IF(AND($A77&lt;&gt;"",COUNTIF($A$20:A77,A77)=1,AND($A77&lt;&gt;"",$A77&lt;&gt;"非自然知识",COUNTIF($A$20:$A$78,$A77)&gt;0,OR($B$7="any",$B$7="fixed",AND($B$7="group",LEFT($A77,LEN($E$7)+1)=$E$7&amp;"（"),IFERROR(OR(ISNUMBER(FIND("|"&amp;$A77&amp;"|",$D$7)),AND(IFERROR(FIND("（",$A77),0)&gt;0,ISNUMBER(FIND("|"&amp;LEFT($A77,FIND("（",$A77)-1)&amp;"*|",$D$7)))),FALSE)))),ROW()-19,999)</f>
        <v>999</v>
      </c>
      <c r="AM77" t="str">
        <f ca="1">IFERROR(INDEX($A$20:$A$78,SMALL($AN$20:$AN$78,58)),"")</f>
        <v/>
      </c>
      <c r="AN77">
        <f ca="1">IF(AND($A77&lt;&gt;"",COUNTIF($A$20:A77,A77)=1,AND($A77&lt;&gt;"",$A77&lt;&gt;"非自然知识",COUNTIF($A$20:$A$78,$A77)&gt;0,OR($B$8="any",$B$8="fixed",AND($B$8="group",LEFT($A77,LEN($E$8)+1)=$E$8&amp;"（"),IFERROR(OR(ISNUMBER(FIND("|"&amp;$A77&amp;"|",$D$8)),AND(IFERROR(FIND("（",$A77),0)&gt;0,ISNUMBER(FIND("|"&amp;LEFT($A77,FIND("（",$A77)-1)&amp;"*|",$D$8)))),FALSE)))),ROW()-19,999)</f>
        <v>999</v>
      </c>
      <c r="AO77" t="str">
        <f ca="1">IFERROR(INDEX($A$20:$A$78,SMALL($AP$20:$AP$78,58)),"")</f>
        <v/>
      </c>
      <c r="AP77">
        <f ca="1">IF(AND($A77&lt;&gt;"",COUNTIF($A$20:A77,A77)=1,AND($A77&lt;&gt;"",$A77&lt;&gt;"非自然知识",COUNTIF($A$20:$A$78,$A77)&gt;0,OR($B$9="any",$B$9="fixed",AND($B$9="group",LEFT($A77,LEN($E$9)+1)=$E$9&amp;"（"),IFERROR(OR(ISNUMBER(FIND("|"&amp;$A77&amp;"|",$D$9)),AND(IFERROR(FIND("（",$A77),0)&gt;0,ISNUMBER(FIND("|"&amp;LEFT($A77,FIND("（",$A77)-1)&amp;"*|",$D$9)))),FALSE)))),ROW()-19,999)</f>
        <v>999</v>
      </c>
    </row>
    <row r="78" spans="1:42">
      <c r="A78" t="str">
        <f ca="1">TRIM(人物卡!AG43)</f>
        <v/>
      </c>
      <c r="B78" t="str">
        <f ca="1" t="shared" si="2"/>
        <v/>
      </c>
      <c r="C78">
        <f>IF(人物卡!AY43="",N(人物卡!AV43),N(人物卡!AY43))</f>
        <v>0</v>
      </c>
      <c r="D78">
        <f ca="1">IF(AND(A78&lt;&gt;"",COUNTIF($A$20:A78,A78)=1),COUNTIF($H$2:$H$9,A78)*20,0)</f>
        <v>0</v>
      </c>
      <c r="E78">
        <f ca="1" t="shared" si="3"/>
        <v>0</v>
      </c>
      <c r="F78">
        <f ca="1">IF(AND(A78&lt;&gt;"",COUNTIF($A$20:A78,A78)=1),IF(A78="神秘学",IF(人物卡!$DF$46="人类不应知道之事",20,IF(OR(人物卡!$DF$46="极端暴力",人物卡!$DF$46="关押或入狱",人物卡!$DF$46="艰苦经历"),10,0)),0)+IF(人物卡!$DF$46="艰苦经历",COUNTIF($H$12:$H$16,A78)*10,0),0)</f>
        <v>0</v>
      </c>
      <c r="G78">
        <f ca="1">IF(人物卡!$DF$46="艰苦经历",MIN(F78,MAX(0,90-C78-E78)),MIN(F78,MAX(0,99-C78-E78)))</f>
        <v>0</v>
      </c>
      <c r="H78" t="str">
        <f ca="1" t="shared" si="4"/>
        <v/>
      </c>
      <c r="I78" t="str">
        <f ca="1" t="shared" si="5"/>
        <v/>
      </c>
      <c r="J78" t="s">
        <v>2354</v>
      </c>
      <c r="K78" t="s">
        <v>2355</v>
      </c>
      <c r="Y78">
        <f ca="1">IF(AND($A78&lt;&gt;"",COUNTIF($A$20:A78,A78)=1,$A78&lt;&gt;"非自然知识"),ROW()-19,999)</f>
        <v>999</v>
      </c>
      <c r="Z78" t="str">
        <f ca="1">IFERROR(INDEX($A$20:$A$78,SMALL($Y$20:$Y$78,59)),"")</f>
        <v/>
      </c>
      <c r="AA78" t="str">
        <f ca="1">IFERROR(INDEX($A$20:$A$78,SMALL($AB$20:$AB$78,59)),"")</f>
        <v/>
      </c>
      <c r="AB78">
        <f ca="1">IF(AND($A78&lt;&gt;"",COUNTIF($A$20:A78,A78)=1,AND($A78&lt;&gt;"",$A78&lt;&gt;"非自然知识",COUNTIF($A$20:$A$78,$A78)&gt;0,OR($B$2="any",$B$2="fixed",AND($B$2="group",LEFT($A78,LEN($E$2)+1)=$E$2&amp;"（"),IFERROR(OR(ISNUMBER(FIND("|"&amp;$A78&amp;"|",$D$2)),AND(IFERROR(FIND("（",$A78),0)&gt;0,ISNUMBER(FIND("|"&amp;LEFT($A78,FIND("（",$A78)-1)&amp;"*|",$D$2)))),FALSE)))),ROW()-19,999)</f>
        <v>999</v>
      </c>
      <c r="AC78" t="str">
        <f ca="1">IFERROR(INDEX($A$20:$A$78,SMALL($AD$20:$AD$78,59)),"")</f>
        <v/>
      </c>
      <c r="AD78">
        <f ca="1">IF(AND($A78&lt;&gt;"",COUNTIF($A$20:A78,A78)=1,AND($A78&lt;&gt;"",$A78&lt;&gt;"非自然知识",COUNTIF($A$20:$A$78,$A78)&gt;0,OR($B$3="any",$B$3="fixed",AND($B$3="group",LEFT($A78,LEN($E$3)+1)=$E$3&amp;"（"),IFERROR(OR(ISNUMBER(FIND("|"&amp;$A78&amp;"|",$D$3)),AND(IFERROR(FIND("（",$A78),0)&gt;0,ISNUMBER(FIND("|"&amp;LEFT($A78,FIND("（",$A78)-1)&amp;"*|",$D$3)))),FALSE)))),ROW()-19,999)</f>
        <v>999</v>
      </c>
      <c r="AE78" t="str">
        <f ca="1">IFERROR(INDEX($A$20:$A$78,SMALL($AF$20:$AF$78,59)),"")</f>
        <v/>
      </c>
      <c r="AF78">
        <f ca="1">IF(AND($A78&lt;&gt;"",COUNTIF($A$20:A78,A78)=1,AND($A78&lt;&gt;"",$A78&lt;&gt;"非自然知识",COUNTIF($A$20:$A$78,$A78)&gt;0,OR($B$4="any",$B$4="fixed",AND($B$4="group",LEFT($A78,LEN($E$4)+1)=$E$4&amp;"（"),IFERROR(OR(ISNUMBER(FIND("|"&amp;$A78&amp;"|",$D$4)),AND(IFERROR(FIND("（",$A78),0)&gt;0,ISNUMBER(FIND("|"&amp;LEFT($A78,FIND("（",$A78)-1)&amp;"*|",$D$4)))),FALSE)))),ROW()-19,999)</f>
        <v>999</v>
      </c>
      <c r="AG78" t="str">
        <f ca="1">IFERROR(INDEX($A$20:$A$78,SMALL($AH$20:$AH$78,59)),"")</f>
        <v/>
      </c>
      <c r="AH78">
        <f ca="1">IF(AND($A78&lt;&gt;"",COUNTIF($A$20:A78,A78)=1,AND($A78&lt;&gt;"",$A78&lt;&gt;"非自然知识",COUNTIF($A$20:$A$78,$A78)&gt;0,OR($B$5="any",$B$5="fixed",AND($B$5="group",LEFT($A78,LEN($E$5)+1)=$E$5&amp;"（"),IFERROR(OR(ISNUMBER(FIND("|"&amp;$A78&amp;"|",$D$5)),AND(IFERROR(FIND("（",$A78),0)&gt;0,ISNUMBER(FIND("|"&amp;LEFT($A78,FIND("（",$A78)-1)&amp;"*|",$D$5)))),FALSE)))),ROW()-19,999)</f>
        <v>999</v>
      </c>
      <c r="AI78" t="str">
        <f ca="1">IFERROR(INDEX($A$20:$A$78,SMALL($AJ$20:$AJ$78,59)),"")</f>
        <v/>
      </c>
      <c r="AJ78">
        <f ca="1">IF(AND($A78&lt;&gt;"",COUNTIF($A$20:A78,A78)=1,AND($A78&lt;&gt;"",$A78&lt;&gt;"非自然知识",COUNTIF($A$20:$A$78,$A78)&gt;0,OR($B$6="any",$B$6="fixed",AND($B$6="group",LEFT($A78,LEN($E$6)+1)=$E$6&amp;"（"),IFERROR(OR(ISNUMBER(FIND("|"&amp;$A78&amp;"|",$D$6)),AND(IFERROR(FIND("（",$A78),0)&gt;0,ISNUMBER(FIND("|"&amp;LEFT($A78,FIND("（",$A78)-1)&amp;"*|",$D$6)))),FALSE)))),ROW()-19,999)</f>
        <v>999</v>
      </c>
      <c r="AK78" t="str">
        <f ca="1">IFERROR(INDEX($A$20:$A$78,SMALL($AL$20:$AL$78,59)),"")</f>
        <v/>
      </c>
      <c r="AL78">
        <f ca="1">IF(AND($A78&lt;&gt;"",COUNTIF($A$20:A78,A78)=1,AND($A78&lt;&gt;"",$A78&lt;&gt;"非自然知识",COUNTIF($A$20:$A$78,$A78)&gt;0,OR($B$7="any",$B$7="fixed",AND($B$7="group",LEFT($A78,LEN($E$7)+1)=$E$7&amp;"（"),IFERROR(OR(ISNUMBER(FIND("|"&amp;$A78&amp;"|",$D$7)),AND(IFERROR(FIND("（",$A78),0)&gt;0,ISNUMBER(FIND("|"&amp;LEFT($A78,FIND("（",$A78)-1)&amp;"*|",$D$7)))),FALSE)))),ROW()-19,999)</f>
        <v>999</v>
      </c>
      <c r="AM78" t="str">
        <f ca="1">IFERROR(INDEX($A$20:$A$78,SMALL($AN$20:$AN$78,59)),"")</f>
        <v/>
      </c>
      <c r="AN78">
        <f ca="1">IF(AND($A78&lt;&gt;"",COUNTIF($A$20:A78,A78)=1,AND($A78&lt;&gt;"",$A78&lt;&gt;"非自然知识",COUNTIF($A$20:$A$78,$A78)&gt;0,OR($B$8="any",$B$8="fixed",AND($B$8="group",LEFT($A78,LEN($E$8)+1)=$E$8&amp;"（"),IFERROR(OR(ISNUMBER(FIND("|"&amp;$A78&amp;"|",$D$8)),AND(IFERROR(FIND("（",$A78),0)&gt;0,ISNUMBER(FIND("|"&amp;LEFT($A78,FIND("（",$A78)-1)&amp;"*|",$D$8)))),FALSE)))),ROW()-19,999)</f>
        <v>999</v>
      </c>
      <c r="AO78" t="str">
        <f ca="1">IFERROR(INDEX($A$20:$A$78,SMALL($AP$20:$AP$78,59)),"")</f>
        <v/>
      </c>
      <c r="AP78">
        <f ca="1">IF(AND($A78&lt;&gt;"",COUNTIF($A$20:A78,A78)=1,AND($A78&lt;&gt;"",$A78&lt;&gt;"非自然知识",COUNTIF($A$20:$A$78,$A78)&gt;0,OR($B$9="any",$B$9="fixed",AND($B$9="group",LEFT($A78,LEN($E$9)+1)=$E$9&amp;"（"),IFERROR(OR(ISNUMBER(FIND("|"&amp;$A78&amp;"|",$D$9)),AND(IFERROR(FIND("（",$A78),0)&gt;0,ISNUMBER(FIND("|"&amp;LEFT($A78,FIND("（",$A78)-1)&amp;"*|",$D$9)))),FALSE)))),ROW()-19,999)</f>
        <v>999</v>
      </c>
    </row>
    <row r="100" spans="1:7">
      <c r="A100" t="s">
        <v>501</v>
      </c>
      <c r="B100">
        <v>1</v>
      </c>
      <c r="C100" t="s">
        <v>2356</v>
      </c>
      <c r="D100" t="s">
        <v>759</v>
      </c>
      <c r="E100" t="s">
        <v>125</v>
      </c>
      <c r="F100" t="s">
        <v>125</v>
      </c>
      <c r="G100" t="s">
        <v>125</v>
      </c>
    </row>
    <row r="101" spans="1:7">
      <c r="A101" t="s">
        <v>501</v>
      </c>
      <c r="B101">
        <v>2</v>
      </c>
      <c r="C101" t="s">
        <v>2357</v>
      </c>
      <c r="D101" t="s">
        <v>759</v>
      </c>
      <c r="E101" t="s">
        <v>125</v>
      </c>
      <c r="F101" t="s">
        <v>125</v>
      </c>
      <c r="G101" t="s">
        <v>125</v>
      </c>
    </row>
    <row r="102" spans="1:7">
      <c r="A102" t="s">
        <v>501</v>
      </c>
      <c r="B102">
        <v>3</v>
      </c>
      <c r="C102" t="s">
        <v>2358</v>
      </c>
      <c r="D102" t="s">
        <v>759</v>
      </c>
      <c r="E102" t="s">
        <v>125</v>
      </c>
      <c r="F102" t="s">
        <v>125</v>
      </c>
      <c r="G102" t="s">
        <v>125</v>
      </c>
    </row>
    <row r="103" spans="1:7">
      <c r="A103" t="s">
        <v>501</v>
      </c>
      <c r="B103">
        <v>4</v>
      </c>
      <c r="C103" t="s">
        <v>2359</v>
      </c>
      <c r="D103" t="s">
        <v>759</v>
      </c>
      <c r="E103" t="s">
        <v>125</v>
      </c>
      <c r="F103" t="s">
        <v>125</v>
      </c>
      <c r="G103" t="s">
        <v>125</v>
      </c>
    </row>
    <row r="104" spans="1:7">
      <c r="A104" t="s">
        <v>501</v>
      </c>
      <c r="B104">
        <v>5</v>
      </c>
      <c r="C104" t="s">
        <v>2360</v>
      </c>
      <c r="D104" t="s">
        <v>759</v>
      </c>
      <c r="E104" t="s">
        <v>125</v>
      </c>
      <c r="F104" t="s">
        <v>125</v>
      </c>
      <c r="G104" t="s">
        <v>125</v>
      </c>
    </row>
    <row r="105" spans="1:7">
      <c r="A105" t="s">
        <v>501</v>
      </c>
      <c r="B105">
        <v>6</v>
      </c>
      <c r="C105" t="s">
        <v>2361</v>
      </c>
      <c r="D105" t="s">
        <v>759</v>
      </c>
      <c r="E105" t="s">
        <v>125</v>
      </c>
      <c r="F105" t="s">
        <v>125</v>
      </c>
      <c r="G105" t="s">
        <v>125</v>
      </c>
    </row>
    <row r="106" spans="1:7">
      <c r="A106" t="s">
        <v>501</v>
      </c>
      <c r="B106">
        <v>7</v>
      </c>
      <c r="C106" t="s">
        <v>2362</v>
      </c>
      <c r="D106" t="s">
        <v>759</v>
      </c>
      <c r="E106" t="s">
        <v>125</v>
      </c>
      <c r="F106" t="s">
        <v>125</v>
      </c>
      <c r="G106" t="s">
        <v>125</v>
      </c>
    </row>
    <row r="107" spans="1:7">
      <c r="A107" t="s">
        <v>501</v>
      </c>
      <c r="B107">
        <v>8</v>
      </c>
      <c r="C107" t="s">
        <v>2363</v>
      </c>
      <c r="D107" t="s">
        <v>759</v>
      </c>
      <c r="E107" t="s">
        <v>125</v>
      </c>
      <c r="F107" t="s">
        <v>125</v>
      </c>
      <c r="G107" t="s">
        <v>125</v>
      </c>
    </row>
    <row r="108" spans="1:7">
      <c r="A108" t="s">
        <v>502</v>
      </c>
      <c r="B108">
        <v>1</v>
      </c>
      <c r="C108" t="s">
        <v>64</v>
      </c>
      <c r="D108" t="s">
        <v>723</v>
      </c>
      <c r="E108" t="s">
        <v>64</v>
      </c>
      <c r="F108" t="s">
        <v>125</v>
      </c>
      <c r="G108" t="s">
        <v>125</v>
      </c>
    </row>
    <row r="109" spans="1:7">
      <c r="A109" t="s">
        <v>502</v>
      </c>
      <c r="B109">
        <v>2</v>
      </c>
      <c r="C109" t="s">
        <v>503</v>
      </c>
      <c r="D109" t="s">
        <v>2364</v>
      </c>
      <c r="E109" t="s">
        <v>125</v>
      </c>
      <c r="F109" t="s">
        <v>2365</v>
      </c>
      <c r="G109" t="s">
        <v>543</v>
      </c>
    </row>
    <row r="110" spans="1:7">
      <c r="A110" t="s">
        <v>502</v>
      </c>
      <c r="B110">
        <v>3</v>
      </c>
      <c r="C110" t="s">
        <v>95</v>
      </c>
      <c r="D110" t="s">
        <v>723</v>
      </c>
      <c r="E110" t="s">
        <v>95</v>
      </c>
      <c r="F110" t="s">
        <v>125</v>
      </c>
      <c r="G110" t="s">
        <v>125</v>
      </c>
    </row>
    <row r="111" spans="1:7">
      <c r="A111" t="s">
        <v>502</v>
      </c>
      <c r="B111">
        <v>4</v>
      </c>
      <c r="C111" t="s">
        <v>77</v>
      </c>
      <c r="D111" t="s">
        <v>723</v>
      </c>
      <c r="E111" t="s">
        <v>77</v>
      </c>
      <c r="F111" t="s">
        <v>125</v>
      </c>
      <c r="G111" t="s">
        <v>125</v>
      </c>
    </row>
    <row r="112" spans="1:7">
      <c r="A112" t="s">
        <v>502</v>
      </c>
      <c r="B112">
        <v>5</v>
      </c>
      <c r="C112" t="s">
        <v>504</v>
      </c>
      <c r="D112" t="s">
        <v>2364</v>
      </c>
      <c r="E112" t="s">
        <v>125</v>
      </c>
      <c r="F112" t="s">
        <v>2366</v>
      </c>
      <c r="G112" t="s">
        <v>542</v>
      </c>
    </row>
    <row r="113" spans="1:7">
      <c r="A113" t="s">
        <v>502</v>
      </c>
      <c r="B113">
        <v>6</v>
      </c>
      <c r="C113" t="s">
        <v>504</v>
      </c>
      <c r="D113" t="s">
        <v>2364</v>
      </c>
      <c r="E113" t="s">
        <v>125</v>
      </c>
      <c r="F113" t="s">
        <v>2366</v>
      </c>
      <c r="G113" t="s">
        <v>542</v>
      </c>
    </row>
    <row r="114" spans="1:7">
      <c r="A114" t="s">
        <v>502</v>
      </c>
      <c r="B114">
        <v>7</v>
      </c>
      <c r="C114" t="s">
        <v>504</v>
      </c>
      <c r="D114" t="s">
        <v>2364</v>
      </c>
      <c r="E114" t="s">
        <v>125</v>
      </c>
      <c r="F114" t="s">
        <v>2366</v>
      </c>
      <c r="G114" t="s">
        <v>542</v>
      </c>
    </row>
    <row r="115" spans="1:7">
      <c r="A115" t="s">
        <v>502</v>
      </c>
      <c r="B115">
        <v>8</v>
      </c>
      <c r="C115" t="s">
        <v>114</v>
      </c>
      <c r="D115" t="s">
        <v>723</v>
      </c>
      <c r="E115" t="s">
        <v>114</v>
      </c>
      <c r="F115" t="s">
        <v>125</v>
      </c>
      <c r="G115" t="s">
        <v>125</v>
      </c>
    </row>
    <row r="116" spans="1:7">
      <c r="A116" t="s">
        <v>118</v>
      </c>
      <c r="B116">
        <v>1</v>
      </c>
      <c r="C116" t="s">
        <v>64</v>
      </c>
      <c r="D116" t="s">
        <v>723</v>
      </c>
      <c r="E116" t="s">
        <v>64</v>
      </c>
      <c r="F116" t="s">
        <v>125</v>
      </c>
      <c r="G116" t="s">
        <v>125</v>
      </c>
    </row>
    <row r="117" spans="1:7">
      <c r="A117" t="s">
        <v>118</v>
      </c>
      <c r="B117">
        <v>2</v>
      </c>
      <c r="C117" t="s">
        <v>76</v>
      </c>
      <c r="D117" t="s">
        <v>723</v>
      </c>
      <c r="E117" t="s">
        <v>76</v>
      </c>
      <c r="F117" t="s">
        <v>125</v>
      </c>
      <c r="G117" t="s">
        <v>125</v>
      </c>
    </row>
    <row r="118" spans="1:7">
      <c r="A118" t="s">
        <v>118</v>
      </c>
      <c r="B118">
        <v>3</v>
      </c>
      <c r="C118" t="s">
        <v>96</v>
      </c>
      <c r="D118" t="s">
        <v>723</v>
      </c>
      <c r="E118" t="s">
        <v>96</v>
      </c>
      <c r="F118" t="s">
        <v>125</v>
      </c>
      <c r="G118" t="s">
        <v>125</v>
      </c>
    </row>
    <row r="119" spans="1:7">
      <c r="A119" t="s">
        <v>118</v>
      </c>
      <c r="B119">
        <v>4</v>
      </c>
      <c r="C119" t="s">
        <v>102</v>
      </c>
      <c r="D119" t="s">
        <v>723</v>
      </c>
      <c r="E119" t="s">
        <v>102</v>
      </c>
      <c r="F119" t="s">
        <v>125</v>
      </c>
      <c r="G119" t="s">
        <v>125</v>
      </c>
    </row>
    <row r="120" spans="1:7">
      <c r="A120" t="s">
        <v>118</v>
      </c>
      <c r="B120">
        <v>5</v>
      </c>
      <c r="C120" t="s">
        <v>114</v>
      </c>
      <c r="D120" t="s">
        <v>723</v>
      </c>
      <c r="E120" t="s">
        <v>114</v>
      </c>
      <c r="F120" t="s">
        <v>125</v>
      </c>
      <c r="G120" t="s">
        <v>125</v>
      </c>
    </row>
    <row r="121" spans="1:7">
      <c r="A121" t="s">
        <v>118</v>
      </c>
      <c r="B121">
        <v>6</v>
      </c>
      <c r="C121" t="s">
        <v>77</v>
      </c>
      <c r="D121" t="s">
        <v>723</v>
      </c>
      <c r="E121" t="s">
        <v>77</v>
      </c>
      <c r="F121" t="s">
        <v>125</v>
      </c>
      <c r="G121" t="s">
        <v>125</v>
      </c>
    </row>
    <row r="122" spans="1:7">
      <c r="A122" t="s">
        <v>118</v>
      </c>
      <c r="B122">
        <v>7</v>
      </c>
      <c r="C122" t="s">
        <v>106</v>
      </c>
      <c r="D122" t="s">
        <v>723</v>
      </c>
      <c r="E122" t="s">
        <v>106</v>
      </c>
      <c r="F122" t="s">
        <v>125</v>
      </c>
      <c r="G122" t="s">
        <v>125</v>
      </c>
    </row>
    <row r="123" spans="1:7">
      <c r="A123" t="s">
        <v>118</v>
      </c>
      <c r="B123">
        <v>8</v>
      </c>
      <c r="C123" t="s">
        <v>107</v>
      </c>
      <c r="D123" t="s">
        <v>723</v>
      </c>
      <c r="E123" t="s">
        <v>107</v>
      </c>
      <c r="F123" t="s">
        <v>125</v>
      </c>
      <c r="G123" t="s">
        <v>125</v>
      </c>
    </row>
    <row r="124" spans="1:7">
      <c r="A124" t="s">
        <v>505</v>
      </c>
      <c r="B124">
        <v>1</v>
      </c>
      <c r="C124" t="s">
        <v>504</v>
      </c>
      <c r="D124" t="s">
        <v>2364</v>
      </c>
      <c r="E124" t="s">
        <v>125</v>
      </c>
      <c r="F124" t="s">
        <v>2366</v>
      </c>
      <c r="G124" t="s">
        <v>542</v>
      </c>
    </row>
    <row r="125" spans="1:7">
      <c r="A125" t="s">
        <v>505</v>
      </c>
      <c r="B125">
        <v>2</v>
      </c>
      <c r="C125" t="s">
        <v>66</v>
      </c>
      <c r="D125" t="s">
        <v>723</v>
      </c>
      <c r="E125" t="s">
        <v>66</v>
      </c>
      <c r="F125" t="s">
        <v>125</v>
      </c>
      <c r="G125" t="s">
        <v>125</v>
      </c>
    </row>
    <row r="126" spans="1:7">
      <c r="A126" t="s">
        <v>505</v>
      </c>
      <c r="B126">
        <v>3</v>
      </c>
      <c r="C126" t="s">
        <v>82</v>
      </c>
      <c r="D126" t="s">
        <v>723</v>
      </c>
      <c r="E126" t="s">
        <v>82</v>
      </c>
      <c r="F126" t="s">
        <v>125</v>
      </c>
      <c r="G126" t="s">
        <v>125</v>
      </c>
    </row>
    <row r="127" spans="1:7">
      <c r="A127" t="s">
        <v>505</v>
      </c>
      <c r="B127">
        <v>4</v>
      </c>
      <c r="C127" t="s">
        <v>113</v>
      </c>
      <c r="D127" t="s">
        <v>723</v>
      </c>
      <c r="E127" t="s">
        <v>113</v>
      </c>
      <c r="F127" t="s">
        <v>125</v>
      </c>
      <c r="G127" t="s">
        <v>125</v>
      </c>
    </row>
    <row r="128" spans="1:7">
      <c r="A128" t="s">
        <v>505</v>
      </c>
      <c r="B128">
        <v>5</v>
      </c>
      <c r="C128" t="s">
        <v>60</v>
      </c>
      <c r="D128" t="s">
        <v>723</v>
      </c>
      <c r="E128" t="s">
        <v>60</v>
      </c>
      <c r="F128" t="s">
        <v>125</v>
      </c>
      <c r="G128" t="s">
        <v>125</v>
      </c>
    </row>
    <row r="129" spans="1:7">
      <c r="A129" t="s">
        <v>505</v>
      </c>
      <c r="B129">
        <v>6</v>
      </c>
      <c r="C129" t="s">
        <v>75</v>
      </c>
      <c r="D129" t="s">
        <v>723</v>
      </c>
      <c r="E129" t="s">
        <v>75</v>
      </c>
      <c r="F129" t="s">
        <v>125</v>
      </c>
      <c r="G129" t="s">
        <v>125</v>
      </c>
    </row>
    <row r="130" spans="1:7">
      <c r="A130" t="s">
        <v>505</v>
      </c>
      <c r="B130">
        <v>7</v>
      </c>
      <c r="C130" t="s">
        <v>77</v>
      </c>
      <c r="D130" t="s">
        <v>723</v>
      </c>
      <c r="E130" t="s">
        <v>77</v>
      </c>
      <c r="F130" t="s">
        <v>125</v>
      </c>
      <c r="G130" t="s">
        <v>125</v>
      </c>
    </row>
    <row r="131" spans="1:7">
      <c r="A131" t="s">
        <v>505</v>
      </c>
      <c r="B131">
        <v>8</v>
      </c>
      <c r="C131" t="s">
        <v>114</v>
      </c>
      <c r="D131" t="s">
        <v>723</v>
      </c>
      <c r="E131" t="s">
        <v>114</v>
      </c>
      <c r="F131" t="s">
        <v>125</v>
      </c>
      <c r="G131" t="s">
        <v>125</v>
      </c>
    </row>
    <row r="132" spans="1:7">
      <c r="A132" t="s">
        <v>506</v>
      </c>
      <c r="B132">
        <v>1</v>
      </c>
      <c r="C132" t="s">
        <v>64</v>
      </c>
      <c r="D132" t="s">
        <v>723</v>
      </c>
      <c r="E132" t="s">
        <v>64</v>
      </c>
      <c r="F132" t="s">
        <v>125</v>
      </c>
      <c r="G132" t="s">
        <v>125</v>
      </c>
    </row>
    <row r="133" spans="1:7">
      <c r="A133" t="s">
        <v>506</v>
      </c>
      <c r="B133">
        <v>2</v>
      </c>
      <c r="C133" t="s">
        <v>76</v>
      </c>
      <c r="D133" t="s">
        <v>723</v>
      </c>
      <c r="E133" t="s">
        <v>76</v>
      </c>
      <c r="F133" t="s">
        <v>125</v>
      </c>
      <c r="G133" t="s">
        <v>125</v>
      </c>
    </row>
    <row r="134" spans="1:7">
      <c r="A134" t="s">
        <v>506</v>
      </c>
      <c r="B134">
        <v>3</v>
      </c>
      <c r="C134" t="s">
        <v>507</v>
      </c>
      <c r="D134" t="s">
        <v>723</v>
      </c>
      <c r="E134" t="s">
        <v>507</v>
      </c>
      <c r="F134" t="s">
        <v>125</v>
      </c>
      <c r="G134" t="s">
        <v>543</v>
      </c>
    </row>
    <row r="135" spans="1:7">
      <c r="A135" t="s">
        <v>506</v>
      </c>
      <c r="B135">
        <v>4</v>
      </c>
      <c r="C135" t="s">
        <v>508</v>
      </c>
      <c r="D135" t="s">
        <v>723</v>
      </c>
      <c r="E135" t="s">
        <v>508</v>
      </c>
      <c r="F135" t="s">
        <v>125</v>
      </c>
      <c r="G135" t="s">
        <v>543</v>
      </c>
    </row>
    <row r="136" spans="1:7">
      <c r="A136" t="s">
        <v>506</v>
      </c>
      <c r="B136">
        <v>5</v>
      </c>
      <c r="C136" t="s">
        <v>92</v>
      </c>
      <c r="D136" t="s">
        <v>723</v>
      </c>
      <c r="E136" t="s">
        <v>92</v>
      </c>
      <c r="F136" t="s">
        <v>125</v>
      </c>
      <c r="G136" t="s">
        <v>125</v>
      </c>
    </row>
    <row r="137" spans="1:7">
      <c r="A137" t="s">
        <v>506</v>
      </c>
      <c r="B137">
        <v>6</v>
      </c>
      <c r="C137" t="s">
        <v>95</v>
      </c>
      <c r="D137" t="s">
        <v>723</v>
      </c>
      <c r="E137" t="s">
        <v>95</v>
      </c>
      <c r="F137" t="s">
        <v>125</v>
      </c>
      <c r="G137" t="s">
        <v>125</v>
      </c>
    </row>
    <row r="138" spans="1:7">
      <c r="A138" t="s">
        <v>506</v>
      </c>
      <c r="B138">
        <v>7</v>
      </c>
      <c r="C138" t="s">
        <v>97</v>
      </c>
      <c r="D138" t="s">
        <v>723</v>
      </c>
      <c r="E138" t="s">
        <v>97</v>
      </c>
      <c r="F138" t="s">
        <v>125</v>
      </c>
      <c r="G138" t="s">
        <v>125</v>
      </c>
    </row>
    <row r="139" spans="1:7">
      <c r="A139" t="s">
        <v>506</v>
      </c>
      <c r="B139">
        <v>8</v>
      </c>
      <c r="C139" t="s">
        <v>101</v>
      </c>
      <c r="D139" t="s">
        <v>723</v>
      </c>
      <c r="E139" t="s">
        <v>101</v>
      </c>
      <c r="F139" t="s">
        <v>125</v>
      </c>
      <c r="G139" t="s">
        <v>125</v>
      </c>
    </row>
    <row r="140" spans="1:7">
      <c r="A140" t="s">
        <v>509</v>
      </c>
      <c r="B140">
        <v>1</v>
      </c>
      <c r="C140" t="s">
        <v>64</v>
      </c>
      <c r="D140" t="s">
        <v>723</v>
      </c>
      <c r="E140" t="s">
        <v>64</v>
      </c>
      <c r="F140" t="s">
        <v>125</v>
      </c>
      <c r="G140" t="s">
        <v>125</v>
      </c>
    </row>
    <row r="141" spans="1:7">
      <c r="A141" t="s">
        <v>509</v>
      </c>
      <c r="B141">
        <v>2</v>
      </c>
      <c r="C141" t="s">
        <v>503</v>
      </c>
      <c r="D141" t="s">
        <v>2364</v>
      </c>
      <c r="E141" t="s">
        <v>125</v>
      </c>
      <c r="F141" t="s">
        <v>2365</v>
      </c>
      <c r="G141" t="s">
        <v>543</v>
      </c>
    </row>
    <row r="142" spans="1:7">
      <c r="A142" t="s">
        <v>509</v>
      </c>
      <c r="B142">
        <v>3</v>
      </c>
      <c r="C142" t="s">
        <v>503</v>
      </c>
      <c r="D142" t="s">
        <v>2364</v>
      </c>
      <c r="E142" t="s">
        <v>125</v>
      </c>
      <c r="F142" t="s">
        <v>2365</v>
      </c>
      <c r="G142" t="s">
        <v>543</v>
      </c>
    </row>
    <row r="143" spans="1:7">
      <c r="A143" t="s">
        <v>509</v>
      </c>
      <c r="B143">
        <v>4</v>
      </c>
      <c r="C143" t="s">
        <v>98</v>
      </c>
      <c r="D143" t="s">
        <v>723</v>
      </c>
      <c r="E143" t="s">
        <v>98</v>
      </c>
      <c r="F143" t="s">
        <v>125</v>
      </c>
      <c r="G143" t="s">
        <v>125</v>
      </c>
    </row>
    <row r="144" spans="1:7">
      <c r="A144" t="s">
        <v>509</v>
      </c>
      <c r="B144">
        <v>5</v>
      </c>
      <c r="C144" t="s">
        <v>102</v>
      </c>
      <c r="D144" t="s">
        <v>723</v>
      </c>
      <c r="E144" t="s">
        <v>102</v>
      </c>
      <c r="F144" t="s">
        <v>125</v>
      </c>
      <c r="G144" t="s">
        <v>125</v>
      </c>
    </row>
    <row r="145" spans="1:7">
      <c r="A145" t="s">
        <v>509</v>
      </c>
      <c r="B145">
        <v>6</v>
      </c>
      <c r="C145" t="s">
        <v>111</v>
      </c>
      <c r="D145" t="s">
        <v>723</v>
      </c>
      <c r="E145" t="s">
        <v>111</v>
      </c>
      <c r="F145" t="s">
        <v>125</v>
      </c>
      <c r="G145" t="s">
        <v>125</v>
      </c>
    </row>
    <row r="146" spans="1:7">
      <c r="A146" t="s">
        <v>509</v>
      </c>
      <c r="B146">
        <v>7</v>
      </c>
      <c r="C146" t="s">
        <v>73</v>
      </c>
      <c r="D146" t="s">
        <v>723</v>
      </c>
      <c r="E146" t="s">
        <v>73</v>
      </c>
      <c r="F146" t="s">
        <v>125</v>
      </c>
      <c r="G146" t="s">
        <v>125</v>
      </c>
    </row>
    <row r="147" spans="1:7">
      <c r="A147" t="s">
        <v>509</v>
      </c>
      <c r="B147">
        <v>8</v>
      </c>
      <c r="C147" t="s">
        <v>97</v>
      </c>
      <c r="D147" t="s">
        <v>723</v>
      </c>
      <c r="E147" t="s">
        <v>97</v>
      </c>
      <c r="F147" t="s">
        <v>125</v>
      </c>
      <c r="G147" t="s">
        <v>125</v>
      </c>
    </row>
    <row r="148" spans="1:7">
      <c r="A148" t="s">
        <v>510</v>
      </c>
      <c r="B148">
        <v>1</v>
      </c>
      <c r="C148" t="s">
        <v>59</v>
      </c>
      <c r="D148" t="s">
        <v>723</v>
      </c>
      <c r="E148" t="s">
        <v>59</v>
      </c>
      <c r="F148" t="s">
        <v>125</v>
      </c>
      <c r="G148" t="s">
        <v>125</v>
      </c>
    </row>
    <row r="149" spans="1:7">
      <c r="A149" t="s">
        <v>510</v>
      </c>
      <c r="B149">
        <v>2</v>
      </c>
      <c r="C149" t="s">
        <v>82</v>
      </c>
      <c r="D149" t="s">
        <v>723</v>
      </c>
      <c r="E149" t="s">
        <v>82</v>
      </c>
      <c r="F149" t="s">
        <v>125</v>
      </c>
      <c r="G149" t="s">
        <v>125</v>
      </c>
    </row>
    <row r="150" spans="1:7">
      <c r="A150" t="s">
        <v>510</v>
      </c>
      <c r="B150">
        <v>3</v>
      </c>
      <c r="C150" t="s">
        <v>86</v>
      </c>
      <c r="D150" t="s">
        <v>723</v>
      </c>
      <c r="E150" t="s">
        <v>86</v>
      </c>
      <c r="F150" t="s">
        <v>125</v>
      </c>
      <c r="G150" t="s">
        <v>125</v>
      </c>
    </row>
    <row r="151" spans="1:7">
      <c r="A151" t="s">
        <v>510</v>
      </c>
      <c r="B151">
        <v>4</v>
      </c>
      <c r="C151" t="s">
        <v>92</v>
      </c>
      <c r="D151" t="s">
        <v>723</v>
      </c>
      <c r="E151" t="s">
        <v>92</v>
      </c>
      <c r="F151" t="s">
        <v>125</v>
      </c>
      <c r="G151" t="s">
        <v>125</v>
      </c>
    </row>
    <row r="152" spans="1:7">
      <c r="A152" t="s">
        <v>510</v>
      </c>
      <c r="B152">
        <v>5</v>
      </c>
      <c r="C152" t="s">
        <v>114</v>
      </c>
      <c r="D152" t="s">
        <v>723</v>
      </c>
      <c r="E152" t="s">
        <v>114</v>
      </c>
      <c r="F152" t="s">
        <v>125</v>
      </c>
      <c r="G152" t="s">
        <v>125</v>
      </c>
    </row>
    <row r="153" spans="1:7">
      <c r="A153" t="s">
        <v>510</v>
      </c>
      <c r="B153">
        <v>6</v>
      </c>
      <c r="C153" t="s">
        <v>60</v>
      </c>
      <c r="D153" t="s">
        <v>723</v>
      </c>
      <c r="E153" t="s">
        <v>60</v>
      </c>
      <c r="F153" t="s">
        <v>125</v>
      </c>
      <c r="G153" t="s">
        <v>125</v>
      </c>
    </row>
    <row r="154" spans="1:7">
      <c r="A154" t="s">
        <v>510</v>
      </c>
      <c r="B154">
        <v>7</v>
      </c>
      <c r="C154" t="s">
        <v>77</v>
      </c>
      <c r="D154" t="s">
        <v>723</v>
      </c>
      <c r="E154" t="s">
        <v>77</v>
      </c>
      <c r="F154" t="s">
        <v>125</v>
      </c>
      <c r="G154" t="s">
        <v>125</v>
      </c>
    </row>
    <row r="155" spans="1:7">
      <c r="A155" t="s">
        <v>510</v>
      </c>
      <c r="B155">
        <v>8</v>
      </c>
      <c r="C155" t="s">
        <v>2367</v>
      </c>
      <c r="D155" t="s">
        <v>759</v>
      </c>
      <c r="E155" t="s">
        <v>125</v>
      </c>
      <c r="F155" t="s">
        <v>125</v>
      </c>
      <c r="G155" t="s">
        <v>125</v>
      </c>
    </row>
    <row r="156" spans="1:7">
      <c r="A156" t="s">
        <v>512</v>
      </c>
      <c r="B156">
        <v>1</v>
      </c>
      <c r="C156" t="s">
        <v>335</v>
      </c>
      <c r="D156" t="s">
        <v>2364</v>
      </c>
      <c r="E156" t="s">
        <v>125</v>
      </c>
      <c r="F156" t="s">
        <v>2368</v>
      </c>
      <c r="G156" t="s">
        <v>296</v>
      </c>
    </row>
    <row r="157" spans="1:7">
      <c r="A157" t="s">
        <v>512</v>
      </c>
      <c r="B157">
        <v>2</v>
      </c>
      <c r="C157" t="s">
        <v>335</v>
      </c>
      <c r="D157" t="s">
        <v>2364</v>
      </c>
      <c r="E157" t="s">
        <v>125</v>
      </c>
      <c r="F157" t="s">
        <v>2368</v>
      </c>
      <c r="G157" t="s">
        <v>296</v>
      </c>
    </row>
    <row r="158" spans="1:7">
      <c r="A158" t="s">
        <v>512</v>
      </c>
      <c r="B158">
        <v>3</v>
      </c>
      <c r="C158" t="s">
        <v>335</v>
      </c>
      <c r="D158" t="s">
        <v>2364</v>
      </c>
      <c r="E158" t="s">
        <v>125</v>
      </c>
      <c r="F158" t="s">
        <v>2368</v>
      </c>
      <c r="G158" t="s">
        <v>296</v>
      </c>
    </row>
    <row r="159" spans="1:7">
      <c r="A159" t="s">
        <v>512</v>
      </c>
      <c r="B159">
        <v>4</v>
      </c>
      <c r="C159" t="s">
        <v>113</v>
      </c>
      <c r="D159" t="s">
        <v>723</v>
      </c>
      <c r="E159" t="s">
        <v>113</v>
      </c>
      <c r="F159" t="s">
        <v>125</v>
      </c>
      <c r="G159" t="s">
        <v>125</v>
      </c>
    </row>
    <row r="160" spans="1:7">
      <c r="A160" t="s">
        <v>512</v>
      </c>
      <c r="B160">
        <v>5</v>
      </c>
      <c r="C160" t="s">
        <v>114</v>
      </c>
      <c r="D160" t="s">
        <v>723</v>
      </c>
      <c r="E160" t="s">
        <v>114</v>
      </c>
      <c r="F160" t="s">
        <v>125</v>
      </c>
      <c r="G160" t="s">
        <v>125</v>
      </c>
    </row>
    <row r="161" spans="1:7">
      <c r="A161" t="s">
        <v>512</v>
      </c>
      <c r="B161">
        <v>6</v>
      </c>
      <c r="C161" t="s">
        <v>75</v>
      </c>
      <c r="D161" t="s">
        <v>723</v>
      </c>
      <c r="E161" t="s">
        <v>75</v>
      </c>
      <c r="F161" t="s">
        <v>125</v>
      </c>
      <c r="G161" t="s">
        <v>125</v>
      </c>
    </row>
    <row r="162" spans="1:7">
      <c r="A162" t="s">
        <v>512</v>
      </c>
      <c r="B162">
        <v>7</v>
      </c>
      <c r="C162" t="s">
        <v>77</v>
      </c>
      <c r="D162" t="s">
        <v>723</v>
      </c>
      <c r="E162" t="s">
        <v>77</v>
      </c>
      <c r="F162" t="s">
        <v>125</v>
      </c>
      <c r="G162" t="s">
        <v>125</v>
      </c>
    </row>
    <row r="163" spans="1:7">
      <c r="A163" t="s">
        <v>512</v>
      </c>
      <c r="B163">
        <v>8</v>
      </c>
      <c r="C163" t="s">
        <v>90</v>
      </c>
      <c r="D163" t="s">
        <v>723</v>
      </c>
      <c r="E163" t="s">
        <v>90</v>
      </c>
      <c r="F163" t="s">
        <v>125</v>
      </c>
      <c r="G163" t="s">
        <v>125</v>
      </c>
    </row>
    <row r="164" spans="1:7">
      <c r="A164" t="s">
        <v>514</v>
      </c>
      <c r="B164">
        <v>1</v>
      </c>
      <c r="C164" t="s">
        <v>64</v>
      </c>
      <c r="D164" t="s">
        <v>723</v>
      </c>
      <c r="E164" t="s">
        <v>64</v>
      </c>
      <c r="F164" t="s">
        <v>125</v>
      </c>
      <c r="G164" t="s">
        <v>125</v>
      </c>
    </row>
    <row r="165" spans="1:7">
      <c r="A165" t="s">
        <v>514</v>
      </c>
      <c r="B165">
        <v>2</v>
      </c>
      <c r="C165" t="s">
        <v>96</v>
      </c>
      <c r="D165" t="s">
        <v>723</v>
      </c>
      <c r="E165" t="s">
        <v>96</v>
      </c>
      <c r="F165" t="s">
        <v>125</v>
      </c>
      <c r="G165" t="s">
        <v>125</v>
      </c>
    </row>
    <row r="166" spans="1:7">
      <c r="A166" t="s">
        <v>514</v>
      </c>
      <c r="B166">
        <v>3</v>
      </c>
      <c r="C166" t="s">
        <v>100</v>
      </c>
      <c r="D166" t="s">
        <v>723</v>
      </c>
      <c r="E166" t="s">
        <v>100</v>
      </c>
      <c r="F166" t="s">
        <v>125</v>
      </c>
      <c r="G166" t="s">
        <v>125</v>
      </c>
    </row>
    <row r="167" spans="1:7">
      <c r="A167" t="s">
        <v>514</v>
      </c>
      <c r="B167">
        <v>4</v>
      </c>
      <c r="C167" t="s">
        <v>102</v>
      </c>
      <c r="D167" t="s">
        <v>723</v>
      </c>
      <c r="E167" t="s">
        <v>102</v>
      </c>
      <c r="F167" t="s">
        <v>125</v>
      </c>
      <c r="G167" t="s">
        <v>125</v>
      </c>
    </row>
    <row r="168" spans="1:7">
      <c r="A168" t="s">
        <v>514</v>
      </c>
      <c r="B168">
        <v>5</v>
      </c>
      <c r="C168" t="s">
        <v>112</v>
      </c>
      <c r="D168" t="s">
        <v>723</v>
      </c>
      <c r="E168" t="s">
        <v>112</v>
      </c>
      <c r="F168" t="s">
        <v>125</v>
      </c>
      <c r="G168" t="s">
        <v>125</v>
      </c>
    </row>
    <row r="169" spans="1:7">
      <c r="A169" t="s">
        <v>514</v>
      </c>
      <c r="B169">
        <v>6</v>
      </c>
      <c r="C169" t="s">
        <v>67</v>
      </c>
      <c r="D169" t="s">
        <v>723</v>
      </c>
      <c r="E169" t="s">
        <v>67</v>
      </c>
      <c r="F169" t="s">
        <v>125</v>
      </c>
      <c r="G169" t="s">
        <v>125</v>
      </c>
    </row>
    <row r="170" spans="1:7">
      <c r="A170" t="s">
        <v>514</v>
      </c>
      <c r="B170">
        <v>7</v>
      </c>
      <c r="C170" t="s">
        <v>101</v>
      </c>
      <c r="D170" t="s">
        <v>723</v>
      </c>
      <c r="E170" t="s">
        <v>101</v>
      </c>
      <c r="F170" t="s">
        <v>125</v>
      </c>
      <c r="G170" t="s">
        <v>125</v>
      </c>
    </row>
    <row r="171" spans="1:7">
      <c r="A171" t="s">
        <v>514</v>
      </c>
      <c r="B171">
        <v>8</v>
      </c>
      <c r="C171" t="s">
        <v>107</v>
      </c>
      <c r="D171" t="s">
        <v>723</v>
      </c>
      <c r="E171" t="s">
        <v>107</v>
      </c>
      <c r="F171" t="s">
        <v>125</v>
      </c>
      <c r="G171" t="s">
        <v>125</v>
      </c>
    </row>
    <row r="172" spans="1:7">
      <c r="A172" t="s">
        <v>515</v>
      </c>
      <c r="B172">
        <v>1</v>
      </c>
      <c r="C172" t="s">
        <v>86</v>
      </c>
      <c r="D172" t="s">
        <v>723</v>
      </c>
      <c r="E172" t="s">
        <v>86</v>
      </c>
      <c r="F172" t="s">
        <v>125</v>
      </c>
      <c r="G172" t="s">
        <v>125</v>
      </c>
    </row>
    <row r="173" spans="1:7">
      <c r="A173" t="s">
        <v>515</v>
      </c>
      <c r="B173">
        <v>2</v>
      </c>
      <c r="C173" t="s">
        <v>365</v>
      </c>
      <c r="D173" t="s">
        <v>723</v>
      </c>
      <c r="E173" t="s">
        <v>365</v>
      </c>
      <c r="F173" t="s">
        <v>125</v>
      </c>
      <c r="G173" t="s">
        <v>543</v>
      </c>
    </row>
    <row r="174" spans="1:7">
      <c r="A174" t="s">
        <v>515</v>
      </c>
      <c r="B174">
        <v>3</v>
      </c>
      <c r="C174" t="s">
        <v>372</v>
      </c>
      <c r="D174" t="s">
        <v>723</v>
      </c>
      <c r="E174" t="s">
        <v>372</v>
      </c>
      <c r="F174" t="s">
        <v>125</v>
      </c>
      <c r="G174" t="s">
        <v>544</v>
      </c>
    </row>
    <row r="175" spans="1:7">
      <c r="A175" t="s">
        <v>515</v>
      </c>
      <c r="B175">
        <v>4</v>
      </c>
      <c r="C175" t="s">
        <v>99</v>
      </c>
      <c r="D175" t="s">
        <v>723</v>
      </c>
      <c r="E175" t="s">
        <v>99</v>
      </c>
      <c r="F175" t="s">
        <v>125</v>
      </c>
      <c r="G175" t="s">
        <v>125</v>
      </c>
    </row>
    <row r="176" spans="1:7">
      <c r="A176" t="s">
        <v>515</v>
      </c>
      <c r="B176">
        <v>5</v>
      </c>
      <c r="C176" t="s">
        <v>2367</v>
      </c>
      <c r="D176" t="s">
        <v>759</v>
      </c>
      <c r="E176" t="s">
        <v>125</v>
      </c>
      <c r="F176" t="s">
        <v>125</v>
      </c>
      <c r="G176" t="s">
        <v>125</v>
      </c>
    </row>
    <row r="177" spans="1:7">
      <c r="A177" t="s">
        <v>515</v>
      </c>
      <c r="B177">
        <v>6</v>
      </c>
      <c r="C177" t="s">
        <v>2367</v>
      </c>
      <c r="D177" t="s">
        <v>759</v>
      </c>
      <c r="E177" t="s">
        <v>125</v>
      </c>
      <c r="F177" t="s">
        <v>125</v>
      </c>
      <c r="G177" t="s">
        <v>125</v>
      </c>
    </row>
    <row r="178" spans="1:7">
      <c r="A178" t="s">
        <v>515</v>
      </c>
      <c r="B178">
        <v>7</v>
      </c>
      <c r="C178" t="s">
        <v>2367</v>
      </c>
      <c r="D178" t="s">
        <v>759</v>
      </c>
      <c r="E178" t="s">
        <v>125</v>
      </c>
      <c r="F178" t="s">
        <v>125</v>
      </c>
      <c r="G178" t="s">
        <v>125</v>
      </c>
    </row>
    <row r="179" spans="1:7">
      <c r="A179" t="s">
        <v>515</v>
      </c>
      <c r="B179">
        <v>8</v>
      </c>
      <c r="C179" t="s">
        <v>2367</v>
      </c>
      <c r="D179" t="s">
        <v>759</v>
      </c>
      <c r="E179" t="s">
        <v>125</v>
      </c>
      <c r="F179" t="s">
        <v>125</v>
      </c>
      <c r="G179" t="s">
        <v>125</v>
      </c>
    </row>
    <row r="180" spans="1:7">
      <c r="A180" t="s">
        <v>517</v>
      </c>
      <c r="B180">
        <v>1</v>
      </c>
      <c r="C180" t="s">
        <v>82</v>
      </c>
      <c r="D180" t="s">
        <v>723</v>
      </c>
      <c r="E180" t="s">
        <v>82</v>
      </c>
      <c r="F180" t="s">
        <v>125</v>
      </c>
      <c r="G180" t="s">
        <v>125</v>
      </c>
    </row>
    <row r="181" spans="1:7">
      <c r="A181" t="s">
        <v>517</v>
      </c>
      <c r="B181">
        <v>2</v>
      </c>
      <c r="C181" t="s">
        <v>102</v>
      </c>
      <c r="D181" t="s">
        <v>723</v>
      </c>
      <c r="E181" t="s">
        <v>102</v>
      </c>
      <c r="F181" t="s">
        <v>125</v>
      </c>
      <c r="G181" t="s">
        <v>125</v>
      </c>
    </row>
    <row r="182" spans="1:7">
      <c r="A182" t="s">
        <v>517</v>
      </c>
      <c r="B182">
        <v>3</v>
      </c>
      <c r="C182" t="s">
        <v>335</v>
      </c>
      <c r="D182" t="s">
        <v>2364</v>
      </c>
      <c r="E182" t="s">
        <v>125</v>
      </c>
      <c r="F182" t="s">
        <v>2368</v>
      </c>
      <c r="G182" t="s">
        <v>296</v>
      </c>
    </row>
    <row r="183" spans="1:7">
      <c r="A183" t="s">
        <v>517</v>
      </c>
      <c r="B183">
        <v>4</v>
      </c>
      <c r="C183" t="s">
        <v>114</v>
      </c>
      <c r="D183" t="s">
        <v>723</v>
      </c>
      <c r="E183" t="s">
        <v>114</v>
      </c>
      <c r="F183" t="s">
        <v>125</v>
      </c>
      <c r="G183" t="s">
        <v>125</v>
      </c>
    </row>
    <row r="184" spans="1:7">
      <c r="A184" t="s">
        <v>517</v>
      </c>
      <c r="B184">
        <v>5</v>
      </c>
      <c r="C184" t="s">
        <v>60</v>
      </c>
      <c r="D184" t="s">
        <v>723</v>
      </c>
      <c r="E184" t="s">
        <v>60</v>
      </c>
      <c r="F184" t="s">
        <v>125</v>
      </c>
      <c r="G184" t="s">
        <v>125</v>
      </c>
    </row>
    <row r="185" spans="1:7">
      <c r="A185" t="s">
        <v>517</v>
      </c>
      <c r="B185">
        <v>6</v>
      </c>
      <c r="C185" t="s">
        <v>77</v>
      </c>
      <c r="D185" t="s">
        <v>723</v>
      </c>
      <c r="E185" t="s">
        <v>77</v>
      </c>
      <c r="F185" t="s">
        <v>125</v>
      </c>
      <c r="G185" t="s">
        <v>125</v>
      </c>
    </row>
    <row r="186" spans="1:7">
      <c r="A186" t="s">
        <v>517</v>
      </c>
      <c r="B186">
        <v>7</v>
      </c>
      <c r="C186" t="s">
        <v>90</v>
      </c>
      <c r="D186" t="s">
        <v>723</v>
      </c>
      <c r="E186" t="s">
        <v>90</v>
      </c>
      <c r="F186" t="s">
        <v>125</v>
      </c>
      <c r="G186" t="s">
        <v>125</v>
      </c>
    </row>
    <row r="187" spans="1:7">
      <c r="A187" t="s">
        <v>517</v>
      </c>
      <c r="B187">
        <v>8</v>
      </c>
      <c r="C187" t="s">
        <v>97</v>
      </c>
      <c r="D187" t="s">
        <v>723</v>
      </c>
      <c r="E187" t="s">
        <v>97</v>
      </c>
      <c r="F187" t="s">
        <v>125</v>
      </c>
      <c r="G187" t="s">
        <v>125</v>
      </c>
    </row>
    <row r="188" spans="1:7">
      <c r="A188" t="s">
        <v>518</v>
      </c>
      <c r="B188">
        <v>1</v>
      </c>
      <c r="C188" t="s">
        <v>59</v>
      </c>
      <c r="D188" t="s">
        <v>723</v>
      </c>
      <c r="E188" t="s">
        <v>59</v>
      </c>
      <c r="F188" t="s">
        <v>125</v>
      </c>
      <c r="G188" t="s">
        <v>125</v>
      </c>
    </row>
    <row r="189" spans="1:7">
      <c r="A189" t="s">
        <v>518</v>
      </c>
      <c r="B189">
        <v>2</v>
      </c>
      <c r="C189" t="s">
        <v>82</v>
      </c>
      <c r="D189" t="s">
        <v>723</v>
      </c>
      <c r="E189" t="s">
        <v>82</v>
      </c>
      <c r="F189" t="s">
        <v>125</v>
      </c>
      <c r="G189" t="s">
        <v>125</v>
      </c>
    </row>
    <row r="190" spans="1:7">
      <c r="A190" t="s">
        <v>518</v>
      </c>
      <c r="B190">
        <v>3</v>
      </c>
      <c r="C190" t="s">
        <v>86</v>
      </c>
      <c r="D190" t="s">
        <v>723</v>
      </c>
      <c r="E190" t="s">
        <v>86</v>
      </c>
      <c r="F190" t="s">
        <v>125</v>
      </c>
      <c r="G190" t="s">
        <v>125</v>
      </c>
    </row>
    <row r="191" spans="1:7">
      <c r="A191" t="s">
        <v>518</v>
      </c>
      <c r="B191">
        <v>4</v>
      </c>
      <c r="C191" t="s">
        <v>92</v>
      </c>
      <c r="D191" t="s">
        <v>723</v>
      </c>
      <c r="E191" t="s">
        <v>92</v>
      </c>
      <c r="F191" t="s">
        <v>125</v>
      </c>
      <c r="G191" t="s">
        <v>125</v>
      </c>
    </row>
    <row r="192" spans="1:7">
      <c r="A192" t="s">
        <v>518</v>
      </c>
      <c r="B192">
        <v>5</v>
      </c>
      <c r="C192" t="s">
        <v>108</v>
      </c>
      <c r="D192" t="s">
        <v>723</v>
      </c>
      <c r="E192" t="s">
        <v>108</v>
      </c>
      <c r="F192" t="s">
        <v>125</v>
      </c>
      <c r="G192" t="s">
        <v>125</v>
      </c>
    </row>
    <row r="193" spans="1:7">
      <c r="A193" t="s">
        <v>518</v>
      </c>
      <c r="B193">
        <v>6</v>
      </c>
      <c r="C193" t="s">
        <v>60</v>
      </c>
      <c r="D193" t="s">
        <v>723</v>
      </c>
      <c r="E193" t="s">
        <v>60</v>
      </c>
      <c r="F193" t="s">
        <v>125</v>
      </c>
      <c r="G193" t="s">
        <v>125</v>
      </c>
    </row>
    <row r="194" spans="1:7">
      <c r="A194" t="s">
        <v>518</v>
      </c>
      <c r="B194">
        <v>7</v>
      </c>
      <c r="C194" t="s">
        <v>83</v>
      </c>
      <c r="D194" t="s">
        <v>723</v>
      </c>
      <c r="E194" t="s">
        <v>83</v>
      </c>
      <c r="F194" t="s">
        <v>125</v>
      </c>
      <c r="G194" t="s">
        <v>125</v>
      </c>
    </row>
    <row r="195" spans="1:7">
      <c r="A195" t="s">
        <v>518</v>
      </c>
      <c r="B195">
        <v>8</v>
      </c>
      <c r="C195" t="s">
        <v>97</v>
      </c>
      <c r="D195" t="s">
        <v>723</v>
      </c>
      <c r="E195" t="s">
        <v>97</v>
      </c>
      <c r="F195" t="s">
        <v>125</v>
      </c>
      <c r="G195" t="s">
        <v>125</v>
      </c>
    </row>
    <row r="196" spans="1:7">
      <c r="A196" t="s">
        <v>519</v>
      </c>
      <c r="B196">
        <v>1</v>
      </c>
      <c r="C196" t="s">
        <v>64</v>
      </c>
      <c r="D196" t="s">
        <v>723</v>
      </c>
      <c r="E196" t="s">
        <v>64</v>
      </c>
      <c r="F196" t="s">
        <v>125</v>
      </c>
      <c r="G196" t="s">
        <v>125</v>
      </c>
    </row>
    <row r="197" spans="1:7">
      <c r="A197" t="s">
        <v>519</v>
      </c>
      <c r="B197">
        <v>2</v>
      </c>
      <c r="C197" t="s">
        <v>94</v>
      </c>
      <c r="D197" t="s">
        <v>723</v>
      </c>
      <c r="E197" t="s">
        <v>94</v>
      </c>
      <c r="F197" t="s">
        <v>125</v>
      </c>
      <c r="G197" t="s">
        <v>125</v>
      </c>
    </row>
    <row r="198" spans="1:7">
      <c r="A198" t="s">
        <v>519</v>
      </c>
      <c r="B198">
        <v>3</v>
      </c>
      <c r="C198" t="s">
        <v>98</v>
      </c>
      <c r="D198" t="s">
        <v>723</v>
      </c>
      <c r="E198" t="s">
        <v>98</v>
      </c>
      <c r="F198" t="s">
        <v>125</v>
      </c>
      <c r="G198" t="s">
        <v>125</v>
      </c>
    </row>
    <row r="199" spans="1:7">
      <c r="A199" t="s">
        <v>519</v>
      </c>
      <c r="B199">
        <v>4</v>
      </c>
      <c r="C199" t="s">
        <v>102</v>
      </c>
      <c r="D199" t="s">
        <v>723</v>
      </c>
      <c r="E199" t="s">
        <v>102</v>
      </c>
      <c r="F199" t="s">
        <v>125</v>
      </c>
      <c r="G199" t="s">
        <v>125</v>
      </c>
    </row>
    <row r="200" spans="1:7">
      <c r="A200" t="s">
        <v>519</v>
      </c>
      <c r="B200">
        <v>5</v>
      </c>
      <c r="C200" t="s">
        <v>108</v>
      </c>
      <c r="D200" t="s">
        <v>723</v>
      </c>
      <c r="E200" t="s">
        <v>108</v>
      </c>
      <c r="F200" t="s">
        <v>125</v>
      </c>
      <c r="G200" t="s">
        <v>125</v>
      </c>
    </row>
    <row r="201" spans="1:7">
      <c r="A201" t="s">
        <v>519</v>
      </c>
      <c r="B201">
        <v>6</v>
      </c>
      <c r="C201" t="s">
        <v>111</v>
      </c>
      <c r="D201" t="s">
        <v>723</v>
      </c>
      <c r="E201" t="s">
        <v>111</v>
      </c>
      <c r="F201" t="s">
        <v>125</v>
      </c>
      <c r="G201" t="s">
        <v>125</v>
      </c>
    </row>
    <row r="202" spans="1:7">
      <c r="A202" t="s">
        <v>519</v>
      </c>
      <c r="B202">
        <v>7</v>
      </c>
      <c r="C202" t="s">
        <v>73</v>
      </c>
      <c r="D202" t="s">
        <v>723</v>
      </c>
      <c r="E202" t="s">
        <v>73</v>
      </c>
      <c r="F202" t="s">
        <v>125</v>
      </c>
      <c r="G202" t="s">
        <v>125</v>
      </c>
    </row>
    <row r="203" spans="1:7">
      <c r="A203" t="s">
        <v>519</v>
      </c>
      <c r="B203">
        <v>8</v>
      </c>
      <c r="C203" t="s">
        <v>97</v>
      </c>
      <c r="D203" t="s">
        <v>723</v>
      </c>
      <c r="E203" t="s">
        <v>97</v>
      </c>
      <c r="F203" t="s">
        <v>125</v>
      </c>
      <c r="G203" t="s">
        <v>125</v>
      </c>
    </row>
    <row r="204" spans="1:7">
      <c r="A204" t="s">
        <v>520</v>
      </c>
      <c r="B204">
        <v>1</v>
      </c>
      <c r="C204" t="s">
        <v>64</v>
      </c>
      <c r="D204" t="s">
        <v>723</v>
      </c>
      <c r="E204" t="s">
        <v>64</v>
      </c>
      <c r="F204" t="s">
        <v>125</v>
      </c>
      <c r="G204" t="s">
        <v>125</v>
      </c>
    </row>
    <row r="205" spans="1:7">
      <c r="A205" t="s">
        <v>520</v>
      </c>
      <c r="B205">
        <v>2</v>
      </c>
      <c r="C205" t="s">
        <v>92</v>
      </c>
      <c r="D205" t="s">
        <v>723</v>
      </c>
      <c r="E205" t="s">
        <v>92</v>
      </c>
      <c r="F205" t="s">
        <v>125</v>
      </c>
      <c r="G205" t="s">
        <v>125</v>
      </c>
    </row>
    <row r="206" spans="1:7">
      <c r="A206" t="s">
        <v>520</v>
      </c>
      <c r="B206">
        <v>3</v>
      </c>
      <c r="C206" t="s">
        <v>96</v>
      </c>
      <c r="D206" t="s">
        <v>723</v>
      </c>
      <c r="E206" t="s">
        <v>96</v>
      </c>
      <c r="F206" t="s">
        <v>125</v>
      </c>
      <c r="G206" t="s">
        <v>125</v>
      </c>
    </row>
    <row r="207" spans="1:7">
      <c r="A207" t="s">
        <v>520</v>
      </c>
      <c r="B207">
        <v>4</v>
      </c>
      <c r="C207" t="s">
        <v>98</v>
      </c>
      <c r="D207" t="s">
        <v>723</v>
      </c>
      <c r="E207" t="s">
        <v>98</v>
      </c>
      <c r="F207" t="s">
        <v>125</v>
      </c>
      <c r="G207" t="s">
        <v>125</v>
      </c>
    </row>
    <row r="208" spans="1:7">
      <c r="A208" t="s">
        <v>520</v>
      </c>
      <c r="B208">
        <v>5</v>
      </c>
      <c r="C208" t="s">
        <v>77</v>
      </c>
      <c r="D208" t="s">
        <v>723</v>
      </c>
      <c r="E208" t="s">
        <v>77</v>
      </c>
      <c r="F208" t="s">
        <v>125</v>
      </c>
      <c r="G208" t="s">
        <v>125</v>
      </c>
    </row>
    <row r="209" spans="1:7">
      <c r="A209" t="s">
        <v>520</v>
      </c>
      <c r="B209">
        <v>6</v>
      </c>
      <c r="C209" t="s">
        <v>101</v>
      </c>
      <c r="D209" t="s">
        <v>723</v>
      </c>
      <c r="E209" t="s">
        <v>101</v>
      </c>
      <c r="F209" t="s">
        <v>125</v>
      </c>
      <c r="G209" t="s">
        <v>125</v>
      </c>
    </row>
    <row r="210" spans="1:7">
      <c r="A210" t="s">
        <v>520</v>
      </c>
      <c r="B210">
        <v>7</v>
      </c>
      <c r="C210" t="s">
        <v>2369</v>
      </c>
      <c r="D210" t="s">
        <v>1668</v>
      </c>
      <c r="E210" t="s">
        <v>125</v>
      </c>
      <c r="F210" t="s">
        <v>2370</v>
      </c>
      <c r="G210" t="s">
        <v>125</v>
      </c>
    </row>
    <row r="211" spans="1:7">
      <c r="A211" t="s">
        <v>520</v>
      </c>
      <c r="B211">
        <v>8</v>
      </c>
      <c r="C211" t="s">
        <v>2371</v>
      </c>
      <c r="D211" t="s">
        <v>1668</v>
      </c>
      <c r="E211" t="s">
        <v>125</v>
      </c>
      <c r="F211" t="s">
        <v>2370</v>
      </c>
      <c r="G211" t="s">
        <v>125</v>
      </c>
    </row>
    <row r="212" spans="1:7">
      <c r="A212" t="s">
        <v>521</v>
      </c>
      <c r="B212">
        <v>1</v>
      </c>
      <c r="C212" t="s">
        <v>92</v>
      </c>
      <c r="D212" t="s">
        <v>723</v>
      </c>
      <c r="E212" t="s">
        <v>92</v>
      </c>
      <c r="F212" t="s">
        <v>125</v>
      </c>
      <c r="G212" t="s">
        <v>125</v>
      </c>
    </row>
    <row r="213" spans="1:7">
      <c r="A213" t="s">
        <v>521</v>
      </c>
      <c r="B213">
        <v>2</v>
      </c>
      <c r="C213" t="s">
        <v>335</v>
      </c>
      <c r="D213" t="s">
        <v>2364</v>
      </c>
      <c r="E213" t="s">
        <v>125</v>
      </c>
      <c r="F213" t="s">
        <v>2368</v>
      </c>
      <c r="G213" t="s">
        <v>296</v>
      </c>
    </row>
    <row r="214" spans="1:7">
      <c r="A214" t="s">
        <v>521</v>
      </c>
      <c r="B214">
        <v>3</v>
      </c>
      <c r="C214" t="s">
        <v>335</v>
      </c>
      <c r="D214" t="s">
        <v>2364</v>
      </c>
      <c r="E214" t="s">
        <v>125</v>
      </c>
      <c r="F214" t="s">
        <v>2368</v>
      </c>
      <c r="G214" t="s">
        <v>296</v>
      </c>
    </row>
    <row r="215" spans="1:7">
      <c r="A215" t="s">
        <v>521</v>
      </c>
      <c r="B215">
        <v>4</v>
      </c>
      <c r="C215" t="s">
        <v>114</v>
      </c>
      <c r="D215" t="s">
        <v>723</v>
      </c>
      <c r="E215" t="s">
        <v>114</v>
      </c>
      <c r="F215" t="s">
        <v>125</v>
      </c>
      <c r="G215" t="s">
        <v>125</v>
      </c>
    </row>
    <row r="216" spans="1:7">
      <c r="A216" t="s">
        <v>521</v>
      </c>
      <c r="B216">
        <v>5</v>
      </c>
      <c r="C216" t="s">
        <v>60</v>
      </c>
      <c r="D216" t="s">
        <v>723</v>
      </c>
      <c r="E216" t="s">
        <v>60</v>
      </c>
      <c r="F216" t="s">
        <v>125</v>
      </c>
      <c r="G216" t="s">
        <v>125</v>
      </c>
    </row>
    <row r="217" spans="1:7">
      <c r="A217" t="s">
        <v>521</v>
      </c>
      <c r="B217">
        <v>6</v>
      </c>
      <c r="C217" t="s">
        <v>77</v>
      </c>
      <c r="D217" t="s">
        <v>723</v>
      </c>
      <c r="E217" t="s">
        <v>77</v>
      </c>
      <c r="F217" t="s">
        <v>125</v>
      </c>
      <c r="G217" t="s">
        <v>125</v>
      </c>
    </row>
    <row r="218" spans="1:7">
      <c r="A218" t="s">
        <v>521</v>
      </c>
      <c r="B218">
        <v>7</v>
      </c>
      <c r="C218" t="s">
        <v>83</v>
      </c>
      <c r="D218" t="s">
        <v>723</v>
      </c>
      <c r="E218" t="s">
        <v>83</v>
      </c>
      <c r="F218" t="s">
        <v>125</v>
      </c>
      <c r="G218" t="s">
        <v>125</v>
      </c>
    </row>
    <row r="219" spans="1:7">
      <c r="A219" t="s">
        <v>521</v>
      </c>
      <c r="B219">
        <v>8</v>
      </c>
      <c r="C219" t="s">
        <v>97</v>
      </c>
      <c r="D219" t="s">
        <v>723</v>
      </c>
      <c r="E219" t="s">
        <v>97</v>
      </c>
      <c r="F219" t="s">
        <v>125</v>
      </c>
      <c r="G219" t="s">
        <v>125</v>
      </c>
    </row>
    <row r="220" spans="1:7">
      <c r="A220" t="s">
        <v>522</v>
      </c>
      <c r="B220">
        <v>1</v>
      </c>
      <c r="C220" t="s">
        <v>523</v>
      </c>
      <c r="D220" t="s">
        <v>1668</v>
      </c>
      <c r="E220" t="s">
        <v>125</v>
      </c>
      <c r="F220" t="s">
        <v>2372</v>
      </c>
      <c r="G220" t="s">
        <v>125</v>
      </c>
    </row>
    <row r="221" spans="1:7">
      <c r="A221" t="s">
        <v>522</v>
      </c>
      <c r="B221">
        <v>2</v>
      </c>
      <c r="C221" t="s">
        <v>504</v>
      </c>
      <c r="D221" t="s">
        <v>2364</v>
      </c>
      <c r="E221" t="s">
        <v>125</v>
      </c>
      <c r="F221" t="s">
        <v>2366</v>
      </c>
      <c r="G221" t="s">
        <v>542</v>
      </c>
    </row>
    <row r="222" spans="1:7">
      <c r="A222" t="s">
        <v>522</v>
      </c>
      <c r="B222">
        <v>3</v>
      </c>
      <c r="C222" t="s">
        <v>335</v>
      </c>
      <c r="D222" t="s">
        <v>2364</v>
      </c>
      <c r="E222" t="s">
        <v>125</v>
      </c>
      <c r="F222" t="s">
        <v>2368</v>
      </c>
      <c r="G222" t="s">
        <v>296</v>
      </c>
    </row>
    <row r="223" spans="1:7">
      <c r="A223" t="s">
        <v>522</v>
      </c>
      <c r="B223">
        <v>4</v>
      </c>
      <c r="C223" t="s">
        <v>113</v>
      </c>
      <c r="D223" t="s">
        <v>723</v>
      </c>
      <c r="E223" t="s">
        <v>113</v>
      </c>
      <c r="F223" t="s">
        <v>125</v>
      </c>
      <c r="G223" t="s">
        <v>125</v>
      </c>
    </row>
    <row r="224" spans="1:7">
      <c r="A224" t="s">
        <v>522</v>
      </c>
      <c r="B224">
        <v>5</v>
      </c>
      <c r="C224" t="s">
        <v>77</v>
      </c>
      <c r="D224" t="s">
        <v>723</v>
      </c>
      <c r="E224" t="s">
        <v>77</v>
      </c>
      <c r="F224" t="s">
        <v>125</v>
      </c>
      <c r="G224" t="s">
        <v>125</v>
      </c>
    </row>
    <row r="225" spans="1:7">
      <c r="A225" t="s">
        <v>522</v>
      </c>
      <c r="B225">
        <v>6</v>
      </c>
      <c r="C225" t="s">
        <v>2367</v>
      </c>
      <c r="D225" t="s">
        <v>759</v>
      </c>
      <c r="E225" t="s">
        <v>125</v>
      </c>
      <c r="F225" t="s">
        <v>125</v>
      </c>
      <c r="G225" t="s">
        <v>125</v>
      </c>
    </row>
    <row r="226" spans="1:7">
      <c r="A226" t="s">
        <v>522</v>
      </c>
      <c r="B226">
        <v>7</v>
      </c>
      <c r="C226" t="s">
        <v>2367</v>
      </c>
      <c r="D226" t="s">
        <v>759</v>
      </c>
      <c r="E226" t="s">
        <v>125</v>
      </c>
      <c r="F226" t="s">
        <v>125</v>
      </c>
      <c r="G226" t="s">
        <v>125</v>
      </c>
    </row>
    <row r="227" spans="1:7">
      <c r="A227" t="s">
        <v>522</v>
      </c>
      <c r="B227">
        <v>8</v>
      </c>
      <c r="C227" t="s">
        <v>2367</v>
      </c>
      <c r="D227" t="s">
        <v>759</v>
      </c>
      <c r="E227" t="s">
        <v>125</v>
      </c>
      <c r="F227" t="s">
        <v>125</v>
      </c>
      <c r="G227" t="s">
        <v>125</v>
      </c>
    </row>
    <row r="228" spans="1:7">
      <c r="A228" t="s">
        <v>525</v>
      </c>
      <c r="B228">
        <v>1</v>
      </c>
      <c r="C228" t="s">
        <v>82</v>
      </c>
      <c r="D228" t="s">
        <v>723</v>
      </c>
      <c r="E228" t="s">
        <v>82</v>
      </c>
      <c r="F228" t="s">
        <v>125</v>
      </c>
      <c r="G228" t="s">
        <v>125</v>
      </c>
    </row>
    <row r="229" spans="1:7">
      <c r="A229" t="s">
        <v>525</v>
      </c>
      <c r="B229">
        <v>2</v>
      </c>
      <c r="C229" t="s">
        <v>100</v>
      </c>
      <c r="D229" t="s">
        <v>723</v>
      </c>
      <c r="E229" t="s">
        <v>100</v>
      </c>
      <c r="F229" t="s">
        <v>125</v>
      </c>
      <c r="G229" t="s">
        <v>125</v>
      </c>
    </row>
    <row r="230" spans="1:7">
      <c r="A230" t="s">
        <v>525</v>
      </c>
      <c r="B230">
        <v>3</v>
      </c>
      <c r="C230" t="s">
        <v>113</v>
      </c>
      <c r="D230" t="s">
        <v>723</v>
      </c>
      <c r="E230" t="s">
        <v>113</v>
      </c>
      <c r="F230" t="s">
        <v>125</v>
      </c>
      <c r="G230" t="s">
        <v>125</v>
      </c>
    </row>
    <row r="231" spans="1:7">
      <c r="A231" t="s">
        <v>525</v>
      </c>
      <c r="B231">
        <v>4</v>
      </c>
      <c r="C231" t="s">
        <v>526</v>
      </c>
      <c r="D231" t="s">
        <v>2364</v>
      </c>
      <c r="E231" t="s">
        <v>125</v>
      </c>
      <c r="F231" t="s">
        <v>2373</v>
      </c>
      <c r="G231" t="s">
        <v>330</v>
      </c>
    </row>
    <row r="232" spans="1:7">
      <c r="A232" t="s">
        <v>525</v>
      </c>
      <c r="B232">
        <v>5</v>
      </c>
      <c r="C232" t="s">
        <v>73</v>
      </c>
      <c r="D232" t="s">
        <v>723</v>
      </c>
      <c r="E232" t="s">
        <v>73</v>
      </c>
      <c r="F232" t="s">
        <v>125</v>
      </c>
      <c r="G232" t="s">
        <v>125</v>
      </c>
    </row>
    <row r="233" spans="1:7">
      <c r="A233" t="s">
        <v>525</v>
      </c>
      <c r="B233">
        <v>6</v>
      </c>
      <c r="C233" t="s">
        <v>77</v>
      </c>
      <c r="D233" t="s">
        <v>723</v>
      </c>
      <c r="E233" t="s">
        <v>77</v>
      </c>
      <c r="F233" t="s">
        <v>125</v>
      </c>
      <c r="G233" t="s">
        <v>125</v>
      </c>
    </row>
    <row r="234" spans="1:7">
      <c r="A234" t="s">
        <v>525</v>
      </c>
      <c r="B234">
        <v>7</v>
      </c>
      <c r="C234" t="s">
        <v>107</v>
      </c>
      <c r="D234" t="s">
        <v>723</v>
      </c>
      <c r="E234" t="s">
        <v>107</v>
      </c>
      <c r="F234" t="s">
        <v>125</v>
      </c>
      <c r="G234" t="s">
        <v>125</v>
      </c>
    </row>
    <row r="235" spans="1:7">
      <c r="A235" t="s">
        <v>525</v>
      </c>
      <c r="B235">
        <v>8</v>
      </c>
      <c r="C235" t="s">
        <v>2369</v>
      </c>
      <c r="D235" t="s">
        <v>1668</v>
      </c>
      <c r="E235" t="s">
        <v>125</v>
      </c>
      <c r="F235" t="s">
        <v>2374</v>
      </c>
      <c r="G235" t="s">
        <v>125</v>
      </c>
    </row>
    <row r="236" spans="1:7">
      <c r="A236" t="s">
        <v>528</v>
      </c>
      <c r="B236">
        <v>1</v>
      </c>
      <c r="C236" t="s">
        <v>59</v>
      </c>
      <c r="D236" t="s">
        <v>723</v>
      </c>
      <c r="E236" t="s">
        <v>59</v>
      </c>
      <c r="F236" t="s">
        <v>125</v>
      </c>
      <c r="G236" t="s">
        <v>125</v>
      </c>
    </row>
    <row r="237" spans="1:7">
      <c r="A237" t="s">
        <v>528</v>
      </c>
      <c r="B237">
        <v>2</v>
      </c>
      <c r="C237" t="s">
        <v>82</v>
      </c>
      <c r="D237" t="s">
        <v>723</v>
      </c>
      <c r="E237" t="s">
        <v>82</v>
      </c>
      <c r="F237" t="s">
        <v>125</v>
      </c>
      <c r="G237" t="s">
        <v>125</v>
      </c>
    </row>
    <row r="238" spans="1:7">
      <c r="A238" t="s">
        <v>528</v>
      </c>
      <c r="B238">
        <v>3</v>
      </c>
      <c r="C238" t="s">
        <v>114</v>
      </c>
      <c r="D238" t="s">
        <v>723</v>
      </c>
      <c r="E238" t="s">
        <v>114</v>
      </c>
      <c r="F238" t="s">
        <v>125</v>
      </c>
      <c r="G238" t="s">
        <v>125</v>
      </c>
    </row>
    <row r="239" spans="1:7">
      <c r="A239" t="s">
        <v>528</v>
      </c>
      <c r="B239">
        <v>4</v>
      </c>
      <c r="C239" t="s">
        <v>60</v>
      </c>
      <c r="D239" t="s">
        <v>723</v>
      </c>
      <c r="E239" t="s">
        <v>60</v>
      </c>
      <c r="F239" t="s">
        <v>125</v>
      </c>
      <c r="G239" t="s">
        <v>125</v>
      </c>
    </row>
    <row r="240" spans="1:7">
      <c r="A240" t="s">
        <v>528</v>
      </c>
      <c r="B240">
        <v>5</v>
      </c>
      <c r="C240" t="s">
        <v>77</v>
      </c>
      <c r="D240" t="s">
        <v>723</v>
      </c>
      <c r="E240" t="s">
        <v>77</v>
      </c>
      <c r="F240" t="s">
        <v>125</v>
      </c>
      <c r="G240" t="s">
        <v>125</v>
      </c>
    </row>
    <row r="241" spans="1:7">
      <c r="A241" t="s">
        <v>528</v>
      </c>
      <c r="B241">
        <v>6</v>
      </c>
      <c r="C241" t="s">
        <v>2367</v>
      </c>
      <c r="D241" t="s">
        <v>759</v>
      </c>
      <c r="E241" t="s">
        <v>125</v>
      </c>
      <c r="F241" t="s">
        <v>125</v>
      </c>
      <c r="G241" t="s">
        <v>125</v>
      </c>
    </row>
    <row r="242" spans="1:7">
      <c r="A242" t="s">
        <v>528</v>
      </c>
      <c r="B242">
        <v>7</v>
      </c>
      <c r="C242" t="s">
        <v>2367</v>
      </c>
      <c r="D242" t="s">
        <v>759</v>
      </c>
      <c r="E242" t="s">
        <v>125</v>
      </c>
      <c r="F242" t="s">
        <v>125</v>
      </c>
      <c r="G242" t="s">
        <v>125</v>
      </c>
    </row>
    <row r="243" spans="1:7">
      <c r="A243" t="s">
        <v>528</v>
      </c>
      <c r="B243">
        <v>8</v>
      </c>
      <c r="C243" t="s">
        <v>2367</v>
      </c>
      <c r="D243" t="s">
        <v>759</v>
      </c>
      <c r="E243" t="s">
        <v>125</v>
      </c>
      <c r="F243" t="s">
        <v>125</v>
      </c>
      <c r="G243" t="s">
        <v>125</v>
      </c>
    </row>
    <row r="244" spans="1:7">
      <c r="A244" t="s">
        <v>529</v>
      </c>
      <c r="B244">
        <v>1</v>
      </c>
      <c r="C244" t="s">
        <v>64</v>
      </c>
      <c r="D244" t="s">
        <v>723</v>
      </c>
      <c r="E244" t="s">
        <v>64</v>
      </c>
      <c r="F244" t="s">
        <v>125</v>
      </c>
      <c r="G244" t="s">
        <v>125</v>
      </c>
    </row>
    <row r="245" spans="1:7">
      <c r="A245" t="s">
        <v>529</v>
      </c>
      <c r="B245">
        <v>2</v>
      </c>
      <c r="C245" t="s">
        <v>102</v>
      </c>
      <c r="D245" t="s">
        <v>723</v>
      </c>
      <c r="E245" t="s">
        <v>102</v>
      </c>
      <c r="F245" t="s">
        <v>125</v>
      </c>
      <c r="G245" t="s">
        <v>125</v>
      </c>
    </row>
    <row r="246" spans="1:7">
      <c r="A246" t="s">
        <v>529</v>
      </c>
      <c r="B246">
        <v>3</v>
      </c>
      <c r="C246" t="s">
        <v>65</v>
      </c>
      <c r="D246" t="s">
        <v>723</v>
      </c>
      <c r="E246" t="s">
        <v>65</v>
      </c>
      <c r="F246" t="s">
        <v>125</v>
      </c>
      <c r="G246" t="s">
        <v>125</v>
      </c>
    </row>
    <row r="247" spans="1:7">
      <c r="A247" t="s">
        <v>529</v>
      </c>
      <c r="B247">
        <v>4</v>
      </c>
      <c r="C247" t="s">
        <v>77</v>
      </c>
      <c r="D247" t="s">
        <v>723</v>
      </c>
      <c r="E247" t="s">
        <v>77</v>
      </c>
      <c r="F247" t="s">
        <v>125</v>
      </c>
      <c r="G247" t="s">
        <v>125</v>
      </c>
    </row>
    <row r="248" spans="1:7">
      <c r="A248" t="s">
        <v>529</v>
      </c>
      <c r="B248">
        <v>5</v>
      </c>
      <c r="C248" t="s">
        <v>83</v>
      </c>
      <c r="D248" t="s">
        <v>723</v>
      </c>
      <c r="E248" t="s">
        <v>83</v>
      </c>
      <c r="F248" t="s">
        <v>125</v>
      </c>
      <c r="G248" t="s">
        <v>125</v>
      </c>
    </row>
    <row r="249" spans="1:7">
      <c r="A249" t="s">
        <v>529</v>
      </c>
      <c r="B249">
        <v>6</v>
      </c>
      <c r="C249" t="s">
        <v>90</v>
      </c>
      <c r="D249" t="s">
        <v>723</v>
      </c>
      <c r="E249" t="s">
        <v>90</v>
      </c>
      <c r="F249" t="s">
        <v>125</v>
      </c>
      <c r="G249" t="s">
        <v>125</v>
      </c>
    </row>
    <row r="250" spans="1:7">
      <c r="A250" t="s">
        <v>529</v>
      </c>
      <c r="B250">
        <v>7</v>
      </c>
      <c r="C250" t="s">
        <v>331</v>
      </c>
      <c r="D250" t="s">
        <v>723</v>
      </c>
      <c r="E250" t="s">
        <v>331</v>
      </c>
      <c r="F250" t="s">
        <v>125</v>
      </c>
      <c r="G250" t="s">
        <v>544</v>
      </c>
    </row>
    <row r="251" spans="1:7">
      <c r="A251" t="s">
        <v>529</v>
      </c>
      <c r="B251">
        <v>8</v>
      </c>
      <c r="C251" t="s">
        <v>97</v>
      </c>
      <c r="D251" t="s">
        <v>723</v>
      </c>
      <c r="E251" t="s">
        <v>97</v>
      </c>
      <c r="F251" t="s">
        <v>125</v>
      </c>
      <c r="G251" t="s">
        <v>125</v>
      </c>
    </row>
    <row r="252" spans="1:7">
      <c r="A252" t="s">
        <v>530</v>
      </c>
      <c r="B252">
        <v>1</v>
      </c>
      <c r="C252" t="s">
        <v>66</v>
      </c>
      <c r="D252" t="s">
        <v>723</v>
      </c>
      <c r="E252" t="s">
        <v>66</v>
      </c>
      <c r="F252" t="s">
        <v>125</v>
      </c>
      <c r="G252" t="s">
        <v>125</v>
      </c>
    </row>
    <row r="253" spans="1:7">
      <c r="A253" t="s">
        <v>530</v>
      </c>
      <c r="B253">
        <v>2</v>
      </c>
      <c r="C253" t="s">
        <v>69</v>
      </c>
      <c r="D253" t="s">
        <v>723</v>
      </c>
      <c r="E253" t="s">
        <v>69</v>
      </c>
      <c r="F253" t="s">
        <v>125</v>
      </c>
      <c r="G253" t="s">
        <v>125</v>
      </c>
    </row>
    <row r="254" spans="1:7">
      <c r="A254" t="s">
        <v>530</v>
      </c>
      <c r="B254">
        <v>3</v>
      </c>
      <c r="C254" t="s">
        <v>86</v>
      </c>
      <c r="D254" t="s">
        <v>723</v>
      </c>
      <c r="E254" t="s">
        <v>86</v>
      </c>
      <c r="F254" t="s">
        <v>125</v>
      </c>
      <c r="G254" t="s">
        <v>125</v>
      </c>
    </row>
    <row r="255" spans="1:7">
      <c r="A255" t="s">
        <v>530</v>
      </c>
      <c r="B255">
        <v>4</v>
      </c>
      <c r="C255" t="s">
        <v>92</v>
      </c>
      <c r="D255" t="s">
        <v>723</v>
      </c>
      <c r="E255" t="s">
        <v>92</v>
      </c>
      <c r="F255" t="s">
        <v>125</v>
      </c>
      <c r="G255" t="s">
        <v>125</v>
      </c>
    </row>
    <row r="256" spans="1:7">
      <c r="A256" t="s">
        <v>530</v>
      </c>
      <c r="B256">
        <v>5</v>
      </c>
      <c r="C256" t="s">
        <v>113</v>
      </c>
      <c r="D256" t="s">
        <v>723</v>
      </c>
      <c r="E256" t="s">
        <v>113</v>
      </c>
      <c r="F256" t="s">
        <v>125</v>
      </c>
      <c r="G256" t="s">
        <v>125</v>
      </c>
    </row>
    <row r="257" spans="1:7">
      <c r="A257" t="s">
        <v>530</v>
      </c>
      <c r="B257">
        <v>6</v>
      </c>
      <c r="C257" t="s">
        <v>75</v>
      </c>
      <c r="D257" t="s">
        <v>723</v>
      </c>
      <c r="E257" t="s">
        <v>75</v>
      </c>
      <c r="F257" t="s">
        <v>125</v>
      </c>
      <c r="G257" t="s">
        <v>125</v>
      </c>
    </row>
    <row r="258" spans="1:7">
      <c r="A258" t="s">
        <v>530</v>
      </c>
      <c r="B258">
        <v>7</v>
      </c>
      <c r="C258" t="s">
        <v>77</v>
      </c>
      <c r="D258" t="s">
        <v>723</v>
      </c>
      <c r="E258" t="s">
        <v>77</v>
      </c>
      <c r="F258" t="s">
        <v>125</v>
      </c>
      <c r="G258" t="s">
        <v>125</v>
      </c>
    </row>
    <row r="259" spans="1:7">
      <c r="A259" t="s">
        <v>530</v>
      </c>
      <c r="B259">
        <v>8</v>
      </c>
      <c r="C259" t="s">
        <v>97</v>
      </c>
      <c r="D259" t="s">
        <v>723</v>
      </c>
      <c r="E259" t="s">
        <v>97</v>
      </c>
      <c r="F259" t="s">
        <v>125</v>
      </c>
      <c r="G259" t="s">
        <v>125</v>
      </c>
    </row>
    <row r="260" spans="1:7">
      <c r="A260" t="s">
        <v>531</v>
      </c>
      <c r="B260">
        <v>1</v>
      </c>
      <c r="C260" t="s">
        <v>64</v>
      </c>
      <c r="D260" t="s">
        <v>723</v>
      </c>
      <c r="E260" t="s">
        <v>64</v>
      </c>
      <c r="F260" t="s">
        <v>125</v>
      </c>
      <c r="G260" t="s">
        <v>125</v>
      </c>
    </row>
    <row r="261" spans="1:7">
      <c r="A261" t="s">
        <v>531</v>
      </c>
      <c r="B261">
        <v>2</v>
      </c>
      <c r="C261" t="s">
        <v>76</v>
      </c>
      <c r="D261" t="s">
        <v>723</v>
      </c>
      <c r="E261" t="s">
        <v>76</v>
      </c>
      <c r="F261" t="s">
        <v>125</v>
      </c>
      <c r="G261" t="s">
        <v>125</v>
      </c>
    </row>
    <row r="262" spans="1:7">
      <c r="A262" t="s">
        <v>531</v>
      </c>
      <c r="B262">
        <v>3</v>
      </c>
      <c r="C262" t="s">
        <v>100</v>
      </c>
      <c r="D262" t="s">
        <v>723</v>
      </c>
      <c r="E262" t="s">
        <v>100</v>
      </c>
      <c r="F262" t="s">
        <v>125</v>
      </c>
      <c r="G262" t="s">
        <v>125</v>
      </c>
    </row>
    <row r="263" spans="1:7">
      <c r="A263" t="s">
        <v>531</v>
      </c>
      <c r="B263">
        <v>4</v>
      </c>
      <c r="C263" t="s">
        <v>73</v>
      </c>
      <c r="D263" t="s">
        <v>723</v>
      </c>
      <c r="E263" t="s">
        <v>73</v>
      </c>
      <c r="F263" t="s">
        <v>125</v>
      </c>
      <c r="G263" t="s">
        <v>125</v>
      </c>
    </row>
    <row r="264" spans="1:7">
      <c r="A264" t="s">
        <v>531</v>
      </c>
      <c r="B264">
        <v>5</v>
      </c>
      <c r="C264" t="s">
        <v>91</v>
      </c>
      <c r="D264" t="s">
        <v>723</v>
      </c>
      <c r="E264" t="s">
        <v>91</v>
      </c>
      <c r="F264" t="s">
        <v>125</v>
      </c>
      <c r="G264" t="s">
        <v>125</v>
      </c>
    </row>
    <row r="265" spans="1:7">
      <c r="A265" t="s">
        <v>531</v>
      </c>
      <c r="B265">
        <v>6</v>
      </c>
      <c r="C265" t="s">
        <v>97</v>
      </c>
      <c r="D265" t="s">
        <v>723</v>
      </c>
      <c r="E265" t="s">
        <v>97</v>
      </c>
      <c r="F265" t="s">
        <v>125</v>
      </c>
      <c r="G265" t="s">
        <v>125</v>
      </c>
    </row>
    <row r="266" spans="1:7">
      <c r="A266" t="s">
        <v>531</v>
      </c>
      <c r="B266">
        <v>7</v>
      </c>
      <c r="C266" t="s">
        <v>101</v>
      </c>
      <c r="D266" t="s">
        <v>723</v>
      </c>
      <c r="E266" t="s">
        <v>101</v>
      </c>
      <c r="F266" t="s">
        <v>125</v>
      </c>
      <c r="G266" t="s">
        <v>125</v>
      </c>
    </row>
    <row r="267" spans="1:7">
      <c r="A267" t="s">
        <v>531</v>
      </c>
      <c r="B267">
        <v>8</v>
      </c>
      <c r="C267" t="s">
        <v>105</v>
      </c>
      <c r="D267" t="s">
        <v>723</v>
      </c>
      <c r="E267" t="s">
        <v>105</v>
      </c>
      <c r="F267" t="s">
        <v>125</v>
      </c>
      <c r="G267" t="s">
        <v>125</v>
      </c>
    </row>
    <row r="268" spans="1:7">
      <c r="A268" t="s">
        <v>532</v>
      </c>
      <c r="B268">
        <v>1</v>
      </c>
      <c r="C268" t="s">
        <v>64</v>
      </c>
      <c r="D268" t="s">
        <v>723</v>
      </c>
      <c r="E268" t="s">
        <v>64</v>
      </c>
      <c r="F268" t="s">
        <v>125</v>
      </c>
      <c r="G268" t="s">
        <v>125</v>
      </c>
    </row>
    <row r="269" spans="1:7">
      <c r="A269" t="s">
        <v>532</v>
      </c>
      <c r="B269">
        <v>2</v>
      </c>
      <c r="C269" t="s">
        <v>533</v>
      </c>
      <c r="D269" t="s">
        <v>723</v>
      </c>
      <c r="E269" t="s">
        <v>533</v>
      </c>
      <c r="F269" t="s">
        <v>125</v>
      </c>
      <c r="G269" t="s">
        <v>542</v>
      </c>
    </row>
    <row r="270" spans="1:7">
      <c r="A270" t="s">
        <v>532</v>
      </c>
      <c r="B270">
        <v>3</v>
      </c>
      <c r="C270" t="s">
        <v>86</v>
      </c>
      <c r="D270" t="s">
        <v>723</v>
      </c>
      <c r="E270" t="s">
        <v>86</v>
      </c>
      <c r="F270" t="s">
        <v>125</v>
      </c>
      <c r="G270" t="s">
        <v>125</v>
      </c>
    </row>
    <row r="271" spans="1:7">
      <c r="A271" t="s">
        <v>532</v>
      </c>
      <c r="B271">
        <v>4</v>
      </c>
      <c r="C271" t="s">
        <v>77</v>
      </c>
      <c r="D271" t="s">
        <v>723</v>
      </c>
      <c r="E271" t="s">
        <v>77</v>
      </c>
      <c r="F271" t="s">
        <v>125</v>
      </c>
      <c r="G271" t="s">
        <v>125</v>
      </c>
    </row>
    <row r="272" spans="1:7">
      <c r="A272" t="s">
        <v>532</v>
      </c>
      <c r="B272">
        <v>5</v>
      </c>
      <c r="C272" t="s">
        <v>97</v>
      </c>
      <c r="D272" t="s">
        <v>723</v>
      </c>
      <c r="E272" t="s">
        <v>97</v>
      </c>
      <c r="F272" t="s">
        <v>125</v>
      </c>
      <c r="G272" t="s">
        <v>125</v>
      </c>
    </row>
    <row r="273" spans="1:7">
      <c r="A273" t="s">
        <v>532</v>
      </c>
      <c r="B273">
        <v>6</v>
      </c>
      <c r="C273" t="s">
        <v>101</v>
      </c>
      <c r="D273" t="s">
        <v>723</v>
      </c>
      <c r="E273" t="s">
        <v>101</v>
      </c>
      <c r="F273" t="s">
        <v>125</v>
      </c>
      <c r="G273" t="s">
        <v>125</v>
      </c>
    </row>
    <row r="274" spans="1:7">
      <c r="A274" t="s">
        <v>532</v>
      </c>
      <c r="B274">
        <v>7</v>
      </c>
      <c r="C274" t="s">
        <v>2367</v>
      </c>
      <c r="D274" t="s">
        <v>759</v>
      </c>
      <c r="E274" t="s">
        <v>125</v>
      </c>
      <c r="F274" t="s">
        <v>125</v>
      </c>
      <c r="G274" t="s">
        <v>125</v>
      </c>
    </row>
    <row r="275" spans="1:7">
      <c r="A275" t="s">
        <v>532</v>
      </c>
      <c r="B275">
        <v>8</v>
      </c>
      <c r="C275" t="s">
        <v>2367</v>
      </c>
      <c r="D275" t="s">
        <v>759</v>
      </c>
      <c r="E275" t="s">
        <v>125</v>
      </c>
      <c r="F275" t="s">
        <v>125</v>
      </c>
      <c r="G275" t="s">
        <v>125</v>
      </c>
    </row>
    <row r="276" spans="1:7">
      <c r="A276" t="s">
        <v>535</v>
      </c>
      <c r="B276">
        <v>1</v>
      </c>
      <c r="C276" t="s">
        <v>64</v>
      </c>
      <c r="D276" t="s">
        <v>723</v>
      </c>
      <c r="E276" t="s">
        <v>64</v>
      </c>
      <c r="F276" t="s">
        <v>125</v>
      </c>
      <c r="G276" t="s">
        <v>125</v>
      </c>
    </row>
    <row r="277" spans="1:7">
      <c r="A277" t="s">
        <v>535</v>
      </c>
      <c r="B277">
        <v>2</v>
      </c>
      <c r="C277" t="s">
        <v>485</v>
      </c>
      <c r="D277" t="s">
        <v>723</v>
      </c>
      <c r="E277" t="s">
        <v>485</v>
      </c>
      <c r="F277" t="s">
        <v>125</v>
      </c>
      <c r="G277" t="s">
        <v>543</v>
      </c>
    </row>
    <row r="278" spans="1:7">
      <c r="A278" t="s">
        <v>535</v>
      </c>
      <c r="B278">
        <v>3</v>
      </c>
      <c r="C278" t="s">
        <v>102</v>
      </c>
      <c r="D278" t="s">
        <v>723</v>
      </c>
      <c r="E278" t="s">
        <v>102</v>
      </c>
      <c r="F278" t="s">
        <v>125</v>
      </c>
      <c r="G278" t="s">
        <v>125</v>
      </c>
    </row>
    <row r="279" spans="1:7">
      <c r="A279" t="s">
        <v>535</v>
      </c>
      <c r="B279">
        <v>4</v>
      </c>
      <c r="C279" t="s">
        <v>335</v>
      </c>
      <c r="D279" t="s">
        <v>2364</v>
      </c>
      <c r="E279" t="s">
        <v>125</v>
      </c>
      <c r="F279" t="s">
        <v>2368</v>
      </c>
      <c r="G279" t="s">
        <v>296</v>
      </c>
    </row>
    <row r="280" spans="1:7">
      <c r="A280" t="s">
        <v>535</v>
      </c>
      <c r="B280">
        <v>5</v>
      </c>
      <c r="C280" t="s">
        <v>73</v>
      </c>
      <c r="D280" t="s">
        <v>723</v>
      </c>
      <c r="E280" t="s">
        <v>73</v>
      </c>
      <c r="F280" t="s">
        <v>125</v>
      </c>
      <c r="G280" t="s">
        <v>125</v>
      </c>
    </row>
    <row r="281" spans="1:7">
      <c r="A281" t="s">
        <v>535</v>
      </c>
      <c r="B281">
        <v>6</v>
      </c>
      <c r="C281" t="s">
        <v>527</v>
      </c>
      <c r="D281" t="s">
        <v>2364</v>
      </c>
      <c r="E281" t="s">
        <v>125</v>
      </c>
      <c r="F281" t="s">
        <v>2375</v>
      </c>
      <c r="G281" t="s">
        <v>357</v>
      </c>
    </row>
    <row r="282" spans="1:7">
      <c r="A282" t="s">
        <v>535</v>
      </c>
      <c r="B282">
        <v>7</v>
      </c>
      <c r="C282" t="s">
        <v>105</v>
      </c>
      <c r="D282" t="s">
        <v>723</v>
      </c>
      <c r="E282" t="s">
        <v>105</v>
      </c>
      <c r="F282" t="s">
        <v>125</v>
      </c>
      <c r="G282" t="s">
        <v>125</v>
      </c>
    </row>
    <row r="283" spans="1:7">
      <c r="A283" t="s">
        <v>535</v>
      </c>
      <c r="B283">
        <v>8</v>
      </c>
      <c r="C283" t="s">
        <v>106</v>
      </c>
      <c r="D283" t="s">
        <v>723</v>
      </c>
      <c r="E283" t="s">
        <v>106</v>
      </c>
      <c r="F283" t="s">
        <v>125</v>
      </c>
      <c r="G283" t="s">
        <v>125</v>
      </c>
    </row>
    <row r="284" spans="1:7">
      <c r="A284" t="s">
        <v>536</v>
      </c>
      <c r="B284">
        <v>1</v>
      </c>
      <c r="C284" t="s">
        <v>64</v>
      </c>
      <c r="D284" t="s">
        <v>723</v>
      </c>
      <c r="E284" t="s">
        <v>64</v>
      </c>
      <c r="F284" t="s">
        <v>125</v>
      </c>
      <c r="G284" t="s">
        <v>125</v>
      </c>
    </row>
    <row r="285" spans="1:7">
      <c r="A285" t="s">
        <v>536</v>
      </c>
      <c r="B285">
        <v>2</v>
      </c>
      <c r="C285" t="s">
        <v>92</v>
      </c>
      <c r="D285" t="s">
        <v>723</v>
      </c>
      <c r="E285" t="s">
        <v>92</v>
      </c>
      <c r="F285" t="s">
        <v>125</v>
      </c>
      <c r="G285" t="s">
        <v>125</v>
      </c>
    </row>
    <row r="286" spans="1:7">
      <c r="A286" t="s">
        <v>536</v>
      </c>
      <c r="B286">
        <v>3</v>
      </c>
      <c r="C286" t="s">
        <v>98</v>
      </c>
      <c r="D286" t="s">
        <v>723</v>
      </c>
      <c r="E286" t="s">
        <v>98</v>
      </c>
      <c r="F286" t="s">
        <v>125</v>
      </c>
      <c r="G286" t="s">
        <v>125</v>
      </c>
    </row>
    <row r="287" spans="1:7">
      <c r="A287" t="s">
        <v>536</v>
      </c>
      <c r="B287">
        <v>4</v>
      </c>
      <c r="C287" t="s">
        <v>100</v>
      </c>
      <c r="D287" t="s">
        <v>723</v>
      </c>
      <c r="E287" t="s">
        <v>100</v>
      </c>
      <c r="F287" t="s">
        <v>125</v>
      </c>
      <c r="G287" t="s">
        <v>125</v>
      </c>
    </row>
    <row r="288" spans="1:7">
      <c r="A288" t="s">
        <v>536</v>
      </c>
      <c r="B288">
        <v>5</v>
      </c>
      <c r="C288" t="s">
        <v>114</v>
      </c>
      <c r="D288" t="s">
        <v>723</v>
      </c>
      <c r="E288" t="s">
        <v>114</v>
      </c>
      <c r="F288" t="s">
        <v>125</v>
      </c>
      <c r="G288" t="s">
        <v>125</v>
      </c>
    </row>
    <row r="289" spans="1:7">
      <c r="A289" t="s">
        <v>536</v>
      </c>
      <c r="B289">
        <v>6</v>
      </c>
      <c r="C289" t="s">
        <v>60</v>
      </c>
      <c r="D289" t="s">
        <v>723</v>
      </c>
      <c r="E289" t="s">
        <v>60</v>
      </c>
      <c r="F289" t="s">
        <v>125</v>
      </c>
      <c r="G289" t="s">
        <v>125</v>
      </c>
    </row>
    <row r="290" spans="1:7">
      <c r="A290" t="s">
        <v>536</v>
      </c>
      <c r="B290">
        <v>7</v>
      </c>
      <c r="C290" t="s">
        <v>67</v>
      </c>
      <c r="D290" t="s">
        <v>723</v>
      </c>
      <c r="E290" t="s">
        <v>67</v>
      </c>
      <c r="F290" t="s">
        <v>125</v>
      </c>
      <c r="G290" t="s">
        <v>125</v>
      </c>
    </row>
    <row r="291" spans="1:7">
      <c r="A291" t="s">
        <v>536</v>
      </c>
      <c r="B291">
        <v>8</v>
      </c>
      <c r="C291" t="s">
        <v>107</v>
      </c>
      <c r="D291" t="s">
        <v>723</v>
      </c>
      <c r="E291" t="s">
        <v>107</v>
      </c>
      <c r="F291" t="s">
        <v>125</v>
      </c>
      <c r="G291" t="s">
        <v>125</v>
      </c>
    </row>
    <row r="292" spans="1:7">
      <c r="A292" t="s">
        <v>537</v>
      </c>
      <c r="B292">
        <v>1</v>
      </c>
      <c r="C292" t="s">
        <v>82</v>
      </c>
      <c r="D292" t="s">
        <v>723</v>
      </c>
      <c r="E292" t="s">
        <v>82</v>
      </c>
      <c r="F292" t="s">
        <v>125</v>
      </c>
      <c r="G292" t="s">
        <v>125</v>
      </c>
    </row>
    <row r="293" spans="1:7">
      <c r="A293" t="s">
        <v>537</v>
      </c>
      <c r="B293">
        <v>2</v>
      </c>
      <c r="C293" t="s">
        <v>86</v>
      </c>
      <c r="D293" t="s">
        <v>723</v>
      </c>
      <c r="E293" t="s">
        <v>86</v>
      </c>
      <c r="F293" t="s">
        <v>125</v>
      </c>
      <c r="G293" t="s">
        <v>125</v>
      </c>
    </row>
    <row r="294" spans="1:7">
      <c r="A294" t="s">
        <v>537</v>
      </c>
      <c r="B294">
        <v>3</v>
      </c>
      <c r="C294" t="s">
        <v>503</v>
      </c>
      <c r="D294" t="s">
        <v>2364</v>
      </c>
      <c r="E294" t="s">
        <v>125</v>
      </c>
      <c r="F294" t="s">
        <v>2365</v>
      </c>
      <c r="G294" t="s">
        <v>543</v>
      </c>
    </row>
    <row r="295" spans="1:7">
      <c r="A295" t="s">
        <v>537</v>
      </c>
      <c r="B295">
        <v>4</v>
      </c>
      <c r="C295" t="s">
        <v>335</v>
      </c>
      <c r="D295" t="s">
        <v>2364</v>
      </c>
      <c r="E295" t="s">
        <v>125</v>
      </c>
      <c r="F295" t="s">
        <v>2368</v>
      </c>
      <c r="G295" t="s">
        <v>296</v>
      </c>
    </row>
    <row r="296" spans="1:7">
      <c r="A296" t="s">
        <v>537</v>
      </c>
      <c r="B296">
        <v>5</v>
      </c>
      <c r="C296" t="s">
        <v>299</v>
      </c>
      <c r="D296" t="s">
        <v>2364</v>
      </c>
      <c r="E296" t="s">
        <v>125</v>
      </c>
      <c r="F296" t="s">
        <v>2376</v>
      </c>
      <c r="G296" t="s">
        <v>544</v>
      </c>
    </row>
    <row r="297" spans="1:7">
      <c r="A297" t="s">
        <v>537</v>
      </c>
      <c r="B297">
        <v>6</v>
      </c>
      <c r="C297" t="s">
        <v>299</v>
      </c>
      <c r="D297" t="s">
        <v>2364</v>
      </c>
      <c r="E297" t="s">
        <v>125</v>
      </c>
      <c r="F297" t="s">
        <v>2376</v>
      </c>
      <c r="G297" t="s">
        <v>544</v>
      </c>
    </row>
    <row r="298" spans="1:7">
      <c r="A298" t="s">
        <v>537</v>
      </c>
      <c r="B298">
        <v>7</v>
      </c>
      <c r="C298" t="s">
        <v>299</v>
      </c>
      <c r="D298" t="s">
        <v>2364</v>
      </c>
      <c r="E298" t="s">
        <v>125</v>
      </c>
      <c r="F298" t="s">
        <v>2376</v>
      </c>
      <c r="G298" t="s">
        <v>544</v>
      </c>
    </row>
    <row r="299" spans="1:7">
      <c r="A299" t="s">
        <v>537</v>
      </c>
      <c r="B299">
        <v>8</v>
      </c>
      <c r="C299" t="s">
        <v>2369</v>
      </c>
      <c r="D299" t="s">
        <v>1668</v>
      </c>
      <c r="E299" t="s">
        <v>125</v>
      </c>
      <c r="F299" t="s">
        <v>2377</v>
      </c>
      <c r="G299" t="s">
        <v>125</v>
      </c>
    </row>
    <row r="300" spans="1:7">
      <c r="A300" t="s">
        <v>538</v>
      </c>
      <c r="B300">
        <v>1</v>
      </c>
      <c r="C300" t="s">
        <v>82</v>
      </c>
      <c r="D300" t="s">
        <v>723</v>
      </c>
      <c r="E300" t="s">
        <v>82</v>
      </c>
      <c r="F300" t="s">
        <v>125</v>
      </c>
      <c r="G300" t="s">
        <v>125</v>
      </c>
    </row>
    <row r="301" spans="1:7">
      <c r="A301" t="s">
        <v>538</v>
      </c>
      <c r="B301">
        <v>2</v>
      </c>
      <c r="C301" t="s">
        <v>92</v>
      </c>
      <c r="D301" t="s">
        <v>723</v>
      </c>
      <c r="E301" t="s">
        <v>92</v>
      </c>
      <c r="F301" t="s">
        <v>125</v>
      </c>
      <c r="G301" t="s">
        <v>125</v>
      </c>
    </row>
    <row r="302" spans="1:7">
      <c r="A302" t="s">
        <v>538</v>
      </c>
      <c r="B302">
        <v>3</v>
      </c>
      <c r="C302" t="s">
        <v>108</v>
      </c>
      <c r="D302" t="s">
        <v>723</v>
      </c>
      <c r="E302" t="s">
        <v>108</v>
      </c>
      <c r="F302" t="s">
        <v>125</v>
      </c>
      <c r="G302" t="s">
        <v>125</v>
      </c>
    </row>
    <row r="303" spans="1:7">
      <c r="A303" t="s">
        <v>538</v>
      </c>
      <c r="B303">
        <v>4</v>
      </c>
      <c r="C303" t="s">
        <v>335</v>
      </c>
      <c r="D303" t="s">
        <v>2364</v>
      </c>
      <c r="E303" t="s">
        <v>125</v>
      </c>
      <c r="F303" t="s">
        <v>2368</v>
      </c>
      <c r="G303" t="s">
        <v>296</v>
      </c>
    </row>
    <row r="304" spans="1:7">
      <c r="A304" t="s">
        <v>538</v>
      </c>
      <c r="B304">
        <v>5</v>
      </c>
      <c r="C304" t="s">
        <v>114</v>
      </c>
      <c r="D304" t="s">
        <v>723</v>
      </c>
      <c r="E304" t="s">
        <v>114</v>
      </c>
      <c r="F304" t="s">
        <v>125</v>
      </c>
      <c r="G304" t="s">
        <v>125</v>
      </c>
    </row>
    <row r="305" spans="1:7">
      <c r="A305" t="s">
        <v>538</v>
      </c>
      <c r="B305">
        <v>6</v>
      </c>
      <c r="C305" t="s">
        <v>60</v>
      </c>
      <c r="D305" t="s">
        <v>723</v>
      </c>
      <c r="E305" t="s">
        <v>60</v>
      </c>
      <c r="F305" t="s">
        <v>125</v>
      </c>
      <c r="G305" t="s">
        <v>125</v>
      </c>
    </row>
    <row r="306" spans="1:7">
      <c r="A306" t="s">
        <v>538</v>
      </c>
      <c r="B306">
        <v>7</v>
      </c>
      <c r="C306" t="s">
        <v>77</v>
      </c>
      <c r="D306" t="s">
        <v>723</v>
      </c>
      <c r="E306" t="s">
        <v>77</v>
      </c>
      <c r="F306" t="s">
        <v>125</v>
      </c>
      <c r="G306" t="s">
        <v>125</v>
      </c>
    </row>
    <row r="307" spans="1:7">
      <c r="A307" t="s">
        <v>538</v>
      </c>
      <c r="B307">
        <v>8</v>
      </c>
      <c r="C307" t="s">
        <v>97</v>
      </c>
      <c r="D307" t="s">
        <v>723</v>
      </c>
      <c r="E307" t="s">
        <v>97</v>
      </c>
      <c r="F307" t="s">
        <v>125</v>
      </c>
      <c r="G307" t="s">
        <v>125</v>
      </c>
    </row>
    <row r="308" spans="1:7">
      <c r="A308" t="s">
        <v>539</v>
      </c>
      <c r="B308">
        <v>1</v>
      </c>
      <c r="C308" t="s">
        <v>64</v>
      </c>
      <c r="D308" t="s">
        <v>723</v>
      </c>
      <c r="E308" t="s">
        <v>64</v>
      </c>
      <c r="F308" t="s">
        <v>125</v>
      </c>
      <c r="G308" t="s">
        <v>125</v>
      </c>
    </row>
    <row r="309" spans="1:7">
      <c r="A309" t="s">
        <v>539</v>
      </c>
      <c r="B309">
        <v>2</v>
      </c>
      <c r="C309" t="s">
        <v>74</v>
      </c>
      <c r="D309" t="s">
        <v>723</v>
      </c>
      <c r="E309" t="s">
        <v>74</v>
      </c>
      <c r="F309" t="s">
        <v>125</v>
      </c>
      <c r="G309" t="s">
        <v>125</v>
      </c>
    </row>
    <row r="310" spans="1:7">
      <c r="A310" t="s">
        <v>539</v>
      </c>
      <c r="B310">
        <v>3</v>
      </c>
      <c r="C310" t="s">
        <v>76</v>
      </c>
      <c r="D310" t="s">
        <v>723</v>
      </c>
      <c r="E310" t="s">
        <v>76</v>
      </c>
      <c r="F310" t="s">
        <v>125</v>
      </c>
      <c r="G310" t="s">
        <v>125</v>
      </c>
    </row>
    <row r="311" spans="1:7">
      <c r="A311" t="s">
        <v>539</v>
      </c>
      <c r="B311">
        <v>4</v>
      </c>
      <c r="C311" t="s">
        <v>98</v>
      </c>
      <c r="D311" t="s">
        <v>723</v>
      </c>
      <c r="E311" t="s">
        <v>98</v>
      </c>
      <c r="F311" t="s">
        <v>125</v>
      </c>
      <c r="G311" t="s">
        <v>125</v>
      </c>
    </row>
    <row r="312" spans="1:7">
      <c r="A312" t="s">
        <v>539</v>
      </c>
      <c r="B312">
        <v>5</v>
      </c>
      <c r="C312" t="s">
        <v>100</v>
      </c>
      <c r="D312" t="s">
        <v>723</v>
      </c>
      <c r="E312" t="s">
        <v>100</v>
      </c>
      <c r="F312" t="s">
        <v>125</v>
      </c>
      <c r="G312" t="s">
        <v>125</v>
      </c>
    </row>
    <row r="313" spans="1:7">
      <c r="A313" t="s">
        <v>539</v>
      </c>
      <c r="B313">
        <v>6</v>
      </c>
      <c r="C313" t="s">
        <v>112</v>
      </c>
      <c r="D313" t="s">
        <v>723</v>
      </c>
      <c r="E313" t="s">
        <v>112</v>
      </c>
      <c r="F313" t="s">
        <v>125</v>
      </c>
      <c r="G313" t="s">
        <v>125</v>
      </c>
    </row>
    <row r="314" spans="1:7">
      <c r="A314" t="s">
        <v>539</v>
      </c>
      <c r="B314">
        <v>7</v>
      </c>
      <c r="C314" t="s">
        <v>444</v>
      </c>
      <c r="D314" t="s">
        <v>723</v>
      </c>
      <c r="E314" t="s">
        <v>444</v>
      </c>
      <c r="F314" t="s">
        <v>125</v>
      </c>
      <c r="G314" t="s">
        <v>330</v>
      </c>
    </row>
    <row r="315" spans="1:7">
      <c r="A315" t="s">
        <v>539</v>
      </c>
      <c r="B315">
        <v>8</v>
      </c>
      <c r="C315" t="s">
        <v>107</v>
      </c>
      <c r="D315" t="s">
        <v>723</v>
      </c>
      <c r="E315" t="s">
        <v>107</v>
      </c>
      <c r="F315" t="s">
        <v>125</v>
      </c>
      <c r="G315" t="s">
        <v>125</v>
      </c>
    </row>
    <row r="316" spans="1:7">
      <c r="A316" t="s">
        <v>540</v>
      </c>
      <c r="B316">
        <v>1</v>
      </c>
      <c r="C316" t="s">
        <v>66</v>
      </c>
      <c r="D316" t="s">
        <v>723</v>
      </c>
      <c r="E316" t="s">
        <v>66</v>
      </c>
      <c r="F316" t="s">
        <v>125</v>
      </c>
      <c r="G316" t="s">
        <v>125</v>
      </c>
    </row>
    <row r="317" spans="1:7">
      <c r="A317" t="s">
        <v>540</v>
      </c>
      <c r="B317">
        <v>2</v>
      </c>
      <c r="C317" t="s">
        <v>335</v>
      </c>
      <c r="D317" t="s">
        <v>2364</v>
      </c>
      <c r="E317" t="s">
        <v>125</v>
      </c>
      <c r="F317" t="s">
        <v>2368</v>
      </c>
      <c r="G317" t="s">
        <v>296</v>
      </c>
    </row>
    <row r="318" spans="1:7">
      <c r="A318" t="s">
        <v>540</v>
      </c>
      <c r="B318">
        <v>3</v>
      </c>
      <c r="C318" t="s">
        <v>335</v>
      </c>
      <c r="D318" t="s">
        <v>2364</v>
      </c>
      <c r="E318" t="s">
        <v>125</v>
      </c>
      <c r="F318" t="s">
        <v>2368</v>
      </c>
      <c r="G318" t="s">
        <v>296</v>
      </c>
    </row>
    <row r="319" spans="1:7">
      <c r="A319" t="s">
        <v>540</v>
      </c>
      <c r="B319">
        <v>4</v>
      </c>
      <c r="C319" t="s">
        <v>335</v>
      </c>
      <c r="D319" t="s">
        <v>2364</v>
      </c>
      <c r="E319" t="s">
        <v>125</v>
      </c>
      <c r="F319" t="s">
        <v>2368</v>
      </c>
      <c r="G319" t="s">
        <v>296</v>
      </c>
    </row>
    <row r="320" spans="1:7">
      <c r="A320" t="s">
        <v>540</v>
      </c>
      <c r="B320">
        <v>5</v>
      </c>
      <c r="C320" t="s">
        <v>113</v>
      </c>
      <c r="D320" t="s">
        <v>723</v>
      </c>
      <c r="E320" t="s">
        <v>113</v>
      </c>
      <c r="F320" t="s">
        <v>125</v>
      </c>
      <c r="G320" t="s">
        <v>125</v>
      </c>
    </row>
    <row r="321" spans="1:7">
      <c r="A321" t="s">
        <v>540</v>
      </c>
      <c r="B321">
        <v>6</v>
      </c>
      <c r="C321" t="s">
        <v>114</v>
      </c>
      <c r="D321" t="s">
        <v>723</v>
      </c>
      <c r="E321" t="s">
        <v>114</v>
      </c>
      <c r="F321" t="s">
        <v>125</v>
      </c>
      <c r="G321" t="s">
        <v>125</v>
      </c>
    </row>
    <row r="322" spans="1:7">
      <c r="A322" t="s">
        <v>540</v>
      </c>
      <c r="B322">
        <v>7</v>
      </c>
      <c r="C322" t="s">
        <v>77</v>
      </c>
      <c r="D322" t="s">
        <v>723</v>
      </c>
      <c r="E322" t="s">
        <v>77</v>
      </c>
      <c r="F322" t="s">
        <v>125</v>
      </c>
      <c r="G322" t="s">
        <v>125</v>
      </c>
    </row>
    <row r="323" spans="1:7">
      <c r="A323" t="s">
        <v>540</v>
      </c>
      <c r="B323">
        <v>8</v>
      </c>
      <c r="C323" t="s">
        <v>2367</v>
      </c>
      <c r="D323" t="s">
        <v>759</v>
      </c>
      <c r="E323" t="s">
        <v>125</v>
      </c>
      <c r="F323" t="s">
        <v>125</v>
      </c>
      <c r="G323" t="s">
        <v>125</v>
      </c>
    </row>
    <row r="324" spans="1:7">
      <c r="A324" t="s">
        <v>541</v>
      </c>
      <c r="B324">
        <v>1</v>
      </c>
      <c r="C324" t="s">
        <v>64</v>
      </c>
      <c r="D324" t="s">
        <v>723</v>
      </c>
      <c r="E324" t="s">
        <v>64</v>
      </c>
      <c r="F324" t="s">
        <v>125</v>
      </c>
      <c r="G324" t="s">
        <v>125</v>
      </c>
    </row>
    <row r="325" spans="1:7">
      <c r="A325" t="s">
        <v>541</v>
      </c>
      <c r="B325">
        <v>2</v>
      </c>
      <c r="C325" t="s">
        <v>76</v>
      </c>
      <c r="D325" t="s">
        <v>723</v>
      </c>
      <c r="E325" t="s">
        <v>76</v>
      </c>
      <c r="F325" t="s">
        <v>125</v>
      </c>
      <c r="G325" t="s">
        <v>125</v>
      </c>
    </row>
    <row r="326" spans="1:7">
      <c r="A326" t="s">
        <v>541</v>
      </c>
      <c r="B326">
        <v>3</v>
      </c>
      <c r="C326" t="s">
        <v>503</v>
      </c>
      <c r="D326" t="s">
        <v>2364</v>
      </c>
      <c r="E326" t="s">
        <v>125</v>
      </c>
      <c r="F326" t="s">
        <v>2365</v>
      </c>
      <c r="G326" t="s">
        <v>543</v>
      </c>
    </row>
    <row r="327" spans="1:7">
      <c r="A327" t="s">
        <v>541</v>
      </c>
      <c r="B327">
        <v>4</v>
      </c>
      <c r="C327" t="s">
        <v>60</v>
      </c>
      <c r="D327" t="s">
        <v>723</v>
      </c>
      <c r="E327" t="s">
        <v>60</v>
      </c>
      <c r="F327" t="s">
        <v>125</v>
      </c>
      <c r="G327" t="s">
        <v>125</v>
      </c>
    </row>
    <row r="328" spans="1:7">
      <c r="A328" t="s">
        <v>541</v>
      </c>
      <c r="B328">
        <v>5</v>
      </c>
      <c r="C328" t="s">
        <v>73</v>
      </c>
      <c r="D328" t="s">
        <v>723</v>
      </c>
      <c r="E328" t="s">
        <v>73</v>
      </c>
      <c r="F328" t="s">
        <v>125</v>
      </c>
      <c r="G328" t="s">
        <v>125</v>
      </c>
    </row>
    <row r="329" spans="1:7">
      <c r="A329" t="s">
        <v>541</v>
      </c>
      <c r="B329">
        <v>6</v>
      </c>
      <c r="C329" t="s">
        <v>77</v>
      </c>
      <c r="D329" t="s">
        <v>723</v>
      </c>
      <c r="E329" t="s">
        <v>77</v>
      </c>
      <c r="F329" t="s">
        <v>125</v>
      </c>
      <c r="G329" t="s">
        <v>125</v>
      </c>
    </row>
    <row r="330" spans="1:7">
      <c r="A330" t="s">
        <v>541</v>
      </c>
      <c r="B330">
        <v>7</v>
      </c>
      <c r="C330" t="s">
        <v>97</v>
      </c>
      <c r="D330" t="s">
        <v>723</v>
      </c>
      <c r="E330" t="s">
        <v>97</v>
      </c>
      <c r="F330" t="s">
        <v>125</v>
      </c>
      <c r="G330" t="s">
        <v>125</v>
      </c>
    </row>
    <row r="331" spans="1:7">
      <c r="A331" t="s">
        <v>541</v>
      </c>
      <c r="B331">
        <v>8</v>
      </c>
      <c r="C331" t="s">
        <v>101</v>
      </c>
      <c r="D331" t="s">
        <v>723</v>
      </c>
      <c r="E331" t="s">
        <v>101</v>
      </c>
      <c r="F331" t="s">
        <v>125</v>
      </c>
      <c r="G331" t="s">
        <v>125</v>
      </c>
    </row>
    <row r="400" spans="1:1">
      <c r="A400" t="s">
        <v>2378</v>
      </c>
    </row>
    <row r="401" spans="1:1">
      <c r="A401" t="s">
        <v>2379</v>
      </c>
    </row>
    <row r="402" spans="1:1">
      <c r="A402" t="s">
        <v>2380</v>
      </c>
    </row>
    <row r="403" spans="1:1">
      <c r="A403" t="s">
        <v>2381</v>
      </c>
    </row>
    <row r="404" spans="1:1">
      <c r="A404" t="s">
        <v>2382</v>
      </c>
    </row>
    <row r="405" spans="1:1">
      <c r="A405" t="s">
        <v>2383</v>
      </c>
    </row>
    <row r="406" spans="1:1">
      <c r="A406" t="s">
        <v>2384</v>
      </c>
    </row>
    <row r="407" spans="1:1">
      <c r="A407" t="s">
        <v>2385</v>
      </c>
    </row>
    <row r="500" spans="1:9">
      <c r="A500" t="s">
        <v>2386</v>
      </c>
      <c r="B500" t="s">
        <v>107</v>
      </c>
      <c r="C500" t="s">
        <v>2346</v>
      </c>
      <c r="D500" t="s">
        <v>2387</v>
      </c>
      <c r="E500" t="s">
        <v>2388</v>
      </c>
      <c r="F500" t="s">
        <v>2389</v>
      </c>
      <c r="G500" t="s">
        <v>125</v>
      </c>
      <c r="H500" t="s">
        <v>125</v>
      </c>
      <c r="I500" t="s">
        <v>2390</v>
      </c>
    </row>
    <row r="501" spans="1:9">
      <c r="A501" t="s">
        <v>2391</v>
      </c>
      <c r="B501" t="s">
        <v>107</v>
      </c>
      <c r="C501" t="s">
        <v>2346</v>
      </c>
      <c r="D501" t="s">
        <v>2392</v>
      </c>
      <c r="E501" t="s">
        <v>2388</v>
      </c>
      <c r="F501" t="s">
        <v>2389</v>
      </c>
      <c r="G501" t="s">
        <v>125</v>
      </c>
      <c r="H501" t="s">
        <v>125</v>
      </c>
      <c r="I501" t="s">
        <v>2393</v>
      </c>
    </row>
    <row r="502" spans="1:9">
      <c r="A502" t="s">
        <v>2394</v>
      </c>
      <c r="B502" t="s">
        <v>107</v>
      </c>
      <c r="C502" t="s">
        <v>2346</v>
      </c>
      <c r="D502" t="s">
        <v>616</v>
      </c>
      <c r="E502" t="s">
        <v>2388</v>
      </c>
      <c r="F502" t="s">
        <v>2389</v>
      </c>
      <c r="G502" t="s">
        <v>125</v>
      </c>
      <c r="H502" t="s">
        <v>2395</v>
      </c>
      <c r="I502" t="s">
        <v>2393</v>
      </c>
    </row>
    <row r="503" spans="1:9">
      <c r="A503" t="s">
        <v>62</v>
      </c>
      <c r="B503" t="s">
        <v>67</v>
      </c>
      <c r="C503" t="s">
        <v>2302</v>
      </c>
      <c r="D503" t="s">
        <v>2392</v>
      </c>
      <c r="E503" t="s">
        <v>2396</v>
      </c>
      <c r="F503" t="s">
        <v>2389</v>
      </c>
      <c r="G503" t="s">
        <v>125</v>
      </c>
      <c r="H503" t="s">
        <v>125</v>
      </c>
      <c r="I503" t="s">
        <v>2393</v>
      </c>
    </row>
    <row r="504" spans="1:9">
      <c r="A504" t="s">
        <v>2397</v>
      </c>
      <c r="B504" t="s">
        <v>67</v>
      </c>
      <c r="C504" t="s">
        <v>2302</v>
      </c>
      <c r="D504" t="s">
        <v>2392</v>
      </c>
      <c r="E504" t="s">
        <v>2388</v>
      </c>
      <c r="F504" t="s">
        <v>2389</v>
      </c>
      <c r="G504" t="s">
        <v>125</v>
      </c>
      <c r="H504" t="s">
        <v>125</v>
      </c>
      <c r="I504" t="s">
        <v>2393</v>
      </c>
    </row>
    <row r="505" spans="1:9">
      <c r="A505" t="s">
        <v>2398</v>
      </c>
      <c r="B505" t="s">
        <v>67</v>
      </c>
      <c r="C505" t="s">
        <v>2302</v>
      </c>
      <c r="D505" t="s">
        <v>2399</v>
      </c>
      <c r="E505" t="s">
        <v>2396</v>
      </c>
      <c r="F505" t="s">
        <v>2389</v>
      </c>
      <c r="G505" t="s">
        <v>125</v>
      </c>
      <c r="H505" t="s">
        <v>125</v>
      </c>
      <c r="I505" t="s">
        <v>2393</v>
      </c>
    </row>
    <row r="506" spans="1:9">
      <c r="A506" t="s">
        <v>2400</v>
      </c>
      <c r="B506" t="s">
        <v>67</v>
      </c>
      <c r="C506" t="s">
        <v>2302</v>
      </c>
      <c r="D506" t="s">
        <v>2399</v>
      </c>
      <c r="E506" t="s">
        <v>2388</v>
      </c>
      <c r="F506" t="s">
        <v>2389</v>
      </c>
      <c r="G506" t="s">
        <v>125</v>
      </c>
      <c r="H506" t="s">
        <v>125</v>
      </c>
      <c r="I506" t="s">
        <v>2393</v>
      </c>
    </row>
    <row r="507" spans="1:9">
      <c r="A507" t="s">
        <v>2401</v>
      </c>
      <c r="B507" t="s">
        <v>67</v>
      </c>
      <c r="C507" t="s">
        <v>2302</v>
      </c>
      <c r="D507" t="s">
        <v>2402</v>
      </c>
      <c r="E507" t="s">
        <v>2388</v>
      </c>
      <c r="F507" t="s">
        <v>2389</v>
      </c>
      <c r="G507" t="s">
        <v>125</v>
      </c>
      <c r="H507" t="s">
        <v>125</v>
      </c>
      <c r="I507" t="s">
        <v>2393</v>
      </c>
    </row>
    <row r="508" spans="1:9">
      <c r="A508" t="s">
        <v>2403</v>
      </c>
      <c r="B508" t="s">
        <v>67</v>
      </c>
      <c r="C508" t="s">
        <v>2302</v>
      </c>
      <c r="D508" t="s">
        <v>2402</v>
      </c>
      <c r="E508" t="s">
        <v>2388</v>
      </c>
      <c r="F508" t="s">
        <v>2389</v>
      </c>
      <c r="G508" t="s">
        <v>125</v>
      </c>
      <c r="H508" t="s">
        <v>125</v>
      </c>
      <c r="I508" t="s">
        <v>2393</v>
      </c>
    </row>
    <row r="509" spans="1:9">
      <c r="A509" t="s">
        <v>2404</v>
      </c>
      <c r="B509" t="s">
        <v>67</v>
      </c>
      <c r="C509" t="s">
        <v>2302</v>
      </c>
      <c r="D509" t="s">
        <v>2402</v>
      </c>
      <c r="E509" t="s">
        <v>2396</v>
      </c>
      <c r="F509" t="s">
        <v>2389</v>
      </c>
      <c r="G509" t="s">
        <v>125</v>
      </c>
      <c r="H509" t="s">
        <v>125</v>
      </c>
      <c r="I509" t="s">
        <v>2393</v>
      </c>
    </row>
    <row r="510" spans="1:9">
      <c r="A510" t="s">
        <v>2405</v>
      </c>
      <c r="B510" t="s">
        <v>67</v>
      </c>
      <c r="C510" t="s">
        <v>2302</v>
      </c>
      <c r="D510" t="s">
        <v>2406</v>
      </c>
      <c r="E510" t="s">
        <v>2388</v>
      </c>
      <c r="F510" t="s">
        <v>2389</v>
      </c>
      <c r="G510" t="s">
        <v>125</v>
      </c>
      <c r="H510" t="s">
        <v>125</v>
      </c>
      <c r="I510" t="s">
        <v>2393</v>
      </c>
    </row>
    <row r="511" spans="1:9">
      <c r="A511" t="s">
        <v>2407</v>
      </c>
      <c r="B511" t="s">
        <v>67</v>
      </c>
      <c r="C511" t="s">
        <v>2302</v>
      </c>
      <c r="D511" t="s">
        <v>2406</v>
      </c>
      <c r="E511" t="s">
        <v>2388</v>
      </c>
      <c r="F511" t="s">
        <v>2389</v>
      </c>
      <c r="G511" t="s">
        <v>125</v>
      </c>
      <c r="H511" t="s">
        <v>125</v>
      </c>
      <c r="I511" t="s">
        <v>2408</v>
      </c>
    </row>
    <row r="512" spans="1:9">
      <c r="A512" t="s">
        <v>2409</v>
      </c>
      <c r="B512" t="s">
        <v>67</v>
      </c>
      <c r="C512" t="s">
        <v>2302</v>
      </c>
      <c r="D512" t="s">
        <v>2410</v>
      </c>
      <c r="E512" t="s">
        <v>2388</v>
      </c>
      <c r="F512" t="s">
        <v>2389</v>
      </c>
      <c r="G512" t="s">
        <v>125</v>
      </c>
      <c r="H512" t="s">
        <v>2411</v>
      </c>
      <c r="I512" t="s">
        <v>2408</v>
      </c>
    </row>
    <row r="513" spans="1:9">
      <c r="A513" t="s">
        <v>2412</v>
      </c>
      <c r="B513" t="s">
        <v>2413</v>
      </c>
      <c r="C513" t="s">
        <v>2414</v>
      </c>
      <c r="D513" t="s">
        <v>2415</v>
      </c>
      <c r="E513" t="s">
        <v>125</v>
      </c>
      <c r="F513" t="s">
        <v>2416</v>
      </c>
      <c r="G513" t="s">
        <v>2417</v>
      </c>
      <c r="H513" t="s">
        <v>2418</v>
      </c>
      <c r="I513" t="s">
        <v>2393</v>
      </c>
    </row>
    <row r="514" spans="1:9">
      <c r="A514" t="s">
        <v>2419</v>
      </c>
      <c r="B514" t="s">
        <v>2413</v>
      </c>
      <c r="C514" t="s">
        <v>2414</v>
      </c>
      <c r="D514" t="s">
        <v>2415</v>
      </c>
      <c r="E514" t="s">
        <v>125</v>
      </c>
      <c r="F514" t="s">
        <v>2420</v>
      </c>
      <c r="G514" t="s">
        <v>2421</v>
      </c>
      <c r="H514" t="s">
        <v>2418</v>
      </c>
      <c r="I514" t="s">
        <v>2393</v>
      </c>
    </row>
    <row r="515" spans="1:9">
      <c r="A515" t="s">
        <v>2422</v>
      </c>
      <c r="B515" t="s">
        <v>76</v>
      </c>
      <c r="C515" t="s">
        <v>1172</v>
      </c>
      <c r="D515" t="s">
        <v>2415</v>
      </c>
      <c r="E515" t="s">
        <v>125</v>
      </c>
      <c r="F515" t="s">
        <v>2423</v>
      </c>
      <c r="G515" t="s">
        <v>2424</v>
      </c>
      <c r="H515" t="s">
        <v>2425</v>
      </c>
      <c r="I515" t="s">
        <v>2393</v>
      </c>
    </row>
    <row r="516" spans="1:9">
      <c r="A516" t="s">
        <v>2426</v>
      </c>
      <c r="B516" t="s">
        <v>112</v>
      </c>
      <c r="C516" t="s">
        <v>2294</v>
      </c>
      <c r="D516" t="s">
        <v>2415</v>
      </c>
      <c r="E516" t="s">
        <v>125</v>
      </c>
      <c r="F516" t="s">
        <v>2427</v>
      </c>
      <c r="G516" t="s">
        <v>2424</v>
      </c>
      <c r="H516" t="s">
        <v>2428</v>
      </c>
      <c r="I516" t="s">
        <v>2393</v>
      </c>
    </row>
    <row r="517" spans="1:9">
      <c r="A517" t="s">
        <v>2429</v>
      </c>
      <c r="B517" t="s">
        <v>76</v>
      </c>
      <c r="C517" t="s">
        <v>1172</v>
      </c>
      <c r="D517" t="s">
        <v>2415</v>
      </c>
      <c r="E517" t="s">
        <v>125</v>
      </c>
      <c r="F517" t="s">
        <v>2423</v>
      </c>
      <c r="G517" t="s">
        <v>2424</v>
      </c>
      <c r="H517" t="s">
        <v>2430</v>
      </c>
      <c r="I517" t="s">
        <v>2393</v>
      </c>
    </row>
    <row r="518" spans="1:9">
      <c r="A518" t="s">
        <v>2431</v>
      </c>
      <c r="B518" t="s">
        <v>112</v>
      </c>
      <c r="C518" t="s">
        <v>2294</v>
      </c>
      <c r="D518" t="s">
        <v>2415</v>
      </c>
      <c r="E518" t="s">
        <v>125</v>
      </c>
      <c r="F518" t="s">
        <v>2427</v>
      </c>
      <c r="G518" t="s">
        <v>2424</v>
      </c>
      <c r="H518" t="s">
        <v>2432</v>
      </c>
      <c r="I518" t="s">
        <v>2393</v>
      </c>
    </row>
    <row r="519" spans="1:9">
      <c r="A519" t="s">
        <v>2433</v>
      </c>
      <c r="B519" t="s">
        <v>2413</v>
      </c>
      <c r="C519" t="s">
        <v>2414</v>
      </c>
      <c r="D519" t="s">
        <v>2415</v>
      </c>
      <c r="E519" t="s">
        <v>125</v>
      </c>
      <c r="F519" t="s">
        <v>2416</v>
      </c>
      <c r="G519" t="s">
        <v>125</v>
      </c>
      <c r="H519" t="s">
        <v>2434</v>
      </c>
      <c r="I519" t="s">
        <v>2393</v>
      </c>
    </row>
    <row r="520" spans="1:9">
      <c r="A520" t="s">
        <v>2435</v>
      </c>
      <c r="B520" t="s">
        <v>2413</v>
      </c>
      <c r="C520" t="s">
        <v>2414</v>
      </c>
      <c r="D520" t="s">
        <v>2415</v>
      </c>
      <c r="E520" t="s">
        <v>125</v>
      </c>
      <c r="F520" t="s">
        <v>2416</v>
      </c>
      <c r="G520" t="s">
        <v>125</v>
      </c>
      <c r="H520" t="s">
        <v>2434</v>
      </c>
      <c r="I520" t="s">
        <v>2393</v>
      </c>
    </row>
    <row r="521" spans="1:9">
      <c r="A521" t="s">
        <v>2436</v>
      </c>
      <c r="B521" t="s">
        <v>100</v>
      </c>
      <c r="C521" t="s">
        <v>1303</v>
      </c>
      <c r="D521" t="s">
        <v>2415</v>
      </c>
      <c r="E521" t="s">
        <v>125</v>
      </c>
      <c r="F521" t="s">
        <v>2437</v>
      </c>
      <c r="G521" t="s">
        <v>125</v>
      </c>
      <c r="H521" t="s">
        <v>2438</v>
      </c>
      <c r="I521" t="s">
        <v>2408</v>
      </c>
    </row>
    <row r="522" spans="1:9">
      <c r="A522" t="s">
        <v>2439</v>
      </c>
      <c r="B522" t="s">
        <v>100</v>
      </c>
      <c r="C522" t="s">
        <v>1303</v>
      </c>
      <c r="D522" t="s">
        <v>2402</v>
      </c>
      <c r="E522" t="s">
        <v>2388</v>
      </c>
      <c r="F522" t="s">
        <v>2424</v>
      </c>
      <c r="G522" t="s">
        <v>125</v>
      </c>
      <c r="H522" t="s">
        <v>2440</v>
      </c>
      <c r="I522" t="s">
        <v>2408</v>
      </c>
    </row>
    <row r="523" spans="1:9">
      <c r="A523" t="s">
        <v>2441</v>
      </c>
      <c r="B523" t="s">
        <v>100</v>
      </c>
      <c r="C523" t="s">
        <v>1303</v>
      </c>
      <c r="D523" t="s">
        <v>2406</v>
      </c>
      <c r="E523" t="s">
        <v>2388</v>
      </c>
      <c r="F523" t="s">
        <v>2442</v>
      </c>
      <c r="G523" t="s">
        <v>125</v>
      </c>
      <c r="H523" t="s">
        <v>2440</v>
      </c>
      <c r="I523" t="s">
        <v>2408</v>
      </c>
    </row>
    <row r="524" spans="1:9">
      <c r="A524" t="s">
        <v>2443</v>
      </c>
      <c r="B524" t="s">
        <v>100</v>
      </c>
      <c r="C524" t="s">
        <v>1303</v>
      </c>
      <c r="D524" t="s">
        <v>2410</v>
      </c>
      <c r="E524" t="s">
        <v>2388</v>
      </c>
      <c r="F524" t="s">
        <v>2423</v>
      </c>
      <c r="G524" t="s">
        <v>125</v>
      </c>
      <c r="H524" t="s">
        <v>2440</v>
      </c>
      <c r="I524" t="s">
        <v>2408</v>
      </c>
    </row>
    <row r="525" spans="1:9">
      <c r="A525" t="s">
        <v>2444</v>
      </c>
      <c r="B525" t="s">
        <v>100</v>
      </c>
      <c r="C525" t="s">
        <v>1303</v>
      </c>
      <c r="D525" t="s">
        <v>2445</v>
      </c>
      <c r="E525" t="s">
        <v>2388</v>
      </c>
      <c r="F525" t="s">
        <v>2446</v>
      </c>
      <c r="G525" t="s">
        <v>125</v>
      </c>
      <c r="H525" t="s">
        <v>2447</v>
      </c>
      <c r="I525" t="s">
        <v>2408</v>
      </c>
    </row>
    <row r="526" spans="1:9">
      <c r="A526" t="s">
        <v>2448</v>
      </c>
      <c r="B526" t="s">
        <v>100</v>
      </c>
      <c r="C526" t="s">
        <v>1303</v>
      </c>
      <c r="D526" t="s">
        <v>2445</v>
      </c>
      <c r="E526" t="s">
        <v>2388</v>
      </c>
      <c r="F526" t="s">
        <v>2446</v>
      </c>
      <c r="G526" t="s">
        <v>125</v>
      </c>
      <c r="H526" t="s">
        <v>2449</v>
      </c>
      <c r="I526" t="s">
        <v>2408</v>
      </c>
    </row>
    <row r="527" spans="1:9">
      <c r="A527" t="s">
        <v>2450</v>
      </c>
      <c r="B527" t="s">
        <v>100</v>
      </c>
      <c r="C527" t="s">
        <v>1303</v>
      </c>
      <c r="D527" t="s">
        <v>2451</v>
      </c>
      <c r="E527" t="s">
        <v>2388</v>
      </c>
      <c r="F527" t="s">
        <v>2424</v>
      </c>
      <c r="G527" t="s">
        <v>125</v>
      </c>
      <c r="H527" t="s">
        <v>2452</v>
      </c>
      <c r="I527" t="s">
        <v>2408</v>
      </c>
    </row>
    <row r="528" spans="1:9">
      <c r="A528" t="s">
        <v>2453</v>
      </c>
      <c r="B528" t="s">
        <v>100</v>
      </c>
      <c r="C528" t="s">
        <v>1303</v>
      </c>
      <c r="D528" t="s">
        <v>2454</v>
      </c>
      <c r="E528" t="s">
        <v>2396</v>
      </c>
      <c r="F528" t="s">
        <v>2455</v>
      </c>
      <c r="G528" t="s">
        <v>125</v>
      </c>
      <c r="H528" t="s">
        <v>2456</v>
      </c>
      <c r="I528" t="s">
        <v>2408</v>
      </c>
    </row>
    <row r="529" spans="1:9">
      <c r="A529" t="s">
        <v>2457</v>
      </c>
      <c r="B529" t="s">
        <v>100</v>
      </c>
      <c r="C529" t="s">
        <v>1303</v>
      </c>
      <c r="D529" t="s">
        <v>2458</v>
      </c>
      <c r="E529" t="s">
        <v>2388</v>
      </c>
      <c r="F529" t="s">
        <v>2427</v>
      </c>
      <c r="G529" t="s">
        <v>125</v>
      </c>
      <c r="H529" t="s">
        <v>2459</v>
      </c>
      <c r="I529" t="s">
        <v>2460</v>
      </c>
    </row>
    <row r="530" spans="1:9">
      <c r="A530" t="s">
        <v>2461</v>
      </c>
      <c r="B530" t="s">
        <v>100</v>
      </c>
      <c r="C530" t="s">
        <v>1303</v>
      </c>
      <c r="D530" t="s">
        <v>2462</v>
      </c>
      <c r="E530" t="s">
        <v>2463</v>
      </c>
      <c r="F530" t="s">
        <v>2464</v>
      </c>
      <c r="G530" t="s">
        <v>125</v>
      </c>
      <c r="H530" t="s">
        <v>2465</v>
      </c>
      <c r="I530" t="s">
        <v>2460</v>
      </c>
    </row>
    <row r="531" spans="1:9">
      <c r="A531" t="s">
        <v>2466</v>
      </c>
      <c r="B531" t="s">
        <v>100</v>
      </c>
      <c r="C531" t="s">
        <v>1303</v>
      </c>
      <c r="D531" t="s">
        <v>2467</v>
      </c>
      <c r="E531" t="s">
        <v>2463</v>
      </c>
      <c r="F531" t="s">
        <v>2468</v>
      </c>
      <c r="G531" t="s">
        <v>125</v>
      </c>
      <c r="H531" t="s">
        <v>125</v>
      </c>
      <c r="I531" t="s">
        <v>2469</v>
      </c>
    </row>
    <row r="532" spans="1:9">
      <c r="A532" t="s">
        <v>2470</v>
      </c>
      <c r="B532" t="s">
        <v>76</v>
      </c>
      <c r="C532" t="s">
        <v>1172</v>
      </c>
      <c r="D532" t="s">
        <v>2471</v>
      </c>
      <c r="E532" t="s">
        <v>2388</v>
      </c>
      <c r="F532" t="s">
        <v>2423</v>
      </c>
      <c r="G532" t="s">
        <v>2424</v>
      </c>
      <c r="H532" t="s">
        <v>125</v>
      </c>
      <c r="I532" t="s">
        <v>2393</v>
      </c>
    </row>
    <row r="533" spans="1:9">
      <c r="A533" t="s">
        <v>2472</v>
      </c>
      <c r="B533" t="s">
        <v>112</v>
      </c>
      <c r="C533" t="s">
        <v>2294</v>
      </c>
      <c r="D533" t="s">
        <v>2473</v>
      </c>
      <c r="E533" t="s">
        <v>2474</v>
      </c>
      <c r="F533" t="s">
        <v>2475</v>
      </c>
      <c r="G533" t="s">
        <v>2424</v>
      </c>
      <c r="H533" t="s">
        <v>125</v>
      </c>
      <c r="I533" t="s">
        <v>2408</v>
      </c>
    </row>
    <row r="534" spans="1:9">
      <c r="A534" t="s">
        <v>2476</v>
      </c>
      <c r="B534" t="s">
        <v>112</v>
      </c>
      <c r="C534" t="s">
        <v>2294</v>
      </c>
      <c r="D534" t="s">
        <v>2477</v>
      </c>
      <c r="E534" t="s">
        <v>2388</v>
      </c>
      <c r="F534" t="s">
        <v>2478</v>
      </c>
      <c r="G534" t="s">
        <v>2416</v>
      </c>
      <c r="H534" t="s">
        <v>125</v>
      </c>
      <c r="I534" t="s">
        <v>2460</v>
      </c>
    </row>
    <row r="535" spans="1:9">
      <c r="A535" t="s">
        <v>2479</v>
      </c>
      <c r="B535" t="s">
        <v>112</v>
      </c>
      <c r="C535" t="s">
        <v>2294</v>
      </c>
      <c r="D535" t="s">
        <v>2477</v>
      </c>
      <c r="E535" t="s">
        <v>2388</v>
      </c>
      <c r="F535" t="s">
        <v>2424</v>
      </c>
      <c r="G535" t="s">
        <v>2480</v>
      </c>
      <c r="H535" t="s">
        <v>125</v>
      </c>
      <c r="I535" t="s">
        <v>2460</v>
      </c>
    </row>
    <row r="536" spans="1:9">
      <c r="A536" t="s">
        <v>2481</v>
      </c>
      <c r="B536" t="s">
        <v>112</v>
      </c>
      <c r="C536" t="s">
        <v>2294</v>
      </c>
      <c r="D536" t="s">
        <v>2471</v>
      </c>
      <c r="E536" t="s">
        <v>2396</v>
      </c>
      <c r="F536" t="s">
        <v>2482</v>
      </c>
      <c r="G536" t="s">
        <v>2483</v>
      </c>
      <c r="H536" t="s">
        <v>2484</v>
      </c>
      <c r="I536" t="s">
        <v>2469</v>
      </c>
    </row>
    <row r="537" spans="1:9">
      <c r="A537" t="s">
        <v>2485</v>
      </c>
      <c r="B537" t="s">
        <v>112</v>
      </c>
      <c r="C537" t="s">
        <v>2294</v>
      </c>
      <c r="D537" t="s">
        <v>2471</v>
      </c>
      <c r="E537" t="s">
        <v>2388</v>
      </c>
      <c r="F537" t="s">
        <v>2464</v>
      </c>
      <c r="G537" t="s">
        <v>2424</v>
      </c>
      <c r="H537" t="s">
        <v>2486</v>
      </c>
      <c r="I537" t="s">
        <v>2469</v>
      </c>
    </row>
    <row r="538" spans="1:9">
      <c r="A538" t="s">
        <v>2487</v>
      </c>
      <c r="B538" t="s">
        <v>112</v>
      </c>
      <c r="C538" t="s">
        <v>2294</v>
      </c>
      <c r="D538" t="s">
        <v>2488</v>
      </c>
      <c r="E538" t="s">
        <v>2388</v>
      </c>
      <c r="F538" t="s">
        <v>2482</v>
      </c>
      <c r="G538" t="s">
        <v>2424</v>
      </c>
      <c r="H538" t="s">
        <v>2489</v>
      </c>
      <c r="I538" t="s">
        <v>2469</v>
      </c>
    </row>
    <row r="539" spans="1:9">
      <c r="A539" t="s">
        <v>2490</v>
      </c>
      <c r="B539" t="s">
        <v>112</v>
      </c>
      <c r="C539" t="s">
        <v>2294</v>
      </c>
      <c r="D539" t="s">
        <v>2467</v>
      </c>
      <c r="E539" t="s">
        <v>2463</v>
      </c>
      <c r="F539" t="s">
        <v>2491</v>
      </c>
      <c r="G539" t="s">
        <v>2483</v>
      </c>
      <c r="H539" t="s">
        <v>2492</v>
      </c>
      <c r="I539" t="s">
        <v>2469</v>
      </c>
    </row>
    <row r="540" spans="1:9">
      <c r="A540" t="s">
        <v>2493</v>
      </c>
      <c r="B540" t="s">
        <v>112</v>
      </c>
      <c r="C540" t="s">
        <v>2294</v>
      </c>
      <c r="D540" t="s">
        <v>2477</v>
      </c>
      <c r="E540" t="s">
        <v>2396</v>
      </c>
      <c r="F540" t="s">
        <v>2475</v>
      </c>
      <c r="G540" t="s">
        <v>2483</v>
      </c>
      <c r="H540" t="s">
        <v>2492</v>
      </c>
      <c r="I540" t="s">
        <v>2469</v>
      </c>
    </row>
    <row r="541" spans="1:9">
      <c r="A541" t="s">
        <v>2494</v>
      </c>
      <c r="B541" t="s">
        <v>112</v>
      </c>
      <c r="C541" t="s">
        <v>2294</v>
      </c>
      <c r="D541" t="s">
        <v>2473</v>
      </c>
      <c r="E541" t="s">
        <v>2463</v>
      </c>
      <c r="F541" t="s">
        <v>2491</v>
      </c>
      <c r="G541" t="s">
        <v>2420</v>
      </c>
      <c r="H541" t="s">
        <v>125</v>
      </c>
      <c r="I541" t="s">
        <v>2495</v>
      </c>
    </row>
    <row r="542" spans="1:9">
      <c r="A542" t="s">
        <v>2496</v>
      </c>
      <c r="B542" t="s">
        <v>112</v>
      </c>
      <c r="C542" t="s">
        <v>2294</v>
      </c>
      <c r="D542" t="s">
        <v>2467</v>
      </c>
      <c r="E542" t="s">
        <v>2463</v>
      </c>
      <c r="F542" t="s">
        <v>2482</v>
      </c>
      <c r="G542" t="s">
        <v>2497</v>
      </c>
      <c r="H542" t="s">
        <v>2498</v>
      </c>
      <c r="I542" t="s">
        <v>2495</v>
      </c>
    </row>
    <row r="543" spans="1:9">
      <c r="A543" t="s">
        <v>2499</v>
      </c>
      <c r="B543" t="s">
        <v>94</v>
      </c>
      <c r="C543" t="s">
        <v>1277</v>
      </c>
      <c r="D543" t="s">
        <v>2473</v>
      </c>
      <c r="E543" t="s">
        <v>2388</v>
      </c>
      <c r="F543" t="s">
        <v>2388</v>
      </c>
      <c r="G543" t="s">
        <v>2423</v>
      </c>
      <c r="H543" t="s">
        <v>125</v>
      </c>
      <c r="I543" t="s">
        <v>2393</v>
      </c>
    </row>
    <row r="544" spans="1:9">
      <c r="A544" t="s">
        <v>2500</v>
      </c>
      <c r="B544" t="s">
        <v>94</v>
      </c>
      <c r="C544" t="s">
        <v>1277</v>
      </c>
      <c r="D544" t="s">
        <v>2473</v>
      </c>
      <c r="E544" t="s">
        <v>2388</v>
      </c>
      <c r="F544" t="s">
        <v>2388</v>
      </c>
      <c r="G544" t="s">
        <v>2480</v>
      </c>
      <c r="H544" t="s">
        <v>125</v>
      </c>
      <c r="I544" t="s">
        <v>2393</v>
      </c>
    </row>
    <row r="545" spans="1:9">
      <c r="A545" t="s">
        <v>2501</v>
      </c>
      <c r="B545" t="s">
        <v>94</v>
      </c>
      <c r="C545" t="s">
        <v>1277</v>
      </c>
      <c r="D545" t="s">
        <v>2471</v>
      </c>
      <c r="E545" t="s">
        <v>2388</v>
      </c>
      <c r="F545" t="s">
        <v>2388</v>
      </c>
      <c r="G545" t="s">
        <v>2424</v>
      </c>
      <c r="H545" t="s">
        <v>2502</v>
      </c>
      <c r="I545" t="s">
        <v>2393</v>
      </c>
    </row>
    <row r="546" spans="1:9">
      <c r="A546" t="s">
        <v>2503</v>
      </c>
      <c r="B546" t="s">
        <v>94</v>
      </c>
      <c r="C546" t="s">
        <v>1277</v>
      </c>
      <c r="D546" t="s">
        <v>2504</v>
      </c>
      <c r="E546" t="s">
        <v>2388</v>
      </c>
      <c r="F546" t="s">
        <v>2388</v>
      </c>
      <c r="G546" t="s">
        <v>2446</v>
      </c>
      <c r="H546" t="s">
        <v>125</v>
      </c>
      <c r="I546" t="s">
        <v>2408</v>
      </c>
    </row>
    <row r="547" spans="1:9">
      <c r="A547" t="s">
        <v>2505</v>
      </c>
      <c r="B547" t="s">
        <v>94</v>
      </c>
      <c r="C547" t="s">
        <v>1277</v>
      </c>
      <c r="D547" t="s">
        <v>2506</v>
      </c>
      <c r="E547" t="s">
        <v>2474</v>
      </c>
      <c r="F547" t="s">
        <v>2388</v>
      </c>
      <c r="G547" t="s">
        <v>2424</v>
      </c>
      <c r="H547" t="s">
        <v>125</v>
      </c>
      <c r="I547" t="s">
        <v>2408</v>
      </c>
    </row>
    <row r="548" spans="1:9">
      <c r="A548" t="s">
        <v>2507</v>
      </c>
      <c r="B548" t="s">
        <v>74</v>
      </c>
      <c r="C548" t="s">
        <v>1143</v>
      </c>
      <c r="D548" t="s">
        <v>2508</v>
      </c>
      <c r="E548" t="s">
        <v>2509</v>
      </c>
      <c r="F548" t="s">
        <v>2510</v>
      </c>
      <c r="G548" t="s">
        <v>2455</v>
      </c>
      <c r="H548" t="s">
        <v>2511</v>
      </c>
      <c r="I548" t="s">
        <v>2460</v>
      </c>
    </row>
    <row r="549" spans="1:9">
      <c r="A549" t="s">
        <v>2512</v>
      </c>
      <c r="B549" t="s">
        <v>74</v>
      </c>
      <c r="C549" t="s">
        <v>1143</v>
      </c>
      <c r="D549" t="s">
        <v>2513</v>
      </c>
      <c r="E549" t="s">
        <v>2463</v>
      </c>
      <c r="F549" t="s">
        <v>2514</v>
      </c>
      <c r="G549" t="s">
        <v>2427</v>
      </c>
      <c r="H549" t="s">
        <v>125</v>
      </c>
      <c r="I549" t="s">
        <v>2469</v>
      </c>
    </row>
    <row r="550" spans="1:9">
      <c r="A550" t="s">
        <v>2515</v>
      </c>
      <c r="B550" t="s">
        <v>74</v>
      </c>
      <c r="C550" t="s">
        <v>1143</v>
      </c>
      <c r="D550" t="s">
        <v>2467</v>
      </c>
      <c r="E550" t="s">
        <v>2388</v>
      </c>
      <c r="F550" t="s">
        <v>2516</v>
      </c>
      <c r="G550" t="s">
        <v>2517</v>
      </c>
      <c r="H550" t="s">
        <v>125</v>
      </c>
      <c r="I550" t="s">
        <v>2469</v>
      </c>
    </row>
    <row r="551" spans="1:9">
      <c r="A551" t="s">
        <v>2518</v>
      </c>
      <c r="B551" t="s">
        <v>74</v>
      </c>
      <c r="C551" t="s">
        <v>1143</v>
      </c>
      <c r="D551" t="s">
        <v>2519</v>
      </c>
      <c r="E551" t="s">
        <v>2520</v>
      </c>
      <c r="F551" t="s">
        <v>2514</v>
      </c>
      <c r="G551" t="s">
        <v>2427</v>
      </c>
      <c r="H551" t="s">
        <v>125</v>
      </c>
      <c r="I551" t="s">
        <v>2495</v>
      </c>
    </row>
    <row r="552" spans="1:9">
      <c r="A552" t="s">
        <v>2521</v>
      </c>
      <c r="B552" t="s">
        <v>74</v>
      </c>
      <c r="C552" t="s">
        <v>1143</v>
      </c>
      <c r="D552" t="s">
        <v>2522</v>
      </c>
      <c r="E552" t="s">
        <v>2509</v>
      </c>
      <c r="F552" t="s">
        <v>2523</v>
      </c>
      <c r="G552" t="s">
        <v>2455</v>
      </c>
      <c r="H552" t="s">
        <v>125</v>
      </c>
      <c r="I552" t="s">
        <v>2495</v>
      </c>
    </row>
    <row r="553" spans="1:9">
      <c r="A553" t="s">
        <v>2524</v>
      </c>
      <c r="B553" t="s">
        <v>74</v>
      </c>
      <c r="C553" t="s">
        <v>1143</v>
      </c>
      <c r="D553" t="s">
        <v>2525</v>
      </c>
      <c r="E553" t="s">
        <v>2526</v>
      </c>
      <c r="F553" t="s">
        <v>2527</v>
      </c>
      <c r="G553" t="s">
        <v>2464</v>
      </c>
      <c r="H553" t="s">
        <v>2411</v>
      </c>
      <c r="I553" t="s">
        <v>2495</v>
      </c>
    </row>
    <row r="560" spans="1:9">
      <c r="A560" t="s">
        <v>2528</v>
      </c>
    </row>
    <row r="561" spans="1:1">
      <c r="A561" t="s">
        <v>2529</v>
      </c>
    </row>
    <row r="562" spans="1:1">
      <c r="A562" t="s">
        <v>2530</v>
      </c>
    </row>
    <row r="563" spans="1:1">
      <c r="A563" t="s">
        <v>2531</v>
      </c>
    </row>
    <row r="564" spans="1:1">
      <c r="A564" t="s">
        <v>2532</v>
      </c>
    </row>
    <row r="565" spans="1:1">
      <c r="A565" t="s">
        <v>2533</v>
      </c>
    </row>
    <row r="580" spans="1:1">
      <c r="A580" t="s">
        <v>11</v>
      </c>
    </row>
    <row r="581" spans="1:1">
      <c r="A581" t="s">
        <v>14</v>
      </c>
    </row>
    <row r="582" spans="1:1">
      <c r="A582" t="s">
        <v>18</v>
      </c>
    </row>
    <row r="583" spans="1:1">
      <c r="A583" t="s">
        <v>22</v>
      </c>
    </row>
    <row r="584" spans="1:1">
      <c r="A584" t="s">
        <v>25</v>
      </c>
    </row>
    <row r="585" spans="1:1">
      <c r="A585" t="s">
        <v>28</v>
      </c>
    </row>
    <row r="586" spans="1:1">
      <c r="A586" t="str">
        <f t="shared" ref="A586:A644" si="6">A20</f>
        <v>会计学</v>
      </c>
    </row>
    <row r="587" spans="1:1">
      <c r="A587" t="str">
        <f t="shared" si="6"/>
        <v>警觉</v>
      </c>
    </row>
    <row r="588" spans="1:1">
      <c r="A588" t="str">
        <f t="shared" si="6"/>
        <v>人类学</v>
      </c>
    </row>
    <row r="589" spans="1:1">
      <c r="A589" t="str">
        <f t="shared" si="6"/>
        <v>考古学</v>
      </c>
    </row>
    <row r="590" spans="1:1">
      <c r="A590" t="str">
        <f ca="1" t="shared" si="6"/>
        <v/>
      </c>
    </row>
    <row r="591" spans="1:1">
      <c r="A591" t="str">
        <f ca="1" t="shared" si="6"/>
        <v/>
      </c>
    </row>
    <row r="592" spans="1:1">
      <c r="A592" t="str">
        <f ca="1" t="shared" si="6"/>
        <v/>
      </c>
    </row>
    <row r="593" spans="1:1">
      <c r="A593" t="str">
        <f t="shared" si="6"/>
        <v>炮术</v>
      </c>
    </row>
    <row r="594" spans="1:1">
      <c r="A594" t="str">
        <f t="shared" si="6"/>
        <v>运动</v>
      </c>
    </row>
    <row r="595" spans="1:1">
      <c r="A595" t="str">
        <f t="shared" si="6"/>
        <v>行政</v>
      </c>
    </row>
    <row r="596" spans="1:1">
      <c r="A596" t="str">
        <f t="shared" si="6"/>
        <v>计算机科学</v>
      </c>
    </row>
    <row r="597" spans="1:1">
      <c r="A597" t="str">
        <f ca="1" t="shared" si="6"/>
        <v/>
      </c>
    </row>
    <row r="598" spans="1:1">
      <c r="A598" t="str">
        <f ca="1" t="shared" si="6"/>
        <v/>
      </c>
    </row>
    <row r="599" spans="1:1">
      <c r="A599" t="str">
        <f ca="1" t="shared" si="6"/>
        <v/>
      </c>
    </row>
    <row r="600" spans="1:1">
      <c r="A600" t="str">
        <f ca="1" t="shared" si="6"/>
        <v/>
      </c>
    </row>
    <row r="601" spans="1:1">
      <c r="A601" t="str">
        <f t="shared" si="6"/>
        <v>犯罪学</v>
      </c>
    </row>
    <row r="602" spans="1:1">
      <c r="A602" t="str">
        <f t="shared" si="6"/>
        <v>爆破</v>
      </c>
    </row>
    <row r="603" spans="1:1">
      <c r="A603" t="str">
        <f t="shared" si="6"/>
        <v>乔装</v>
      </c>
    </row>
    <row r="604" spans="1:1">
      <c r="A604" t="str">
        <f t="shared" si="6"/>
        <v>闪避</v>
      </c>
    </row>
    <row r="605" spans="1:1">
      <c r="A605" t="str">
        <f t="shared" si="6"/>
        <v>机动车驾驶</v>
      </c>
    </row>
    <row r="606" spans="1:1">
      <c r="A606" t="str">
        <f t="shared" si="6"/>
        <v>射击</v>
      </c>
    </row>
    <row r="607" spans="1:1">
      <c r="A607" t="str">
        <f t="shared" si="6"/>
        <v>急救</v>
      </c>
    </row>
    <row r="608" spans="1:1">
      <c r="A608" t="str">
        <f t="shared" si="6"/>
        <v/>
      </c>
    </row>
    <row r="609" spans="1:1">
      <c r="A609" t="str">
        <f t="shared" si="6"/>
        <v/>
      </c>
    </row>
    <row r="610" spans="1:1">
      <c r="A610" t="str">
        <f ca="1" t="shared" si="6"/>
        <v/>
      </c>
    </row>
    <row r="611" spans="1:1">
      <c r="A611" t="str">
        <f t="shared" si="6"/>
        <v>法证学</v>
      </c>
    </row>
    <row r="612" spans="1:1">
      <c r="A612" t="str">
        <f t="shared" si="6"/>
        <v>重型机械</v>
      </c>
    </row>
    <row r="613" spans="1:1">
      <c r="A613" t="str">
        <f t="shared" si="6"/>
        <v>重型武器</v>
      </c>
    </row>
    <row r="614" spans="1:1">
      <c r="A614" t="str">
        <f t="shared" si="6"/>
        <v>历史</v>
      </c>
    </row>
    <row r="615" spans="1:1">
      <c r="A615" t="str">
        <f t="shared" si="6"/>
        <v>人源情报</v>
      </c>
    </row>
    <row r="616" spans="1:1">
      <c r="A616" t="str">
        <f t="shared" si="6"/>
        <v>法律</v>
      </c>
    </row>
    <row r="617" spans="1:1">
      <c r="A617" t="str">
        <f t="shared" si="6"/>
        <v>医学</v>
      </c>
    </row>
    <row r="618" spans="1:1">
      <c r="A618" t="str">
        <f t="shared" si="6"/>
        <v>近战武器</v>
      </c>
    </row>
    <row r="619" spans="1:1">
      <c r="A619" t="str">
        <f ca="1" t="shared" si="6"/>
        <v/>
      </c>
    </row>
    <row r="620" spans="1:1">
      <c r="A620" t="str">
        <f ca="1" t="shared" si="6"/>
        <v/>
      </c>
    </row>
    <row r="621" spans="1:1">
      <c r="A621" t="str">
        <f ca="1" t="shared" si="6"/>
        <v/>
      </c>
    </row>
    <row r="622" spans="1:1">
      <c r="A622" t="str">
        <f t="shared" si="6"/>
        <v>导航</v>
      </c>
    </row>
    <row r="623" spans="1:1">
      <c r="A623" t="str">
        <f t="shared" si="6"/>
        <v>神秘学</v>
      </c>
    </row>
    <row r="624" spans="1:1">
      <c r="A624" t="str">
        <f t="shared" si="6"/>
        <v>说服</v>
      </c>
    </row>
    <row r="625" spans="1:1">
      <c r="A625" t="str">
        <f t="shared" si="6"/>
        <v>药学</v>
      </c>
    </row>
    <row r="626" spans="1:1">
      <c r="A626" t="str">
        <f ca="1" t="shared" si="6"/>
        <v/>
      </c>
    </row>
    <row r="627" spans="1:1">
      <c r="A627" t="str">
        <f ca="1" t="shared" si="6"/>
        <v/>
      </c>
    </row>
    <row r="628" spans="1:1">
      <c r="A628" t="str">
        <f ca="1" t="shared" si="6"/>
        <v/>
      </c>
    </row>
    <row r="629" spans="1:1">
      <c r="A629" t="str">
        <f t="shared" si="6"/>
        <v>精神治疗</v>
      </c>
    </row>
    <row r="630" spans="1:1">
      <c r="A630" t="str">
        <f t="shared" si="6"/>
        <v>骑术</v>
      </c>
    </row>
    <row r="631" spans="1:1">
      <c r="A631" t="str">
        <f ca="1" t="shared" si="6"/>
        <v/>
      </c>
    </row>
    <row r="632" spans="1:1">
      <c r="A632" t="str">
        <f ca="1" t="shared" si="6"/>
        <v/>
      </c>
    </row>
    <row r="633" spans="1:1">
      <c r="A633" t="str">
        <f ca="1" t="shared" si="6"/>
        <v/>
      </c>
    </row>
    <row r="634" spans="1:1">
      <c r="A634" t="str">
        <f t="shared" si="6"/>
        <v>搜寻</v>
      </c>
    </row>
    <row r="635" spans="1:1">
      <c r="A635" t="str">
        <f t="shared" si="6"/>
        <v>信号情报</v>
      </c>
    </row>
    <row r="636" spans="1:1">
      <c r="A636" t="str">
        <f t="shared" si="6"/>
        <v>潜藏</v>
      </c>
    </row>
    <row r="637" spans="1:1">
      <c r="A637" t="str">
        <f t="shared" si="6"/>
        <v>手术</v>
      </c>
    </row>
    <row r="638" spans="1:1">
      <c r="A638" t="str">
        <f t="shared" si="6"/>
        <v>生存</v>
      </c>
    </row>
    <row r="639" spans="1:1">
      <c r="A639" t="str">
        <f t="shared" si="6"/>
        <v>游泳</v>
      </c>
    </row>
    <row r="640" spans="1:1">
      <c r="A640" t="str">
        <f t="shared" si="6"/>
        <v>徒手搏斗</v>
      </c>
    </row>
    <row r="641" spans="1:1">
      <c r="A641" t="str">
        <f ca="1" t="shared" si="6"/>
        <v/>
      </c>
    </row>
    <row r="642" spans="1:1">
      <c r="A642" t="str">
        <f ca="1" t="shared" si="6"/>
        <v/>
      </c>
    </row>
    <row r="643" spans="1:1">
      <c r="A643" t="str">
        <f ca="1" t="shared" si="6"/>
        <v/>
      </c>
    </row>
    <row r="644" spans="1:1">
      <c r="A644" t="str">
        <f ca="1" t="shared" si="6"/>
        <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546"/>
  <sheetViews>
    <sheetView showGridLines="0" zoomScale="85" zoomScaleNormal="85" workbookViewId="0" topLeftCell="A1">
      <pane ySplit="8" topLeftCell="A9" activePane="bottomLeft" state="frozen"/>
      <selection pane="bottomLeft" activeCell="A9" sqref="A9"/>
    </sheetView>
  </sheetViews>
  <sheetFormatPr defaultColWidth="9" defaultRowHeight="14" outlineLevelCol="3"/>
  <cols>
    <col min="1" max="1" width="15" customWidth="1"/>
    <col min="2" max="2" width="25" customWidth="1"/>
    <col min="3" max="3" width="59" customWidth="1"/>
  </cols>
  <sheetData>
    <row r="1" ht="28" customHeight="1">
      <c r="A1" s="581" t="inlineStr">
        <is>
          <t xml:space="preserve">绿色三角洲｜规则速查 v1.9</t>
        </is>
      </c>
    </row>
    <row r="2" ht="24" customHeight="1">
      <c r="A2" s="33" t="inlineStr">
        <is>
          <t xml:space="preserve">点击主题跳转；筛选后请先清除筛选。</t>
        </is>
      </c>
    </row>
    <row r="3" ht="22" customHeight="1">
      <c r="A3" s="582" t="inlineStr">
        <is>
          <t xml:space="preserve">检定与对抗</t>
        </is>
      </c>
      <c r="B3" s="582" t="inlineStr">
        <is>
          <t xml:space="preserve">战斗与防御</t>
        </is>
      </c>
      <c r="C3" s="582" t="inlineStr">
        <is>
          <t xml:space="preserve">伤害与治疗</t>
        </is>
      </c>
    </row>
    <row r="4" ht="22" customHeight="1">
      <c r="A4" s="582" t="inlineStr">
        <is>
          <t xml:space="preserve">致死与护甲</t>
        </is>
      </c>
      <c r="B4" s="582" t="inlineStr">
        <is>
          <t xml:space="preserve">理智与疯狂</t>
        </is>
      </c>
      <c r="C4" s="582" t="inlineStr">
        <is>
          <t xml:space="preserve">创伤与关系</t>
        </is>
      </c>
    </row>
    <row r="5" ht="22" customHeight="1">
      <c r="A5" s="582" t="inlineStr">
        <is>
          <t xml:space="preserve">调查与执法</t>
        </is>
      </c>
      <c r="B5" s="582" t="inlineStr">
        <is>
          <t xml:space="preserve">秘密行动</t>
        </is>
      </c>
      <c r="C5" s="582" t="inlineStr">
        <is>
          <t xml:space="preserve">护甲与载具</t>
        </is>
      </c>
    </row>
    <row r="6" ht="22" customHeight="1">
      <c r="A6" s="582" t="inlineStr">
        <is>
          <t xml:space="preserve">武器与爆炸物</t>
        </is>
      </c>
      <c r="B6" s="582" t="inlineStr">
        <is>
          <t xml:space="preserve">战斗修正</t>
        </is>
      </c>
      <c r="C6" s="582" t="inlineStr">
        <is>
          <t xml:space="preserve">装备与申请</t>
        </is>
      </c>
    </row>
    <row r="7" ht="22" customHeight="1">
      <c r="A7" s="582" t="inlineStr">
        <is>
          <t xml:space="preserve">返回人物卡</t>
        </is>
      </c>
      <c r="B7" s="582" t="inlineStr">
        <is>
          <t xml:space="preserve">模组经历备忘录</t>
        </is>
      </c>
      <c r="C7" s="582" t="inlineStr">
        <is>
          <t xml:space="preserve">绿箱生成器</t>
        </is>
      </c>
    </row>
    <row r="8" ht="22" customHeight="1" spans="1:4">
      <c r="A8" s="583" t="s">
        <v>2599</v>
      </c>
      <c r="B8" s="583" t="s">
        <v>2600</v>
      </c>
      <c r="C8" s="583" t="inlineStr">
        <is>
          <t xml:space="preserve">内容</t>
        </is>
      </c>
    </row>
    <row r="9" ht="32" customHeight="1" spans="1:4">
      <c r="A9" s="584" t="s">
        <v>2534</v>
      </c>
      <c r="B9" s="585" t="s">
        <v>2601</v>
      </c>
      <c r="C9" s="584" t="s">
        <v>2602</v>
      </c>
    </row>
    <row r="10" ht="32" customHeight="1" spans="1:4">
      <c r="A10" s="584" t="s">
        <v>2534</v>
      </c>
      <c r="B10" s="585" t="s">
        <v>2603</v>
      </c>
      <c r="C10" s="584" t="s">
        <v>2604</v>
      </c>
    </row>
    <row r="11" ht="45.5" customHeight="1" spans="1:4">
      <c r="A11" s="584" t="s">
        <v>2534</v>
      </c>
      <c r="B11" s="585" t="s">
        <v>2605</v>
      </c>
      <c r="C11" s="584" t="s">
        <v>2606</v>
      </c>
    </row>
    <row r="12" ht="45.5" customHeight="1" spans="1:4">
      <c r="A12" s="584" t="s">
        <v>2534</v>
      </c>
      <c r="B12" s="585" t="s">
        <v>2607</v>
      </c>
      <c r="C12" s="584" t="s">
        <v>2608</v>
      </c>
    </row>
    <row r="13" ht="32" customHeight="1" spans="1:4">
      <c r="A13" s="584" t="s">
        <v>2534</v>
      </c>
      <c r="B13" s="585" t="s">
        <v>2609</v>
      </c>
      <c r="C13" s="584" t="s">
        <v>2610</v>
      </c>
    </row>
    <row r="14" ht="32" customHeight="1" spans="1:4">
      <c r="A14" s="584" t="s">
        <v>2534</v>
      </c>
      <c r="B14" s="585" t="s">
        <v>2611</v>
      </c>
      <c r="C14" s="584" t="s">
        <v>2612</v>
      </c>
    </row>
    <row r="15" ht="32" customHeight="1" spans="1:4">
      <c r="A15" s="584" t="s">
        <v>2534</v>
      </c>
      <c r="B15" s="585" t="s">
        <v>2613</v>
      </c>
      <c r="C15" s="584" t="s">
        <v>2614</v>
      </c>
    </row>
    <row r="16" ht="32" customHeight="1" spans="1:4">
      <c r="A16" s="584" t="s">
        <v>2534</v>
      </c>
      <c r="B16" s="585" t="s">
        <v>2615</v>
      </c>
      <c r="C16" s="584" t="s">
        <v>2616</v>
      </c>
    </row>
    <row r="17" ht="32" customHeight="1" spans="1:4">
      <c r="A17" s="584" t="s">
        <v>2534</v>
      </c>
      <c r="B17" s="585" t="s">
        <v>2617</v>
      </c>
      <c r="C17" s="584" t="s">
        <v>2618</v>
      </c>
    </row>
    <row r="18" ht="32" customHeight="1" spans="1:4">
      <c r="A18" s="584" t="s">
        <v>2535</v>
      </c>
      <c r="B18" s="585" t="s">
        <v>2619</v>
      </c>
      <c r="C18" s="584" t="s">
        <v>2620</v>
      </c>
    </row>
    <row r="19" ht="32" customHeight="1" spans="1:4">
      <c r="A19" s="584" t="s">
        <v>2535</v>
      </c>
      <c r="B19" s="585" t="s">
        <v>2621</v>
      </c>
      <c r="C19" s="584" t="s">
        <v>2622</v>
      </c>
    </row>
    <row r="20" ht="45.5" customHeight="1" spans="1:4">
      <c r="A20" s="584" t="s">
        <v>2536</v>
      </c>
      <c r="B20" s="585" t="s">
        <v>2623</v>
      </c>
      <c r="C20" s="584" t="s">
        <v>2624</v>
      </c>
    </row>
    <row r="21" ht="32" customHeight="1" spans="1:4">
      <c r="A21" s="584" t="s">
        <v>2537</v>
      </c>
      <c r="B21" s="585" t="s">
        <v>2625</v>
      </c>
      <c r="C21" s="584" t="s">
        <v>2626</v>
      </c>
    </row>
    <row r="22" ht="32" customHeight="1" spans="1:4">
      <c r="A22" s="584" t="s">
        <v>2537</v>
      </c>
      <c r="B22" s="585" t="s">
        <v>2627</v>
      </c>
      <c r="C22" s="584" t="s">
        <v>2628</v>
      </c>
    </row>
    <row r="23" ht="45.5" customHeight="1" spans="1:4">
      <c r="A23" s="584" t="s">
        <v>2537</v>
      </c>
      <c r="B23" s="585" t="s">
        <v>2629</v>
      </c>
      <c r="C23" s="584" t="s">
        <v>2630</v>
      </c>
    </row>
    <row r="24" ht="45.5" customHeight="1" spans="1:4">
      <c r="A24" s="584" t="s">
        <v>2537</v>
      </c>
      <c r="B24" s="585" t="s">
        <v>2631</v>
      </c>
      <c r="C24" s="584" t="s">
        <v>2632</v>
      </c>
    </row>
    <row r="25" ht="45.5" customHeight="1" spans="1:4">
      <c r="A25" s="584" t="s">
        <v>2537</v>
      </c>
      <c r="B25" s="585" t="s">
        <v>2633</v>
      </c>
      <c r="C25" s="584" t="s">
        <v>2634</v>
      </c>
    </row>
    <row r="26" ht="45.5" customHeight="1" spans="1:4">
      <c r="A26" s="584" t="s">
        <v>2537</v>
      </c>
      <c r="B26" s="585" t="s">
        <v>2635</v>
      </c>
      <c r="C26" s="584" t="s">
        <v>2636</v>
      </c>
    </row>
    <row r="27" ht="32" customHeight="1" spans="1:4">
      <c r="A27" s="584" t="s">
        <v>2537</v>
      </c>
      <c r="B27" s="585" t="s">
        <v>2637</v>
      </c>
      <c r="C27" s="584" t="s">
        <v>2638</v>
      </c>
    </row>
    <row r="28" ht="32" customHeight="1" spans="1:4">
      <c r="A28" s="584" t="s">
        <v>2537</v>
      </c>
      <c r="B28" s="585" t="s">
        <v>2639</v>
      </c>
      <c r="C28" s="584" t="s">
        <v>2640</v>
      </c>
    </row>
    <row r="29" ht="45.5" customHeight="1" spans="1:4">
      <c r="A29" s="584" t="s">
        <v>2538</v>
      </c>
      <c r="B29" s="585" t="s">
        <v>2641</v>
      </c>
      <c r="C29" s="584" t="s">
        <v>2642</v>
      </c>
    </row>
    <row r="30" ht="32" customHeight="1" spans="1:4">
      <c r="A30" s="584" t="s">
        <v>2538</v>
      </c>
      <c r="B30" s="585" t="s">
        <v>2643</v>
      </c>
      <c r="C30" s="584" t="s">
        <v>2644</v>
      </c>
    </row>
    <row r="31" ht="45.5" customHeight="1" spans="1:4">
      <c r="A31" s="584" t="s">
        <v>2538</v>
      </c>
      <c r="B31" s="585" t="s">
        <v>2645</v>
      </c>
      <c r="C31" s="584" t="s">
        <v>2646</v>
      </c>
    </row>
    <row r="32" ht="45.5" customHeight="1" spans="1:4">
      <c r="A32" s="584" t="s">
        <v>2538</v>
      </c>
      <c r="B32" s="585" t="s">
        <v>2647</v>
      </c>
      <c r="C32" s="584" t="s">
        <v>2648</v>
      </c>
    </row>
    <row r="33" ht="32" customHeight="1" spans="1:4">
      <c r="A33" s="584" t="s">
        <v>2539</v>
      </c>
      <c r="B33" s="585" t="s">
        <v>2649</v>
      </c>
      <c r="C33" s="584" t="s">
        <v>2650</v>
      </c>
    </row>
    <row r="34" ht="32" customHeight="1" spans="1:4">
      <c r="A34" s="584" t="s">
        <v>2539</v>
      </c>
      <c r="B34" s="585" t="s">
        <v>2651</v>
      </c>
      <c r="C34" s="584" t="s">
        <v>2652</v>
      </c>
    </row>
    <row r="35" ht="32" customHeight="1" spans="1:4">
      <c r="A35" s="584" t="s">
        <v>2539</v>
      </c>
      <c r="B35" s="585" t="s">
        <v>2415</v>
      </c>
      <c r="C35" s="584" t="s">
        <v>2653</v>
      </c>
    </row>
    <row r="36" ht="32" customHeight="1" spans="1:4">
      <c r="A36" s="584" t="s">
        <v>2539</v>
      </c>
      <c r="B36" s="585" t="s">
        <v>2654</v>
      </c>
      <c r="C36" s="584" t="s">
        <v>2655</v>
      </c>
    </row>
    <row r="37" ht="32" customHeight="1" spans="1:4">
      <c r="A37" s="584" t="s">
        <v>2539</v>
      </c>
      <c r="B37" s="585" t="s">
        <v>2656</v>
      </c>
      <c r="C37" s="584" t="s">
        <v>2657</v>
      </c>
    </row>
    <row r="38" ht="45.5" customHeight="1" spans="1:4">
      <c r="A38" s="584" t="s">
        <v>2539</v>
      </c>
      <c r="B38" s="585" t="s">
        <v>2658</v>
      </c>
      <c r="C38" s="584" t="s">
        <v>2659</v>
      </c>
    </row>
    <row r="39" ht="32" customHeight="1" spans="1:4">
      <c r="A39" s="584" t="s">
        <v>2539</v>
      </c>
      <c r="B39" s="585" t="s">
        <v>2660</v>
      </c>
      <c r="C39" s="584" t="s">
        <v>2661</v>
      </c>
    </row>
    <row r="40" ht="45.5" customHeight="1" spans="1:4">
      <c r="A40" s="584" t="s">
        <v>2539</v>
      </c>
      <c r="B40" s="585" t="s">
        <v>2662</v>
      </c>
      <c r="C40" s="584" t="s">
        <v>2663</v>
      </c>
    </row>
    <row r="41" ht="45.5" customHeight="1" spans="1:4">
      <c r="A41" s="584" t="s">
        <v>2539</v>
      </c>
      <c r="B41" s="585" t="s">
        <v>2664</v>
      </c>
      <c r="C41" s="584" t="s">
        <v>2665</v>
      </c>
    </row>
    <row r="42" ht="32" customHeight="1" spans="1:4">
      <c r="A42" s="584" t="s">
        <v>2539</v>
      </c>
      <c r="B42" s="585" t="s">
        <v>2666</v>
      </c>
      <c r="C42" s="584" t="s">
        <v>2667</v>
      </c>
    </row>
    <row r="43" ht="45.5" customHeight="1" spans="1:4">
      <c r="A43" s="584" t="s">
        <v>2540</v>
      </c>
      <c r="B43" s="585" t="s">
        <v>2668</v>
      </c>
      <c r="C43" s="584" t="s">
        <v>2669</v>
      </c>
    </row>
    <row r="44" ht="45.5" customHeight="1" spans="1:4">
      <c r="A44" s="584" t="s">
        <v>2540</v>
      </c>
      <c r="B44" s="585" t="s">
        <v>2670</v>
      </c>
      <c r="C44" s="584" t="s">
        <v>2671</v>
      </c>
    </row>
    <row r="45" ht="45.5" customHeight="1" spans="1:4">
      <c r="A45" s="584" t="s">
        <v>2540</v>
      </c>
      <c r="B45" s="585" t="s">
        <v>2672</v>
      </c>
      <c r="C45" s="584" t="s">
        <v>2673</v>
      </c>
    </row>
    <row r="46" ht="45.5" customHeight="1" spans="1:4">
      <c r="A46" s="584" t="s">
        <v>2540</v>
      </c>
      <c r="B46" s="585" t="s">
        <v>2674</v>
      </c>
      <c r="C46" s="584" t="s">
        <v>2675</v>
      </c>
    </row>
    <row r="47" ht="45.5" customHeight="1" spans="1:4">
      <c r="A47" s="584" t="s">
        <v>2540</v>
      </c>
      <c r="B47" s="585" t="s">
        <v>2676</v>
      </c>
      <c r="C47" s="584" t="s">
        <v>2677</v>
      </c>
    </row>
    <row r="48" ht="32" customHeight="1" spans="1:4">
      <c r="A48" s="584" t="s">
        <v>2541</v>
      </c>
      <c r="B48" s="585" t="s">
        <v>2678</v>
      </c>
      <c r="C48" s="584" t="s">
        <v>2679</v>
      </c>
    </row>
    <row r="49" ht="32" customHeight="1" spans="1:4">
      <c r="A49" s="584" t="s">
        <v>2541</v>
      </c>
      <c r="B49" s="585" t="s">
        <v>2680</v>
      </c>
      <c r="C49" s="584" t="s">
        <v>2681</v>
      </c>
    </row>
    <row r="50" ht="32" customHeight="1" spans="1:4">
      <c r="A50" s="584" t="s">
        <v>2542</v>
      </c>
      <c r="B50" s="585" t="s">
        <v>2682</v>
      </c>
      <c r="C50" s="584" t="s">
        <v>2683</v>
      </c>
    </row>
    <row r="51" ht="45.5" customHeight="1" spans="1:4">
      <c r="A51" s="584" t="s">
        <v>2542</v>
      </c>
      <c r="B51" s="585" t="s">
        <v>2684</v>
      </c>
      <c r="C51" s="584" t="s">
        <v>2685</v>
      </c>
    </row>
    <row r="52" ht="32" customHeight="1" spans="1:4">
      <c r="A52" s="584" t="s">
        <v>2542</v>
      </c>
      <c r="B52" s="585" t="s">
        <v>2686</v>
      </c>
      <c r="C52" s="584" t="s">
        <v>2687</v>
      </c>
    </row>
    <row r="53" ht="32" customHeight="1" spans="1:4">
      <c r="A53" s="584" t="s">
        <v>2542</v>
      </c>
      <c r="B53" s="585" t="s">
        <v>2688</v>
      </c>
      <c r="C53" s="584" t="s">
        <v>2689</v>
      </c>
    </row>
    <row r="54" ht="32" customHeight="1" spans="1:4">
      <c r="A54" s="584" t="s">
        <v>2542</v>
      </c>
      <c r="B54" s="585" t="s">
        <v>2690</v>
      </c>
      <c r="C54" s="584" t="inlineStr">
        <is>
          <t xml:space="preserve">速度每40千米/小时计10%致死；撞墙且无处跌落时翻倍。存活者体质×5，失败眩晕。载具冲撞按载具规则结算。</t>
        </is>
      </c>
    </row>
    <row r="55" ht="32" customHeight="1" spans="1:4">
      <c r="A55" s="584" t="s">
        <v>2542</v>
      </c>
      <c r="B55" s="585" t="s">
        <v>2691</v>
      </c>
      <c r="C55" s="584" t="s">
        <v>2692</v>
      </c>
    </row>
    <row r="56" ht="32" customHeight="1" spans="1:4">
      <c r="A56" s="584" t="s">
        <v>2542</v>
      </c>
      <c r="B56" s="585" t="s">
        <v>2693</v>
      </c>
      <c r="C56" s="584" t="s">
        <v>2694</v>
      </c>
    </row>
    <row r="57" ht="32" customHeight="1" spans="1:4">
      <c r="A57" s="584" t="s">
        <v>2543</v>
      </c>
      <c r="B57" s="585" t="s">
        <v>2695</v>
      </c>
      <c r="C57" s="584" t="s">
        <v>2696</v>
      </c>
    </row>
    <row r="58" ht="45.5" customHeight="1" spans="1:4">
      <c r="A58" s="584" t="s">
        <v>2543</v>
      </c>
      <c r="B58" s="585" t="s">
        <v>2697</v>
      </c>
      <c r="C58" s="584" t="s">
        <v>2698</v>
      </c>
    </row>
    <row r="59" ht="45.5" customHeight="1" spans="1:4">
      <c r="A59" s="584" t="s">
        <v>2543</v>
      </c>
      <c r="B59" s="585" t="s">
        <v>2699</v>
      </c>
      <c r="C59" s="584" t="s">
        <v>2700</v>
      </c>
    </row>
    <row r="60" ht="32" customHeight="1" spans="1:4">
      <c r="A60" s="584" t="s">
        <v>2543</v>
      </c>
      <c r="B60" s="585" t="s">
        <v>2701</v>
      </c>
      <c r="C60" s="584" t="s">
        <v>2702</v>
      </c>
    </row>
    <row r="61" ht="45.5" customHeight="1" spans="1:4">
      <c r="A61" s="584" t="s">
        <v>2543</v>
      </c>
      <c r="B61" s="585" t="s">
        <v>2703</v>
      </c>
      <c r="C61" s="584" t="s">
        <v>2704</v>
      </c>
    </row>
    <row r="62" ht="45.5" customHeight="1" spans="1:4">
      <c r="A62" s="584" t="s">
        <v>2543</v>
      </c>
      <c r="B62" s="585" t="s">
        <v>2705</v>
      </c>
      <c r="C62" s="584" t="s">
        <v>2706</v>
      </c>
    </row>
    <row r="63" ht="32" customHeight="1" spans="1:4">
      <c r="A63" s="584" t="s">
        <v>2543</v>
      </c>
      <c r="B63" s="585" t="s">
        <v>2707</v>
      </c>
      <c r="C63" s="584" t="s">
        <v>2708</v>
      </c>
    </row>
    <row r="64" ht="32" customHeight="1" spans="1:4">
      <c r="A64" s="584" t="s">
        <v>2543</v>
      </c>
      <c r="B64" s="585" t="s">
        <v>2709</v>
      </c>
      <c r="C64" s="584" t="s">
        <v>2710</v>
      </c>
    </row>
    <row r="65" ht="45.5" customHeight="1" spans="1:4">
      <c r="A65" s="584" t="s">
        <v>2543</v>
      </c>
      <c r="B65" s="585" t="s">
        <v>2711</v>
      </c>
      <c r="C65" s="584" t="s">
        <v>2712</v>
      </c>
    </row>
    <row r="66" ht="32" customHeight="1" spans="1:4">
      <c r="A66" s="584" t="s">
        <v>2544</v>
      </c>
      <c r="B66" s="585" t="s">
        <v>641</v>
      </c>
      <c r="C66" s="584" t="s">
        <v>2713</v>
      </c>
    </row>
    <row r="67" ht="32" customHeight="1" spans="1:4">
      <c r="A67" s="584" t="s">
        <v>2544</v>
      </c>
      <c r="B67" s="585" t="s">
        <v>648</v>
      </c>
      <c r="C67" s="584" t="s">
        <v>2714</v>
      </c>
    </row>
    <row r="68" ht="32" customHeight="1" spans="1:4">
      <c r="A68" s="584" t="s">
        <v>2544</v>
      </c>
      <c r="B68" s="585" t="s">
        <v>651</v>
      </c>
      <c r="C68" s="584" t="s">
        <v>2715</v>
      </c>
    </row>
    <row r="69" ht="32" customHeight="1" spans="1:4">
      <c r="A69" s="584" t="s">
        <v>2544</v>
      </c>
      <c r="B69" s="585" t="s">
        <v>120</v>
      </c>
      <c r="C69" s="584" t="s">
        <v>2716</v>
      </c>
    </row>
    <row r="70" ht="45.5" customHeight="1" spans="1:4">
      <c r="A70" s="584" t="s">
        <v>2544</v>
      </c>
      <c r="B70" s="585" t="s">
        <v>2717</v>
      </c>
      <c r="C70" s="584" t="inlineStr">
        <is>
          <t xml:space="preserve">创伤损失理智后，通常保留原崩溃点。例如初始理智60、崩溃点48；创伤后理智55，崩溃点仍为48。“人类不应知道之事”另行重置。</t>
        </is>
      </c>
    </row>
    <row r="71" ht="32" customHeight="1" spans="1:4">
      <c r="A71" s="584" t="s">
        <v>2545</v>
      </c>
      <c r="B71" s="585" t="s">
        <v>2718</v>
      </c>
      <c r="C71" s="584" t="inlineStr">
        <is>
          <t xml:space="preserve">武器栏自动带入基础数值；命中奖惩、配件效果与近战伤害加成仍按实际情景处理。</t>
        </is>
      </c>
    </row>
    <row r="72" ht="45.5" customHeight="1" spans="1:4">
      <c r="A72" s="584" t="s">
        <v>2545</v>
      </c>
      <c r="B72" s="585" t="inlineStr">
        <is>
          <t xml:space="preserve">霰弹枪</t>
        </is>
      </c>
      <c r="C72" s="584" t="inlineStr">
        <is>
          <t xml:space="preserve">独头弹基础射程75米、伤害2D8，基础射程外伤害2D6；霰弹弹丸基础射程75米、伤害2D8，基础射程外伤害减半。</t>
        </is>
      </c>
    </row>
    <row r="73" ht="45.5" customHeight="1" spans="1:4">
      <c r="A73" s="586" t="s">
        <v>2546</v>
      </c>
      <c r="B73" s="587" t="s">
        <v>2719</v>
      </c>
      <c r="C73" s="586" t="s">
        <v>2720</v>
      </c>
    </row>
    <row r="74" ht="32" customHeight="1" spans="1:4">
      <c r="A74" s="588" t="s">
        <v>2546</v>
      </c>
      <c r="B74" s="589" t="s">
        <v>2719</v>
      </c>
      <c r="C74" s="588" t="s">
        <v>2721</v>
      </c>
    </row>
    <row r="75" ht="32" customHeight="1" spans="1:4">
      <c r="A75" s="586" t="s">
        <v>2546</v>
      </c>
      <c r="B75" s="587" t="s">
        <v>2719</v>
      </c>
      <c r="C75" s="586" t="s">
        <v>2722</v>
      </c>
    </row>
    <row r="76" ht="32" customHeight="1" spans="1:4">
      <c r="A76" s="588" t="s">
        <v>2546</v>
      </c>
      <c r="B76" s="589" t="s">
        <v>2719</v>
      </c>
      <c r="C76" s="588" t="s">
        <v>2723</v>
      </c>
    </row>
    <row r="77" ht="32" customHeight="1" spans="1:4">
      <c r="A77" s="586" t="s">
        <v>2546</v>
      </c>
      <c r="B77" s="587" t="s">
        <v>2719</v>
      </c>
      <c r="C77" s="586" t="s">
        <v>2724</v>
      </c>
    </row>
    <row r="78" ht="32" customHeight="1" spans="1:4">
      <c r="A78" s="588" t="s">
        <v>2546</v>
      </c>
      <c r="B78" s="589" t="s">
        <v>2719</v>
      </c>
      <c r="C78" s="588" t="s">
        <v>2725</v>
      </c>
    </row>
    <row r="79" ht="32" customHeight="1" spans="1:4">
      <c r="A79" s="586" t="s">
        <v>2546</v>
      </c>
      <c r="B79" s="587" t="s">
        <v>2719</v>
      </c>
      <c r="C79" s="586" t="s">
        <v>2726</v>
      </c>
    </row>
    <row r="80" ht="59" customHeight="1" spans="1:4">
      <c r="A80" s="588" t="s">
        <v>2546</v>
      </c>
      <c r="B80" s="589" t="s">
        <v>2719</v>
      </c>
      <c r="C80" s="588" t="s">
        <v>2727</v>
      </c>
    </row>
    <row r="81" ht="79" customHeight="1" spans="1:4">
      <c r="A81" s="586" t="s">
        <v>2546</v>
      </c>
      <c r="B81" s="587" t="s">
        <v>2719</v>
      </c>
      <c r="C81" s="586" t="s">
        <v>2728</v>
      </c>
    </row>
    <row r="82" ht="32" customHeight="1" spans="1:4">
      <c r="A82" s="588" t="s">
        <v>2546</v>
      </c>
      <c r="B82" s="589" t="s">
        <v>2719</v>
      </c>
      <c r="C82" s="588" t="s">
        <v>2729</v>
      </c>
    </row>
    <row r="83" ht="92.5" customHeight="1" spans="1:4">
      <c r="A83" s="586" t="s">
        <v>2546</v>
      </c>
      <c r="B83" s="587" t="s">
        <v>2719</v>
      </c>
      <c r="C83" s="586" t="s">
        <v>2730</v>
      </c>
    </row>
    <row r="84" ht="32" customHeight="1" spans="1:4">
      <c r="A84" s="588" t="s">
        <v>2546</v>
      </c>
      <c r="B84" s="589" t="s">
        <v>2731</v>
      </c>
      <c r="C84" s="588" t="s">
        <v>2732</v>
      </c>
    </row>
    <row r="85" ht="45.5" customHeight="1" spans="1:4">
      <c r="A85" s="586" t="s">
        <v>36</v>
      </c>
      <c r="B85" s="587" t="s">
        <v>2733</v>
      </c>
      <c r="C85" s="586" t="s">
        <v>2734</v>
      </c>
    </row>
    <row r="86" ht="45.5" customHeight="1" spans="1:4">
      <c r="A86" s="588" t="s">
        <v>36</v>
      </c>
      <c r="B86" s="589" t="s">
        <v>2733</v>
      </c>
      <c r="C86" s="588" t="s">
        <v>2735</v>
      </c>
    </row>
    <row r="87" ht="45.5" customHeight="1" spans="1:4">
      <c r="A87" s="586" t="s">
        <v>2547</v>
      </c>
      <c r="B87" s="587" t="s">
        <v>2736</v>
      </c>
      <c r="C87" s="586" t="s">
        <v>2737</v>
      </c>
    </row>
    <row r="88" ht="32" customHeight="1" spans="1:4">
      <c r="A88" s="588" t="s">
        <v>2547</v>
      </c>
      <c r="B88" s="589" t="s">
        <v>2738</v>
      </c>
      <c r="C88" s="588" t="s">
        <v>2739</v>
      </c>
    </row>
    <row r="89" ht="32" customHeight="1" spans="1:4">
      <c r="A89" s="586" t="s">
        <v>2547</v>
      </c>
      <c r="B89" s="587" t="s">
        <v>2740</v>
      </c>
      <c r="C89" s="586" t="s">
        <v>2741</v>
      </c>
    </row>
    <row r="90" ht="32" customHeight="1" spans="1:4">
      <c r="A90" s="588" t="s">
        <v>2547</v>
      </c>
      <c r="B90" s="589" t="s">
        <v>2742</v>
      </c>
      <c r="C90" s="588" t="s">
        <v>2743</v>
      </c>
    </row>
    <row r="91" ht="32" customHeight="1" spans="1:4">
      <c r="A91" s="586" t="s">
        <v>2547</v>
      </c>
      <c r="B91" s="587" t="s">
        <v>2623</v>
      </c>
      <c r="C91" s="586" t="inlineStr">
        <is>
          <t xml:space="preserve">立刻变得精疲力尽。</t>
        </is>
      </c>
    </row>
    <row r="92" ht="32" customHeight="1" spans="1:4">
      <c r="A92" s="588" t="s">
        <v>2547</v>
      </c>
      <c r="B92" s="589" t="s">
        <v>2744</v>
      </c>
      <c r="C92" s="588" t="s">
        <v>2745</v>
      </c>
    </row>
    <row r="93" ht="32" customHeight="1" spans="1:4">
      <c r="A93" s="586" t="s">
        <v>2547</v>
      </c>
      <c r="B93" s="587" t="s">
        <v>2746</v>
      </c>
      <c r="C93" s="586" t="s">
        <v>2747</v>
      </c>
    </row>
    <row r="94" ht="32" customHeight="1" spans="1:4">
      <c r="A94" s="588" t="s">
        <v>2535</v>
      </c>
      <c r="B94" s="589" t="s">
        <v>2748</v>
      </c>
      <c r="C94" s="588" t="s">
        <v>2749</v>
      </c>
    </row>
    <row r="95" ht="72.5" customHeight="1" spans="1:4">
      <c r="A95" s="586" t="s">
        <v>2535</v>
      </c>
      <c r="B95" s="587" t="s">
        <v>2750</v>
      </c>
      <c r="C95" s="586" t="s">
        <v>2751</v>
      </c>
    </row>
    <row r="96" ht="92.5" customHeight="1" spans="1:4">
      <c r="A96" s="588" t="s">
        <v>2535</v>
      </c>
      <c r="B96" s="589" t="s">
        <v>2752</v>
      </c>
      <c r="C96" s="588" t="s">
        <v>2753</v>
      </c>
    </row>
    <row r="97" ht="59" customHeight="1" spans="1:4">
      <c r="A97" s="586" t="s">
        <v>2535</v>
      </c>
      <c r="B97" s="587" t="s">
        <v>2754</v>
      </c>
      <c r="C97" s="590" t="inlineStr">
        <is>
          <t xml:space="preserve">坐在载具中的乘客可以在追逐对抗开始前向对手射击。攻击使用战斗规则。每次追逐对抗等于一次战斗轮。如果你是驾驶员或是在徒步追逐，试图攻击而不是进行追逐对抗意味着对方在本次追逐对抗中自动成功。</t>
        </is>
      </c>
    </row>
    <row r="98" ht="32" customHeight="1" spans="1:4">
      <c r="A98" s="588" t="s">
        <v>2548</v>
      </c>
      <c r="B98" s="589" t="s">
        <v>2755</v>
      </c>
      <c r="C98" s="588" t="s">
        <v>2756</v>
      </c>
    </row>
    <row r="99" ht="32" customHeight="1" spans="1:4">
      <c r="A99" s="586" t="s">
        <v>2549</v>
      </c>
      <c r="B99" s="587" t="s">
        <v>2757</v>
      </c>
      <c r="C99" s="586" t="s">
        <v>2758</v>
      </c>
    </row>
    <row r="100" ht="32" customHeight="1" spans="1:4">
      <c r="A100" s="588" t="s">
        <v>2549</v>
      </c>
      <c r="B100" s="589" t="s">
        <v>2759</v>
      </c>
      <c r="C100" s="588" t="s">
        <v>2760</v>
      </c>
    </row>
    <row r="101" ht="32" customHeight="1" spans="1:4">
      <c r="A101" s="586" t="s">
        <v>2550</v>
      </c>
      <c r="B101" s="587" t="s">
        <v>2761</v>
      </c>
      <c r="C101" s="586" t="s">
        <v>2762</v>
      </c>
    </row>
    <row r="102" ht="32" customHeight="1" spans="1:4">
      <c r="A102" s="588" t="s">
        <v>2550</v>
      </c>
      <c r="B102" s="589" t="s">
        <v>2763</v>
      </c>
      <c r="C102" s="588" t="s">
        <v>2764</v>
      </c>
    </row>
    <row r="103" ht="32" customHeight="1" spans="1:4">
      <c r="A103" s="586" t="s">
        <v>2550</v>
      </c>
      <c r="B103" s="587" t="s">
        <v>2765</v>
      </c>
      <c r="C103" s="586" t="s">
        <v>2766</v>
      </c>
    </row>
    <row r="104" ht="32" customHeight="1" spans="1:4">
      <c r="A104" s="588" t="s">
        <v>2550</v>
      </c>
      <c r="B104" s="589" t="s">
        <v>2767</v>
      </c>
      <c r="C104" s="588" t="s">
        <v>2768</v>
      </c>
    </row>
    <row r="105" ht="32" customHeight="1" spans="1:4">
      <c r="A105" s="586" t="s">
        <v>2551</v>
      </c>
      <c r="B105" s="587" t="s">
        <v>2769</v>
      </c>
      <c r="C105" s="586" t="s">
        <v>2770</v>
      </c>
    </row>
    <row r="106" ht="32" customHeight="1" spans="1:4">
      <c r="A106" s="588" t="s">
        <v>2551</v>
      </c>
      <c r="B106" s="589" t="s">
        <v>2771</v>
      </c>
      <c r="C106" s="588" t="s">
        <v>2772</v>
      </c>
    </row>
    <row r="107" ht="32" customHeight="1" spans="1:4">
      <c r="A107" s="586" t="s">
        <v>2551</v>
      </c>
      <c r="B107" s="587" t="s">
        <v>2773</v>
      </c>
      <c r="C107" s="586" t="s">
        <v>2774</v>
      </c>
    </row>
    <row r="108" ht="32" customHeight="1" spans="1:4">
      <c r="A108" s="588" t="s">
        <v>2551</v>
      </c>
      <c r="B108" s="589" t="s">
        <v>2775</v>
      </c>
      <c r="C108" s="588" t="s">
        <v>2776</v>
      </c>
    </row>
    <row r="109" ht="32" customHeight="1" spans="1:4">
      <c r="A109" s="586" t="s">
        <v>2552</v>
      </c>
      <c r="B109" s="587" t="s">
        <v>2777</v>
      </c>
      <c r="C109" s="586" t="s">
        <v>2778</v>
      </c>
    </row>
    <row r="110" ht="32" customHeight="1" spans="1:4">
      <c r="A110" s="588" t="s">
        <v>2552</v>
      </c>
      <c r="B110" s="589" t="s">
        <v>2779</v>
      </c>
      <c r="C110" s="588" t="s">
        <v>2780</v>
      </c>
    </row>
    <row r="111" ht="32" customHeight="1" spans="1:4">
      <c r="A111" s="586" t="s">
        <v>2552</v>
      </c>
      <c r="B111" s="587" t="s">
        <v>2781</v>
      </c>
      <c r="C111" s="586" t="s">
        <v>2782</v>
      </c>
    </row>
    <row r="112" ht="32" customHeight="1" spans="1:4">
      <c r="A112" s="588" t="s">
        <v>2552</v>
      </c>
      <c r="B112" s="589" t="s">
        <v>2783</v>
      </c>
      <c r="C112" s="588" t="s">
        <v>2774</v>
      </c>
    </row>
    <row r="113" ht="32" customHeight="1" spans="1:4">
      <c r="A113" s="586" t="s">
        <v>2552</v>
      </c>
      <c r="B113" s="587" t="s">
        <v>2784</v>
      </c>
      <c r="C113" s="586" t="s">
        <v>2785</v>
      </c>
    </row>
    <row r="114" ht="32" customHeight="1" spans="1:4">
      <c r="A114" s="588" t="s">
        <v>2552</v>
      </c>
      <c r="B114" s="589" t="s">
        <v>2786</v>
      </c>
      <c r="C114" s="588" t="s">
        <v>2787</v>
      </c>
    </row>
    <row r="115" ht="32" customHeight="1" spans="1:4">
      <c r="A115" s="586" t="s">
        <v>2553</v>
      </c>
      <c r="B115" s="587" t="s">
        <v>2788</v>
      </c>
      <c r="C115" s="586" t="s">
        <v>2789</v>
      </c>
    </row>
    <row r="116" ht="32" customHeight="1" spans="1:4">
      <c r="A116" s="588" t="s">
        <v>2553</v>
      </c>
      <c r="B116" s="589" t="s">
        <v>2790</v>
      </c>
      <c r="C116" s="588" t="s">
        <v>2791</v>
      </c>
    </row>
    <row r="117" ht="32" customHeight="1" spans="1:4">
      <c r="A117" s="586" t="s">
        <v>2553</v>
      </c>
      <c r="B117" s="587" t="s">
        <v>2792</v>
      </c>
      <c r="C117" s="586" t="s">
        <v>2793</v>
      </c>
    </row>
    <row r="118" ht="32" customHeight="1" spans="1:4">
      <c r="A118" s="588" t="s">
        <v>2553</v>
      </c>
      <c r="B118" s="589" t="s">
        <v>2794</v>
      </c>
      <c r="C118" s="588" t="s">
        <v>2795</v>
      </c>
    </row>
    <row r="119" ht="32" customHeight="1" spans="1:4">
      <c r="A119" s="586" t="s">
        <v>2553</v>
      </c>
      <c r="B119" s="587" t="s">
        <v>2796</v>
      </c>
      <c r="C119" s="586" t="s">
        <v>2797</v>
      </c>
    </row>
    <row r="120" ht="32" customHeight="1" spans="1:4">
      <c r="A120" s="588" t="s">
        <v>2554</v>
      </c>
      <c r="B120" s="589" t="s">
        <v>2798</v>
      </c>
      <c r="C120" s="588" t="s">
        <v>2756</v>
      </c>
    </row>
    <row r="121" ht="32" customHeight="1" spans="1:4">
      <c r="A121" s="586" t="s">
        <v>2554</v>
      </c>
      <c r="B121" s="587" t="s">
        <v>2799</v>
      </c>
      <c r="C121" s="586" t="s">
        <v>2764</v>
      </c>
    </row>
    <row r="122" ht="32" customHeight="1" spans="1:4">
      <c r="A122" s="588" t="s">
        <v>2554</v>
      </c>
      <c r="B122" s="589" t="s">
        <v>2800</v>
      </c>
      <c r="C122" s="588" t="s">
        <v>2801</v>
      </c>
    </row>
    <row r="123" ht="32" customHeight="1" spans="1:4">
      <c r="A123" s="586" t="s">
        <v>2554</v>
      </c>
      <c r="B123" s="587" t="s">
        <v>2802</v>
      </c>
      <c r="C123" s="586" t="s">
        <v>2803</v>
      </c>
    </row>
    <row r="124" ht="32" customHeight="1" spans="1:4">
      <c r="A124" s="588" t="s">
        <v>2554</v>
      </c>
      <c r="B124" s="589" t="s">
        <v>2804</v>
      </c>
      <c r="C124" s="588" t="s">
        <v>2805</v>
      </c>
    </row>
    <row r="125" ht="32" customHeight="1" spans="1:4">
      <c r="A125" s="586" t="s">
        <v>2554</v>
      </c>
      <c r="B125" s="587" t="s">
        <v>2806</v>
      </c>
      <c r="C125" s="586" t="s">
        <v>2760</v>
      </c>
    </row>
    <row r="126" ht="32" customHeight="1" spans="1:4">
      <c r="A126" s="588" t="s">
        <v>2554</v>
      </c>
      <c r="B126" s="589" t="s">
        <v>2807</v>
      </c>
      <c r="C126" s="588" t="s">
        <v>2770</v>
      </c>
    </row>
    <row r="127" ht="32" customHeight="1" spans="1:4">
      <c r="A127" s="586" t="s">
        <v>2554</v>
      </c>
      <c r="B127" s="587" t="s">
        <v>2808</v>
      </c>
      <c r="C127" s="586" t="s">
        <v>2774</v>
      </c>
    </row>
    <row r="128" ht="32" customHeight="1" spans="1:4">
      <c r="A128" s="588" t="s">
        <v>2555</v>
      </c>
      <c r="B128" s="589" t="s">
        <v>2809</v>
      </c>
      <c r="C128" s="588" t="s">
        <v>2810</v>
      </c>
    </row>
    <row r="129" ht="32" customHeight="1" spans="1:4">
      <c r="A129" s="586" t="s">
        <v>2555</v>
      </c>
      <c r="B129" s="587" t="s">
        <v>2811</v>
      </c>
      <c r="C129" s="586" t="s">
        <v>2770</v>
      </c>
    </row>
    <row r="130" ht="32" customHeight="1" spans="1:4">
      <c r="A130" s="588" t="s">
        <v>2555</v>
      </c>
      <c r="B130" s="589" t="s">
        <v>2812</v>
      </c>
      <c r="C130" s="588" t="s">
        <v>2813</v>
      </c>
    </row>
    <row r="131" ht="32" customHeight="1" spans="1:4">
      <c r="A131" s="586" t="s">
        <v>2555</v>
      </c>
      <c r="B131" s="587" t="s">
        <v>2814</v>
      </c>
      <c r="C131" s="586" t="s">
        <v>2770</v>
      </c>
    </row>
    <row r="132" ht="32" customHeight="1" spans="1:4">
      <c r="A132" s="588" t="s">
        <v>2555</v>
      </c>
      <c r="B132" s="589" t="s">
        <v>2815</v>
      </c>
      <c r="C132" s="588" t="s">
        <v>2816</v>
      </c>
    </row>
    <row r="133" ht="32" customHeight="1" spans="1:4">
      <c r="A133" s="586" t="s">
        <v>2555</v>
      </c>
      <c r="B133" s="587" t="s">
        <v>2817</v>
      </c>
      <c r="C133" s="586" t="s">
        <v>2803</v>
      </c>
    </row>
    <row r="134" ht="32" customHeight="1" spans="1:4">
      <c r="A134" s="588" t="s">
        <v>2555</v>
      </c>
      <c r="B134" s="589" t="s">
        <v>2818</v>
      </c>
      <c r="C134" s="588" t="s">
        <v>2819</v>
      </c>
    </row>
    <row r="135" ht="32" customHeight="1" spans="1:4">
      <c r="A135" s="586" t="s">
        <v>2555</v>
      </c>
      <c r="B135" s="587" t="s">
        <v>2820</v>
      </c>
      <c r="C135" s="586" t="s">
        <v>2819</v>
      </c>
    </row>
    <row r="136" ht="45.5" customHeight="1" spans="1:4">
      <c r="A136" s="588" t="s">
        <v>2555</v>
      </c>
      <c r="B136" s="589" t="s">
        <v>2821</v>
      </c>
      <c r="C136" s="588" t="s">
        <v>2822</v>
      </c>
    </row>
    <row r="137" ht="32" customHeight="1" spans="1:4">
      <c r="A137" s="586" t="s">
        <v>2556</v>
      </c>
      <c r="B137" s="587" t="s">
        <v>2823</v>
      </c>
      <c r="C137" s="586" t="s">
        <v>2824</v>
      </c>
    </row>
    <row r="138" ht="32" customHeight="1" spans="1:4">
      <c r="A138" s="588" t="s">
        <v>2556</v>
      </c>
      <c r="B138" s="589" t="s">
        <v>2825</v>
      </c>
      <c r="C138" s="588" t="s">
        <v>2826</v>
      </c>
    </row>
    <row r="139" ht="32" customHeight="1" spans="1:4">
      <c r="A139" s="586" t="s">
        <v>2557</v>
      </c>
      <c r="B139" s="587" t="s">
        <v>2827</v>
      </c>
      <c r="C139" s="586" t="s">
        <v>2770</v>
      </c>
    </row>
    <row r="140" ht="32" customHeight="1" spans="1:4">
      <c r="A140" s="588" t="s">
        <v>2557</v>
      </c>
      <c r="B140" s="589" t="s">
        <v>2828</v>
      </c>
      <c r="C140" s="588" t="s">
        <v>2829</v>
      </c>
    </row>
    <row r="141" ht="32" customHeight="1" spans="1:4">
      <c r="A141" s="586" t="s">
        <v>2557</v>
      </c>
      <c r="B141" s="587" t="s">
        <v>2830</v>
      </c>
      <c r="C141" s="586" t="s">
        <v>2831</v>
      </c>
    </row>
    <row r="142" ht="32" customHeight="1" spans="1:4">
      <c r="A142" s="588" t="s">
        <v>2557</v>
      </c>
      <c r="B142" s="589" t="s">
        <v>2832</v>
      </c>
      <c r="C142" s="588" t="s">
        <v>2833</v>
      </c>
    </row>
    <row r="143" ht="32" customHeight="1" spans="1:4">
      <c r="A143" s="586" t="s">
        <v>2557</v>
      </c>
      <c r="B143" s="587" t="s">
        <v>2834</v>
      </c>
      <c r="C143" s="586" t="s">
        <v>2774</v>
      </c>
    </row>
    <row r="144" ht="32" customHeight="1" spans="1:4">
      <c r="A144" s="588" t="s">
        <v>2558</v>
      </c>
      <c r="B144" s="589" t="s">
        <v>2835</v>
      </c>
      <c r="C144" s="588" t="s">
        <v>2836</v>
      </c>
    </row>
    <row r="145" ht="45.5" customHeight="1" spans="1:4">
      <c r="A145" s="586" t="s">
        <v>2558</v>
      </c>
      <c r="B145" s="587" t="s">
        <v>2837</v>
      </c>
      <c r="C145" s="586" t="s">
        <v>2838</v>
      </c>
    </row>
    <row r="146" ht="59" customHeight="1" spans="1:4">
      <c r="A146" s="588" t="s">
        <v>2558</v>
      </c>
      <c r="B146" s="589" t="s">
        <v>2839</v>
      </c>
      <c r="C146" s="588" t="s">
        <v>2840</v>
      </c>
    </row>
    <row r="147" ht="59" customHeight="1" spans="1:4">
      <c r="A147" s="586" t="s">
        <v>2558</v>
      </c>
      <c r="B147" s="587" t="s">
        <v>2841</v>
      </c>
      <c r="C147" s="586" t="s">
        <v>2842</v>
      </c>
    </row>
    <row r="148" ht="32" customHeight="1" spans="1:4">
      <c r="A148" s="588" t="s">
        <v>2558</v>
      </c>
      <c r="B148" s="589" t="s">
        <v>2843</v>
      </c>
      <c r="C148" s="588" t="s">
        <v>2844</v>
      </c>
    </row>
    <row r="149" ht="32" customHeight="1" spans="1:4">
      <c r="A149" s="586" t="s">
        <v>2559</v>
      </c>
      <c r="B149" s="587" t="s">
        <v>2845</v>
      </c>
      <c r="C149" s="586" t="s">
        <v>2846</v>
      </c>
    </row>
    <row r="150" ht="32" customHeight="1" spans="1:4">
      <c r="A150" s="588" t="s">
        <v>2559</v>
      </c>
      <c r="B150" s="589" t="s">
        <v>2847</v>
      </c>
      <c r="C150" s="588" t="s">
        <v>2848</v>
      </c>
    </row>
    <row r="151" ht="32" customHeight="1" spans="1:4">
      <c r="A151" s="586" t="s">
        <v>2559</v>
      </c>
      <c r="B151" s="587" t="s">
        <v>2849</v>
      </c>
      <c r="C151" s="586" t="s">
        <v>2850</v>
      </c>
    </row>
    <row r="152" ht="32" customHeight="1" spans="1:4">
      <c r="A152" s="588" t="s">
        <v>2559</v>
      </c>
      <c r="B152" s="589" t="s">
        <v>2469</v>
      </c>
      <c r="C152" s="588" t="s">
        <v>2851</v>
      </c>
    </row>
    <row r="153" ht="32" customHeight="1" spans="1:4">
      <c r="A153" s="586" t="s">
        <v>2560</v>
      </c>
      <c r="B153" s="587" t="s">
        <v>2852</v>
      </c>
      <c r="C153" s="586" t="s">
        <v>2853</v>
      </c>
    </row>
    <row r="154" ht="32" customHeight="1" spans="1:4">
      <c r="A154" s="588" t="s">
        <v>2560</v>
      </c>
      <c r="B154" s="589" t="inlineStr">
        <is>
          <t xml:space="preserve">防暴头盔</t>
        </is>
      </c>
      <c r="C154" s="588" t="s">
        <v>2854</v>
      </c>
    </row>
    <row r="155" ht="32" customHeight="1" spans="1:4">
      <c r="A155" s="586" t="s">
        <v>2560</v>
      </c>
      <c r="B155" s="587" t="s">
        <v>2855</v>
      </c>
      <c r="C155" s="586" t="s">
        <v>2853</v>
      </c>
    </row>
    <row r="156" ht="32" customHeight="1" spans="1:4">
      <c r="A156" s="588" t="s">
        <v>2560</v>
      </c>
      <c r="B156" s="589" t="inlineStr">
        <is>
          <t xml:space="preserve">凯夫拉尔头盔</t>
        </is>
      </c>
      <c r="C156" s="588" t="s">
        <v>2856</v>
      </c>
    </row>
    <row r="157" ht="32" customHeight="1" spans="1:4">
      <c r="A157" s="586" t="s">
        <v>2560</v>
      </c>
      <c r="B157" s="587" t="s">
        <v>2857</v>
      </c>
      <c r="C157" s="586" t="s">
        <v>2858</v>
      </c>
    </row>
    <row r="158" ht="32" customHeight="1" spans="1:4">
      <c r="A158" s="588" t="s">
        <v>2560</v>
      </c>
      <c r="B158" s="589" t="inlineStr">
        <is>
          <t xml:space="preserve">凯夫拉尔防弹背心</t>
        </is>
      </c>
      <c r="C158" s="588" t="s">
        <v>2859</v>
      </c>
    </row>
    <row r="159" ht="32" customHeight="1" spans="1:4">
      <c r="A159" s="586" t="s">
        <v>2560</v>
      </c>
      <c r="B159" s="587" t="s">
        <v>2860</v>
      </c>
      <c r="C159" s="586" t="s">
        <v>2861</v>
      </c>
    </row>
    <row r="160" ht="32" customHeight="1" spans="1:4">
      <c r="A160" s="588" t="s">
        <v>2560</v>
      </c>
      <c r="B160" s="589" t="inlineStr">
        <is>
          <t xml:space="preserve">增强凯夫拉尔防弹背心</t>
        </is>
      </c>
      <c r="C160" s="588" t="s">
        <v>2862</v>
      </c>
    </row>
    <row r="161" ht="32" customHeight="1" spans="1:4">
      <c r="A161" s="586" t="s">
        <v>2560</v>
      </c>
      <c r="B161" s="587" t="s">
        <v>2863</v>
      </c>
      <c r="C161" s="586" t="s">
        <v>2864</v>
      </c>
    </row>
    <row r="162" ht="32" customHeight="1" spans="1:4">
      <c r="A162" s="588" t="s">
        <v>2560</v>
      </c>
      <c r="B162" s="589" t="inlineStr">
        <is>
          <t xml:space="preserve">战术防弹衣</t>
        </is>
      </c>
      <c r="C162" s="588" t="s">
        <v>2865</v>
      </c>
    </row>
    <row r="163" ht="32" customHeight="1" spans="1:4">
      <c r="A163" s="586" t="s">
        <v>2560</v>
      </c>
      <c r="B163" s="587" t="s">
        <v>2866</v>
      </c>
      <c r="C163" s="586" t="s">
        <v>2867</v>
      </c>
    </row>
    <row r="164" ht="32" customHeight="1" spans="1:4">
      <c r="A164" s="588" t="s">
        <v>2560</v>
      </c>
      <c r="B164" s="589" t="inlineStr">
        <is>
          <t xml:space="preserve">防爆服</t>
        </is>
      </c>
      <c r="C164" s="588" t="s">
        <v>2868</v>
      </c>
    </row>
    <row r="165" ht="32" customHeight="1" spans="1:4">
      <c r="A165" s="586" t="s">
        <v>2561</v>
      </c>
      <c r="B165" s="587" t="s">
        <v>2869</v>
      </c>
      <c r="C165" s="586" t="s">
        <v>2870</v>
      </c>
    </row>
    <row r="166" ht="32" customHeight="1" spans="1:4">
      <c r="A166" s="588" t="s">
        <v>2561</v>
      </c>
      <c r="B166" s="589" t="s">
        <v>2871</v>
      </c>
      <c r="C166" s="588" t="s">
        <v>2872</v>
      </c>
    </row>
    <row r="167" ht="32" customHeight="1" spans="1:4">
      <c r="A167" s="586" t="s">
        <v>2561</v>
      </c>
      <c r="B167" s="587" t="s">
        <v>2873</v>
      </c>
      <c r="C167" s="586" t="s">
        <v>2874</v>
      </c>
    </row>
    <row r="168" ht="32" customHeight="1" spans="1:4">
      <c r="A168" s="588" t="s">
        <v>2561</v>
      </c>
      <c r="B168" s="589" t="s">
        <v>2875</v>
      </c>
      <c r="C168" s="588" t="s">
        <v>2876</v>
      </c>
    </row>
    <row r="169" ht="32" customHeight="1" spans="1:4">
      <c r="A169" s="586" t="s">
        <v>2561</v>
      </c>
      <c r="B169" s="587" t="s">
        <v>2877</v>
      </c>
      <c r="C169" s="586" t="s">
        <v>2878</v>
      </c>
    </row>
    <row r="170" ht="32" customHeight="1" spans="1:4">
      <c r="A170" s="588" t="s">
        <v>2561</v>
      </c>
      <c r="B170" s="589" t="s">
        <v>2879</v>
      </c>
      <c r="C170" s="588" t="s">
        <v>2880</v>
      </c>
    </row>
    <row r="171" ht="32" customHeight="1" spans="1:4">
      <c r="A171" s="586" t="s">
        <v>2561</v>
      </c>
      <c r="B171" s="587" t="s">
        <v>2881</v>
      </c>
      <c r="C171" s="586" t="s">
        <v>2882</v>
      </c>
    </row>
    <row r="172" ht="32" customHeight="1" spans="1:4">
      <c r="A172" s="588" t="s">
        <v>2561</v>
      </c>
      <c r="B172" s="589" t="s">
        <v>2883</v>
      </c>
      <c r="C172" s="588" t="s">
        <v>2884</v>
      </c>
    </row>
    <row r="173" ht="32" customHeight="1" spans="1:4">
      <c r="A173" s="586" t="s">
        <v>2561</v>
      </c>
      <c r="B173" s="587" t="s">
        <v>2885</v>
      </c>
      <c r="C173" s="586" t="s">
        <v>2886</v>
      </c>
    </row>
    <row r="174" ht="32" customHeight="1" spans="1:4">
      <c r="A174" s="588" t="s">
        <v>2561</v>
      </c>
      <c r="B174" s="589" t="s">
        <v>2887</v>
      </c>
      <c r="C174" s="588" t="s">
        <v>2888</v>
      </c>
    </row>
    <row r="175" ht="32" customHeight="1" spans="1:4">
      <c r="A175" s="586" t="s">
        <v>2561</v>
      </c>
      <c r="B175" s="587" t="s">
        <v>2889</v>
      </c>
      <c r="C175" s="586" t="s">
        <v>2890</v>
      </c>
    </row>
    <row r="176" ht="32" customHeight="1" spans="1:4">
      <c r="A176" s="588" t="s">
        <v>2562</v>
      </c>
      <c r="B176" s="589" t="s">
        <v>2891</v>
      </c>
      <c r="C176" s="588" t="s">
        <v>2892</v>
      </c>
    </row>
    <row r="177" ht="32" customHeight="1" spans="1:4">
      <c r="A177" s="586" t="s">
        <v>2562</v>
      </c>
      <c r="B177" s="587" t="s">
        <v>2893</v>
      </c>
      <c r="C177" s="586" t="s">
        <v>2894</v>
      </c>
    </row>
    <row r="178" ht="32" customHeight="1" spans="1:4">
      <c r="A178" s="588" t="s">
        <v>2562</v>
      </c>
      <c r="B178" s="589" t="s">
        <v>2895</v>
      </c>
      <c r="C178" s="588" t="s">
        <v>2896</v>
      </c>
    </row>
    <row r="179" ht="32" customHeight="1" spans="1:4">
      <c r="A179" s="586" t="s">
        <v>2562</v>
      </c>
      <c r="B179" s="587" t="s">
        <v>2897</v>
      </c>
      <c r="C179" s="586" t="s">
        <v>2898</v>
      </c>
    </row>
    <row r="180" ht="32" customHeight="1" spans="1:4">
      <c r="A180" s="588" t="s">
        <v>2563</v>
      </c>
      <c r="B180" s="589" t="s">
        <v>2899</v>
      </c>
      <c r="C180" s="588" t="s">
        <v>2900</v>
      </c>
    </row>
    <row r="181" ht="32" customHeight="1" spans="1:4">
      <c r="A181" s="586" t="s">
        <v>2563</v>
      </c>
      <c r="B181" s="587" t="s">
        <v>2901</v>
      </c>
      <c r="C181" s="586" t="s">
        <v>2898</v>
      </c>
    </row>
    <row r="182" ht="32" customHeight="1" spans="1:4">
      <c r="A182" s="588" t="s">
        <v>2563</v>
      </c>
      <c r="B182" s="589" t="s">
        <v>2902</v>
      </c>
      <c r="C182" s="588" t="s">
        <v>2903</v>
      </c>
    </row>
    <row r="183" ht="32" customHeight="1" spans="1:4">
      <c r="A183" s="586" t="s">
        <v>2563</v>
      </c>
      <c r="B183" s="587" t="s">
        <v>2904</v>
      </c>
      <c r="C183" s="586" t="s">
        <v>2905</v>
      </c>
    </row>
    <row r="184" ht="32" customHeight="1" spans="1:4">
      <c r="A184" s="588" t="s">
        <v>2563</v>
      </c>
      <c r="B184" s="589" t="s">
        <v>2906</v>
      </c>
      <c r="C184" s="588" t="s">
        <v>2907</v>
      </c>
    </row>
    <row r="185" ht="32" customHeight="1" spans="1:4">
      <c r="A185" s="586" t="s">
        <v>2563</v>
      </c>
      <c r="B185" s="587" t="s">
        <v>2908</v>
      </c>
      <c r="C185" s="586" t="s">
        <v>2909</v>
      </c>
    </row>
    <row r="186" ht="32" customHeight="1" spans="1:4">
      <c r="A186" s="588" t="s">
        <v>2564</v>
      </c>
      <c r="B186" s="589" t="s">
        <v>2910</v>
      </c>
      <c r="C186" s="588" t="s">
        <v>2911</v>
      </c>
    </row>
    <row r="187" ht="32" customHeight="1" spans="1:4">
      <c r="A187" s="586" t="s">
        <v>2564</v>
      </c>
      <c r="B187" s="587" t="s">
        <v>2912</v>
      </c>
      <c r="C187" s="586" t="s">
        <v>2913</v>
      </c>
    </row>
    <row r="188" ht="32" customHeight="1" spans="1:4">
      <c r="A188" s="588" t="s">
        <v>2564</v>
      </c>
      <c r="B188" s="589" t="s">
        <v>2914</v>
      </c>
      <c r="C188" s="588" t="s">
        <v>2915</v>
      </c>
    </row>
    <row r="189" ht="45.5" customHeight="1" spans="1:4">
      <c r="A189" s="586" t="s">
        <v>2564</v>
      </c>
      <c r="B189" s="587" t="s">
        <v>2916</v>
      </c>
      <c r="C189" s="586" t="s">
        <v>2917</v>
      </c>
    </row>
    <row r="190" ht="32" customHeight="1" spans="1:4">
      <c r="A190" s="588" t="s">
        <v>2564</v>
      </c>
      <c r="B190" s="589" t="s">
        <v>2918</v>
      </c>
      <c r="C190" s="588" t="s">
        <v>2919</v>
      </c>
    </row>
    <row r="191" ht="32" customHeight="1" spans="1:4">
      <c r="A191" s="586" t="s">
        <v>2564</v>
      </c>
      <c r="B191" s="587" t="s">
        <v>2920</v>
      </c>
      <c r="C191" s="586" t="s">
        <v>2921</v>
      </c>
    </row>
    <row r="192" ht="32" customHeight="1" spans="1:4">
      <c r="A192" s="588" t="s">
        <v>2564</v>
      </c>
      <c r="B192" s="589" t="s">
        <v>2922</v>
      </c>
      <c r="C192" s="588" t="s">
        <v>2923</v>
      </c>
    </row>
    <row r="193" ht="32" customHeight="1" spans="1:4">
      <c r="A193" s="586" t="s">
        <v>2564</v>
      </c>
      <c r="B193" s="587" t="s">
        <v>2924</v>
      </c>
      <c r="C193" s="586" t="s">
        <v>2925</v>
      </c>
    </row>
    <row r="194" ht="45.5" customHeight="1" spans="1:4">
      <c r="A194" s="588" t="s">
        <v>2565</v>
      </c>
      <c r="B194" s="589" t="s">
        <v>2408</v>
      </c>
      <c r="C194" s="588" t="s">
        <v>2926</v>
      </c>
    </row>
    <row r="195" ht="45.5" customHeight="1" spans="1:4">
      <c r="A195" s="586" t="s">
        <v>2565</v>
      </c>
      <c r="B195" s="587" t="s">
        <v>2460</v>
      </c>
      <c r="C195" s="586" t="s">
        <v>2927</v>
      </c>
    </row>
    <row r="196" ht="32" customHeight="1" spans="1:4">
      <c r="A196" s="588" t="s">
        <v>2565</v>
      </c>
      <c r="B196" s="589" t="s">
        <v>2469</v>
      </c>
      <c r="C196" s="588" t="s">
        <v>2928</v>
      </c>
    </row>
    <row r="197" ht="32" customHeight="1" spans="1:4">
      <c r="A197" s="586" t="s">
        <v>2565</v>
      </c>
      <c r="B197" s="587" t="s">
        <v>2495</v>
      </c>
      <c r="C197" s="586" t="s">
        <v>2929</v>
      </c>
    </row>
    <row r="198" ht="32" customHeight="1" spans="1:4">
      <c r="A198" s="588" t="s">
        <v>2565</v>
      </c>
      <c r="B198" s="589" t="inlineStr">
        <is>
          <t xml:space="preserve">极端</t>
        </is>
      </c>
      <c r="C198" s="588" t="s">
        <v>2930</v>
      </c>
    </row>
    <row r="199" ht="32" customHeight="1" spans="1:4">
      <c r="A199" s="586" t="s">
        <v>2565</v>
      </c>
      <c r="B199" s="587" t="inlineStr">
        <is>
          <t xml:space="preserve">极端</t>
        </is>
      </c>
      <c r="C199" s="586" t="s">
        <v>2931</v>
      </c>
    </row>
    <row r="200" ht="32" customHeight="1" spans="1:4">
      <c r="A200" s="588" t="s">
        <v>2566</v>
      </c>
      <c r="B200" s="589" t="s">
        <v>2386</v>
      </c>
      <c r="C200" s="588" t="s">
        <v>2932</v>
      </c>
    </row>
    <row r="201" ht="32" customHeight="1" spans="1:4">
      <c r="A201" s="586" t="s">
        <v>2566</v>
      </c>
      <c r="B201" s="587" t="s">
        <v>2391</v>
      </c>
      <c r="C201" s="586" t="s">
        <v>2933</v>
      </c>
    </row>
    <row r="202" ht="32" customHeight="1" spans="1:4">
      <c r="A202" s="588" t="s">
        <v>2566</v>
      </c>
      <c r="B202" s="589" t="s">
        <v>2394</v>
      </c>
      <c r="C202" s="588" t="s">
        <v>2934</v>
      </c>
    </row>
    <row r="203" ht="45.5" customHeight="1" spans="1:4">
      <c r="A203" s="586" t="s">
        <v>2566</v>
      </c>
      <c r="B203" s="587" t="inlineStr">
        <is>
          <t xml:space="preserve">绞具</t>
        </is>
      </c>
      <c r="C203" s="586" t="s">
        <v>2935</v>
      </c>
    </row>
    <row r="204" ht="32" customHeight="1" spans="1:4">
      <c r="A204" s="588" t="s">
        <v>2566</v>
      </c>
      <c r="B204" s="589" t="s">
        <v>62</v>
      </c>
      <c r="C204" s="588" t="s">
        <v>2936</v>
      </c>
    </row>
    <row r="205" ht="32" customHeight="1" spans="1:4">
      <c r="A205" s="586" t="s">
        <v>2566</v>
      </c>
      <c r="B205" s="587" t="s">
        <v>2397</v>
      </c>
      <c r="C205" s="586" t="s">
        <v>2937</v>
      </c>
    </row>
    <row r="206" ht="32" customHeight="1" spans="1:4">
      <c r="A206" s="588" t="s">
        <v>2566</v>
      </c>
      <c r="B206" s="589" t="s">
        <v>2398</v>
      </c>
      <c r="C206" s="588" t="s">
        <v>2938</v>
      </c>
    </row>
    <row r="207" ht="32" customHeight="1" spans="1:4">
      <c r="A207" s="586" t="s">
        <v>2566</v>
      </c>
      <c r="B207" s="587" t="s">
        <v>2400</v>
      </c>
      <c r="C207" s="586" t="s">
        <v>2939</v>
      </c>
    </row>
    <row r="208" ht="32" customHeight="1" spans="1:4">
      <c r="A208" s="588" t="s">
        <v>2566</v>
      </c>
      <c r="B208" s="589" t="s">
        <v>2401</v>
      </c>
      <c r="C208" s="588" t="s">
        <v>2940</v>
      </c>
    </row>
    <row r="209" ht="32" customHeight="1" spans="1:4">
      <c r="A209" s="586" t="s">
        <v>2566</v>
      </c>
      <c r="B209" s="587" t="s">
        <v>2403</v>
      </c>
      <c r="C209" s="586" t="s">
        <v>2940</v>
      </c>
    </row>
    <row r="210" ht="32" customHeight="1" spans="1:4">
      <c r="A210" s="588" t="s">
        <v>2566</v>
      </c>
      <c r="B210" s="589" t="s">
        <v>2404</v>
      </c>
      <c r="C210" s="588" t="s">
        <v>2941</v>
      </c>
    </row>
    <row r="211" ht="32" customHeight="1" spans="1:4">
      <c r="A211" s="586" t="s">
        <v>2566</v>
      </c>
      <c r="B211" s="587" t="s">
        <v>2405</v>
      </c>
      <c r="C211" s="586" t="s">
        <v>2942</v>
      </c>
    </row>
    <row r="212" ht="32" customHeight="1" spans="1:4">
      <c r="A212" s="588" t="s">
        <v>2566</v>
      </c>
      <c r="B212" s="589" t="s">
        <v>2407</v>
      </c>
      <c r="C212" s="588" t="s">
        <v>2943</v>
      </c>
    </row>
    <row r="213" ht="32" customHeight="1" spans="1:4">
      <c r="A213" s="586" t="s">
        <v>2566</v>
      </c>
      <c r="B213" s="587" t="s">
        <v>2409</v>
      </c>
      <c r="C213" s="586" t="s">
        <v>2944</v>
      </c>
    </row>
    <row r="214" ht="32" customHeight="1" spans="1:4">
      <c r="A214" s="588" t="s">
        <v>2566</v>
      </c>
      <c r="B214" s="589" t="inlineStr">
        <is>
          <t xml:space="preserve">双手剑</t>
        </is>
      </c>
      <c r="C214" s="588" t="s">
        <v>2411</v>
      </c>
    </row>
    <row r="215" ht="32" customHeight="1" spans="1:4">
      <c r="A215" s="586" t="s">
        <v>2567</v>
      </c>
      <c r="B215" s="587" t="s">
        <v>2412</v>
      </c>
      <c r="C215" s="586" t="s">
        <v>2945</v>
      </c>
    </row>
    <row r="216" ht="32" customHeight="1" spans="1:4">
      <c r="A216" s="588" t="s">
        <v>2567</v>
      </c>
      <c r="B216" s="589" t="s">
        <v>2419</v>
      </c>
      <c r="C216" s="588" t="s">
        <v>2946</v>
      </c>
    </row>
    <row r="217" ht="32" customHeight="1" spans="1:4">
      <c r="A217" s="586" t="s">
        <v>2567</v>
      </c>
      <c r="B217" s="587" t="s">
        <v>2422</v>
      </c>
      <c r="C217" s="586" t="s">
        <v>2947</v>
      </c>
    </row>
    <row r="218" ht="32" customHeight="1" spans="1:4">
      <c r="A218" s="588" t="s">
        <v>2567</v>
      </c>
      <c r="B218" s="589" t="inlineStr">
        <is>
          <t xml:space="preserve">投掷用催泪瓦斯手雷</t>
        </is>
      </c>
      <c r="C218" s="588" t="s">
        <v>2948</v>
      </c>
    </row>
    <row r="219" ht="32" customHeight="1" spans="1:4">
      <c r="A219" s="586" t="s">
        <v>2567</v>
      </c>
      <c r="B219" s="587" t="s">
        <v>2426</v>
      </c>
      <c r="C219" s="586" t="s">
        <v>2949</v>
      </c>
    </row>
    <row r="220" ht="32" customHeight="1" spans="1:4">
      <c r="A220" s="588" t="s">
        <v>2567</v>
      </c>
      <c r="B220" s="589" t="inlineStr">
        <is>
          <t xml:space="preserve">发射用催泪瓦斯爆弹</t>
        </is>
      </c>
      <c r="C220" s="588" t="s">
        <v>2950</v>
      </c>
    </row>
    <row r="221" ht="32" customHeight="1" spans="1:4">
      <c r="A221" s="586" t="s">
        <v>2568</v>
      </c>
      <c r="B221" s="587" t="s">
        <v>2429</v>
      </c>
      <c r="C221" s="586" t="s">
        <v>2951</v>
      </c>
    </row>
    <row r="222" ht="32" customHeight="1" spans="1:4">
      <c r="A222" s="588" t="s">
        <v>2568</v>
      </c>
      <c r="B222" s="589" t="inlineStr">
        <is>
          <t xml:space="preserve">投掷用闪光弹</t>
        </is>
      </c>
      <c r="C222" s="588" t="s">
        <v>2952</v>
      </c>
    </row>
    <row r="223" ht="32" customHeight="1" spans="1:4">
      <c r="A223" s="586" t="s">
        <v>2568</v>
      </c>
      <c r="B223" s="587" t="s">
        <v>2431</v>
      </c>
      <c r="C223" s="586" t="s">
        <v>2953</v>
      </c>
    </row>
    <row r="224" ht="32" customHeight="1" spans="1:4">
      <c r="A224" s="588" t="s">
        <v>2568</v>
      </c>
      <c r="B224" s="589" t="inlineStr">
        <is>
          <t xml:space="preserve">发射用闪光弹</t>
        </is>
      </c>
      <c r="C224" s="588" t="s">
        <v>2954</v>
      </c>
    </row>
    <row r="225" ht="32" customHeight="1" spans="1:4">
      <c r="A225" s="586" t="s">
        <v>2569</v>
      </c>
      <c r="B225" s="587" t="s">
        <v>2433</v>
      </c>
      <c r="C225" s="586" t="s">
        <v>2955</v>
      </c>
    </row>
    <row r="226" ht="32" customHeight="1" spans="1:4">
      <c r="A226" s="588" t="s">
        <v>2569</v>
      </c>
      <c r="B226" s="589" t="s">
        <v>2435</v>
      </c>
      <c r="C226" s="588" t="s">
        <v>2956</v>
      </c>
    </row>
    <row r="227" ht="32" customHeight="1" spans="1:4">
      <c r="A227" s="586" t="s">
        <v>2569</v>
      </c>
      <c r="B227" s="587" t="s">
        <v>2436</v>
      </c>
      <c r="C227" s="586" t="s">
        <v>2957</v>
      </c>
    </row>
    <row r="228" ht="32" customHeight="1" spans="1:4">
      <c r="A228" s="588" t="s">
        <v>2569</v>
      </c>
      <c r="B228" s="589" t="inlineStr">
        <is>
          <t xml:space="preserve">投射式电击枪</t>
        </is>
      </c>
      <c r="C228" s="588" t="s">
        <v>2411</v>
      </c>
    </row>
    <row r="229" ht="32" customHeight="1" spans="1:4">
      <c r="A229" s="586" t="s">
        <v>2570</v>
      </c>
      <c r="B229" s="587" t="s">
        <v>2439</v>
      </c>
      <c r="C229" s="586" t="s">
        <v>2958</v>
      </c>
    </row>
    <row r="230" ht="32" customHeight="1" spans="1:4">
      <c r="A230" s="588" t="s">
        <v>2570</v>
      </c>
      <c r="B230" s="589" t="inlineStr">
        <is>
          <t xml:space="preserve">轻型手枪</t>
        </is>
      </c>
      <c r="C230" s="588" t="s">
        <v>2959</v>
      </c>
    </row>
    <row r="231" ht="32" customHeight="1" spans="1:4">
      <c r="A231" s="586" t="s">
        <v>2570</v>
      </c>
      <c r="B231" s="587" t="s">
        <v>2441</v>
      </c>
      <c r="C231" s="586" t="s">
        <v>2960</v>
      </c>
    </row>
    <row r="232" ht="32" customHeight="1" spans="1:4">
      <c r="A232" s="588" t="s">
        <v>2570</v>
      </c>
      <c r="B232" s="589" t="inlineStr">
        <is>
          <t xml:space="preserve">中型手枪</t>
        </is>
      </c>
      <c r="C232" s="588" t="s">
        <v>2961</v>
      </c>
    </row>
    <row r="233" ht="32" customHeight="1" spans="1:4">
      <c r="A233" s="586" t="s">
        <v>2570</v>
      </c>
      <c r="B233" s="587" t="s">
        <v>2443</v>
      </c>
      <c r="C233" s="586" t="s">
        <v>2962</v>
      </c>
    </row>
    <row r="234" ht="32" customHeight="1" spans="1:4">
      <c r="A234" s="588" t="s">
        <v>2570</v>
      </c>
      <c r="B234" s="589" t="inlineStr">
        <is>
          <t xml:space="preserve">重型手枪</t>
        </is>
      </c>
      <c r="C234" s="588" t="s">
        <v>2963</v>
      </c>
    </row>
    <row r="235" ht="32" customHeight="1" spans="1:4">
      <c r="A235" s="586" t="s">
        <v>2570</v>
      </c>
      <c r="B235" s="587" t="s">
        <v>2444</v>
      </c>
      <c r="C235" s="586" t="s">
        <v>2964</v>
      </c>
    </row>
    <row r="236" ht="45.5" customHeight="1" spans="1:4">
      <c r="A236" s="588" t="s">
        <v>2570</v>
      </c>
      <c r="B236" s="589" t="inlineStr">
        <is>
          <t xml:space="preserve">霰弹枪（独头弹）</t>
        </is>
      </c>
      <c r="C236" s="588" t="s">
        <v>2965</v>
      </c>
    </row>
    <row r="237" ht="32" customHeight="1" spans="1:4">
      <c r="A237" s="586" t="s">
        <v>2570</v>
      </c>
      <c r="B237" s="587" t="s">
        <v>2448</v>
      </c>
      <c r="C237" s="586" t="s">
        <v>2966</v>
      </c>
    </row>
    <row r="238" ht="32" customHeight="1" spans="1:4">
      <c r="A238" s="588" t="s">
        <v>2570</v>
      </c>
      <c r="B238" s="589" t="inlineStr">
        <is>
          <t xml:space="preserve">霰弹枪（霰弹弹丸）</t>
        </is>
      </c>
      <c r="C238" s="588" t="s">
        <v>2967</v>
      </c>
    </row>
    <row r="239" ht="32" customHeight="1" spans="1:4">
      <c r="A239" s="586" t="s">
        <v>2570</v>
      </c>
      <c r="B239" s="587" t="s">
        <v>2450</v>
      </c>
      <c r="C239" s="586" t="s">
        <v>2968</v>
      </c>
    </row>
    <row r="240" ht="32" customHeight="1" spans="1:4">
      <c r="A240" s="588" t="s">
        <v>2570</v>
      </c>
      <c r="B240" s="589" t="s">
        <v>2453</v>
      </c>
      <c r="C240" s="588" t="s">
        <v>2969</v>
      </c>
    </row>
    <row r="241" ht="45.5" customHeight="1" spans="1:4">
      <c r="A241" s="586" t="s">
        <v>2570</v>
      </c>
      <c r="B241" s="587" t="inlineStr">
        <is>
          <t xml:space="preserve">轻型步枪或卡宾枪</t>
        </is>
      </c>
      <c r="C241" s="586" t="s">
        <v>2970</v>
      </c>
    </row>
    <row r="242" ht="32" customHeight="1" spans="1:4">
      <c r="A242" s="588" t="s">
        <v>2570</v>
      </c>
      <c r="B242" s="589" t="s">
        <v>2457</v>
      </c>
      <c r="C242" s="588" t="s">
        <v>2971</v>
      </c>
    </row>
    <row r="243" ht="45.5" customHeight="1" spans="1:4">
      <c r="A243" s="586" t="s">
        <v>2570</v>
      </c>
      <c r="B243" s="587" t="inlineStr">
        <is>
          <t xml:space="preserve">冲锋枪（SMG）</t>
        </is>
      </c>
      <c r="C243" s="586" t="s">
        <v>2972</v>
      </c>
    </row>
    <row r="244" ht="32" customHeight="1" spans="1:4">
      <c r="A244" s="588" t="s">
        <v>2570</v>
      </c>
      <c r="B244" s="589" t="s">
        <v>2461</v>
      </c>
      <c r="C244" s="588" t="s">
        <v>2973</v>
      </c>
    </row>
    <row r="245" ht="45.5" customHeight="1" spans="1:4">
      <c r="A245" s="586" t="s">
        <v>2570</v>
      </c>
      <c r="B245" s="587" t="inlineStr">
        <is>
          <t xml:space="preserve">重型步枪</t>
        </is>
      </c>
      <c r="C245" s="586" t="s">
        <v>2974</v>
      </c>
    </row>
    <row r="246" ht="32" customHeight="1" spans="1:4">
      <c r="A246" s="588" t="s">
        <v>2570</v>
      </c>
      <c r="B246" s="589" t="s">
        <v>2466</v>
      </c>
      <c r="C246" s="588" t="s">
        <v>2975</v>
      </c>
    </row>
    <row r="247" ht="32" customHeight="1" spans="1:4">
      <c r="A247" s="586" t="s">
        <v>2570</v>
      </c>
      <c r="B247" s="587" t="inlineStr">
        <is>
          <t xml:space="preserve">超重型步枪</t>
        </is>
      </c>
      <c r="C247" s="586" t="s">
        <v>2976</v>
      </c>
    </row>
    <row r="248" ht="32" customHeight="1" spans="1:4">
      <c r="A248" s="588" t="s">
        <v>112</v>
      </c>
      <c r="B248" s="589" t="s">
        <v>2470</v>
      </c>
      <c r="C248" s="588" t="s">
        <v>2977</v>
      </c>
    </row>
    <row r="249" ht="32" customHeight="1" spans="1:4">
      <c r="A249" s="586" t="s">
        <v>112</v>
      </c>
      <c r="B249" s="587" t="inlineStr">
        <is>
          <t xml:space="preserve">手榴弹</t>
        </is>
      </c>
      <c r="C249" s="586" t="s">
        <v>2978</v>
      </c>
    </row>
    <row r="250" ht="32" customHeight="1" spans="1:4">
      <c r="A250" s="588" t="s">
        <v>112</v>
      </c>
      <c r="B250" s="589" t="s">
        <v>2472</v>
      </c>
      <c r="C250" s="588" t="s">
        <v>2979</v>
      </c>
    </row>
    <row r="251" ht="32" customHeight="1" spans="1:4">
      <c r="A251" s="586" t="s">
        <v>112</v>
      </c>
      <c r="B251" s="587" t="inlineStr">
        <is>
          <t xml:space="preserve">火箭推进榴弹发射器（RPG）</t>
        </is>
      </c>
      <c r="C251" s="586" t="s">
        <v>2980</v>
      </c>
    </row>
    <row r="252" ht="32" customHeight="1" spans="1:4">
      <c r="A252" s="588" t="s">
        <v>112</v>
      </c>
      <c r="B252" s="589" t="s">
        <v>2476</v>
      </c>
      <c r="C252" s="588" t="s">
        <v>2981</v>
      </c>
    </row>
    <row r="253" ht="32" customHeight="1" spans="1:4">
      <c r="A253" s="586" t="s">
        <v>112</v>
      </c>
      <c r="B253" s="587" t="inlineStr">
        <is>
          <t xml:space="preserve">手持式喷火器</t>
        </is>
      </c>
      <c r="C253" s="586" t="s">
        <v>2982</v>
      </c>
    </row>
    <row r="254" ht="32" customHeight="1" spans="1:4">
      <c r="A254" s="588" t="s">
        <v>112</v>
      </c>
      <c r="B254" s="589" t="s">
        <v>2479</v>
      </c>
      <c r="C254" s="588" t="s">
        <v>2983</v>
      </c>
    </row>
    <row r="255" ht="32" customHeight="1" spans="1:4">
      <c r="A255" s="586" t="s">
        <v>112</v>
      </c>
      <c r="B255" s="587" t="inlineStr">
        <is>
          <t xml:space="preserve">军用喷火器</t>
        </is>
      </c>
      <c r="C255" s="586" t="s">
        <v>2984</v>
      </c>
    </row>
    <row r="256" ht="45.5" customHeight="1" spans="1:4">
      <c r="A256" s="588" t="s">
        <v>112</v>
      </c>
      <c r="B256" s="589" t="s">
        <v>2985</v>
      </c>
      <c r="C256" s="588" t="s">
        <v>2986</v>
      </c>
    </row>
    <row r="257" ht="32" customHeight="1" spans="1:4">
      <c r="A257" s="586" t="s">
        <v>112</v>
      </c>
      <c r="B257" s="587" t="inlineStr">
        <is>
          <t xml:space="preserve">通用机关枪（GPMP）</t>
        </is>
      </c>
      <c r="C257" s="586" t="s">
        <v>2987</v>
      </c>
    </row>
    <row r="258" ht="32" customHeight="1" spans="1:4">
      <c r="A258" s="588" t="s">
        <v>112</v>
      </c>
      <c r="B258" s="589" t="s">
        <v>2485</v>
      </c>
      <c r="C258" s="588" t="s">
        <v>2988</v>
      </c>
    </row>
    <row r="259" ht="32" customHeight="1" spans="1:4">
      <c r="A259" s="586" t="s">
        <v>112</v>
      </c>
      <c r="B259" s="587" t="inlineStr">
        <is>
          <t xml:space="preserve">榴弹发射器（GL）</t>
        </is>
      </c>
      <c r="C259" s="586" t="s">
        <v>2989</v>
      </c>
    </row>
    <row r="260" ht="32" customHeight="1" spans="1:4">
      <c r="A260" s="588" t="s">
        <v>112</v>
      </c>
      <c r="B260" s="589" t="s">
        <v>2487</v>
      </c>
      <c r="C260" s="588" t="s">
        <v>2990</v>
      </c>
    </row>
    <row r="261" ht="32" customHeight="1" spans="1:4">
      <c r="A261" s="586" t="s">
        <v>112</v>
      </c>
      <c r="B261" s="587" t="inlineStr">
        <is>
          <t xml:space="preserve">榴弹炮机关枪</t>
        </is>
      </c>
      <c r="C261" s="586" t="s">
        <v>2991</v>
      </c>
    </row>
    <row r="262" ht="45.5" customHeight="1" spans="1:4">
      <c r="A262" s="588" t="s">
        <v>2571</v>
      </c>
      <c r="B262" s="589" t="s">
        <v>2490</v>
      </c>
      <c r="C262" s="588" t="s">
        <v>2992</v>
      </c>
    </row>
    <row r="263" ht="32" customHeight="1" spans="1:4">
      <c r="A263" s="586" t="s">
        <v>2571</v>
      </c>
      <c r="B263" s="587" t="inlineStr">
        <is>
          <t xml:space="preserve">重型机关枪（HMG）</t>
        </is>
      </c>
      <c r="C263" s="586" t="s">
        <v>2993</v>
      </c>
    </row>
    <row r="264" ht="45.5" customHeight="1" spans="1:4">
      <c r="A264" s="588" t="s">
        <v>2571</v>
      </c>
      <c r="B264" s="589" t="s">
        <v>2493</v>
      </c>
      <c r="C264" s="588" t="s">
        <v>2994</v>
      </c>
    </row>
    <row r="265" ht="32" customHeight="1" spans="1:4">
      <c r="A265" s="586" t="s">
        <v>2571</v>
      </c>
      <c r="B265" s="587" t="inlineStr">
        <is>
          <t xml:space="preserve">轻型机关枪（LMG）</t>
        </is>
      </c>
      <c r="C265" s="586" t="s">
        <v>2995</v>
      </c>
    </row>
    <row r="266" ht="32" customHeight="1" spans="1:4">
      <c r="A266" s="588" t="s">
        <v>2571</v>
      </c>
      <c r="B266" s="589" t="s">
        <v>2494</v>
      </c>
      <c r="C266" s="588" t="s">
        <v>2996</v>
      </c>
    </row>
    <row r="267" ht="32" customHeight="1" spans="1:4">
      <c r="A267" s="586" t="s">
        <v>2571</v>
      </c>
      <c r="B267" s="587" t="inlineStr">
        <is>
          <t xml:space="preserve">自动火炮</t>
        </is>
      </c>
      <c r="C267" s="586" t="s">
        <v>2997</v>
      </c>
    </row>
    <row r="268" ht="32" customHeight="1" spans="1:4">
      <c r="A268" s="588" t="s">
        <v>2571</v>
      </c>
      <c r="B268" s="589" t="s">
        <v>2496</v>
      </c>
      <c r="C268" s="588" t="s">
        <v>2998</v>
      </c>
    </row>
    <row r="269" ht="32" customHeight="1" spans="1:4">
      <c r="A269" s="586" t="s">
        <v>2571</v>
      </c>
      <c r="B269" s="587" t="inlineStr">
        <is>
          <t xml:space="preserve">转轮机枪/机炮</t>
        </is>
      </c>
      <c r="C269" s="586" t="s">
        <v>2999</v>
      </c>
    </row>
    <row r="270" ht="32" customHeight="1" spans="1:4">
      <c r="A270" s="588" t="s">
        <v>2572</v>
      </c>
      <c r="B270" s="589" t="s">
        <v>2499</v>
      </c>
      <c r="C270" s="588" t="s">
        <v>3000</v>
      </c>
    </row>
    <row r="271" ht="32" customHeight="1" spans="1:4">
      <c r="A271" s="586" t="s">
        <v>2572</v>
      </c>
      <c r="B271" s="587" t="inlineStr">
        <is>
          <t xml:space="preserve">铵油炸药</t>
        </is>
      </c>
      <c r="C271" s="586" t="s">
        <v>3001</v>
      </c>
    </row>
    <row r="272" ht="32" customHeight="1" spans="1:4">
      <c r="A272" s="588" t="s">
        <v>2572</v>
      </c>
      <c r="B272" s="589" t="s">
        <v>2500</v>
      </c>
      <c r="C272" s="588" t="s">
        <v>3002</v>
      </c>
    </row>
    <row r="273" ht="32" customHeight="1" spans="1:4">
      <c r="A273" s="586" t="s">
        <v>2572</v>
      </c>
      <c r="B273" s="587" t="inlineStr">
        <is>
          <t xml:space="preserve">C4 塑胶炸药包，570 克。</t>
        </is>
      </c>
      <c r="C273" s="586" t="s">
        <v>3003</v>
      </c>
    </row>
    <row r="274" ht="32" customHeight="1" spans="1:4">
      <c r="A274" s="588" t="s">
        <v>2572</v>
      </c>
      <c r="B274" s="589" t="s">
        <v>2501</v>
      </c>
      <c r="C274" s="588" t="s">
        <v>3004</v>
      </c>
    </row>
    <row r="275" ht="32" customHeight="1" spans="1:4">
      <c r="A275" s="586" t="s">
        <v>2572</v>
      </c>
      <c r="B275" s="587" t="inlineStr">
        <is>
          <t xml:space="preserve">简易爆炸装置（IED）</t>
        </is>
      </c>
      <c r="C275" s="586" t="s">
        <v>3005</v>
      </c>
    </row>
    <row r="276" ht="32" customHeight="1" spans="1:4">
      <c r="A276" s="588" t="s">
        <v>2572</v>
      </c>
      <c r="B276" s="589" t="s">
        <v>2503</v>
      </c>
      <c r="C276" s="588" t="s">
        <v>3006</v>
      </c>
    </row>
    <row r="277" ht="32" customHeight="1" spans="1:4">
      <c r="A277" s="586" t="s">
        <v>2572</v>
      </c>
      <c r="B277" s="587" t="inlineStr">
        <is>
          <t xml:space="preserve">大型简易爆炸装置（大型 IED）</t>
        </is>
      </c>
      <c r="C277" s="586" t="s">
        <v>3007</v>
      </c>
    </row>
    <row r="278" ht="32" customHeight="1" spans="1:4">
      <c r="A278" s="588" t="s">
        <v>2572</v>
      </c>
      <c r="B278" s="589" t="s">
        <v>2505</v>
      </c>
      <c r="C278" s="588" t="s">
        <v>3008</v>
      </c>
    </row>
    <row r="279" ht="32" customHeight="1" spans="1:4">
      <c r="A279" s="586" t="s">
        <v>2572</v>
      </c>
      <c r="B279" s="587" t="inlineStr">
        <is>
          <t xml:space="preserve">重型反坦克地雷</t>
        </is>
      </c>
      <c r="C279" s="586" t="s">
        <v>3009</v>
      </c>
    </row>
    <row r="280" ht="32" customHeight="1" spans="1:4">
      <c r="A280" s="588" t="s">
        <v>2521</v>
      </c>
      <c r="B280" s="589" t="s">
        <v>2507</v>
      </c>
      <c r="C280" s="588" t="s">
        <v>3010</v>
      </c>
    </row>
    <row r="281" ht="32" customHeight="1" spans="1:4">
      <c r="A281" s="586" t="s">
        <v>2521</v>
      </c>
      <c r="B281" s="587" t="inlineStr">
        <is>
          <t xml:space="preserve">通用炸弹</t>
        </is>
      </c>
      <c r="C281" s="586" t="s">
        <v>3011</v>
      </c>
    </row>
    <row r="282" ht="32" customHeight="1" spans="1:4">
      <c r="A282" s="588" t="s">
        <v>2521</v>
      </c>
      <c r="B282" s="589" t="s">
        <v>2512</v>
      </c>
      <c r="C282" s="588" t="s">
        <v>3012</v>
      </c>
    </row>
    <row r="283" ht="32" customHeight="1" spans="1:4">
      <c r="A283" s="586" t="s">
        <v>2521</v>
      </c>
      <c r="B283" s="587" t="inlineStr">
        <is>
          <t xml:space="preserve">重型迫击炮</t>
        </is>
      </c>
      <c r="C283" s="586" t="s">
        <v>3013</v>
      </c>
    </row>
    <row r="284" ht="32" customHeight="1" spans="1:4">
      <c r="A284" s="588" t="s">
        <v>2521</v>
      </c>
      <c r="B284" s="589" t="s">
        <v>2515</v>
      </c>
      <c r="C284" s="588" t="s">
        <v>3014</v>
      </c>
    </row>
    <row r="285" ht="32" customHeight="1" spans="1:4">
      <c r="A285" s="586" t="s">
        <v>2521</v>
      </c>
      <c r="B285" s="587" t="inlineStr">
        <is>
          <t xml:space="preserve">轻型迫击炮</t>
        </is>
      </c>
      <c r="C285" s="586" t="s">
        <v>3015</v>
      </c>
    </row>
    <row r="286" ht="32" customHeight="1" spans="1:4">
      <c r="A286" s="588" t="s">
        <v>2521</v>
      </c>
      <c r="B286" s="589" t="s">
        <v>2518</v>
      </c>
      <c r="C286" s="588" t="s">
        <v>3016</v>
      </c>
    </row>
    <row r="287" ht="32" customHeight="1" spans="1:4">
      <c r="A287" s="586" t="s">
        <v>2521</v>
      </c>
      <c r="B287" s="587" t="inlineStr">
        <is>
          <t xml:space="preserve">反坦克制导导弹（ATGM）</t>
        </is>
      </c>
      <c r="C287" s="586" t="s">
        <v>3017</v>
      </c>
    </row>
    <row r="288" ht="32" customHeight="1" spans="1:4">
      <c r="A288" s="588" t="s">
        <v>2521</v>
      </c>
      <c r="B288" s="589" t="s">
        <v>2521</v>
      </c>
      <c r="C288" s="588" t="s">
        <v>3018</v>
      </c>
    </row>
    <row r="289" ht="32" customHeight="1" spans="1:4">
      <c r="A289" s="586" t="s">
        <v>2521</v>
      </c>
      <c r="B289" s="587" t="inlineStr">
        <is>
          <t xml:space="preserve">火炮</t>
        </is>
      </c>
      <c r="C289" s="586" t="s">
        <v>3019</v>
      </c>
    </row>
    <row r="290" ht="32" customHeight="1" spans="1:4">
      <c r="A290" s="588" t="s">
        <v>2521</v>
      </c>
      <c r="B290" s="589" t="s">
        <v>2524</v>
      </c>
      <c r="C290" s="588" t="s">
        <v>3020</v>
      </c>
    </row>
    <row r="291" ht="32" customHeight="1" spans="1:4">
      <c r="A291" s="586" t="s">
        <v>2521</v>
      </c>
      <c r="B291" s="587" t="inlineStr">
        <is>
          <t xml:space="preserve">巡航导弹</t>
        </is>
      </c>
      <c r="C291" s="586" t="s">
        <v>3021</v>
      </c>
    </row>
    <row r="292" ht="45.5" customHeight="1" spans="1:4">
      <c r="A292" s="588" t="s">
        <v>2573</v>
      </c>
      <c r="B292" s="589" t="s">
        <v>3022</v>
      </c>
      <c r="C292" s="588" t="s">
        <v>3023</v>
      </c>
    </row>
    <row r="293" ht="32" customHeight="1" spans="1:4">
      <c r="A293" s="586" t="s">
        <v>2573</v>
      </c>
      <c r="B293" s="587" t="s">
        <v>3024</v>
      </c>
      <c r="C293" s="586" t="s">
        <v>3023</v>
      </c>
    </row>
    <row r="294" ht="32" customHeight="1" spans="1:4">
      <c r="A294" s="588" t="s">
        <v>2573</v>
      </c>
      <c r="B294" s="589" t="s">
        <v>3025</v>
      </c>
      <c r="C294" s="588" t="s">
        <v>3026</v>
      </c>
    </row>
    <row r="295" ht="32" customHeight="1" spans="1:4">
      <c r="A295" s="586" t="s">
        <v>2573</v>
      </c>
      <c r="B295" s="587" t="s">
        <v>3027</v>
      </c>
      <c r="C295" s="586" t="s">
        <v>3026</v>
      </c>
    </row>
    <row r="296" ht="32" customHeight="1" spans="1:4">
      <c r="A296" s="588" t="s">
        <v>2573</v>
      </c>
      <c r="B296" s="589" t="s">
        <v>3028</v>
      </c>
      <c r="C296" s="588" t="s">
        <v>3026</v>
      </c>
    </row>
    <row r="297" ht="32" customHeight="1" spans="1:4">
      <c r="A297" s="586" t="s">
        <v>2573</v>
      </c>
      <c r="B297" s="587" t="s">
        <v>3029</v>
      </c>
      <c r="C297" s="586" t="s">
        <v>3030</v>
      </c>
    </row>
    <row r="298" ht="32" customHeight="1" spans="1:4">
      <c r="A298" s="588" t="s">
        <v>2574</v>
      </c>
      <c r="B298" s="589" t="s">
        <v>3031</v>
      </c>
      <c r="C298" s="588" t="s">
        <v>3023</v>
      </c>
    </row>
    <row r="299" ht="32" customHeight="1" spans="1:4">
      <c r="A299" s="586" t="s">
        <v>2574</v>
      </c>
      <c r="B299" s="587" t="s">
        <v>3032</v>
      </c>
      <c r="C299" s="586" t="s">
        <v>3023</v>
      </c>
    </row>
    <row r="300" ht="32" customHeight="1" spans="1:4">
      <c r="A300" s="588" t="s">
        <v>2574</v>
      </c>
      <c r="B300" s="589" t="s">
        <v>3033</v>
      </c>
      <c r="C300" s="588" t="s">
        <v>3034</v>
      </c>
    </row>
    <row r="301" ht="32" customHeight="1" spans="1:4">
      <c r="A301" s="586" t="s">
        <v>2574</v>
      </c>
      <c r="B301" s="587" t="s">
        <v>3035</v>
      </c>
      <c r="C301" s="586" t="s">
        <v>3034</v>
      </c>
    </row>
    <row r="302" ht="32" customHeight="1" spans="1:4">
      <c r="A302" s="588" t="s">
        <v>2574</v>
      </c>
      <c r="B302" s="589" t="s">
        <v>3036</v>
      </c>
      <c r="C302" s="588" t="s">
        <v>3026</v>
      </c>
    </row>
    <row r="303" ht="32" customHeight="1" spans="1:4">
      <c r="A303" s="586" t="s">
        <v>2574</v>
      </c>
      <c r="B303" s="587" t="s">
        <v>2693</v>
      </c>
      <c r="C303" s="586" t="s">
        <v>3026</v>
      </c>
    </row>
    <row r="304" ht="32" customHeight="1" spans="1:4">
      <c r="A304" s="588" t="s">
        <v>2574</v>
      </c>
      <c r="B304" s="589" t="s">
        <v>3037</v>
      </c>
      <c r="C304" s="588" t="s">
        <v>3026</v>
      </c>
    </row>
    <row r="305" ht="32" customHeight="1" spans="1:4">
      <c r="A305" s="586" t="s">
        <v>2574</v>
      </c>
      <c r="B305" s="587" t="s">
        <v>3038</v>
      </c>
      <c r="C305" s="586" t="s">
        <v>3039</v>
      </c>
    </row>
    <row r="306" ht="32" customHeight="1" spans="1:4">
      <c r="A306" s="588" t="s">
        <v>2575</v>
      </c>
      <c r="B306" s="589" t="s">
        <v>3040</v>
      </c>
      <c r="C306" s="588" t="s">
        <v>3034</v>
      </c>
    </row>
    <row r="307" ht="32" customHeight="1" spans="1:4">
      <c r="A307" s="586" t="s">
        <v>2575</v>
      </c>
      <c r="B307" s="587" t="s">
        <v>3041</v>
      </c>
      <c r="C307" s="586" t="s">
        <v>3034</v>
      </c>
    </row>
    <row r="308" ht="32" customHeight="1" spans="1:4">
      <c r="A308" s="588" t="s">
        <v>2575</v>
      </c>
      <c r="B308" s="589" t="s">
        <v>3042</v>
      </c>
      <c r="C308" s="588" t="s">
        <v>3034</v>
      </c>
    </row>
    <row r="309" ht="32" customHeight="1" spans="1:4">
      <c r="A309" s="586" t="s">
        <v>2575</v>
      </c>
      <c r="B309" s="587" t="s">
        <v>3043</v>
      </c>
      <c r="C309" s="586" t="s">
        <v>3026</v>
      </c>
    </row>
    <row r="310" ht="32" customHeight="1" spans="1:4">
      <c r="A310" s="588" t="s">
        <v>2575</v>
      </c>
      <c r="B310" s="589" t="s">
        <v>3044</v>
      </c>
      <c r="C310" s="588" t="s">
        <v>3039</v>
      </c>
    </row>
    <row r="311" ht="32" customHeight="1" spans="1:4">
      <c r="A311" s="586" t="s">
        <v>2575</v>
      </c>
      <c r="B311" s="587" t="s">
        <v>3045</v>
      </c>
      <c r="C311" s="586" t="s">
        <v>3039</v>
      </c>
    </row>
    <row r="312" ht="32" customHeight="1" spans="1:4">
      <c r="A312" s="588" t="s">
        <v>2575</v>
      </c>
      <c r="B312" s="589" t="s">
        <v>3046</v>
      </c>
      <c r="C312" s="588" t="s">
        <v>3047</v>
      </c>
    </row>
    <row r="313" ht="45.5" customHeight="1" spans="1:4">
      <c r="A313" s="586" t="s">
        <v>2575</v>
      </c>
      <c r="B313" s="587" t="inlineStr">
        <is>
          <t xml:space="preserve">冷血地杀死一个无辜的人，哪怕有很好的理由 （注）</t>
        </is>
      </c>
      <c r="C313" s="586" t="s">
        <v>3048</v>
      </c>
    </row>
    <row r="314" ht="32" customHeight="1" spans="1:4">
      <c r="A314" s="588" t="s">
        <v>2576</v>
      </c>
      <c r="B314" s="589" t="s">
        <v>3049</v>
      </c>
      <c r="C314" s="588" t="s">
        <v>3023</v>
      </c>
    </row>
    <row r="315" ht="32" customHeight="1" spans="1:4">
      <c r="A315" s="586" t="s">
        <v>2576</v>
      </c>
      <c r="B315" s="587" t="s">
        <v>3050</v>
      </c>
      <c r="C315" s="586" t="s">
        <v>3023</v>
      </c>
    </row>
    <row r="316" ht="32" customHeight="1" spans="1:4">
      <c r="A316" s="588" t="s">
        <v>2576</v>
      </c>
      <c r="B316" s="589" t="s">
        <v>3051</v>
      </c>
      <c r="C316" s="588" t="s">
        <v>3034</v>
      </c>
    </row>
    <row r="317" ht="32" customHeight="1" spans="1:4">
      <c r="A317" s="586" t="s">
        <v>2576</v>
      </c>
      <c r="B317" s="587" t="s">
        <v>3052</v>
      </c>
      <c r="C317" s="586" t="s">
        <v>3023</v>
      </c>
    </row>
    <row r="318" ht="32" customHeight="1" spans="1:4">
      <c r="A318" s="588" t="s">
        <v>2576</v>
      </c>
      <c r="B318" s="589" t="s">
        <v>3053</v>
      </c>
      <c r="C318" s="588" t="s">
        <v>3034</v>
      </c>
    </row>
    <row r="319" ht="32" customHeight="1" spans="1:4">
      <c r="A319" s="586" t="s">
        <v>2576</v>
      </c>
      <c r="B319" s="587" t="s">
        <v>3054</v>
      </c>
      <c r="C319" s="586" t="s">
        <v>3034</v>
      </c>
    </row>
    <row r="320" ht="32" customHeight="1" spans="1:4">
      <c r="A320" s="588" t="s">
        <v>2576</v>
      </c>
      <c r="B320" s="589" t="s">
        <v>3055</v>
      </c>
      <c r="C320" s="588" t="s">
        <v>3034</v>
      </c>
    </row>
    <row r="321" ht="32" customHeight="1" spans="1:4">
      <c r="A321" s="586" t="s">
        <v>2576</v>
      </c>
      <c r="B321" s="587" t="s">
        <v>3056</v>
      </c>
      <c r="C321" s="586" t="s">
        <v>3034</v>
      </c>
    </row>
    <row r="322" ht="32" customHeight="1" spans="1:4">
      <c r="A322" s="588" t="s">
        <v>2576</v>
      </c>
      <c r="B322" s="589" t="s">
        <v>3057</v>
      </c>
      <c r="C322" s="588" t="s">
        <v>3058</v>
      </c>
    </row>
    <row r="323" ht="32" customHeight="1" spans="1:4">
      <c r="A323" s="586" t="s">
        <v>2576</v>
      </c>
      <c r="B323" s="587" t="s">
        <v>3059</v>
      </c>
      <c r="C323" s="586" t="s">
        <v>3034</v>
      </c>
    </row>
    <row r="324" ht="32" customHeight="1" spans="1:4">
      <c r="A324" s="588" t="s">
        <v>2576</v>
      </c>
      <c r="B324" s="589" t="s">
        <v>3060</v>
      </c>
      <c r="C324" s="588" t="s">
        <v>3026</v>
      </c>
    </row>
    <row r="325" ht="32" customHeight="1" spans="1:4">
      <c r="A325" s="586" t="s">
        <v>2576</v>
      </c>
      <c r="B325" s="587" t="s">
        <v>3061</v>
      </c>
      <c r="C325" s="586" t="s">
        <v>3062</v>
      </c>
    </row>
    <row r="326" ht="32" customHeight="1" spans="1:4">
      <c r="A326" s="588" t="s">
        <v>2576</v>
      </c>
      <c r="B326" s="589" t="s">
        <v>3063</v>
      </c>
      <c r="C326" s="588" t="s">
        <v>3064</v>
      </c>
    </row>
    <row r="327" ht="32" customHeight="1" spans="1:4">
      <c r="A327" s="586" t="s">
        <v>2577</v>
      </c>
      <c r="B327" s="587" t="s">
        <v>3065</v>
      </c>
      <c r="C327" s="586" t="s">
        <v>3066</v>
      </c>
    </row>
    <row r="328" ht="32" customHeight="1" spans="1:4">
      <c r="A328" s="588" t="s">
        <v>2577</v>
      </c>
      <c r="B328" s="589" t="s">
        <v>3067</v>
      </c>
      <c r="C328" s="588" t="s">
        <v>3068</v>
      </c>
    </row>
    <row r="329" ht="32" customHeight="1" spans="1:4">
      <c r="A329" s="586" t="s">
        <v>2577</v>
      </c>
      <c r="B329" s="587" t="s">
        <v>3069</v>
      </c>
      <c r="C329" s="586" t="s">
        <v>3070</v>
      </c>
    </row>
    <row r="330" ht="32" customHeight="1" spans="1:4">
      <c r="A330" s="588" t="s">
        <v>2577</v>
      </c>
      <c r="B330" s="589" t="s">
        <v>3071</v>
      </c>
      <c r="C330" s="588" t="s">
        <v>3072</v>
      </c>
    </row>
    <row r="331" ht="32" customHeight="1" spans="1:4">
      <c r="A331" s="586" t="s">
        <v>2577</v>
      </c>
      <c r="B331" s="587" t="s">
        <v>3073</v>
      </c>
      <c r="C331" s="586" t="s">
        <v>3074</v>
      </c>
    </row>
    <row r="332" ht="32" customHeight="1" spans="1:4">
      <c r="A332" s="588" t="s">
        <v>2577</v>
      </c>
      <c r="B332" s="589" t="s">
        <v>3075</v>
      </c>
      <c r="C332" s="588" t="s">
        <v>3076</v>
      </c>
    </row>
    <row r="333" ht="32" customHeight="1" spans="1:4">
      <c r="A333" s="586" t="s">
        <v>2578</v>
      </c>
      <c r="B333" s="587" t="s">
        <v>3077</v>
      </c>
      <c r="C333" s="586" t="s">
        <v>3078</v>
      </c>
    </row>
    <row r="334" ht="32" customHeight="1" spans="1:4">
      <c r="A334" s="588" t="s">
        <v>2578</v>
      </c>
      <c r="B334" s="589" t="s">
        <v>3079</v>
      </c>
      <c r="C334" s="588" t="s">
        <v>3080</v>
      </c>
    </row>
    <row r="335" ht="32" customHeight="1" spans="1:4">
      <c r="A335" s="586" t="s">
        <v>2578</v>
      </c>
      <c r="B335" s="587" t="s">
        <v>3081</v>
      </c>
      <c r="C335" s="586" t="s">
        <v>3082</v>
      </c>
    </row>
    <row r="336" ht="32" customHeight="1" spans="1:4">
      <c r="A336" s="588" t="s">
        <v>2578</v>
      </c>
      <c r="B336" s="589" t="s">
        <v>3083</v>
      </c>
      <c r="C336" s="588" t="s">
        <v>3084</v>
      </c>
    </row>
    <row r="337" ht="32" customHeight="1" spans="1:4">
      <c r="A337" s="586" t="s">
        <v>2578</v>
      </c>
      <c r="B337" s="587" t="s">
        <v>3085</v>
      </c>
      <c r="C337" s="586" t="s">
        <v>3086</v>
      </c>
    </row>
    <row r="338" ht="32" customHeight="1" spans="1:4">
      <c r="A338" s="588" t="s">
        <v>2578</v>
      </c>
      <c r="B338" s="589" t="s">
        <v>3087</v>
      </c>
      <c r="C338" s="588" t="s">
        <v>3088</v>
      </c>
    </row>
    <row r="339" ht="32" customHeight="1" spans="1:4">
      <c r="A339" s="586" t="s">
        <v>2578</v>
      </c>
      <c r="B339" s="587" t="s">
        <v>3089</v>
      </c>
      <c r="C339" s="586" t="s">
        <v>3090</v>
      </c>
    </row>
    <row r="340" ht="32" customHeight="1" spans="1:4">
      <c r="A340" s="588" t="s">
        <v>2578</v>
      </c>
      <c r="B340" s="589" t="s">
        <v>3091</v>
      </c>
      <c r="C340" s="588" t="s">
        <v>3092</v>
      </c>
    </row>
    <row r="341" ht="32" customHeight="1" spans="1:4">
      <c r="A341" s="586" t="s">
        <v>2579</v>
      </c>
      <c r="B341" s="587" t="s">
        <v>3093</v>
      </c>
      <c r="C341" s="586" t="s">
        <v>3094</v>
      </c>
    </row>
    <row r="342" ht="32" customHeight="1" spans="1:4">
      <c r="A342" s="588" t="s">
        <v>2579</v>
      </c>
      <c r="B342" s="589" t="s">
        <v>3095</v>
      </c>
      <c r="C342" s="588" t="s">
        <v>3096</v>
      </c>
    </row>
    <row r="343" ht="45.5" customHeight="1" spans="1:4">
      <c r="A343" s="586" t="s">
        <v>2579</v>
      </c>
      <c r="B343" s="587" t="s">
        <v>3097</v>
      </c>
      <c r="C343" s="586" t="s">
        <v>3098</v>
      </c>
    </row>
    <row r="344" ht="45.5" customHeight="1" spans="1:4">
      <c r="A344" s="588" t="s">
        <v>2579</v>
      </c>
      <c r="B344" s="589" t="s">
        <v>3099</v>
      </c>
      <c r="C344" s="588" t="s">
        <v>3100</v>
      </c>
    </row>
    <row r="345" ht="45.5" customHeight="1" spans="1:4">
      <c r="A345" s="586" t="s">
        <v>2579</v>
      </c>
      <c r="B345" s="587" t="s">
        <v>3101</v>
      </c>
      <c r="C345" s="586" t="s">
        <v>3102</v>
      </c>
    </row>
    <row r="346" ht="45.5" customHeight="1" spans="1:4">
      <c r="A346" s="588" t="s">
        <v>2579</v>
      </c>
      <c r="B346" s="589" t="s">
        <v>3103</v>
      </c>
      <c r="C346" s="588" t="s">
        <v>3104</v>
      </c>
    </row>
    <row r="347" ht="72.5" customHeight="1" spans="1:4">
      <c r="A347" s="586" t="s">
        <v>2580</v>
      </c>
      <c r="B347" s="587" t="s">
        <v>3105</v>
      </c>
      <c r="C347" s="586" t="s">
        <v>3106</v>
      </c>
    </row>
    <row r="348" ht="79" customHeight="1" spans="1:4">
      <c r="A348" s="588" t="s">
        <v>2580</v>
      </c>
      <c r="B348" s="589" t="s">
        <v>3107</v>
      </c>
      <c r="C348" s="588" t="s">
        <v>3108</v>
      </c>
    </row>
    <row r="349" ht="92.5" customHeight="1" spans="1:4">
      <c r="A349" s="586" t="s">
        <v>2580</v>
      </c>
      <c r="B349" s="587" t="s">
        <v>3109</v>
      </c>
      <c r="C349" s="586" t="s">
        <v>3110</v>
      </c>
    </row>
    <row r="350" ht="79" customHeight="1" spans="1:4">
      <c r="A350" s="588" t="s">
        <v>2580</v>
      </c>
      <c r="B350" s="589" t="s">
        <v>3111</v>
      </c>
      <c r="C350" s="588" t="s">
        <v>3112</v>
      </c>
    </row>
    <row r="351" ht="92.5" customHeight="1" spans="1:4">
      <c r="A351" s="586" t="s">
        <v>2580</v>
      </c>
      <c r="B351" s="587" t="s">
        <v>213</v>
      </c>
      <c r="C351" s="586" t="s">
        <v>3113</v>
      </c>
    </row>
    <row r="352" ht="32" customHeight="1" spans="1:4">
      <c r="A352" s="588" t="s">
        <v>2580</v>
      </c>
      <c r="B352" s="589" t="s">
        <v>3114</v>
      </c>
      <c r="C352" s="588" t="s">
        <v>3115</v>
      </c>
    </row>
    <row r="353" ht="79" customHeight="1" spans="1:4">
      <c r="A353" s="586" t="s">
        <v>2580</v>
      </c>
      <c r="B353" s="587" t="s">
        <v>3116</v>
      </c>
      <c r="C353" s="586" t="s">
        <v>3117</v>
      </c>
    </row>
    <row r="354" ht="45.5" customHeight="1" spans="1:4">
      <c r="A354" s="588" t="s">
        <v>2580</v>
      </c>
      <c r="B354" s="589" t="s">
        <v>3118</v>
      </c>
      <c r="C354" s="588" t="s">
        <v>3119</v>
      </c>
    </row>
    <row r="355" ht="72.5" customHeight="1" spans="1:4">
      <c r="A355" s="586" t="s">
        <v>2580</v>
      </c>
      <c r="B355" s="587" t="s">
        <v>3120</v>
      </c>
      <c r="C355" s="586" t="s">
        <v>3121</v>
      </c>
    </row>
    <row r="356" ht="45.5" customHeight="1" spans="1:4">
      <c r="A356" s="588" t="s">
        <v>2580</v>
      </c>
      <c r="B356" s="589" t="s">
        <v>3122</v>
      </c>
      <c r="C356" s="588" t="s">
        <v>3123</v>
      </c>
    </row>
    <row r="357" ht="45.5" customHeight="1" spans="1:4">
      <c r="A357" s="586" t="s">
        <v>2580</v>
      </c>
      <c r="B357" s="587" t="s">
        <v>3124</v>
      </c>
      <c r="C357" s="586" t="s">
        <v>3125</v>
      </c>
    </row>
    <row r="358" ht="32" customHeight="1" spans="1:4">
      <c r="A358" s="588" t="s">
        <v>2581</v>
      </c>
      <c r="B358" s="589" t="s">
        <v>3126</v>
      </c>
      <c r="C358" s="588" t="s">
        <v>3127</v>
      </c>
    </row>
    <row r="359" ht="32" customHeight="1" spans="1:4">
      <c r="A359" s="586" t="s">
        <v>2581</v>
      </c>
      <c r="B359" s="587" t="inlineStr">
        <is>
          <t xml:space="preserve">简易定向麦克风</t>
        </is>
      </c>
      <c r="C359" s="586" t="s">
        <v>3128</v>
      </c>
    </row>
    <row r="360" ht="32" customHeight="1" spans="1:4">
      <c r="A360" s="588" t="s">
        <v>2581</v>
      </c>
      <c r="B360" s="589" t="s">
        <v>3129</v>
      </c>
      <c r="C360" s="588" t="s">
        <v>3130</v>
      </c>
    </row>
    <row r="361" ht="32" customHeight="1" spans="1:4">
      <c r="A361" s="586" t="s">
        <v>2581</v>
      </c>
      <c r="B361" s="587" t="s">
        <v>3131</v>
      </c>
      <c r="C361" s="586" t="s">
        <v>3130</v>
      </c>
    </row>
    <row r="362" ht="32" customHeight="1" spans="1:4">
      <c r="A362" s="588" t="s">
        <v>2581</v>
      </c>
      <c r="B362" s="589" t="s">
        <v>3132</v>
      </c>
      <c r="C362" s="588" t="s">
        <v>3130</v>
      </c>
    </row>
    <row r="363" ht="32" customHeight="1" spans="1:4">
      <c r="A363" s="586" t="s">
        <v>2581</v>
      </c>
      <c r="B363" s="587" t="s">
        <v>3133</v>
      </c>
      <c r="C363" s="586" t="s">
        <v>3130</v>
      </c>
    </row>
    <row r="364" ht="32" customHeight="1" spans="1:4">
      <c r="A364" s="588" t="s">
        <v>2581</v>
      </c>
      <c r="B364" s="589" t="s">
        <v>3134</v>
      </c>
      <c r="C364" s="588" t="s">
        <v>3130</v>
      </c>
    </row>
    <row r="365" ht="32" customHeight="1" spans="1:4">
      <c r="A365" s="586" t="s">
        <v>2581</v>
      </c>
      <c r="B365" s="587" t="inlineStr">
        <is>
          <t xml:space="preserve">定向麦克风及音频软件</t>
        </is>
      </c>
      <c r="C365" s="586" t="s">
        <v>3135</v>
      </c>
    </row>
    <row r="366" ht="32" customHeight="1" spans="1:4">
      <c r="A366" s="588" t="s">
        <v>2581</v>
      </c>
      <c r="B366" s="589" t="s">
        <v>3136</v>
      </c>
      <c r="C366" s="588" t="s">
        <v>3130</v>
      </c>
    </row>
    <row r="367" ht="32" customHeight="1" spans="1:4">
      <c r="A367" s="586" t="s">
        <v>2581</v>
      </c>
      <c r="B367" s="587" t="inlineStr">
        <is>
          <t xml:space="preserve">基础无人机，能在市场上购得</t>
        </is>
      </c>
      <c r="C367" s="586" t="s">
        <v>3137</v>
      </c>
    </row>
    <row r="368" ht="32" customHeight="1" spans="1:4">
      <c r="A368" s="588" t="s">
        <v>2581</v>
      </c>
      <c r="B368" s="589" t="s">
        <v>3138</v>
      </c>
      <c r="C368" s="588" t="s">
        <v>3139</v>
      </c>
    </row>
    <row r="369" ht="32" customHeight="1" spans="1:4">
      <c r="A369" s="586" t="s">
        <v>2581</v>
      </c>
      <c r="B369" s="587" t="s">
        <v>3140</v>
      </c>
      <c r="C369" s="586" t="s">
        <v>3139</v>
      </c>
    </row>
    <row r="370" ht="32" customHeight="1" spans="1:4">
      <c r="A370" s="588" t="s">
        <v>2581</v>
      </c>
      <c r="B370" s="589" t="s">
        <v>3141</v>
      </c>
      <c r="C370" s="588" t="s">
        <v>3139</v>
      </c>
    </row>
    <row r="371" ht="32" customHeight="1" spans="1:4">
      <c r="A371" s="586" t="s">
        <v>2581</v>
      </c>
      <c r="B371" s="587" t="inlineStr">
        <is>
          <t xml:space="preserve">先进无人机</t>
        </is>
      </c>
      <c r="C371" s="586" t="s">
        <v>3142</v>
      </c>
    </row>
    <row r="372" ht="32" customHeight="1" spans="1:4">
      <c r="A372" s="588" t="s">
        <v>2581</v>
      </c>
      <c r="B372" s="589" t="s">
        <v>3143</v>
      </c>
      <c r="C372" s="588" t="s">
        <v>3144</v>
      </c>
    </row>
    <row r="373" ht="32" customHeight="1" spans="1:4">
      <c r="A373" s="586" t="s">
        <v>2581</v>
      </c>
      <c r="B373" s="587" t="inlineStr">
        <is>
          <t xml:space="preserve">探地雷达</t>
        </is>
      </c>
      <c r="C373" s="586" t="s">
        <v>3145</v>
      </c>
    </row>
    <row r="374" ht="32" customHeight="1" spans="1:4">
      <c r="A374" s="588" t="s">
        <v>2581</v>
      </c>
      <c r="B374" s="589" t="s">
        <v>3146</v>
      </c>
      <c r="C374" s="588" t="s">
        <v>3147</v>
      </c>
    </row>
    <row r="375" ht="32" customHeight="1" spans="1:4">
      <c r="A375" s="586" t="s">
        <v>2581</v>
      </c>
      <c r="B375" s="587" t="inlineStr">
        <is>
          <t xml:space="preserve">军用无人机</t>
        </is>
      </c>
      <c r="C375" s="586" t="s">
        <v>3148</v>
      </c>
    </row>
    <row r="376" ht="32" customHeight="1" spans="1:4">
      <c r="A376" s="588" t="s">
        <v>2582</v>
      </c>
      <c r="B376" s="589" t="s">
        <v>3149</v>
      </c>
      <c r="C376" s="588" t="s">
        <v>3127</v>
      </c>
    </row>
    <row r="377" ht="32" customHeight="1" spans="1:4">
      <c r="A377" s="586" t="s">
        <v>2582</v>
      </c>
      <c r="B377" s="587" t="inlineStr">
        <is>
          <t xml:space="preserve">大型手电筒</t>
        </is>
      </c>
      <c r="C377" s="586" t="s">
        <v>3150</v>
      </c>
    </row>
    <row r="378" ht="32" customHeight="1" spans="1:4">
      <c r="A378" s="588" t="s">
        <v>2582</v>
      </c>
      <c r="B378" s="589" t="s">
        <v>3151</v>
      </c>
      <c r="C378" s="588" t="s">
        <v>3127</v>
      </c>
    </row>
    <row r="379" ht="45.5" customHeight="1" spans="1:4">
      <c r="A379" s="586" t="s">
        <v>2582</v>
      </c>
      <c r="B379" s="587" t="inlineStr">
        <is>
          <t xml:space="preserve">战术灯或武器挂灯</t>
        </is>
      </c>
      <c r="C379" s="586" t="s">
        <v>3152</v>
      </c>
    </row>
    <row r="380" ht="32" customHeight="1" spans="1:4">
      <c r="A380" s="588" t="s">
        <v>2582</v>
      </c>
      <c r="B380" s="589" t="s">
        <v>3153</v>
      </c>
      <c r="C380" s="588" t="s">
        <v>3127</v>
      </c>
    </row>
    <row r="381" ht="32" customHeight="1" spans="1:4">
      <c r="A381" s="586" t="s">
        <v>2582</v>
      </c>
      <c r="B381" s="587" t="inlineStr">
        <is>
          <t xml:space="preserve">普通双筒望远镜</t>
        </is>
      </c>
      <c r="C381" s="586" t="s">
        <v>3154</v>
      </c>
    </row>
    <row r="382" ht="32" customHeight="1" spans="1:4">
      <c r="A382" s="588" t="s">
        <v>2582</v>
      </c>
      <c r="B382" s="589" t="s">
        <v>3155</v>
      </c>
      <c r="C382" s="588" t="s">
        <v>3130</v>
      </c>
    </row>
    <row r="383" ht="59" customHeight="1" spans="1:4">
      <c r="A383" s="586" t="s">
        <v>2582</v>
      </c>
      <c r="B383" s="587" t="inlineStr">
        <is>
          <t xml:space="preserve">民用夜视眼镜（NVG）</t>
        </is>
      </c>
      <c r="C383" s="586" t="s">
        <v>3156</v>
      </c>
    </row>
    <row r="384" ht="32" customHeight="1" spans="1:4">
      <c r="A384" s="588" t="s">
        <v>2582</v>
      </c>
      <c r="B384" s="589" t="s">
        <v>3157</v>
      </c>
      <c r="C384" s="588" t="s">
        <v>3130</v>
      </c>
    </row>
    <row r="385" ht="32" customHeight="1" spans="1:4">
      <c r="A385" s="586" t="s">
        <v>2582</v>
      </c>
      <c r="B385" s="587" t="inlineStr">
        <is>
          <t xml:space="preserve">先进双筒望远镜或望远镜</t>
        </is>
      </c>
      <c r="C385" s="586" t="s">
        <v>3158</v>
      </c>
    </row>
    <row r="386" ht="32" customHeight="1" spans="1:4">
      <c r="A386" s="588" t="s">
        <v>2582</v>
      </c>
      <c r="B386" s="589" t="s">
        <v>3159</v>
      </c>
      <c r="C386" s="588" t="s">
        <v>3139</v>
      </c>
    </row>
    <row r="387" ht="32" customHeight="1" spans="1:4">
      <c r="A387" s="586" t="s">
        <v>2582</v>
      </c>
      <c r="B387" s="587" t="inlineStr">
        <is>
          <t xml:space="preserve">强力望远镜</t>
        </is>
      </c>
      <c r="C387" s="586" t="s">
        <v>3160</v>
      </c>
    </row>
    <row r="388" ht="32" customHeight="1" spans="1:4">
      <c r="A388" s="588" t="s">
        <v>2582</v>
      </c>
      <c r="B388" s="589" t="s">
        <v>3161</v>
      </c>
      <c r="C388" s="588" t="s">
        <v>3144</v>
      </c>
    </row>
    <row r="389" ht="32" customHeight="1" spans="1:4">
      <c r="A389" s="586" t="s">
        <v>2582</v>
      </c>
      <c r="B389" s="587" t="inlineStr">
        <is>
          <t xml:space="preserve">军用夜视眼镜</t>
        </is>
      </c>
      <c r="C389" s="586" t="s">
        <v>3162</v>
      </c>
    </row>
    <row r="390" ht="32" customHeight="1" spans="1:4">
      <c r="A390" s="588" t="s">
        <v>2583</v>
      </c>
      <c r="B390" s="589" t="s">
        <v>3163</v>
      </c>
      <c r="C390" s="588" t="s">
        <v>3127</v>
      </c>
    </row>
    <row r="391" ht="32" customHeight="1" spans="1:4">
      <c r="A391" s="586" t="s">
        <v>2583</v>
      </c>
      <c r="B391" s="587" t="inlineStr">
        <is>
          <t xml:space="preserve">开锁套件</t>
        </is>
      </c>
      <c r="C391" s="586" t="s">
        <v>3137</v>
      </c>
    </row>
    <row r="392" ht="32" customHeight="1" spans="1:4">
      <c r="A392" s="588" t="s">
        <v>2583</v>
      </c>
      <c r="B392" s="589" t="s">
        <v>3164</v>
      </c>
      <c r="C392" s="588" t="s">
        <v>3130</v>
      </c>
    </row>
    <row r="393" ht="32" customHeight="1" spans="1:4">
      <c r="A393" s="586" t="s">
        <v>2583</v>
      </c>
      <c r="B393" s="587" t="inlineStr">
        <is>
          <t xml:space="preserve">哈利根撬棍</t>
        </is>
      </c>
      <c r="C393" s="586" t="s">
        <v>3165</v>
      </c>
    </row>
    <row r="394" ht="32" customHeight="1" spans="1:4">
      <c r="A394" s="588" t="s">
        <v>2583</v>
      </c>
      <c r="B394" s="589" t="s">
        <v>3166</v>
      </c>
      <c r="C394" s="588" t="s">
        <v>3130</v>
      </c>
    </row>
    <row r="395" ht="32" customHeight="1" spans="1:4">
      <c r="A395" s="586" t="s">
        <v>2583</v>
      </c>
      <c r="B395" s="587" t="inlineStr">
        <is>
          <t xml:space="preserve">抖锁器</t>
        </is>
      </c>
      <c r="C395" s="586" t="s">
        <v>3167</v>
      </c>
    </row>
    <row r="396" ht="32" customHeight="1" spans="1:4">
      <c r="A396" s="588" t="s">
        <v>2584</v>
      </c>
      <c r="B396" s="589" t="s">
        <v>3168</v>
      </c>
      <c r="C396" s="588" t="s">
        <v>3127</v>
      </c>
    </row>
    <row r="397" ht="32" customHeight="1" spans="1:4">
      <c r="A397" s="586" t="s">
        <v>2584</v>
      </c>
      <c r="B397" s="587" t="inlineStr">
        <is>
          <t xml:space="preserve">个人急救套件</t>
        </is>
      </c>
      <c r="C397" s="586" t="s">
        <v>3169</v>
      </c>
    </row>
    <row r="398" ht="32" customHeight="1" spans="1:4">
      <c r="A398" s="588" t="s">
        <v>2584</v>
      </c>
      <c r="B398" s="589" t="s">
        <v>3170</v>
      </c>
      <c r="C398" s="588" t="s">
        <v>3127</v>
      </c>
    </row>
    <row r="399" ht="32" customHeight="1" spans="1:4">
      <c r="A399" s="586" t="s">
        <v>2584</v>
      </c>
      <c r="B399" s="587" t="inlineStr">
        <is>
          <t xml:space="preserve">小型灭火器（CO₂）</t>
        </is>
      </c>
      <c r="C399" s="586" t="s">
        <v>3171</v>
      </c>
    </row>
    <row r="400" ht="32" customHeight="1" spans="1:4">
      <c r="A400" s="588" t="s">
        <v>2584</v>
      </c>
      <c r="B400" s="589" t="s">
        <v>3172</v>
      </c>
      <c r="C400" s="588" t="s">
        <v>3127</v>
      </c>
    </row>
    <row r="401" ht="32" customHeight="1" spans="1:4">
      <c r="A401" s="586" t="s">
        <v>2584</v>
      </c>
      <c r="B401" s="587" t="inlineStr">
        <is>
          <t xml:space="preserve">手持 GPS</t>
        </is>
      </c>
      <c r="C401" s="586" t="s">
        <v>3173</v>
      </c>
    </row>
    <row r="402" ht="32" customHeight="1" spans="1:4">
      <c r="A402" s="588" t="s">
        <v>2584</v>
      </c>
      <c r="B402" s="589" t="s">
        <v>3174</v>
      </c>
      <c r="C402" s="588" t="s">
        <v>3127</v>
      </c>
    </row>
    <row r="403" ht="32" customHeight="1" spans="1:4">
      <c r="A403" s="586" t="s">
        <v>2584</v>
      </c>
      <c r="B403" s="587" t="inlineStr">
        <is>
          <t xml:space="preserve">基本露营装备</t>
        </is>
      </c>
      <c r="C403" s="586" t="s">
        <v>3175</v>
      </c>
    </row>
    <row r="404" ht="32" customHeight="1" spans="1:4">
      <c r="A404" s="588" t="s">
        <v>2584</v>
      </c>
      <c r="B404" s="589" t="s">
        <v>3176</v>
      </c>
      <c r="C404" s="588" t="s">
        <v>3127</v>
      </c>
    </row>
    <row r="405" ht="32" customHeight="1" spans="1:4">
      <c r="A405" s="586" t="s">
        <v>2584</v>
      </c>
      <c r="B405" s="587" t="inlineStr">
        <is>
          <t xml:space="preserve">个人防护装备（PPE）</t>
        </is>
      </c>
      <c r="C405" s="586" t="s">
        <v>3177</v>
      </c>
    </row>
    <row r="406" ht="32" customHeight="1" spans="1:4">
      <c r="A406" s="588" t="s">
        <v>2584</v>
      </c>
      <c r="B406" s="589" t="s">
        <v>3178</v>
      </c>
      <c r="C406" s="588" t="s">
        <v>3130</v>
      </c>
    </row>
    <row r="407" ht="32" customHeight="1" spans="1:4">
      <c r="A407" s="586" t="s">
        <v>2584</v>
      </c>
      <c r="B407" s="587" t="inlineStr">
        <is>
          <t xml:space="preserve">重型灭火器</t>
        </is>
      </c>
      <c r="C407" s="586" t="s">
        <v>3179</v>
      </c>
    </row>
    <row r="408" ht="32" customHeight="1" spans="1:4">
      <c r="A408" s="588" t="s">
        <v>2584</v>
      </c>
      <c r="B408" s="589" t="s">
        <v>3180</v>
      </c>
      <c r="C408" s="588" t="s">
        <v>3130</v>
      </c>
    </row>
    <row r="409" ht="32" customHeight="1" spans="1:4">
      <c r="A409" s="586" t="s">
        <v>2584</v>
      </c>
      <c r="B409" s="587" t="inlineStr">
        <is>
          <t xml:space="preserve">防毒面具</t>
        </is>
      </c>
      <c r="C409" s="586" t="s">
        <v>3181</v>
      </c>
    </row>
    <row r="410" ht="32" customHeight="1" spans="1:4">
      <c r="A410" s="588" t="s">
        <v>2584</v>
      </c>
      <c r="B410" s="589" t="s">
        <v>3182</v>
      </c>
      <c r="C410" s="588" t="s">
        <v>3130</v>
      </c>
    </row>
    <row r="411" ht="32" customHeight="1" spans="1:4">
      <c r="A411" s="586" t="s">
        <v>2584</v>
      </c>
      <c r="B411" s="587" t="inlineStr">
        <is>
          <t xml:space="preserve">危险物品防护服</t>
        </is>
      </c>
      <c r="C411" s="586" t="s">
        <v>3183</v>
      </c>
    </row>
    <row r="412" ht="32" customHeight="1" spans="1:4">
      <c r="A412" s="588" t="s">
        <v>2584</v>
      </c>
      <c r="B412" s="589" t="s">
        <v>3184</v>
      </c>
      <c r="C412" s="588" t="s">
        <v>3130</v>
      </c>
    </row>
    <row r="413" ht="92.5" customHeight="1" spans="1:4">
      <c r="A413" s="586" t="s">
        <v>2584</v>
      </c>
      <c r="B413" s="587" t="inlineStr">
        <is>
          <t xml:space="preserve">急救人员医疗套件</t>
        </is>
      </c>
      <c r="C413" s="586" t="s">
        <v>3185</v>
      </c>
    </row>
    <row r="414" ht="32" customHeight="1" spans="1:4">
      <c r="A414" s="588" t="s">
        <v>2584</v>
      </c>
      <c r="B414" s="589" t="s">
        <v>3186</v>
      </c>
      <c r="C414" s="588" t="s">
        <v>3130</v>
      </c>
    </row>
    <row r="415" ht="45.5" customHeight="1" spans="1:4">
      <c r="A415" s="586" t="s">
        <v>2584</v>
      </c>
      <c r="B415" s="587" t="inlineStr">
        <is>
          <t xml:space="preserve">扩展露营装备</t>
        </is>
      </c>
      <c r="C415" s="586" t="s">
        <v>3187</v>
      </c>
    </row>
    <row r="416" ht="32" customHeight="1" spans="1:4">
      <c r="A416" s="588" t="s">
        <v>2584</v>
      </c>
      <c r="B416" s="589" t="s">
        <v>3188</v>
      </c>
      <c r="C416" s="588" t="s">
        <v>3139</v>
      </c>
    </row>
    <row r="417" ht="32" customHeight="1" spans="1:4">
      <c r="A417" s="586" t="s">
        <v>2584</v>
      </c>
      <c r="B417" s="587" t="inlineStr">
        <is>
          <t xml:space="preserve">水下呼吸装备</t>
        </is>
      </c>
      <c r="C417" s="586" t="s">
        <v>3189</v>
      </c>
    </row>
    <row r="418" ht="32" customHeight="1" spans="1:4">
      <c r="A418" s="588" t="s">
        <v>2584</v>
      </c>
      <c r="B418" s="589" t="s">
        <v>3190</v>
      </c>
      <c r="C418" s="588" t="s">
        <v>3139</v>
      </c>
    </row>
    <row r="419" ht="32" customHeight="1" spans="1:4">
      <c r="A419" s="586" t="s">
        <v>2584</v>
      </c>
      <c r="B419" s="587" t="inlineStr">
        <is>
          <t xml:space="preserve">装满酸液的聚丙烯桶</t>
        </is>
      </c>
      <c r="C419" s="586" t="s">
        <v>3191</v>
      </c>
    </row>
    <row r="420" ht="32" customHeight="1" spans="1:4">
      <c r="A420" s="588" t="s">
        <v>2585</v>
      </c>
      <c r="B420" s="589" t="s">
        <v>3192</v>
      </c>
      <c r="C420" s="588" t="s">
        <v>3130</v>
      </c>
    </row>
    <row r="421" ht="32" customHeight="1" spans="1:4">
      <c r="A421" s="586" t="s">
        <v>2585</v>
      </c>
      <c r="B421" s="587" t="inlineStr">
        <is>
          <t xml:space="preserve">地下急救，闭口不问</t>
        </is>
      </c>
      <c r="C421" s="586" t="s">
        <v>3193</v>
      </c>
    </row>
    <row r="422" ht="32" customHeight="1" spans="1:4">
      <c r="A422" s="588" t="s">
        <v>2585</v>
      </c>
      <c r="B422" s="589" t="s">
        <v>3194</v>
      </c>
      <c r="C422" s="588" t="s">
        <v>3139</v>
      </c>
    </row>
    <row r="423" ht="32" customHeight="1" spans="1:4">
      <c r="A423" s="586" t="s">
        <v>2585</v>
      </c>
      <c r="B423" s="587" t="inlineStr">
        <is>
          <t xml:space="preserve">地下药品或小手术，闭口不问</t>
        </is>
      </c>
      <c r="C423" s="586" t="s">
        <v>3193</v>
      </c>
    </row>
    <row r="424" ht="32" customHeight="1" spans="1:4">
      <c r="A424" s="588" t="s">
        <v>2585</v>
      </c>
      <c r="B424" s="589" t="s">
        <v>3195</v>
      </c>
      <c r="C424" s="588" t="s">
        <v>3144</v>
      </c>
    </row>
    <row r="425" ht="32" customHeight="1" spans="1:4">
      <c r="A425" s="586" t="s">
        <v>2585</v>
      </c>
      <c r="B425" s="587" t="inlineStr">
        <is>
          <t xml:space="preserve">地下大手术，闭口不问</t>
        </is>
      </c>
      <c r="C425" s="586" t="s">
        <v>3193</v>
      </c>
    </row>
    <row r="426" ht="45.5" customHeight="1" spans="1:4">
      <c r="A426" s="588" t="s">
        <v>2585</v>
      </c>
      <c r="B426" s="589" t="s">
        <v>3196</v>
      </c>
      <c r="C426" s="588" t="s">
        <v>3144</v>
      </c>
    </row>
    <row r="427" ht="45.5" customHeight="1" spans="1:4">
      <c r="A427" s="586" t="s">
        <v>2585</v>
      </c>
      <c r="B427" s="587" t="inlineStr">
        <is>
          <t xml:space="preserve">贿赂焚烧厂，火葬场，或熔炉工人，让他们对你焚烧尸体的行为视而不见</t>
        </is>
      </c>
      <c r="C427" s="586" t="s">
        <v>3197</v>
      </c>
    </row>
    <row r="428" ht="32" customHeight="1" spans="1:4">
      <c r="A428" s="588" t="s">
        <v>2586</v>
      </c>
      <c r="B428" s="589" t="s">
        <v>3198</v>
      </c>
      <c r="C428" s="588" t="s">
        <v>3130</v>
      </c>
    </row>
    <row r="429" ht="32" customHeight="1" spans="1:4">
      <c r="A429" s="586" t="s">
        <v>2586</v>
      </c>
      <c r="B429" s="587" t="inlineStr">
        <is>
          <t xml:space="preserve">全息瞄准镜</t>
        </is>
      </c>
      <c r="C429" s="586" t="s">
        <v>3199</v>
      </c>
    </row>
    <row r="430" ht="32" customHeight="1" spans="1:4">
      <c r="A430" s="588" t="s">
        <v>2586</v>
      </c>
      <c r="B430" s="589" t="s">
        <v>3200</v>
      </c>
      <c r="C430" s="588" t="s">
        <v>3130</v>
      </c>
    </row>
    <row r="431" ht="45.5" customHeight="1" spans="1:4">
      <c r="A431" s="586" t="s">
        <v>2586</v>
      </c>
      <c r="B431" s="587" t="inlineStr">
        <is>
          <t xml:space="preserve">夜视瞄准镜</t>
        </is>
      </c>
      <c r="C431" s="586" t="s">
        <v>3201</v>
      </c>
    </row>
    <row r="432" ht="32" customHeight="1" spans="1:4">
      <c r="A432" s="588" t="s">
        <v>2586</v>
      </c>
      <c r="B432" s="589" t="s">
        <v>3202</v>
      </c>
      <c r="C432" s="588" t="s">
        <v>3130</v>
      </c>
    </row>
    <row r="433" ht="45.5" customHeight="1" spans="1:4">
      <c r="A433" s="586" t="s">
        <v>2586</v>
      </c>
      <c r="B433" s="587" t="inlineStr">
        <is>
          <t xml:space="preserve">消声器</t>
        </is>
      </c>
      <c r="C433" s="586" t="s">
        <v>3203</v>
      </c>
    </row>
    <row r="434" ht="32" customHeight="1" spans="1:4">
      <c r="A434" s="588" t="s">
        <v>2586</v>
      </c>
      <c r="B434" s="589" t="s">
        <v>3204</v>
      </c>
      <c r="C434" s="588" t="s">
        <v>3130</v>
      </c>
    </row>
    <row r="435" ht="79" customHeight="1" spans="1:4">
      <c r="A435" s="586" t="s">
        <v>2586</v>
      </c>
      <c r="B435" s="587" t="inlineStr">
        <is>
          <t xml:space="preserve">激光指示器</t>
        </is>
      </c>
      <c r="C435" s="586" t="s">
        <v>3205</v>
      </c>
    </row>
    <row r="436" ht="32" customHeight="1" spans="1:4">
      <c r="A436" s="588" t="s">
        <v>2586</v>
      </c>
      <c r="B436" s="589" t="s">
        <v>3206</v>
      </c>
      <c r="C436" s="588" t="s">
        <v>3130</v>
      </c>
    </row>
    <row r="437" ht="32" customHeight="1" spans="1:4">
      <c r="A437" s="586" t="s">
        <v>2586</v>
      </c>
      <c r="B437" s="587" t="inlineStr">
        <is>
          <t xml:space="preserve">缩放瞄准镜</t>
        </is>
      </c>
      <c r="C437" s="586" t="s">
        <v>3207</v>
      </c>
    </row>
    <row r="438" ht="32" customHeight="1" spans="1:4">
      <c r="A438" s="588" t="s">
        <v>2586</v>
      </c>
      <c r="B438" s="589" t="s">
        <v>3208</v>
      </c>
      <c r="C438" s="588" t="s">
        <v>3139</v>
      </c>
    </row>
    <row r="439" ht="32" customHeight="1" spans="1:4">
      <c r="A439" s="586" t="s">
        <v>2586</v>
      </c>
      <c r="B439" s="587" t="inlineStr">
        <is>
          <t xml:space="preserve">先进战斗光学瞄准镜（ACOG）</t>
        </is>
      </c>
      <c r="C439" s="586" t="s">
        <v>3209</v>
      </c>
    </row>
    <row r="440" ht="32" customHeight="1" spans="1:4">
      <c r="A440" s="588" t="s">
        <v>2586</v>
      </c>
      <c r="B440" s="589" t="s">
        <v>3210</v>
      </c>
      <c r="C440" s="588" t="s">
        <v>3139</v>
      </c>
    </row>
    <row r="441" ht="45.5" customHeight="1" spans="1:4">
      <c r="A441" s="586" t="s">
        <v>2586</v>
      </c>
      <c r="B441" s="587" t="inlineStr">
        <is>
          <t xml:space="preserve">热成像瞄准镜（TWS）</t>
        </is>
      </c>
      <c r="C441" s="586" t="s">
        <v>3211</v>
      </c>
    </row>
    <row r="442" ht="32" customHeight="1" spans="1:4">
      <c r="A442" s="588" t="s">
        <v>2586</v>
      </c>
      <c r="B442" s="589" t="s">
        <v>3212</v>
      </c>
      <c r="C442" s="588" t="s">
        <v>3144</v>
      </c>
    </row>
    <row r="443" ht="59" customHeight="1" spans="1:4">
      <c r="A443" s="586" t="s">
        <v>2586</v>
      </c>
      <c r="B443" s="587" t="inlineStr">
        <is>
          <t xml:space="preserve">黑枪设备：带有配套软件的重型台式 3D 打印机</t>
        </is>
      </c>
      <c r="C443" s="586" t="s">
        <v>3213</v>
      </c>
    </row>
    <row r="444" ht="32" customHeight="1" spans="1:4">
      <c r="A444" s="588" t="s">
        <v>2587</v>
      </c>
      <c r="B444" s="589" t="s">
        <v>3214</v>
      </c>
      <c r="C444" s="588" t="s">
        <v>3127</v>
      </c>
    </row>
    <row r="445" ht="45.5" customHeight="1" spans="1:4">
      <c r="A445" s="586" t="s">
        <v>2587</v>
      </c>
      <c r="B445" s="587" t="inlineStr">
        <is>
          <t xml:space="preserve">访问非机密但受限制的文件，诸如刑事或财务记录</t>
        </is>
      </c>
      <c r="C445" s="586" t="inlineStr">
        <is>
          <t xml:space="preserve">必须和正式调查相关。如果不相关，那么需要进行幸运检定，失败则会招致官方审查。</t>
        </is>
      </c>
    </row>
    <row r="446" ht="32" customHeight="1" spans="1:4">
      <c r="A446" s="588" t="s">
        <v>2587</v>
      </c>
      <c r="B446" s="589" t="s">
        <v>3215</v>
      </c>
      <c r="C446" s="588" t="s">
        <v>3130</v>
      </c>
    </row>
    <row r="447" ht="32" customHeight="1" spans="1:4">
      <c r="A447" s="586" t="s">
        <v>2587</v>
      </c>
      <c r="B447" s="587" t="inlineStr">
        <is>
          <t xml:space="preserve">无理由地将一名囚犯关押 24 小时</t>
        </is>
      </c>
      <c r="C447" s="586" t="inlineStr">
        <is>
          <t xml:space="preserve">必须和正式调查相关。如果不相关，那么需要进行幸运检定，失败则会招致官方审查。</t>
        </is>
      </c>
    </row>
    <row r="448" ht="32" customHeight="1" spans="1:4">
      <c r="A448" s="588" t="s">
        <v>2587</v>
      </c>
      <c r="B448" s="589" t="s">
        <v>3216</v>
      </c>
      <c r="C448" s="588" t="s">
        <v>3130</v>
      </c>
    </row>
    <row r="449" ht="32" customHeight="1" spans="1:4">
      <c r="A449" s="586" t="s">
        <v>2587</v>
      </c>
      <c r="B449" s="587" t="s">
        <v>3217</v>
      </c>
      <c r="C449" s="586" t="s">
        <v>3130</v>
      </c>
    </row>
    <row r="450" ht="32" customHeight="1" spans="1:4">
      <c r="A450" s="588" t="s">
        <v>2587</v>
      </c>
      <c r="B450" s="589" t="s">
        <v>3218</v>
      </c>
      <c r="C450" s="588" t="s">
        <v>3139</v>
      </c>
    </row>
    <row r="451" ht="32" customHeight="1" spans="1:4">
      <c r="A451" s="586" t="s">
        <v>2587</v>
      </c>
      <c r="B451" s="587" t="inlineStr">
        <is>
          <t xml:space="preserve">使用无人机监控嫌疑人 1 到 2 天</t>
        </is>
      </c>
      <c r="C451" s="586" t="inlineStr">
        <is>
          <t xml:space="preserve">会招致官方审查。</t>
        </is>
      </c>
    </row>
    <row r="452" ht="32" customHeight="1" spans="1:4">
      <c r="A452" s="588" t="s">
        <v>2588</v>
      </c>
      <c r="B452" s="589" t="s">
        <v>3219</v>
      </c>
      <c r="C452" s="588" t="s">
        <v>3127</v>
      </c>
    </row>
    <row r="453" ht="32" customHeight="1" spans="1:4">
      <c r="A453" s="586" t="s">
        <v>2588</v>
      </c>
      <c r="B453" s="587" t="s">
        <v>3220</v>
      </c>
      <c r="C453" s="586" t="s">
        <v>3130</v>
      </c>
    </row>
    <row r="454" ht="32" customHeight="1" spans="1:4">
      <c r="A454" s="588" t="s">
        <v>2588</v>
      </c>
      <c r="B454" s="589" t="s">
        <v>3221</v>
      </c>
      <c r="C454" s="588" t="s">
        <v>3130</v>
      </c>
    </row>
    <row r="455" ht="32" customHeight="1" spans="1:4">
      <c r="A455" s="586" t="s">
        <v>2588</v>
      </c>
      <c r="B455" s="587" t="s">
        <v>3222</v>
      </c>
      <c r="C455" s="586" t="s">
        <v>3139</v>
      </c>
    </row>
    <row r="456" ht="32" customHeight="1" spans="1:4">
      <c r="A456" s="588" t="s">
        <v>2588</v>
      </c>
      <c r="B456" s="589" t="s">
        <v>3223</v>
      </c>
      <c r="C456" s="588" t="s">
        <v>3139</v>
      </c>
    </row>
    <row r="457" ht="32" customHeight="1" spans="1:4">
      <c r="A457" s="586" t="s">
        <v>2588</v>
      </c>
      <c r="B457" s="587" t="s">
        <v>3224</v>
      </c>
      <c r="C457" s="586" t="s">
        <v>3144</v>
      </c>
    </row>
    <row r="458" ht="32" customHeight="1" spans="1:4">
      <c r="A458" s="588" t="s">
        <v>2588</v>
      </c>
      <c r="B458" s="589" t="s">
        <v>3225</v>
      </c>
      <c r="C458" s="588" t="s">
        <v>3147</v>
      </c>
    </row>
    <row r="459" ht="32" customHeight="1" spans="1:4">
      <c r="A459" s="586" t="s">
        <v>2589</v>
      </c>
      <c r="B459" s="587" t="s">
        <v>3226</v>
      </c>
      <c r="C459" s="586" t="s">
        <v>3127</v>
      </c>
    </row>
    <row r="460" ht="32" customHeight="1" spans="1:4">
      <c r="A460" s="588" t="s">
        <v>2589</v>
      </c>
      <c r="B460" s="589" t="s">
        <v>3227</v>
      </c>
      <c r="C460" s="588" t="s">
        <v>3130</v>
      </c>
    </row>
    <row r="461" ht="32" customHeight="1" spans="1:4">
      <c r="A461" s="586" t="s">
        <v>2589</v>
      </c>
      <c r="B461" s="587" t="s">
        <v>3228</v>
      </c>
      <c r="C461" s="586" t="s">
        <v>3139</v>
      </c>
    </row>
    <row r="462" ht="32" customHeight="1" spans="1:4">
      <c r="A462" s="588" t="s">
        <v>2589</v>
      </c>
      <c r="B462" s="589" t="s">
        <v>3229</v>
      </c>
      <c r="C462" s="588" t="s">
        <v>3144</v>
      </c>
    </row>
    <row r="463" ht="32" customHeight="1" spans="1:4">
      <c r="A463" s="586" t="s">
        <v>2589</v>
      </c>
      <c r="B463" s="587" t="s">
        <v>3230</v>
      </c>
      <c r="C463" s="586" t="s">
        <v>3147</v>
      </c>
    </row>
    <row r="464" ht="32" customHeight="1" spans="1:4">
      <c r="A464" s="588" t="s">
        <v>2590</v>
      </c>
      <c r="B464" s="589" t="s">
        <v>3231</v>
      </c>
      <c r="C464" s="588" t="s">
        <v>3139</v>
      </c>
    </row>
    <row r="465" ht="32" customHeight="1" spans="1:4">
      <c r="A465" s="586" t="s">
        <v>2590</v>
      </c>
      <c r="B465" s="587" t="inlineStr">
        <is>
          <t xml:space="preserve">伪造的护照或身份证明文件</t>
        </is>
      </c>
      <c r="C465" s="586" t="s">
        <v>3232</v>
      </c>
    </row>
    <row r="466" ht="45.5" customHeight="1" spans="1:4">
      <c r="A466" s="588" t="s">
        <v>2590</v>
      </c>
      <c r="B466" s="589" t="s">
        <v>3233</v>
      </c>
      <c r="C466" s="588" t="s">
        <v>3144</v>
      </c>
    </row>
    <row r="467" ht="45.5" customHeight="1" spans="1:4">
      <c r="A467" s="586" t="s">
        <v>2590</v>
      </c>
      <c r="B467" s="587" t="inlineStr">
        <is>
          <t xml:space="preserve">G-7 国家的伪造护照（加拿大，欧盟，日本，美国，英国）</t>
        </is>
      </c>
      <c r="C467" s="586" t="s">
        <v>3232</v>
      </c>
    </row>
    <row r="468" ht="32" customHeight="1" spans="1:4">
      <c r="A468" s="588" t="s">
        <v>2590</v>
      </c>
      <c r="B468" s="589" t="s">
        <v>3234</v>
      </c>
      <c r="C468" s="588" t="s">
        <v>3147</v>
      </c>
    </row>
    <row r="469" ht="32" customHeight="1" spans="1:4">
      <c r="A469" s="586" t="s">
        <v>2590</v>
      </c>
      <c r="B469" s="587" t="inlineStr">
        <is>
          <t xml:space="preserve">全新的合法身份证明</t>
        </is>
      </c>
      <c r="C469" s="586" t="s">
        <v>3232</v>
      </c>
    </row>
    <row r="470" ht="32" customHeight="1" spans="1:4">
      <c r="A470" s="588" t="s">
        <v>2591</v>
      </c>
      <c r="B470" s="589" t="s">
        <v>3235</v>
      </c>
      <c r="C470" s="588" t="s">
        <v>3127</v>
      </c>
    </row>
    <row r="471" ht="32" customHeight="1" spans="1:4">
      <c r="A471" s="586" t="s">
        <v>2591</v>
      </c>
      <c r="B471" s="587" t="s">
        <v>3236</v>
      </c>
      <c r="C471" s="586" t="s">
        <v>3130</v>
      </c>
    </row>
    <row r="472" ht="32" customHeight="1" spans="1:4">
      <c r="A472" s="588" t="s">
        <v>2591</v>
      </c>
      <c r="B472" s="589" t="s">
        <v>3237</v>
      </c>
      <c r="C472" s="588" t="s">
        <v>3139</v>
      </c>
    </row>
    <row r="473" ht="32" customHeight="1" spans="1:4">
      <c r="A473" s="586" t="s">
        <v>2592</v>
      </c>
      <c r="B473" s="587" t="s">
        <v>3238</v>
      </c>
      <c r="C473" s="586" t="s">
        <v>3127</v>
      </c>
    </row>
    <row r="474" ht="32" customHeight="1" spans="1:4">
      <c r="A474" s="588" t="s">
        <v>2592</v>
      </c>
      <c r="B474" s="589" t="inlineStr">
        <is>
          <t xml:space="preserve">索带式塑料手铐</t>
        </is>
      </c>
      <c r="C474" s="588" t="s">
        <v>3239</v>
      </c>
    </row>
    <row r="475" ht="32" customHeight="1" spans="1:4">
      <c r="A475" s="586" t="s">
        <v>2592</v>
      </c>
      <c r="B475" s="587" t="s">
        <v>3240</v>
      </c>
      <c r="C475" s="586" t="s">
        <v>3127</v>
      </c>
    </row>
    <row r="476" ht="32" customHeight="1" spans="1:4">
      <c r="A476" s="588" t="s">
        <v>2592</v>
      </c>
      <c r="B476" s="589" t="inlineStr">
        <is>
          <t xml:space="preserve">手铐</t>
        </is>
      </c>
      <c r="C476" s="588" t="s">
        <v>3241</v>
      </c>
    </row>
    <row r="477" ht="32" customHeight="1" spans="1:4">
      <c r="A477" s="586" t="s">
        <v>2593</v>
      </c>
      <c r="B477" s="587" t="s">
        <v>3242</v>
      </c>
      <c r="C477" s="586" t="s">
        <v>3127</v>
      </c>
    </row>
    <row r="478" ht="32" customHeight="1" spans="1:4">
      <c r="A478" s="588" t="s">
        <v>2593</v>
      </c>
      <c r="B478" s="589" t="s">
        <v>3243</v>
      </c>
      <c r="C478" s="588" t="s">
        <v>3127</v>
      </c>
    </row>
    <row r="479" ht="32" customHeight="1" spans="1:4">
      <c r="A479" s="586" t="s">
        <v>2593</v>
      </c>
      <c r="B479" s="587" t="s">
        <v>3244</v>
      </c>
      <c r="C479" s="586" t="s">
        <v>3130</v>
      </c>
    </row>
    <row r="480" ht="32" customHeight="1" spans="1:4">
      <c r="A480" s="588" t="s">
        <v>2593</v>
      </c>
      <c r="B480" s="589" t="s">
        <v>3245</v>
      </c>
      <c r="C480" s="588" t="s">
        <v>3130</v>
      </c>
    </row>
    <row r="481" ht="45.5" customHeight="1" spans="1:4">
      <c r="A481" s="586" t="s">
        <v>2593</v>
      </c>
      <c r="B481" s="587" t="s">
        <v>3246</v>
      </c>
      <c r="C481" s="586" t="s">
        <v>3144</v>
      </c>
    </row>
    <row r="482" ht="32" customHeight="1" spans="1:4">
      <c r="A482" s="588" t="s">
        <v>2594</v>
      </c>
      <c r="B482" s="589" t="s">
        <v>3247</v>
      </c>
      <c r="C482" s="588" t="s">
        <v>3127</v>
      </c>
    </row>
    <row r="483" ht="32" customHeight="1" spans="1:4">
      <c r="A483" s="586" t="s">
        <v>2594</v>
      </c>
      <c r="B483" s="587" t="s">
        <v>3248</v>
      </c>
      <c r="C483" s="586" t="s">
        <v>3127</v>
      </c>
    </row>
    <row r="484" ht="32" customHeight="1" spans="1:4">
      <c r="A484" s="588" t="s">
        <v>2594</v>
      </c>
      <c r="B484" s="589" t="s">
        <v>3249</v>
      </c>
      <c r="C484" s="588" t="s">
        <v>3127</v>
      </c>
    </row>
    <row r="485" ht="32" customHeight="1" spans="1:4">
      <c r="A485" s="586" t="s">
        <v>2594</v>
      </c>
      <c r="B485" s="587" t="inlineStr">
        <is>
          <t xml:space="preserve">现成的常用黑客软件</t>
        </is>
      </c>
      <c r="C485" s="586" t="s">
        <v>3250</v>
      </c>
    </row>
    <row r="486" ht="32" customHeight="1" spans="1:4">
      <c r="A486" s="588" t="s">
        <v>2594</v>
      </c>
      <c r="B486" s="589" t="s">
        <v>3251</v>
      </c>
      <c r="C486" s="588" t="s">
        <v>3130</v>
      </c>
    </row>
    <row r="487" ht="32" customHeight="1" spans="1:4">
      <c r="A487" s="586" t="s">
        <v>2594</v>
      </c>
      <c r="B487" s="587" t="s">
        <v>3252</v>
      </c>
      <c r="C487" s="586" t="s">
        <v>3130</v>
      </c>
    </row>
    <row r="488" ht="32" customHeight="1" spans="1:4">
      <c r="A488" s="588" t="s">
        <v>2594</v>
      </c>
      <c r="B488" s="589" t="s">
        <v>3253</v>
      </c>
      <c r="C488" s="588" t="s">
        <v>3130</v>
      </c>
    </row>
    <row r="489" ht="32" customHeight="1" spans="1:4">
      <c r="A489" s="586" t="s">
        <v>2594</v>
      </c>
      <c r="B489" s="587" t="s">
        <v>3254</v>
      </c>
      <c r="C489" s="586" t="s">
        <v>3130</v>
      </c>
    </row>
    <row r="490" ht="32" customHeight="1" spans="1:4">
      <c r="A490" s="588" t="s">
        <v>2594</v>
      </c>
      <c r="B490" s="589" t="s">
        <v>3255</v>
      </c>
      <c r="C490" s="588" t="s">
        <v>3139</v>
      </c>
    </row>
    <row r="491" ht="32" customHeight="1" spans="1:4">
      <c r="A491" s="586" t="s">
        <v>2594</v>
      </c>
      <c r="B491" s="587" t="s">
        <v>3256</v>
      </c>
      <c r="C491" s="586" t="s">
        <v>3139</v>
      </c>
    </row>
    <row r="492" ht="32" customHeight="1" spans="1:4">
      <c r="A492" s="588" t="s">
        <v>2594</v>
      </c>
      <c r="B492" s="589" t="inlineStr">
        <is>
          <t xml:space="preserve">雇用黑客来破解基础加密系统</t>
        </is>
      </c>
      <c r="C492" s="588" t="s">
        <v>3257</v>
      </c>
    </row>
    <row r="493" ht="32" customHeight="1" spans="1:4">
      <c r="A493" s="586" t="s">
        <v>2594</v>
      </c>
      <c r="B493" s="587" t="s">
        <v>3258</v>
      </c>
      <c r="C493" s="586" t="s">
        <v>3144</v>
      </c>
    </row>
    <row r="494" ht="32" customHeight="1" spans="1:4">
      <c r="A494" s="588" t="s">
        <v>2594</v>
      </c>
      <c r="B494" s="589" t="s">
        <v>3259</v>
      </c>
      <c r="C494" s="588" t="s">
        <v>3144</v>
      </c>
    </row>
    <row r="495" ht="32" customHeight="1" spans="1:4">
      <c r="A495" s="586" t="s">
        <v>2594</v>
      </c>
      <c r="B495" s="587" t="inlineStr">
        <is>
          <t xml:space="preserve">顶尖的加密系统或数据挖掘软件</t>
        </is>
      </c>
      <c r="C495" s="586" t="s">
        <v>3260</v>
      </c>
    </row>
    <row r="496" ht="32" customHeight="1" spans="1:4">
      <c r="A496" s="588" t="s">
        <v>2594</v>
      </c>
      <c r="B496" s="589" t="s">
        <v>3261</v>
      </c>
      <c r="C496" s="588" t="s">
        <v>3144</v>
      </c>
    </row>
    <row r="497" ht="32" customHeight="1" spans="1:4">
      <c r="A497" s="586" t="s">
        <v>2594</v>
      </c>
      <c r="B497" s="587" t="inlineStr">
        <is>
          <t xml:space="preserve">先进数据分析软件</t>
        </is>
      </c>
      <c r="C497" s="586" t="s">
        <v>3262</v>
      </c>
    </row>
    <row r="498" ht="32" customHeight="1" spans="1:4">
      <c r="A498" s="588" t="s">
        <v>2594</v>
      </c>
      <c r="B498" s="589" t="s">
        <v>3263</v>
      </c>
      <c r="C498" s="588" t="s">
        <v>3144</v>
      </c>
    </row>
    <row r="499" ht="32" customHeight="1" spans="1:4">
      <c r="A499" s="586" t="s">
        <v>2594</v>
      </c>
      <c r="B499" s="587" t="s">
        <v>3264</v>
      </c>
      <c r="C499" s="586" t="s">
        <v>3144</v>
      </c>
    </row>
    <row r="500" ht="32" customHeight="1" spans="1:4">
      <c r="A500" s="588" t="s">
        <v>2594</v>
      </c>
      <c r="B500" s="589" t="inlineStr">
        <is>
          <t xml:space="preserve">雇用黑客来破解先进加密系统</t>
        </is>
      </c>
      <c r="C500" s="588" t="s">
        <v>3265</v>
      </c>
    </row>
    <row r="501" ht="32" customHeight="1" spans="1:4">
      <c r="A501" s="586" t="s">
        <v>2594</v>
      </c>
      <c r="B501" s="587" t="s">
        <v>3266</v>
      </c>
      <c r="C501" s="586" t="s">
        <v>3144</v>
      </c>
    </row>
    <row r="502" ht="45.5" customHeight="1" spans="1:4">
      <c r="A502" s="588" t="s">
        <v>2594</v>
      </c>
      <c r="B502" s="589" t="inlineStr">
        <is>
          <t xml:space="preserve">用于监控手机的便携式国际移动用户识别码捕获器</t>
        </is>
      </c>
      <c r="C502" s="588" t="s">
        <v>3267</v>
      </c>
    </row>
    <row r="503" ht="32" customHeight="1" spans="1:4">
      <c r="A503" s="586" t="s">
        <v>2594</v>
      </c>
      <c r="B503" s="587" t="s">
        <v>3268</v>
      </c>
      <c r="C503" s="586" t="s">
        <v>3147</v>
      </c>
    </row>
    <row r="504" ht="32" customHeight="1" spans="1:4">
      <c r="A504" s="588" t="s">
        <v>2594</v>
      </c>
      <c r="B504" s="589" t="inlineStr">
        <is>
          <t xml:space="preserve">独享一颗专用通信卫星</t>
        </is>
      </c>
      <c r="C504" s="588" t="s">
        <v>3260</v>
      </c>
    </row>
    <row r="505" ht="45.5" customHeight="1" spans="1:4">
      <c r="A505" s="586" t="s">
        <v>2587</v>
      </c>
      <c r="B505" s="587" t="s">
        <v>3269</v>
      </c>
      <c r="C505" s="586" t="s">
        <v>3139</v>
      </c>
    </row>
    <row r="506" ht="32" customHeight="1" spans="1:4">
      <c r="A506" s="588" t="s">
        <v>2587</v>
      </c>
      <c r="B506" s="589" t="s">
        <v>3270</v>
      </c>
      <c r="C506" s="588" t="s">
        <v>3139</v>
      </c>
    </row>
    <row r="507" ht="32" customHeight="1" spans="1:4">
      <c r="A507" s="586" t="s">
        <v>2587</v>
      </c>
      <c r="B507" s="587" t="inlineStr">
        <is>
          <t xml:space="preserve">派遣 2-5 名身着制服的当地警员</t>
        </is>
      </c>
      <c r="C507" s="586" t="inlineStr">
        <is>
          <t xml:space="preserve">会招致官方审查。</t>
        </is>
      </c>
    </row>
    <row r="508" ht="32" customHeight="1" spans="1:4">
      <c r="A508" s="588" t="s">
        <v>2587</v>
      </c>
      <c r="B508" s="589" t="s">
        <v>3271</v>
      </c>
      <c r="C508" s="588" t="s">
        <v>3139</v>
      </c>
    </row>
    <row r="509" ht="32" customHeight="1" spans="1:4">
      <c r="A509" s="586" t="s">
        <v>2587</v>
      </c>
      <c r="B509" s="587" t="s">
        <v>3272</v>
      </c>
      <c r="C509" s="586" t="s">
        <v>3139</v>
      </c>
    </row>
    <row r="510" ht="32" customHeight="1" spans="1:4">
      <c r="A510" s="588" t="s">
        <v>2587</v>
      </c>
      <c r="B510" s="589" t="s">
        <v>3273</v>
      </c>
      <c r="C510" s="588" t="s">
        <v>3139</v>
      </c>
    </row>
    <row r="511" ht="32" customHeight="1" spans="1:4">
      <c r="A511" s="586" t="s">
        <v>2587</v>
      </c>
      <c r="B511" s="587" t="s">
        <v>3274</v>
      </c>
      <c r="C511" s="586" t="s">
        <v>3147</v>
      </c>
    </row>
    <row r="512" ht="32" customHeight="1" spans="1:4">
      <c r="A512" s="588" t="s">
        <v>2587</v>
      </c>
      <c r="B512" s="589" t="inlineStr">
        <is>
          <t xml:space="preserve">呼叫当地的 FBI SWAT 小队进行突袭</t>
        </is>
      </c>
      <c r="C512" s="588" t="inlineStr">
        <is>
          <t xml:space="preserve">会招致官方审查。</t>
        </is>
      </c>
    </row>
    <row r="513" ht="45.5" customHeight="1" spans="1:4">
      <c r="A513" s="586" t="s">
        <v>2595</v>
      </c>
      <c r="B513" s="587" t="s">
        <v>3275</v>
      </c>
      <c r="C513" s="586" t="s">
        <v>3127</v>
      </c>
    </row>
    <row r="514" ht="32" customHeight="1" spans="1:4">
      <c r="A514" s="588" t="s">
        <v>2595</v>
      </c>
      <c r="B514" s="589" t="s">
        <v>3276</v>
      </c>
      <c r="C514" s="588" t="s">
        <v>3147</v>
      </c>
    </row>
    <row r="515" ht="32" customHeight="1" spans="1:4">
      <c r="A515" s="586" t="s">
        <v>2595</v>
      </c>
      <c r="B515" s="587" t="inlineStr">
        <is>
          <t xml:space="preserve">呼叫一支特种作战小队进行安保或撤离行动</t>
        </is>
      </c>
      <c r="C515" s="586" t="inlineStr">
        <is>
          <t xml:space="preserve">会招致官方审查。</t>
        </is>
      </c>
    </row>
    <row r="516" ht="32" customHeight="1" spans="1:4">
      <c r="A516" s="588" t="s">
        <v>2595</v>
      </c>
      <c r="B516" s="589" t="s">
        <v>3277</v>
      </c>
      <c r="C516" s="588" t="s">
        <v>3147</v>
      </c>
    </row>
    <row r="517" ht="32" customHeight="1" spans="1:4">
      <c r="A517" s="586" t="s">
        <v>2595</v>
      </c>
      <c r="B517" s="587" t="inlineStr">
        <is>
          <t xml:space="preserve">直升机支援（运载或监控）</t>
        </is>
      </c>
      <c r="C517" s="586" t="inlineStr">
        <is>
          <t xml:space="preserve">会招致官方审查。</t>
        </is>
      </c>
    </row>
    <row r="518" ht="32" customHeight="1" spans="1:4">
      <c r="A518" s="588" t="s">
        <v>2595</v>
      </c>
      <c r="B518" s="589" t="s">
        <v>3278</v>
      </c>
      <c r="C518" s="588" t="s">
        <v>3147</v>
      </c>
    </row>
    <row r="519" ht="32" customHeight="1" spans="1:4">
      <c r="A519" s="586" t="s">
        <v>2595</v>
      </c>
      <c r="B519" s="587" t="inlineStr">
        <is>
          <t xml:space="preserve">导弹空袭</t>
        </is>
      </c>
      <c r="C519" s="586" t="inlineStr">
        <is>
          <t xml:space="preserve">会招致官方审查；不能空袭美国本土。</t>
        </is>
      </c>
    </row>
    <row r="520" ht="45.5" customHeight="1" spans="1:4">
      <c r="A520" s="588" t="s">
        <v>2596</v>
      </c>
      <c r="B520" s="589" t="s">
        <v>2596</v>
      </c>
      <c r="C520" s="588" t="s">
        <v>3279</v>
      </c>
    </row>
    <row r="521" ht="32" customHeight="1" spans="1:4">
      <c r="A521" s="586" t="s">
        <v>2597</v>
      </c>
      <c r="B521" s="587" t="s">
        <v>3280</v>
      </c>
      <c r="C521" s="586" t="s">
        <v>3139</v>
      </c>
    </row>
    <row r="522" ht="45.5" customHeight="1" spans="1:4">
      <c r="A522" s="588" t="s">
        <v>2597</v>
      </c>
      <c r="B522" s="589" t="inlineStr">
        <is>
          <t xml:space="preserve">访问另一个机构的机密文件（与国土安全无关）</t>
        </is>
      </c>
      <c r="C522" s="588" t="s">
        <v>3281</v>
      </c>
    </row>
    <row r="523" ht="32" customHeight="1" spans="1:4">
      <c r="A523" s="586" t="s">
        <v>2597</v>
      </c>
      <c r="B523" s="587" t="s">
        <v>3282</v>
      </c>
      <c r="C523" s="586" t="s">
        <v>3139</v>
      </c>
    </row>
    <row r="524" ht="32" customHeight="1" spans="1:4">
      <c r="A524" s="588" t="s">
        <v>2597</v>
      </c>
      <c r="B524" s="589" t="inlineStr">
        <is>
          <t xml:space="preserve">无人机低空飞越并监控一块特定区域</t>
        </is>
      </c>
      <c r="C524" s="588" t="inlineStr">
        <is>
          <t xml:space="preserve">会招致官方审查。</t>
        </is>
      </c>
    </row>
    <row r="525" ht="32" customHeight="1" spans="1:4">
      <c r="A525" s="586" t="s">
        <v>2597</v>
      </c>
      <c r="B525" s="587" t="s">
        <v>3283</v>
      </c>
      <c r="C525" s="586" t="s">
        <v>3144</v>
      </c>
    </row>
    <row r="526" ht="32" customHeight="1" spans="1:4">
      <c r="A526" s="588" t="s">
        <v>2597</v>
      </c>
      <c r="B526" s="589" t="inlineStr">
        <is>
          <t xml:space="preserve">将一名囚犯关押在“黑狱”中 48 小时</t>
        </is>
      </c>
      <c r="C526" s="588" t="s">
        <v>3284</v>
      </c>
    </row>
    <row r="527" ht="32" customHeight="1" spans="1:4">
      <c r="A527" s="586" t="s">
        <v>2597</v>
      </c>
      <c r="B527" s="587" t="s">
        <v>3285</v>
      </c>
      <c r="C527" s="586" t="s">
        <v>3144</v>
      </c>
    </row>
    <row r="528" ht="32" customHeight="1" spans="1:4">
      <c r="A528" s="588" t="s">
        <v>2597</v>
      </c>
      <c r="B528" s="589" t="s">
        <v>3286</v>
      </c>
      <c r="C528" s="588" t="s">
        <v>3144</v>
      </c>
    </row>
    <row r="529" ht="32" customHeight="1" spans="1:4">
      <c r="A529" s="586" t="s">
        <v>2597</v>
      </c>
      <c r="B529" s="587" t="s">
        <v>3287</v>
      </c>
      <c r="C529" s="586" t="s">
        <v>3144</v>
      </c>
    </row>
    <row r="530" ht="45.5" customHeight="1" spans="1:4">
      <c r="A530" s="588" t="s">
        <v>2597</v>
      </c>
      <c r="B530" s="589" t="inlineStr">
        <is>
          <t xml:space="preserve">访问与国土安全相关和机密文件（特工本不应知道）</t>
        </is>
      </c>
      <c r="C530" s="588" t="s">
        <v>3288</v>
      </c>
    </row>
    <row r="531" ht="45.5" customHeight="1" spans="1:4">
      <c r="A531" s="586" t="s">
        <v>2597</v>
      </c>
      <c r="B531" s="587" t="s">
        <v>3289</v>
      </c>
      <c r="C531" s="586" t="s">
        <v>3147</v>
      </c>
    </row>
    <row r="532" ht="45.5" customHeight="1" spans="1:4">
      <c r="A532" s="588" t="s">
        <v>2597</v>
      </c>
      <c r="B532" s="589" t="inlineStr">
        <is>
          <t xml:space="preserve">无人机或卫星扩展性监控一块特定区域（不仅限于一次短途低空飞越）</t>
        </is>
      </c>
      <c r="C532" s="588" t="inlineStr">
        <is>
          <t xml:space="preserve">会招致官方审查。</t>
        </is>
      </c>
    </row>
    <row r="533" ht="32" customHeight="1" spans="1:4">
      <c r="A533" s="586" t="s">
        <v>2597</v>
      </c>
      <c r="B533" s="587" t="s">
        <v>3290</v>
      </c>
      <c r="C533" s="586" t="s">
        <v>3147</v>
      </c>
    </row>
    <row r="534" ht="32" customHeight="1" spans="1:4">
      <c r="A534" s="588" t="s">
        <v>2597</v>
      </c>
      <c r="B534" s="589" t="inlineStr">
        <is>
          <t xml:space="preserve">呼叫秘密行动队在区域内提供支援</t>
        </is>
      </c>
      <c r="C534" s="588" t="inlineStr">
        <is>
          <t xml:space="preserve">会招致官方审查。</t>
        </is>
      </c>
    </row>
    <row r="535" ht="32" customHeight="1" spans="1:4">
      <c r="A535" s="586" t="s">
        <v>2598</v>
      </c>
      <c r="B535" s="587" t="s">
        <v>3244</v>
      </c>
      <c r="C535" s="586" t="s">
        <v>3130</v>
      </c>
    </row>
    <row r="536" ht="32" customHeight="1" spans="1:4">
      <c r="A536" s="588" t="s">
        <v>2598</v>
      </c>
      <c r="B536" s="589" t="s">
        <v>3291</v>
      </c>
      <c r="C536" s="588" t="s">
        <v>3130</v>
      </c>
    </row>
    <row r="537" ht="32" customHeight="1" spans="1:4">
      <c r="A537" s="586" t="s">
        <v>2598</v>
      </c>
      <c r="B537" s="587" t="s">
        <v>3292</v>
      </c>
      <c r="C537" s="586" t="s">
        <v>3130</v>
      </c>
    </row>
    <row r="538" ht="32" customHeight="1" spans="1:4">
      <c r="A538" s="588" t="s">
        <v>2598</v>
      </c>
      <c r="B538" s="589" t="inlineStr">
        <is>
          <t xml:space="preserve">向地方执法机构提出逮捕申请（以正当理由）</t>
        </is>
      </c>
      <c r="C538" s="588" t="inlineStr">
        <is>
          <t xml:space="preserve">会招致官方审查。</t>
        </is>
      </c>
    </row>
    <row r="539" ht="32" customHeight="1" spans="1:4">
      <c r="A539" s="586" t="s">
        <v>2598</v>
      </c>
      <c r="B539" s="587" t="s">
        <v>3293</v>
      </c>
      <c r="C539" s="586" t="s">
        <v>3139</v>
      </c>
    </row>
    <row r="540" ht="32" customHeight="1" spans="1:4">
      <c r="A540" s="588" t="s">
        <v>2598</v>
      </c>
      <c r="B540" s="589" t="inlineStr">
        <is>
          <t xml:space="preserve">以所谓的环境犯罪为名义，获取进入工地的许可</t>
        </is>
      </c>
      <c r="C540" s="588" t="inlineStr">
        <is>
          <t xml:space="preserve">会招致官方审查。</t>
        </is>
      </c>
    </row>
    <row r="541" ht="32" customHeight="1" spans="1:4">
      <c r="A541" s="586" t="s">
        <v>2598</v>
      </c>
      <c r="B541" s="587" t="s">
        <v>3294</v>
      </c>
      <c r="C541" s="586" t="s">
        <v>3144</v>
      </c>
    </row>
    <row r="542" ht="32" customHeight="1" spans="1:4">
      <c r="A542" s="588" t="s">
        <v>2598</v>
      </c>
      <c r="B542" s="589" t="inlineStr">
        <is>
          <t xml:space="preserve">临时性地关闭一处工地进行环境犯罪调查</t>
        </is>
      </c>
      <c r="C542" s="588" t="inlineStr">
        <is>
          <t xml:space="preserve">会招致官方审查。</t>
        </is>
      </c>
    </row>
    <row r="543" ht="32" customHeight="1" spans="1:4">
      <c r="A543" s="586" t="s">
        <v>2598</v>
      </c>
      <c r="B543" s="587" t="inlineStr">
        <is>
          <t xml:space="preserve">隔离一个场所</t>
        </is>
      </c>
      <c r="C543" s="586" t="s">
        <v>3144</v>
      </c>
    </row>
    <row r="544" ht="32" customHeight="1" spans="1:4">
      <c r="A544" s="588" t="s">
        <v>2598</v>
      </c>
      <c r="B544" s="589" t="inlineStr">
        <is>
          <t xml:space="preserve">隔离一个场所</t>
        </is>
      </c>
      <c r="C544" s="588" t="inlineStr">
        <is>
          <t xml:space="preserve">会招致官方审查。</t>
        </is>
      </c>
    </row>
    <row r="545" ht="32" customHeight="1" spans="1:4">
      <c r="A545" s="586" t="s">
        <v>2598</v>
      </c>
      <c r="B545" s="587" t="s">
        <v>3295</v>
      </c>
      <c r="C545" s="586" t="s">
        <v>3144</v>
      </c>
    </row>
    <row r="546" ht="32" customHeight="1" spans="1:4">
      <c r="A546" s="588" t="s">
        <v>2598</v>
      </c>
      <c r="B546" s="589" t="inlineStr">
        <is>
          <t xml:space="preserve">隔离一块区域</t>
        </is>
      </c>
      <c r="C546" s="588" t="inlineStr">
        <is>
          <t xml:space="preserve">会招致官方审查。</t>
        </is>
      </c>
    </row>
  </sheetData>
  <autoFilter xmlns:etc="http://www.wps.cn/officeDocument/2017/etCustomData" ref="A8:C546" etc:filterBottomFollowUsedRange="0">
    <extLst/>
  </autoFilter>
  <mergeCells count="2">
    <mergeCell ref="A1:C1"/>
    <mergeCell ref="A2:C2"/>
  </mergeCells>
  <hyperlinks>
    <hyperlink ref="A3" location="'规则速查'!A9"/>
    <hyperlink ref="B3" location="'规则速查'!A21"/>
    <hyperlink ref="C3" location="'规则速查'!A33"/>
    <hyperlink ref="A4" location="'规则速查'!A43"/>
    <hyperlink ref="B4" location="'规则速查'!A57"/>
    <hyperlink ref="C4" location="'规则速查'!A66"/>
    <hyperlink ref="A5" location="'规则速查'!A98"/>
    <hyperlink ref="B5" location="'规则速查'!A120"/>
    <hyperlink ref="C5" location="'规则速查'!A153"/>
    <hyperlink ref="A6" location="'规则速查'!A200"/>
    <hyperlink ref="B6" location="'规则速查'!A327"/>
    <hyperlink ref="C6" location="'规则速查'!A347"/>
    <hyperlink ref="A7" location="'人物卡'!B2"/>
    <hyperlink ref="B7" location="'模组经历备忘录'!A1"/>
    <hyperlink ref="C7" r:id="rIdV16Link15"/>
  </hyperlinks>
  <pageMargins left="0.25" right="0.25" top="0.4" bottom="0.4" header="0.15" footer="0.15"/>
  <pageSetup paperSize="9" fitToHeight="0" orientation="portrait"/>
  <headerFooter>
    <oddHeader>&amp;C&amp;9 绿色三角洲｜规则速查</oddHeader>
    <oddFooter>&amp;C&amp;8 绿色三角洲规则速查 · v1.9 · 第 &amp;P / &amp;N 页</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outlinePr summaryRight="0"/>
    <pageSetUpPr fitToPage="1"/>
  </sheetPr>
  <dimension ref="A1:AJ104"/>
  <sheetViews>
    <sheetView showGridLines="0" zoomScale="90" zoomScaleNormal="90" workbookViewId="0">
      <selection activeCell="A1" sqref="A1:AJ3"/>
    </sheetView>
  </sheetViews>
  <sheetFormatPr defaultColWidth="2.6" defaultRowHeight="14"/>
  <cols>
    <col min="1" max="36" width="2.6" customWidth="1"/>
  </cols>
  <sheetData>
    <row r="1" ht="14.4" customHeight="1" spans="1:36">
      <c r="A1" s="724" t="inlineStr">
        <is>
          <t>绿色三角洲人物卡</t>
        </is>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c r="AG1" s="725"/>
      <c r="AH1" s="725"/>
      <c r="AI1" s="725"/>
      <c r="AJ1" s="726"/>
    </row>
    <row r="2" ht="14.4" customHeight="1" spans="1:36">
      <c r="A2" s="727"/>
      <c r="AJ2" s="728"/>
    </row>
    <row r="3" ht="14.4" customHeight="1" spans="1:36">
      <c r="A3" s="729"/>
      <c r="B3" s="730"/>
      <c r="C3" s="730"/>
      <c r="D3" s="730"/>
      <c r="E3" s="730"/>
      <c r="F3" s="730"/>
      <c r="G3" s="730"/>
      <c r="H3" s="730"/>
      <c r="I3" s="730"/>
      <c r="J3" s="730"/>
      <c r="K3" s="730"/>
      <c r="L3" s="730"/>
      <c r="M3" s="730"/>
      <c r="N3" s="730"/>
      <c r="O3" s="730"/>
      <c r="P3" s="730"/>
      <c r="Q3" s="730"/>
      <c r="R3" s="730"/>
      <c r="S3" s="730"/>
      <c r="T3" s="730"/>
      <c r="U3" s="730"/>
      <c r="V3" s="730"/>
      <c r="W3" s="730"/>
      <c r="X3" s="730"/>
      <c r="Y3" s="730"/>
      <c r="Z3" s="730"/>
      <c r="AA3" s="730"/>
      <c r="AB3" s="730"/>
      <c r="AC3" s="730"/>
      <c r="AD3" s="730"/>
      <c r="AE3" s="730"/>
      <c r="AF3" s="730"/>
      <c r="AG3" s="730"/>
      <c r="AH3" s="730"/>
      <c r="AI3" s="730"/>
      <c r="AJ3" s="731"/>
    </row>
    <row r="4" ht="14.4" customHeight="1" spans="1:36">
      <c r="A4" s="9" t="s">
        <v>3296</v>
      </c>
      <c r="B4" s="10"/>
      <c r="C4" s="10"/>
      <c r="D4" s="10"/>
      <c r="E4" s="10"/>
      <c r="F4" s="10"/>
      <c r="G4" s="10"/>
      <c r="H4" s="10"/>
      <c r="I4" s="10"/>
      <c r="J4" s="10"/>
      <c r="K4" s="10"/>
      <c r="L4" s="10"/>
      <c r="M4" s="10"/>
      <c r="N4" s="10"/>
      <c r="O4" s="10"/>
      <c r="P4" s="10"/>
      <c r="Q4" s="10"/>
      <c r="R4" s="11"/>
      <c r="S4" s="9" t="s">
        <v>3297</v>
      </c>
      <c r="T4" s="10"/>
      <c r="U4" s="10"/>
      <c r="V4" s="10"/>
      <c r="W4" s="10"/>
      <c r="X4" s="10"/>
      <c r="Y4" s="10"/>
      <c r="Z4" s="10"/>
      <c r="AA4" s="10"/>
      <c r="AB4" s="10"/>
      <c r="AC4" s="10"/>
      <c r="AD4" s="10"/>
      <c r="AE4" s="10"/>
      <c r="AF4" s="10"/>
      <c r="AG4" s="10"/>
      <c r="AH4" s="10"/>
      <c r="AI4" s="10"/>
      <c r="AJ4" s="11"/>
    </row>
    <row r="5" ht="14.4" customHeight="1" spans="1:36">
      <c r="A5" s="12" t="str">
        <f>IF(人物卡!E4="","",人物卡!E4)</f>
        <v/>
      </c>
      <c r="B5" s="10"/>
      <c r="C5" s="10"/>
      <c r="D5" s="10"/>
      <c r="E5" s="10"/>
      <c r="F5" s="10"/>
      <c r="G5" s="10"/>
      <c r="H5" s="10"/>
      <c r="I5" s="10"/>
      <c r="J5" s="10"/>
      <c r="K5" s="10"/>
      <c r="L5" s="10"/>
      <c r="M5" s="10"/>
      <c r="N5" s="10"/>
      <c r="O5" s="10"/>
      <c r="P5" s="10"/>
      <c r="Q5" s="10"/>
      <c r="R5" s="11"/>
      <c r="S5" s="13" t="str">
        <f>IF(人物卡!E8&lt;&gt;"",人物卡!E8,IF(OR(人物卡!H46="（创建新职业）",人物卡!H46=""),"",人物卡!H46))</f>
        <v/>
      </c>
      <c r="T5" s="10"/>
      <c r="U5" s="10"/>
      <c r="V5" s="10"/>
      <c r="W5" s="10"/>
      <c r="X5" s="10"/>
      <c r="Y5" s="10"/>
      <c r="Z5" s="10"/>
      <c r="AA5" s="10"/>
      <c r="AB5" s="10"/>
      <c r="AC5" s="10"/>
      <c r="AD5" s="10"/>
      <c r="AE5" s="10"/>
      <c r="AF5" s="10"/>
      <c r="AG5" s="10"/>
      <c r="AH5" s="10"/>
      <c r="AI5" s="10"/>
      <c r="AJ5" s="11"/>
    </row>
    <row r="6" ht="14.4" customHeight="1" spans="1:36">
      <c r="A6" s="9" t="s">
        <v>3298</v>
      </c>
      <c r="B6" s="10"/>
      <c r="C6" s="10"/>
      <c r="D6" s="10"/>
      <c r="E6" s="10"/>
      <c r="F6" s="10"/>
      <c r="G6" s="10"/>
      <c r="H6" s="10"/>
      <c r="I6" s="10"/>
      <c r="J6" s="10"/>
      <c r="K6" s="10"/>
      <c r="L6" s="10"/>
      <c r="M6" s="10"/>
      <c r="N6" s="10"/>
      <c r="O6" s="10"/>
      <c r="P6" s="10"/>
      <c r="Q6" s="10"/>
      <c r="R6" s="11"/>
      <c r="S6" s="9" t="s">
        <v>3299</v>
      </c>
      <c r="T6" s="10"/>
      <c r="U6" s="10"/>
      <c r="V6" s="10"/>
      <c r="W6" s="10"/>
      <c r="X6" s="10"/>
      <c r="Y6" s="10"/>
      <c r="Z6" s="10"/>
      <c r="AA6" s="10"/>
      <c r="AB6" s="10"/>
      <c r="AC6" s="10"/>
      <c r="AD6" s="10"/>
      <c r="AE6" s="10"/>
      <c r="AF6" s="10"/>
      <c r="AG6" s="10"/>
      <c r="AH6" s="10"/>
      <c r="AI6" s="10"/>
      <c r="AJ6" s="11"/>
    </row>
    <row r="7" ht="14.4" customHeight="1" spans="1:36">
      <c r="A7" s="13" t="str">
        <f>IF(人物卡!E7="","",人物卡!E7)</f>
        <v/>
      </c>
      <c r="B7" s="10"/>
      <c r="C7" s="10"/>
      <c r="D7" s="10"/>
      <c r="E7" s="10"/>
      <c r="F7" s="10"/>
      <c r="G7" s="10"/>
      <c r="H7" s="10"/>
      <c r="I7" s="10"/>
      <c r="J7" s="10"/>
      <c r="K7" s="10"/>
      <c r="L7" s="10"/>
      <c r="M7" s="10"/>
      <c r="N7" s="10"/>
      <c r="O7" s="10"/>
      <c r="P7" s="10"/>
      <c r="Q7" s="10"/>
      <c r="R7" s="11"/>
      <c r="S7" s="13" t="str">
        <f>IF(人物卡!E6="","",人物卡!E6)</f>
        <v/>
      </c>
      <c r="T7" s="10"/>
      <c r="U7" s="10"/>
      <c r="V7" s="10"/>
      <c r="W7" s="10"/>
      <c r="X7" s="10"/>
      <c r="Y7" s="10"/>
      <c r="Z7" s="10"/>
      <c r="AA7" s="10"/>
      <c r="AB7" s="10"/>
      <c r="AC7" s="10"/>
      <c r="AD7" s="10"/>
      <c r="AE7" s="10"/>
      <c r="AF7" s="10"/>
      <c r="AG7" s="10"/>
      <c r="AH7" s="10"/>
      <c r="AI7" s="10"/>
      <c r="AJ7" s="11"/>
    </row>
    <row r="8" ht="14.4" customHeight="1" spans="1:36">
      <c r="A8" s="9" t="s">
        <v>3300</v>
      </c>
      <c r="B8" s="10"/>
      <c r="C8" s="10"/>
      <c r="D8" s="10"/>
      <c r="E8" s="10"/>
      <c r="F8" s="10"/>
      <c r="G8" s="11"/>
      <c r="H8" s="9" t="s">
        <v>3301</v>
      </c>
      <c r="I8" s="10"/>
      <c r="J8" s="10"/>
      <c r="K8" s="10"/>
      <c r="L8" s="10"/>
      <c r="M8" s="11"/>
      <c r="N8" s="9" t="s">
        <v>3302</v>
      </c>
      <c r="O8" s="10"/>
      <c r="P8" s="10"/>
      <c r="Q8" s="10"/>
      <c r="R8" s="10"/>
      <c r="S8" s="10"/>
      <c r="T8" s="10"/>
      <c r="U8" s="10"/>
      <c r="V8" s="10"/>
      <c r="W8" s="10"/>
      <c r="X8" s="10"/>
      <c r="Y8" s="10"/>
      <c r="Z8" s="10"/>
      <c r="AA8" s="10"/>
      <c r="AB8" s="10"/>
      <c r="AC8" s="10"/>
      <c r="AD8" s="10"/>
      <c r="AE8" s="10"/>
      <c r="AF8" s="10"/>
      <c r="AG8" s="10"/>
      <c r="AH8" s="10"/>
      <c r="AI8" s="10"/>
      <c r="AJ8" s="11"/>
    </row>
    <row r="9" ht="14.4" customHeight="1" spans="1:36">
      <c r="A9" s="13" t="str">
        <f>IF(人物卡!E5="","",人物卡!E5)</f>
        <v/>
      </c>
      <c r="B9" s="10"/>
      <c r="C9" s="10"/>
      <c r="D9" s="10"/>
      <c r="E9" s="10"/>
      <c r="F9" s="10"/>
      <c r="G9" s="11"/>
      <c r="H9" s="13" t="str">
        <f>IF(人物卡!Q5="","",人物卡!Q5)</f>
        <v/>
      </c>
      <c r="I9" s="10"/>
      <c r="J9" s="10"/>
      <c r="K9" s="10"/>
      <c r="L9" s="10"/>
      <c r="M9" s="11"/>
      <c r="N9" s="13" t="str">
        <f>IF(人物卡!BI27="","",IF(LEN(人物卡!BI27)&gt;35,"详见背面个人详情及备注",人物卡!BI27))</f>
        <v/>
      </c>
      <c r="O9" s="10"/>
      <c r="P9" s="10"/>
      <c r="Q9" s="10"/>
      <c r="R9" s="10"/>
      <c r="S9" s="10"/>
      <c r="T9" s="10"/>
      <c r="U9" s="10"/>
      <c r="V9" s="10"/>
      <c r="W9" s="10"/>
      <c r="X9" s="10"/>
      <c r="Y9" s="10"/>
      <c r="Z9" s="10"/>
      <c r="AA9" s="10"/>
      <c r="AB9" s="10"/>
      <c r="AC9" s="10"/>
      <c r="AD9" s="10"/>
      <c r="AE9" s="10"/>
      <c r="AF9" s="10"/>
      <c r="AG9" s="10"/>
      <c r="AH9" s="10"/>
      <c r="AI9" s="10"/>
      <c r="AJ9" s="11"/>
    </row>
    <row r="10" ht="14.4" customHeight="1" spans="1:36">
      <c r="A10" s="9" t="s">
        <v>3303</v>
      </c>
      <c r="B10" s="10"/>
      <c r="C10" s="10"/>
      <c r="D10" s="10"/>
      <c r="E10" s="10"/>
      <c r="F10" s="11"/>
      <c r="G10" s="9" t="s">
        <v>84</v>
      </c>
      <c r="H10" s="10"/>
      <c r="I10" s="11"/>
      <c r="J10" s="9" t="s">
        <v>3</v>
      </c>
      <c r="K10" s="10"/>
      <c r="L10" s="11"/>
      <c r="M10" s="9" t="s">
        <v>3304</v>
      </c>
      <c r="N10" s="10"/>
      <c r="O10" s="10"/>
      <c r="P10" s="10"/>
      <c r="Q10" s="10"/>
      <c r="R10" s="10"/>
      <c r="S10" s="11"/>
      <c r="T10" s="9" t="s">
        <v>3305</v>
      </c>
      <c r="U10" s="10"/>
      <c r="V10" s="10"/>
      <c r="W10" s="10"/>
      <c r="X10" s="10"/>
      <c r="Y10" s="10"/>
      <c r="Z10" s="10"/>
      <c r="AA10" s="10"/>
      <c r="AB10" s="10"/>
      <c r="AC10" s="10"/>
      <c r="AD10" s="10"/>
      <c r="AE10" s="10"/>
      <c r="AF10" s="11"/>
      <c r="AG10" s="9" t="s">
        <v>3306</v>
      </c>
      <c r="AH10" s="10"/>
      <c r="AI10" s="10"/>
      <c r="AJ10" s="11"/>
    </row>
    <row r="11" ht="14.4" customHeight="1" spans="1:36">
      <c r="A11" s="14" t="s">
        <v>3307</v>
      </c>
      <c r="B11" s="10"/>
      <c r="C11" s="10"/>
      <c r="D11" s="10"/>
      <c r="E11" s="10"/>
      <c r="F11" s="11"/>
      <c r="G11" s="15">
        <f>IF(人物卡!AH3="",0,人物卡!AH3)</f>
        <v>0</v>
      </c>
      <c r="H11" s="10"/>
      <c r="I11" s="11"/>
      <c r="J11" s="15">
        <f>IF(人物卡!AK3="",0,人物卡!AK3)</f>
        <v>0</v>
      </c>
      <c r="K11" s="10"/>
      <c r="L11" s="11"/>
      <c r="M11" s="16" t="str">
        <f>IF(人物卡!AQ3="","",人物卡!AQ3)</f>
        <v/>
      </c>
      <c r="N11" s="10"/>
      <c r="O11" s="10"/>
      <c r="P11" s="10"/>
      <c r="Q11" s="10"/>
      <c r="R11" s="10"/>
      <c r="S11" s="11"/>
      <c r="T11" s="13" t="str">
        <f>IF(人物卡!CZ23="","",IF(人物卡!EF24="√","[DG] ","")&amp;人物卡!CZ23)</f>
        <v/>
      </c>
      <c r="U11" s="10"/>
      <c r="V11" s="10"/>
      <c r="W11" s="10"/>
      <c r="X11" s="10"/>
      <c r="Y11" s="10"/>
      <c r="Z11" s="10"/>
      <c r="AA11" s="10"/>
      <c r="AB11" s="10"/>
      <c r="AC11" s="10"/>
      <c r="AD11" s="10"/>
      <c r="AE11" s="10"/>
      <c r="AF11" s="11"/>
      <c r="AG11" s="15" t="str">
        <f>IF(人物卡!ED24="","",人物卡!ED24)</f>
        <v/>
      </c>
      <c r="AH11" s="10"/>
      <c r="AI11" s="10"/>
      <c r="AJ11" s="11"/>
    </row>
    <row r="12" ht="14.4" customHeight="1" spans="1:36">
      <c r="A12" s="14" t="s">
        <v>3308</v>
      </c>
      <c r="B12" s="10"/>
      <c r="C12" s="10"/>
      <c r="D12" s="10"/>
      <c r="E12" s="10"/>
      <c r="F12" s="11"/>
      <c r="G12" s="15">
        <f>IF(人物卡!AH4="",0,人物卡!AH4)</f>
        <v>0</v>
      </c>
      <c r="H12" s="10"/>
      <c r="I12" s="11"/>
      <c r="J12" s="15">
        <f>IF(人物卡!AK4="",0,人物卡!AK4)</f>
        <v>0</v>
      </c>
      <c r="K12" s="10"/>
      <c r="L12" s="11"/>
      <c r="M12" s="16" t="str">
        <f>IF(人物卡!AQ4="","",人物卡!AQ4)</f>
        <v/>
      </c>
      <c r="N12" s="10"/>
      <c r="O12" s="10"/>
      <c r="P12" s="10"/>
      <c r="Q12" s="10"/>
      <c r="R12" s="10"/>
      <c r="S12" s="11"/>
      <c r="T12" s="13" t="str">
        <f>IF(人物卡!CZ26="","",IF(人物卡!EF27="√","[DG] ","")&amp;人物卡!CZ26)</f>
        <v/>
      </c>
      <c r="U12" s="10"/>
      <c r="V12" s="10"/>
      <c r="W12" s="10"/>
      <c r="X12" s="10"/>
      <c r="Y12" s="10"/>
      <c r="Z12" s="10"/>
      <c r="AA12" s="10"/>
      <c r="AB12" s="10"/>
      <c r="AC12" s="10"/>
      <c r="AD12" s="10"/>
      <c r="AE12" s="10"/>
      <c r="AF12" s="11"/>
      <c r="AG12" s="15" t="str">
        <f>IF(人物卡!ED27="","",人物卡!ED27)</f>
        <v/>
      </c>
      <c r="AH12" s="10"/>
      <c r="AI12" s="10"/>
      <c r="AJ12" s="11"/>
    </row>
    <row r="13" ht="14.4" customHeight="1" spans="1:36">
      <c r="A13" s="14" t="s">
        <v>3309</v>
      </c>
      <c r="B13" s="10"/>
      <c r="C13" s="10"/>
      <c r="D13" s="10"/>
      <c r="E13" s="10"/>
      <c r="F13" s="11"/>
      <c r="G13" s="15">
        <f>IF(人物卡!AH5="",0,人物卡!AH5)</f>
        <v>0</v>
      </c>
      <c r="H13" s="10"/>
      <c r="I13" s="11"/>
      <c r="J13" s="15">
        <f>IF(人物卡!AK5="",0,人物卡!AK5)</f>
        <v>0</v>
      </c>
      <c r="K13" s="10"/>
      <c r="L13" s="11"/>
      <c r="M13" s="16" t="str">
        <f>IF(人物卡!AQ5="","",人物卡!AQ5)</f>
        <v/>
      </c>
      <c r="N13" s="10"/>
      <c r="O13" s="10"/>
      <c r="P13" s="10"/>
      <c r="Q13" s="10"/>
      <c r="R13" s="10"/>
      <c r="S13" s="11"/>
      <c r="T13" s="13" t="str">
        <f>IF(人物卡!CZ29="","",IF(人物卡!EF30="√","[DG] ","")&amp;人物卡!CZ29)</f>
        <v/>
      </c>
      <c r="U13" s="10"/>
      <c r="V13" s="10"/>
      <c r="W13" s="10"/>
      <c r="X13" s="10"/>
      <c r="Y13" s="10"/>
      <c r="Z13" s="10"/>
      <c r="AA13" s="10"/>
      <c r="AB13" s="10"/>
      <c r="AC13" s="10"/>
      <c r="AD13" s="10"/>
      <c r="AE13" s="10"/>
      <c r="AF13" s="11"/>
      <c r="AG13" s="15" t="str">
        <f>IF(人物卡!ED30="","",人物卡!ED30)</f>
        <v/>
      </c>
      <c r="AH13" s="10"/>
      <c r="AI13" s="10"/>
      <c r="AJ13" s="11"/>
    </row>
    <row r="14" ht="14.4" customHeight="1" spans="1:36">
      <c r="A14" s="14" t="s">
        <v>3310</v>
      </c>
      <c r="B14" s="10"/>
      <c r="C14" s="10"/>
      <c r="D14" s="10"/>
      <c r="E14" s="10"/>
      <c r="F14" s="11"/>
      <c r="G14" s="15">
        <f>IF(人物卡!AH6="",0,人物卡!AH6)</f>
        <v>0</v>
      </c>
      <c r="H14" s="10"/>
      <c r="I14" s="11"/>
      <c r="J14" s="15">
        <f>IF(人物卡!AK6="",0,人物卡!AK6)</f>
        <v>0</v>
      </c>
      <c r="K14" s="10"/>
      <c r="L14" s="11"/>
      <c r="M14" s="16" t="str">
        <f>IF(人物卡!AQ6="","",人物卡!AQ6)</f>
        <v/>
      </c>
      <c r="N14" s="10"/>
      <c r="O14" s="10"/>
      <c r="P14" s="10"/>
      <c r="Q14" s="10"/>
      <c r="R14" s="10"/>
      <c r="S14" s="11"/>
      <c r="T14" s="13" t="str">
        <f>IF(人物卡!CZ32="","",IF(人物卡!EF33="√","[DG] ","")&amp;人物卡!CZ32)</f>
        <v/>
      </c>
      <c r="U14" s="10"/>
      <c r="V14" s="10"/>
      <c r="W14" s="10"/>
      <c r="X14" s="10"/>
      <c r="Y14" s="10"/>
      <c r="Z14" s="10"/>
      <c r="AA14" s="10"/>
      <c r="AB14" s="10"/>
      <c r="AC14" s="10"/>
      <c r="AD14" s="10"/>
      <c r="AE14" s="10"/>
      <c r="AF14" s="11"/>
      <c r="AG14" s="15" t="str">
        <f>IF(人物卡!ED33="","",人物卡!ED33)</f>
        <v/>
      </c>
      <c r="AH14" s="10"/>
      <c r="AI14" s="10"/>
      <c r="AJ14" s="11"/>
    </row>
    <row r="15" ht="14.4" customHeight="1" spans="1:36">
      <c r="A15" s="14" t="s">
        <v>3311</v>
      </c>
      <c r="B15" s="10"/>
      <c r="C15" s="10"/>
      <c r="D15" s="10"/>
      <c r="E15" s="10"/>
      <c r="F15" s="11"/>
      <c r="G15" s="15">
        <f>IF(人物卡!AH7="",0,人物卡!AH7)</f>
        <v>0</v>
      </c>
      <c r="H15" s="10"/>
      <c r="I15" s="11"/>
      <c r="J15" s="15">
        <f>IF(人物卡!AK7="",0,人物卡!AK7)</f>
        <v>0</v>
      </c>
      <c r="K15" s="10"/>
      <c r="L15" s="11"/>
      <c r="M15" s="16" t="str">
        <f>IF(人物卡!AQ7="","",人物卡!AQ7)</f>
        <v/>
      </c>
      <c r="N15" s="10"/>
      <c r="O15" s="10"/>
      <c r="P15" s="10"/>
      <c r="Q15" s="10"/>
      <c r="R15" s="10"/>
      <c r="S15" s="11"/>
      <c r="T15" s="13" t="str">
        <f>IF(人物卡!CZ35="","",IF(人物卡!EF36="√","[DG] ","")&amp;人物卡!CZ35)</f>
        <v/>
      </c>
      <c r="U15" s="10"/>
      <c r="V15" s="10"/>
      <c r="W15" s="10"/>
      <c r="X15" s="10"/>
      <c r="Y15" s="10"/>
      <c r="Z15" s="10"/>
      <c r="AA15" s="10"/>
      <c r="AB15" s="10"/>
      <c r="AC15" s="10"/>
      <c r="AD15" s="10"/>
      <c r="AE15" s="10"/>
      <c r="AF15" s="11"/>
      <c r="AG15" s="15" t="str">
        <f>IF(人物卡!ED36="","",人物卡!ED36)</f>
        <v/>
      </c>
      <c r="AH15" s="10"/>
      <c r="AI15" s="10"/>
      <c r="AJ15" s="11"/>
    </row>
    <row r="16" ht="14.4" customHeight="1" spans="1:36">
      <c r="A16" s="14" t="s">
        <v>3312</v>
      </c>
      <c r="B16" s="10"/>
      <c r="C16" s="10"/>
      <c r="D16" s="10"/>
      <c r="E16" s="10"/>
      <c r="F16" s="11"/>
      <c r="G16" s="15">
        <f>IF(人物卡!AH8="",0,人物卡!AH8)</f>
        <v>0</v>
      </c>
      <c r="H16" s="10"/>
      <c r="I16" s="11"/>
      <c r="J16" s="15">
        <f>IF(人物卡!AK8="",0,人物卡!AK8)</f>
        <v>0</v>
      </c>
      <c r="K16" s="10"/>
      <c r="L16" s="11"/>
      <c r="M16" s="16" t="str">
        <f>IF(人物卡!AQ8="","",人物卡!AQ8)</f>
        <v/>
      </c>
      <c r="N16" s="10"/>
      <c r="O16" s="10"/>
      <c r="P16" s="10"/>
      <c r="Q16" s="10"/>
      <c r="R16" s="10"/>
      <c r="S16" s="11"/>
      <c r="T16" s="17" t="s">
        <v>3313</v>
      </c>
      <c r="U16" s="10"/>
      <c r="V16" s="10"/>
      <c r="W16" s="10"/>
      <c r="X16" s="10"/>
      <c r="Y16" s="10"/>
      <c r="Z16" s="10"/>
      <c r="AA16" s="10"/>
      <c r="AB16" s="10"/>
      <c r="AC16" s="10"/>
      <c r="AD16" s="10"/>
      <c r="AE16" s="10"/>
      <c r="AF16" s="10"/>
      <c r="AG16" s="10"/>
      <c r="AH16" s="10"/>
      <c r="AI16" s="10"/>
      <c r="AJ16" s="11"/>
    </row>
    <row r="17" ht="14.4" customHeight="1" spans="1:36">
      <c r="A17" s="9" t="s">
        <v>3314</v>
      </c>
      <c r="B17" s="10"/>
      <c r="C17" s="10"/>
      <c r="D17" s="10"/>
      <c r="E17" s="10"/>
      <c r="F17" s="10"/>
      <c r="G17" s="10"/>
      <c r="H17" s="11"/>
      <c r="I17" s="9" t="s">
        <v>3315</v>
      </c>
      <c r="J17" s="10"/>
      <c r="K17" s="10"/>
      <c r="L17" s="10"/>
      <c r="M17" s="10"/>
      <c r="N17" s="11"/>
      <c r="O17" s="9" t="s">
        <v>3316</v>
      </c>
      <c r="P17" s="10"/>
      <c r="Q17" s="10"/>
      <c r="R17" s="10"/>
      <c r="S17" s="11"/>
      <c r="T17" s="9" t="s">
        <v>3317</v>
      </c>
      <c r="U17" s="10"/>
      <c r="V17" s="10"/>
      <c r="W17" s="10"/>
      <c r="X17" s="10"/>
      <c r="Y17" s="10"/>
      <c r="Z17" s="10"/>
      <c r="AA17" s="10"/>
      <c r="AB17" s="10"/>
      <c r="AC17" s="10"/>
      <c r="AD17" s="10"/>
      <c r="AE17" s="10"/>
      <c r="AF17" s="10"/>
      <c r="AG17" s="10"/>
      <c r="AH17" s="10"/>
      <c r="AI17" s="10"/>
      <c r="AJ17" s="11"/>
    </row>
    <row r="18" ht="14.4" customHeight="1" spans="1:36">
      <c r="A18" s="13" t="s">
        <v>3318</v>
      </c>
      <c r="B18" s="10"/>
      <c r="C18" s="10"/>
      <c r="D18" s="10"/>
      <c r="E18" s="10"/>
      <c r="F18" s="10"/>
      <c r="G18" s="10"/>
      <c r="H18" s="11"/>
      <c r="I18" s="15">
        <f>IF(人物卡!K10="",0,人物卡!K10)</f>
        <v>0</v>
      </c>
      <c r="J18" s="10"/>
      <c r="K18" s="10"/>
      <c r="L18" s="10"/>
      <c r="M18" s="10"/>
      <c r="N18" s="11"/>
      <c r="O18" s="15">
        <f>IF(人物卡!H10="",0,人物卡!H10)</f>
        <v>0</v>
      </c>
      <c r="P18" s="10"/>
      <c r="Q18" s="10"/>
      <c r="R18" s="10"/>
      <c r="S18" s="11"/>
      <c r="T18" s="18" t="str">
        <f>IF(人物卡!BN17="","",人物卡!BN17)</f>
        <v/>
      </c>
      <c r="U18" s="2"/>
      <c r="V18" s="2"/>
      <c r="W18" s="2"/>
      <c r="X18" s="2"/>
      <c r="Y18" s="2"/>
      <c r="Z18" s="2"/>
      <c r="AA18" s="2"/>
      <c r="AB18" s="2"/>
      <c r="AC18" s="2"/>
      <c r="AD18" s="2"/>
      <c r="AE18" s="2"/>
      <c r="AF18" s="2"/>
      <c r="AG18" s="2"/>
      <c r="AH18" s="2"/>
      <c r="AI18" s="2"/>
      <c r="AJ18" s="3"/>
    </row>
    <row r="19" ht="14.4" customHeight="1" spans="1:36">
      <c r="A19" s="13" t="s">
        <v>3319</v>
      </c>
      <c r="B19" s="10"/>
      <c r="C19" s="10"/>
      <c r="D19" s="10"/>
      <c r="E19" s="10"/>
      <c r="F19" s="10"/>
      <c r="G19" s="10"/>
      <c r="H19" s="11"/>
      <c r="I19" s="15">
        <f>IF(人物卡!Y10="",0,人物卡!Y10)</f>
        <v>0</v>
      </c>
      <c r="J19" s="10"/>
      <c r="K19" s="10"/>
      <c r="L19" s="10"/>
      <c r="M19" s="10"/>
      <c r="N19" s="11"/>
      <c r="O19" s="15">
        <f>IF(人物卡!V10="",0,人物卡!V10)</f>
        <v>0</v>
      </c>
      <c r="P19" s="10"/>
      <c r="Q19" s="10"/>
      <c r="R19" s="10"/>
      <c r="S19" s="11"/>
      <c r="T19" s="4"/>
      <c r="AJ19" s="5"/>
    </row>
    <row r="20" ht="14.4" customHeight="1" spans="1:36">
      <c r="A20" s="13" t="s">
        <v>3320</v>
      </c>
      <c r="B20" s="10"/>
      <c r="C20" s="10"/>
      <c r="D20" s="10"/>
      <c r="E20" s="10"/>
      <c r="F20" s="10"/>
      <c r="G20" s="10"/>
      <c r="H20" s="11"/>
      <c r="I20" s="15">
        <f>IF(人物卡!AK10="",0,人物卡!AK10)</f>
        <v>99</v>
      </c>
      <c r="J20" s="10"/>
      <c r="K20" s="10"/>
      <c r="L20" s="10"/>
      <c r="M20" s="10"/>
      <c r="N20" s="11"/>
      <c r="O20" s="15">
        <f>IF(人物卡!AH10="",0,人物卡!AH10)</f>
        <v>0</v>
      </c>
      <c r="P20" s="10"/>
      <c r="Q20" s="10"/>
      <c r="R20" s="10"/>
      <c r="S20" s="11"/>
      <c r="T20" s="4"/>
      <c r="AJ20" s="5"/>
    </row>
    <row r="21" ht="14.4" customHeight="1" spans="1:36">
      <c r="A21" s="13" t="s">
        <v>3321</v>
      </c>
      <c r="B21" s="10"/>
      <c r="C21" s="10"/>
      <c r="D21" s="10"/>
      <c r="E21" s="10"/>
      <c r="F21" s="10"/>
      <c r="G21" s="10"/>
      <c r="H21" s="11"/>
      <c r="I21" s="15" t="s">
        <v>2390</v>
      </c>
      <c r="J21" s="10"/>
      <c r="K21" s="10"/>
      <c r="L21" s="10"/>
      <c r="M21" s="10"/>
      <c r="N21" s="11"/>
      <c r="O21" s="15">
        <f>IF(人物卡!AU10="",0,人物卡!AU10)</f>
        <v>0</v>
      </c>
      <c r="P21" s="10"/>
      <c r="Q21" s="10"/>
      <c r="R21" s="10"/>
      <c r="S21" s="11"/>
      <c r="T21" s="4"/>
      <c r="AJ21" s="5"/>
    </row>
    <row r="22" ht="14.4" customHeight="1" spans="1:36">
      <c r="A22" s="9" t="s">
        <v>3322</v>
      </c>
      <c r="B22" s="10"/>
      <c r="C22" s="10"/>
      <c r="D22" s="10"/>
      <c r="E22" s="10"/>
      <c r="F22" s="10"/>
      <c r="G22" s="10"/>
      <c r="H22" s="10"/>
      <c r="I22" s="10"/>
      <c r="J22" s="10"/>
      <c r="K22" s="10"/>
      <c r="L22" s="10"/>
      <c r="M22" s="10"/>
      <c r="N22" s="10"/>
      <c r="O22" s="10"/>
      <c r="P22" s="10"/>
      <c r="Q22" s="10"/>
      <c r="R22" s="10"/>
      <c r="S22" s="11"/>
      <c r="T22" s="4"/>
      <c r="AJ22" s="5"/>
    </row>
    <row r="23" ht="14.4" customHeight="1" spans="1:36">
      <c r="A23" s="18" t="str">
        <f>IF(人物卡!BN14="","",人物卡!BN14)</f>
        <v/>
      </c>
      <c r="B23" s="2"/>
      <c r="C23" s="2"/>
      <c r="D23" s="2"/>
      <c r="E23" s="2"/>
      <c r="F23" s="2"/>
      <c r="G23" s="2"/>
      <c r="H23" s="2"/>
      <c r="I23" s="2"/>
      <c r="J23" s="2"/>
      <c r="K23" s="2"/>
      <c r="L23" s="2"/>
      <c r="M23" s="2"/>
      <c r="N23" s="2"/>
      <c r="O23" s="2"/>
      <c r="P23" s="2"/>
      <c r="Q23" s="2"/>
      <c r="R23" s="2"/>
      <c r="S23" s="3"/>
      <c r="T23" s="4"/>
      <c r="AJ23" s="5"/>
    </row>
    <row r="24" ht="14.4" customHeight="1" spans="1:36">
      <c r="A24" s="4"/>
      <c r="S24" s="5"/>
      <c r="T24" s="6"/>
      <c r="U24" s="7"/>
      <c r="V24" s="7"/>
      <c r="W24" s="7"/>
      <c r="X24" s="7"/>
      <c r="Y24" s="7"/>
      <c r="Z24" s="7"/>
      <c r="AA24" s="7"/>
      <c r="AB24" s="7"/>
      <c r="AC24" s="7"/>
      <c r="AD24" s="7"/>
      <c r="AE24" s="7"/>
      <c r="AF24" s="7"/>
      <c r="AG24" s="7"/>
      <c r="AH24" s="7"/>
      <c r="AI24" s="7"/>
      <c r="AJ24" s="8"/>
    </row>
    <row r="25" ht="14.4" customHeight="1" spans="1:36">
      <c r="A25" s="4"/>
      <c r="S25" s="5"/>
      <c r="T25" s="9" t="s">
        <v>3323</v>
      </c>
      <c r="U25" s="10"/>
      <c r="V25" s="10"/>
      <c r="W25" s="10"/>
      <c r="X25" s="10"/>
      <c r="Y25" s="10"/>
      <c r="Z25" s="10"/>
      <c r="AA25" s="10"/>
      <c r="AB25" s="10"/>
      <c r="AC25" s="10"/>
      <c r="AD25" s="10"/>
      <c r="AE25" s="10"/>
      <c r="AF25" s="10"/>
      <c r="AG25" s="10"/>
      <c r="AH25" s="10"/>
      <c r="AI25" s="10"/>
      <c r="AJ25" s="11"/>
    </row>
    <row r="26" ht="14.4" customHeight="1" spans="1:36">
      <c r="A26" s="6"/>
      <c r="B26" s="7"/>
      <c r="C26" s="7"/>
      <c r="D26" s="7"/>
      <c r="E26" s="7"/>
      <c r="F26" s="7"/>
      <c r="G26" s="7"/>
      <c r="H26" s="7"/>
      <c r="I26" s="7"/>
      <c r="J26" s="7"/>
      <c r="K26" s="7"/>
      <c r="L26" s="7"/>
      <c r="M26" s="7"/>
      <c r="N26" s="7"/>
      <c r="O26" s="7"/>
      <c r="P26" s="7"/>
      <c r="Q26" s="7"/>
      <c r="R26" s="7"/>
      <c r="S26" s="8"/>
      <c r="T26" s="16" t="str">
        <f>"暴力行为  "&amp;IF(人物卡!BD10="","",人物卡!BD10)</f>
        <v>暴力行为  ☐☐☐</v>
      </c>
      <c r="U26" s="10"/>
      <c r="V26" s="10"/>
      <c r="W26" s="10"/>
      <c r="X26" s="10"/>
      <c r="Y26" s="10"/>
      <c r="Z26" s="10"/>
      <c r="AA26" s="10"/>
      <c r="AB26" s="11"/>
      <c r="AC26" s="16" t="str">
        <f>"无力感  "&amp;IF(人物卡!BD11="","",人物卡!BD11)</f>
        <v>无力感  ☐☐☐</v>
      </c>
      <c r="AD26" s="10"/>
      <c r="AE26" s="10"/>
      <c r="AF26" s="10"/>
      <c r="AG26" s="10"/>
      <c r="AH26" s="10"/>
      <c r="AI26" s="10"/>
      <c r="AJ26" s="11"/>
    </row>
    <row r="27" ht="14.4" customHeight="1" spans="1:36">
      <c r="A27" s="9" t="s">
        <v>3324</v>
      </c>
      <c r="B27" s="10"/>
      <c r="C27" s="10"/>
      <c r="D27" s="10"/>
      <c r="E27" s="10"/>
      <c r="F27" s="10"/>
      <c r="G27" s="10"/>
      <c r="H27" s="10"/>
      <c r="I27" s="10"/>
      <c r="J27" s="11"/>
      <c r="K27" s="9" t="s">
        <v>3325</v>
      </c>
      <c r="L27" s="11"/>
      <c r="M27" s="9" t="s">
        <v>3324</v>
      </c>
      <c r="N27" s="10"/>
      <c r="O27" s="10"/>
      <c r="P27" s="10"/>
      <c r="Q27" s="10"/>
      <c r="R27" s="10"/>
      <c r="S27" s="10"/>
      <c r="T27" s="10"/>
      <c r="U27" s="10"/>
      <c r="V27" s="11"/>
      <c r="W27" s="9" t="s">
        <v>3325</v>
      </c>
      <c r="X27" s="11"/>
      <c r="Y27" s="9" t="s">
        <v>3324</v>
      </c>
      <c r="Z27" s="10"/>
      <c r="AA27" s="10"/>
      <c r="AB27" s="10"/>
      <c r="AC27" s="10"/>
      <c r="AD27" s="10"/>
      <c r="AE27" s="10"/>
      <c r="AF27" s="10"/>
      <c r="AG27" s="10"/>
      <c r="AH27" s="11"/>
      <c r="AI27" s="9" t="s">
        <v>3325</v>
      </c>
      <c r="AJ27" s="11"/>
    </row>
    <row r="28" ht="14.4" customHeight="1" spans="1:36">
      <c r="A28" s="19" t="str">
        <f>IF(OR(人物卡!B14="√",人物卡!B14="✓",人物卡!B14="☑"),"☑","☐")</f>
        <v>☐</v>
      </c>
      <c r="B28" s="16" t="str">
        <f>人物卡!D14&amp;" ("&amp;IF(人物卡!S14="",0,人物卡!S14)&amp;"%)"</f>
        <v>会计学 (10%)</v>
      </c>
      <c r="C28" s="10"/>
      <c r="D28" s="10"/>
      <c r="E28" s="10"/>
      <c r="F28" s="10"/>
      <c r="G28" s="10"/>
      <c r="H28" s="10"/>
      <c r="I28" s="10"/>
      <c r="J28" s="11"/>
      <c r="K28" s="20">
        <f>IF(人物卡!P14="",0,人物卡!P14)</f>
        <v>10</v>
      </c>
      <c r="L28" s="11"/>
      <c r="M28" s="19" t="str">
        <f>IF(OR(人物卡!B34="√",人物卡!B34="✓",人物卡!B34="☑"),"☑","☐")</f>
        <v>☐</v>
      </c>
      <c r="N28" s="16" t="str">
        <f>人物卡!D34&amp;" ("&amp;IF(人物卡!S34="",0,人物卡!S34)&amp;"%)"</f>
        <v>射击 (20%)</v>
      </c>
      <c r="O28" s="10"/>
      <c r="P28" s="10"/>
      <c r="Q28" s="10"/>
      <c r="R28" s="10"/>
      <c r="S28" s="10"/>
      <c r="T28" s="10"/>
      <c r="U28" s="10"/>
      <c r="V28" s="11"/>
      <c r="W28" s="20">
        <f>IF(人物卡!P34="",0,人物卡!P34)</f>
        <v>20</v>
      </c>
      <c r="X28" s="11"/>
      <c r="Y28" s="19" t="str">
        <f>IF(OR(人物卡!AE24="√",人物卡!AE24="✓",人物卡!AE24="☑"),"☑","☐")</f>
        <v>☐</v>
      </c>
      <c r="Z28" s="16" t="str">
        <f>人物卡!AG24&amp;IF(人物卡!AM24="","________",人物卡!AM24)&amp;" ("&amp;IF(人物卡!AV24="",0,人物卡!AV24)&amp;"%)"</f>
        <v>特种载具：________ (0%)</v>
      </c>
      <c r="AA28" s="10"/>
      <c r="AB28" s="10"/>
      <c r="AC28" s="10"/>
      <c r="AD28" s="10"/>
      <c r="AE28" s="10"/>
      <c r="AF28" s="10"/>
      <c r="AG28" s="10"/>
      <c r="AH28" s="11"/>
      <c r="AI28" s="20">
        <f>IF(人物卡!AS24="",0,人物卡!AS24)</f>
        <v>0</v>
      </c>
      <c r="AJ28" s="11"/>
    </row>
    <row r="29" ht="14.4" customHeight="1" spans="1:36">
      <c r="A29" s="19" t="str">
        <f>IF(OR(人物卡!B15="√",人物卡!B15="✓",人物卡!B15="☑"),"☑","☐")</f>
        <v>☐</v>
      </c>
      <c r="B29" s="16" t="str">
        <f>人物卡!D15&amp;" ("&amp;IF(人物卡!S15="",0,人物卡!S15)&amp;"%)"</f>
        <v>警觉 (20%)</v>
      </c>
      <c r="C29" s="10"/>
      <c r="D29" s="10"/>
      <c r="E29" s="10"/>
      <c r="F29" s="10"/>
      <c r="G29" s="10"/>
      <c r="H29" s="10"/>
      <c r="I29" s="10"/>
      <c r="J29" s="11"/>
      <c r="K29" s="20">
        <f>IF(人物卡!P15="",0,人物卡!P15)</f>
        <v>20</v>
      </c>
      <c r="L29" s="11"/>
      <c r="M29" s="19" t="str">
        <f>IF(OR(人物卡!B35="√",人物卡!B35="✓",人物卡!B35="☑"),"☑","☐")</f>
        <v>☐</v>
      </c>
      <c r="N29" s="16" t="str">
        <f>人物卡!D35&amp;" ("&amp;IF(人物卡!S35="",0,人物卡!S35)&amp;"%)"</f>
        <v>急救 (10%)</v>
      </c>
      <c r="O29" s="10"/>
      <c r="P29" s="10"/>
      <c r="Q29" s="10"/>
      <c r="R29" s="10"/>
      <c r="S29" s="10"/>
      <c r="T29" s="10"/>
      <c r="U29" s="10"/>
      <c r="V29" s="11"/>
      <c r="W29" s="20">
        <f>IF(人物卡!P35="",0,人物卡!P35)</f>
        <v>10</v>
      </c>
      <c r="X29" s="11"/>
      <c r="Y29" s="19" t="str">
        <f>IF(OR(人物卡!AE25="√",人物卡!AE25="✓",人物卡!AE25="☑"),"☑","☐")</f>
        <v>☐</v>
      </c>
      <c r="Z29" s="16" t="str">
        <f>人物卡!AG25&amp;IF(人物卡!AM25="","________",人物卡!AM25)&amp;" ("&amp;IF(人物卡!AV25="",0,人物卡!AV25)&amp;"%)"</f>
        <v>特种载具：________ (0%)</v>
      </c>
      <c r="AA29" s="10"/>
      <c r="AB29" s="10"/>
      <c r="AC29" s="10"/>
      <c r="AD29" s="10"/>
      <c r="AE29" s="10"/>
      <c r="AF29" s="10"/>
      <c r="AG29" s="10"/>
      <c r="AH29" s="11"/>
      <c r="AI29" s="20">
        <f>IF(人物卡!AS25="",0,人物卡!AS25)</f>
        <v>0</v>
      </c>
      <c r="AJ29" s="11"/>
    </row>
    <row r="30" ht="14.4" customHeight="1" spans="1:36">
      <c r="A30" s="19" t="str">
        <f>IF(OR(人物卡!B16="√",人物卡!B16="✓",人物卡!B16="☑"),"☑","☐")</f>
        <v>☐</v>
      </c>
      <c r="B30" s="16" t="str">
        <f>人物卡!D16&amp;" ("&amp;IF(人物卡!S16="",0,人物卡!S16)&amp;"%)"</f>
        <v>人类学 (0%)</v>
      </c>
      <c r="C30" s="10"/>
      <c r="D30" s="10"/>
      <c r="E30" s="10"/>
      <c r="F30" s="10"/>
      <c r="G30" s="10"/>
      <c r="H30" s="10"/>
      <c r="I30" s="10"/>
      <c r="J30" s="11"/>
      <c r="K30" s="20">
        <f>IF(人物卡!P16="",0,人物卡!P16)</f>
        <v>0</v>
      </c>
      <c r="L30" s="11"/>
      <c r="M30" s="19" t="str">
        <f>IF(OR(人物卡!B36="√",人物卡!B36="✓",人物卡!B36="☑"),"☑","☐")</f>
        <v>☐</v>
      </c>
      <c r="N30" s="16" t="str">
        <f>人物卡!D36&amp;IF(人物卡!J36="","________",人物卡!J36)&amp;" ("&amp;IF(人物卡!S36="",0,人物卡!S36)&amp;"%)"</f>
        <v>外语：________ (0%)</v>
      </c>
      <c r="O30" s="10"/>
      <c r="P30" s="10"/>
      <c r="Q30" s="10"/>
      <c r="R30" s="10"/>
      <c r="S30" s="10"/>
      <c r="T30" s="10"/>
      <c r="U30" s="10"/>
      <c r="V30" s="11"/>
      <c r="W30" s="20">
        <f>IF(人物卡!P36="",0,人物卡!P36)</f>
        <v>0</v>
      </c>
      <c r="X30" s="11"/>
      <c r="Y30" s="19" t="str">
        <f>IF(OR(人物卡!AE26="√",人物卡!AE26="✓",人物卡!AE26="☑"),"☑","☐")</f>
        <v>☐</v>
      </c>
      <c r="Z30" s="16" t="str">
        <f>人物卡!AG26&amp;IF(人物卡!AM26="","________",人物卡!AM26)&amp;" ("&amp;IF(人物卡!AV26="",0,人物卡!AV26)&amp;"%)"</f>
        <v>特种载具：________ (0%)</v>
      </c>
      <c r="AA30" s="10"/>
      <c r="AB30" s="10"/>
      <c r="AC30" s="10"/>
      <c r="AD30" s="10"/>
      <c r="AE30" s="10"/>
      <c r="AF30" s="10"/>
      <c r="AG30" s="10"/>
      <c r="AH30" s="11"/>
      <c r="AI30" s="20">
        <f>IF(人物卡!AS26="",0,人物卡!AS26)</f>
        <v>0</v>
      </c>
      <c r="AJ30" s="11"/>
    </row>
    <row r="31" ht="14.4" customHeight="1" spans="1:36">
      <c r="A31" s="19" t="str">
        <f>IF(OR(人物卡!B17="√",人物卡!B17="✓",人物卡!B17="☑"),"☑","☐")</f>
        <v>☐</v>
      </c>
      <c r="B31" s="16" t="str">
        <f>人物卡!D17&amp;" ("&amp;IF(人物卡!S17="",0,人物卡!S17)&amp;"%)"</f>
        <v>考古学 (0%)</v>
      </c>
      <c r="C31" s="10"/>
      <c r="D31" s="10"/>
      <c r="E31" s="10"/>
      <c r="F31" s="10"/>
      <c r="G31" s="10"/>
      <c r="H31" s="10"/>
      <c r="I31" s="10"/>
      <c r="J31" s="11"/>
      <c r="K31" s="20">
        <f>IF(人物卡!P17="",0,人物卡!P17)</f>
        <v>0</v>
      </c>
      <c r="L31" s="11"/>
      <c r="M31" s="19" t="str">
        <f>IF(OR(人物卡!B37="√",人物卡!B37="✓",人物卡!B37="☑"),"☑","☐")</f>
        <v>☐</v>
      </c>
      <c r="N31" s="16" t="str">
        <f>人物卡!D37&amp;IF(人物卡!J37="","________",人物卡!J37)&amp;" ("&amp;IF(人物卡!S37="",0,人物卡!S37)&amp;"%)"</f>
        <v>外语：________ (0%)</v>
      </c>
      <c r="O31" s="10"/>
      <c r="P31" s="10"/>
      <c r="Q31" s="10"/>
      <c r="R31" s="10"/>
      <c r="S31" s="10"/>
      <c r="T31" s="10"/>
      <c r="U31" s="10"/>
      <c r="V31" s="11"/>
      <c r="W31" s="20">
        <f>IF(人物卡!P37="",0,人物卡!P37)</f>
        <v>0</v>
      </c>
      <c r="X31" s="11"/>
      <c r="Y31" s="19" t="str">
        <f>IF(OR(人物卡!AE27="√",人物卡!AE27="✓",人物卡!AE27="☑"),"☑","☐")</f>
        <v>☐</v>
      </c>
      <c r="Z31" s="16" t="str">
        <f>人物卡!AG27&amp;" ("&amp;IF(人物卡!AV27="",0,人物卡!AV27)&amp;"%)"</f>
        <v>精神治疗 (10%)</v>
      </c>
      <c r="AA31" s="10"/>
      <c r="AB31" s="10"/>
      <c r="AC31" s="10"/>
      <c r="AD31" s="10"/>
      <c r="AE31" s="10"/>
      <c r="AF31" s="10"/>
      <c r="AG31" s="10"/>
      <c r="AH31" s="11"/>
      <c r="AI31" s="20">
        <f>IF(人物卡!AS27="",0,人物卡!AS27)</f>
        <v>10</v>
      </c>
      <c r="AJ31" s="11"/>
    </row>
    <row r="32" ht="14.4" customHeight="1" spans="1:36">
      <c r="A32" s="19" t="str">
        <f>IF(OR(人物卡!B18="√",人物卡!B18="✓",人物卡!B18="☑"),"☑","☐")</f>
        <v>☐</v>
      </c>
      <c r="B32" s="16" t="str">
        <f>人物卡!D18&amp;IF(人物卡!J18="","________",人物卡!J18)&amp;" ("&amp;IF(人物卡!S18="",0,人物卡!S18)&amp;"%)"</f>
        <v>艺术：________ (0%)</v>
      </c>
      <c r="C32" s="10"/>
      <c r="D32" s="10"/>
      <c r="E32" s="10"/>
      <c r="F32" s="10"/>
      <c r="G32" s="10"/>
      <c r="H32" s="10"/>
      <c r="I32" s="10"/>
      <c r="J32" s="11"/>
      <c r="K32" s="20">
        <f>IF(人物卡!P18="",0,人物卡!P18)</f>
        <v>0</v>
      </c>
      <c r="L32" s="11"/>
      <c r="M32" s="19" t="str">
        <f>IF(OR(人物卡!B38="√",人物卡!B38="✓",人物卡!B38="☑"),"☑","☐")</f>
        <v>☐</v>
      </c>
      <c r="N32" s="16" t="str">
        <f>人物卡!D38&amp;IF(人物卡!J38="","________",人物卡!J38)&amp;" ("&amp;IF(人物卡!S38="",0,人物卡!S38)&amp;"%)"</f>
        <v>外语：________ (0%)</v>
      </c>
      <c r="O32" s="10"/>
      <c r="P32" s="10"/>
      <c r="Q32" s="10"/>
      <c r="R32" s="10"/>
      <c r="S32" s="10"/>
      <c r="T32" s="10"/>
      <c r="U32" s="10"/>
      <c r="V32" s="11"/>
      <c r="W32" s="20">
        <f>IF(人物卡!P38="",0,人物卡!P38)</f>
        <v>0</v>
      </c>
      <c r="X32" s="11"/>
      <c r="Y32" s="19" t="str">
        <f>IF(OR(人物卡!AE28="√",人物卡!AE28="✓",人物卡!AE28="☑"),"☑","☐")</f>
        <v>☐</v>
      </c>
      <c r="Z32" s="16" t="str">
        <f>人物卡!AG28&amp;" ("&amp;IF(人物卡!AV28="",0,人物卡!AV28)&amp;"%)"</f>
        <v>骑术 (10%)</v>
      </c>
      <c r="AA32" s="10"/>
      <c r="AB32" s="10"/>
      <c r="AC32" s="10"/>
      <c r="AD32" s="10"/>
      <c r="AE32" s="10"/>
      <c r="AF32" s="10"/>
      <c r="AG32" s="10"/>
      <c r="AH32" s="11"/>
      <c r="AI32" s="20">
        <f>IF(人物卡!AS28="",0,人物卡!AS28)</f>
        <v>10</v>
      </c>
      <c r="AJ32" s="11"/>
    </row>
    <row r="33" ht="14.4" customHeight="1" spans="1:36">
      <c r="A33" s="19" t="str">
        <f>IF(OR(人物卡!B19="√",人物卡!B19="✓",人物卡!B19="☑"),"☑","☐")</f>
        <v>☐</v>
      </c>
      <c r="B33" s="16" t="str">
        <f>人物卡!D19&amp;IF(人物卡!J19="","________",人物卡!J19)&amp;" ("&amp;IF(人物卡!S19="",0,人物卡!S19)&amp;"%)"</f>
        <v>艺术：________ (0%)</v>
      </c>
      <c r="C33" s="10"/>
      <c r="D33" s="10"/>
      <c r="E33" s="10"/>
      <c r="F33" s="10"/>
      <c r="G33" s="10"/>
      <c r="H33" s="10"/>
      <c r="I33" s="10"/>
      <c r="J33" s="11"/>
      <c r="K33" s="20">
        <f>IF(人物卡!P19="",0,人物卡!P19)</f>
        <v>0</v>
      </c>
      <c r="L33" s="11"/>
      <c r="M33" s="19" t="str">
        <f>IF(OR(人物卡!B39="√",人物卡!B39="✓",人物卡!B39="☑"),"☑","☐")</f>
        <v>☐</v>
      </c>
      <c r="N33" s="16" t="str">
        <f>人物卡!D39&amp;" ("&amp;IF(人物卡!S39="",0,人物卡!S39)&amp;"%)"</f>
        <v>法证学 (0%)</v>
      </c>
      <c r="O33" s="10"/>
      <c r="P33" s="10"/>
      <c r="Q33" s="10"/>
      <c r="R33" s="10"/>
      <c r="S33" s="10"/>
      <c r="T33" s="10"/>
      <c r="U33" s="10"/>
      <c r="V33" s="11"/>
      <c r="W33" s="20">
        <f>IF(人物卡!P39="",0,人物卡!P39)</f>
        <v>0</v>
      </c>
      <c r="X33" s="11"/>
      <c r="Y33" s="19" t="str">
        <f>IF(OR(人物卡!AE29="√",人物卡!AE29="✓",人物卡!AE29="☑"),"☑","☐")</f>
        <v>☐</v>
      </c>
      <c r="Z33" s="16" t="str">
        <f>人物卡!AG29&amp;IF(人物卡!AM29="","________",人物卡!AM29)&amp;" ("&amp;IF(人物卡!AV29="",0,人物卡!AV29)&amp;"%)"</f>
        <v>科学：________ (0%)</v>
      </c>
      <c r="AA33" s="10"/>
      <c r="AB33" s="10"/>
      <c r="AC33" s="10"/>
      <c r="AD33" s="10"/>
      <c r="AE33" s="10"/>
      <c r="AF33" s="10"/>
      <c r="AG33" s="10"/>
      <c r="AH33" s="11"/>
      <c r="AI33" s="20">
        <f>IF(人物卡!AS29="",0,人物卡!AS29)</f>
        <v>0</v>
      </c>
      <c r="AJ33" s="11"/>
    </row>
    <row r="34" ht="14.4" customHeight="1" spans="1:36">
      <c r="A34" s="19" t="str">
        <f>IF(OR(人物卡!B20="√",人物卡!B20="✓",人物卡!B20="☑"),"☑","☐")</f>
        <v>☐</v>
      </c>
      <c r="B34" s="16" t="str">
        <f>人物卡!D20&amp;IF(人物卡!J20="","________",人物卡!J20)&amp;" ("&amp;IF(人物卡!S20="",0,人物卡!S20)&amp;"%)"</f>
        <v>艺术：________ (0%)</v>
      </c>
      <c r="C34" s="10"/>
      <c r="D34" s="10"/>
      <c r="E34" s="10"/>
      <c r="F34" s="10"/>
      <c r="G34" s="10"/>
      <c r="H34" s="10"/>
      <c r="I34" s="10"/>
      <c r="J34" s="11"/>
      <c r="K34" s="20">
        <f>IF(人物卡!P20="",0,人物卡!P20)</f>
        <v>0</v>
      </c>
      <c r="L34" s="11"/>
      <c r="M34" s="19" t="str">
        <f>IF(OR(人物卡!B40="√",人物卡!B40="✓",人物卡!B40="☑"),"☑","☐")</f>
        <v>☐</v>
      </c>
      <c r="N34" s="16" t="str">
        <f>人物卡!D40&amp;" ("&amp;IF(人物卡!S40="",0,人物卡!S40)&amp;"%)"</f>
        <v>重型机械 (10%)</v>
      </c>
      <c r="O34" s="10"/>
      <c r="P34" s="10"/>
      <c r="Q34" s="10"/>
      <c r="R34" s="10"/>
      <c r="S34" s="10"/>
      <c r="T34" s="10"/>
      <c r="U34" s="10"/>
      <c r="V34" s="11"/>
      <c r="W34" s="20">
        <f>IF(人物卡!P40="",0,人物卡!P40)</f>
        <v>10</v>
      </c>
      <c r="X34" s="11"/>
      <c r="Y34" s="19" t="str">
        <f>IF(OR(人物卡!AE30="√",人物卡!AE30="✓",人物卡!AE30="☑"),"☑","☐")</f>
        <v>☐</v>
      </c>
      <c r="Z34" s="16" t="str">
        <f>人物卡!AG30&amp;IF(人物卡!AM30="","________",人物卡!AM30)&amp;" ("&amp;IF(人物卡!AV30="",0,人物卡!AV30)&amp;"%)"</f>
        <v>科学：________ (0%)</v>
      </c>
      <c r="AA34" s="10"/>
      <c r="AB34" s="10"/>
      <c r="AC34" s="10"/>
      <c r="AD34" s="10"/>
      <c r="AE34" s="10"/>
      <c r="AF34" s="10"/>
      <c r="AG34" s="10"/>
      <c r="AH34" s="11"/>
      <c r="AI34" s="20">
        <f>IF(人物卡!AS30="",0,人物卡!AS30)</f>
        <v>0</v>
      </c>
      <c r="AJ34" s="11"/>
    </row>
    <row r="35" ht="14.4" customHeight="1" spans="1:36">
      <c r="A35" s="19" t="str">
        <f>IF(OR(人物卡!B21="√",人物卡!B21="✓",人物卡!B21="☑"),"☑","☐")</f>
        <v>☐</v>
      </c>
      <c r="B35" s="16" t="str">
        <f>人物卡!D21&amp;" ("&amp;IF(人物卡!S21="",0,人物卡!S21)&amp;"%)"</f>
        <v>炮术 (0%)</v>
      </c>
      <c r="C35" s="10"/>
      <c r="D35" s="10"/>
      <c r="E35" s="10"/>
      <c r="F35" s="10"/>
      <c r="G35" s="10"/>
      <c r="H35" s="10"/>
      <c r="I35" s="10"/>
      <c r="J35" s="11"/>
      <c r="K35" s="20">
        <f>IF(人物卡!P21="",0,人物卡!P21)</f>
        <v>0</v>
      </c>
      <c r="L35" s="11"/>
      <c r="M35" s="19" t="str">
        <f>IF(OR(人物卡!B41="√",人物卡!B41="✓",人物卡!B41="☑"),"☑","☐")</f>
        <v>☐</v>
      </c>
      <c r="N35" s="16" t="str">
        <f>人物卡!D41&amp;" ("&amp;IF(人物卡!S41="",0,人物卡!S41)&amp;"%)"</f>
        <v>重型武器 (0%)</v>
      </c>
      <c r="O35" s="10"/>
      <c r="P35" s="10"/>
      <c r="Q35" s="10"/>
      <c r="R35" s="10"/>
      <c r="S35" s="10"/>
      <c r="T35" s="10"/>
      <c r="U35" s="10"/>
      <c r="V35" s="11"/>
      <c r="W35" s="20">
        <f>IF(人物卡!P41="",0,人物卡!P41)</f>
        <v>0</v>
      </c>
      <c r="X35" s="11"/>
      <c r="Y35" s="19" t="str">
        <f>IF(OR(人物卡!AE31="√",人物卡!AE31="✓",人物卡!AE31="☑"),"☑","☐")</f>
        <v>☐</v>
      </c>
      <c r="Z35" s="16" t="str">
        <f>人物卡!AG31&amp;IF(人物卡!AM31="","________",人物卡!AM31)&amp;" ("&amp;IF(人物卡!AV31="",0,人物卡!AV31)&amp;"%)"</f>
        <v>科学：________ (0%)</v>
      </c>
      <c r="AA35" s="10"/>
      <c r="AB35" s="10"/>
      <c r="AC35" s="10"/>
      <c r="AD35" s="10"/>
      <c r="AE35" s="10"/>
      <c r="AF35" s="10"/>
      <c r="AG35" s="10"/>
      <c r="AH35" s="11"/>
      <c r="AI35" s="20">
        <f>IF(人物卡!AS31="",0,人物卡!AS31)</f>
        <v>0</v>
      </c>
      <c r="AJ35" s="11"/>
    </row>
    <row r="36" ht="14.4" customHeight="1" spans="1:36">
      <c r="A36" s="19" t="str">
        <f>IF(OR(人物卡!B22="√",人物卡!B22="✓",人物卡!B22="☑"),"☑","☐")</f>
        <v>☐</v>
      </c>
      <c r="B36" s="16" t="str">
        <f>人物卡!D22&amp;" ("&amp;IF(人物卡!S22="",0,人物卡!S22)&amp;"%)"</f>
        <v>运动 (30%)</v>
      </c>
      <c r="C36" s="10"/>
      <c r="D36" s="10"/>
      <c r="E36" s="10"/>
      <c r="F36" s="10"/>
      <c r="G36" s="10"/>
      <c r="H36" s="10"/>
      <c r="I36" s="10"/>
      <c r="J36" s="11"/>
      <c r="K36" s="20">
        <f>IF(人物卡!P22="",0,人物卡!P22)</f>
        <v>30</v>
      </c>
      <c r="L36" s="11"/>
      <c r="M36" s="19" t="str">
        <f>IF(OR(人物卡!B42="√",人物卡!B42="✓",人物卡!B42="☑"),"☑","☐")</f>
        <v>☐</v>
      </c>
      <c r="N36" s="16" t="str">
        <f>人物卡!D42&amp;" ("&amp;IF(人物卡!S42="",0,人物卡!S42)&amp;"%)"</f>
        <v>历史 (10%)</v>
      </c>
      <c r="O36" s="10"/>
      <c r="P36" s="10"/>
      <c r="Q36" s="10"/>
      <c r="R36" s="10"/>
      <c r="S36" s="10"/>
      <c r="T36" s="10"/>
      <c r="U36" s="10"/>
      <c r="V36" s="11"/>
      <c r="W36" s="20">
        <f>IF(人物卡!P42="",0,人物卡!P42)</f>
        <v>10</v>
      </c>
      <c r="X36" s="11"/>
      <c r="Y36" s="19" t="str">
        <f>IF(OR(人物卡!AE32="√",人物卡!AE32="✓",人物卡!AE32="☑"),"☑","☐")</f>
        <v>☐</v>
      </c>
      <c r="Z36" s="16" t="str">
        <f>人物卡!AG32&amp;" ("&amp;IF(人物卡!AV32="",0,人物卡!AV32)&amp;"%)"</f>
        <v>搜寻 (20%)</v>
      </c>
      <c r="AA36" s="10"/>
      <c r="AB36" s="10"/>
      <c r="AC36" s="10"/>
      <c r="AD36" s="10"/>
      <c r="AE36" s="10"/>
      <c r="AF36" s="10"/>
      <c r="AG36" s="10"/>
      <c r="AH36" s="11"/>
      <c r="AI36" s="20">
        <f>IF(人物卡!AS32="",0,人物卡!AS32)</f>
        <v>20</v>
      </c>
      <c r="AJ36" s="11"/>
    </row>
    <row r="37" ht="14.4" customHeight="1" spans="1:36">
      <c r="A37" s="19" t="str">
        <f>IF(OR(人物卡!B23="√",人物卡!B23="✓",人物卡!B23="☑"),"☑","☐")</f>
        <v>☐</v>
      </c>
      <c r="B37" s="16" t="str">
        <f>人物卡!D23&amp;" ("&amp;IF(人物卡!S23="",0,人物卡!S23)&amp;"%)"</f>
        <v>行政 (10%)</v>
      </c>
      <c r="C37" s="10"/>
      <c r="D37" s="10"/>
      <c r="E37" s="10"/>
      <c r="F37" s="10"/>
      <c r="G37" s="10"/>
      <c r="H37" s="10"/>
      <c r="I37" s="10"/>
      <c r="J37" s="11"/>
      <c r="K37" s="20">
        <f>IF(人物卡!P23="",0,人物卡!P23)</f>
        <v>10</v>
      </c>
      <c r="L37" s="11"/>
      <c r="M37" s="19" t="str">
        <f>IF(OR(人物卡!B43="√",人物卡!B43="✓",人物卡!B43="☑"),"☑","☐")</f>
        <v>☐</v>
      </c>
      <c r="N37" s="16" t="str">
        <f>人物卡!D43&amp;" ("&amp;IF(人物卡!S43="",0,人物卡!S43)&amp;"%)"</f>
        <v>人源情报 (10%)</v>
      </c>
      <c r="O37" s="10"/>
      <c r="P37" s="10"/>
      <c r="Q37" s="10"/>
      <c r="R37" s="10"/>
      <c r="S37" s="10"/>
      <c r="T37" s="10"/>
      <c r="U37" s="10"/>
      <c r="V37" s="11"/>
      <c r="W37" s="20">
        <f>IF(人物卡!P43="",0,人物卡!P43)</f>
        <v>10</v>
      </c>
      <c r="X37" s="11"/>
      <c r="Y37" s="19" t="str">
        <f>IF(OR(人物卡!AE33="√",人物卡!AE33="✓",人物卡!AE33="☑"),"☑","☐")</f>
        <v>☐</v>
      </c>
      <c r="Z37" s="16" t="str">
        <f>人物卡!AG33&amp;" ("&amp;IF(人物卡!AV33="",0,人物卡!AV33)&amp;"%)"</f>
        <v>信号情报 (0%)</v>
      </c>
      <c r="AA37" s="10"/>
      <c r="AB37" s="10"/>
      <c r="AC37" s="10"/>
      <c r="AD37" s="10"/>
      <c r="AE37" s="10"/>
      <c r="AF37" s="10"/>
      <c r="AG37" s="10"/>
      <c r="AH37" s="11"/>
      <c r="AI37" s="20">
        <f>IF(人物卡!AS33="",0,人物卡!AS33)</f>
        <v>0</v>
      </c>
      <c r="AJ37" s="11"/>
    </row>
    <row r="38" ht="14.4" customHeight="1" spans="1:36">
      <c r="A38" s="19" t="str">
        <f>IF(OR(人物卡!B24="√",人物卡!B24="✓",人物卡!B24="☑"),"☑","☐")</f>
        <v>☐</v>
      </c>
      <c r="B38" s="16" t="str">
        <f>人物卡!D24&amp;" ("&amp;IF(人物卡!S24="",0,人物卡!S24)&amp;"%)"</f>
        <v>计算机科学 (0%)</v>
      </c>
      <c r="C38" s="10"/>
      <c r="D38" s="10"/>
      <c r="E38" s="10"/>
      <c r="F38" s="10"/>
      <c r="G38" s="10"/>
      <c r="H38" s="10"/>
      <c r="I38" s="10"/>
      <c r="J38" s="11"/>
      <c r="K38" s="20">
        <f>IF(人物卡!P24="",0,人物卡!P24)</f>
        <v>0</v>
      </c>
      <c r="L38" s="11"/>
      <c r="M38" s="19" t="str">
        <f>IF(OR(人物卡!AE14="√",人物卡!AE14="✓",人物卡!AE14="☑"),"☑","☐")</f>
        <v>☐</v>
      </c>
      <c r="N38" s="16" t="str">
        <f>人物卡!AG14&amp;" ("&amp;IF(人物卡!AV14="",0,人物卡!AV14)&amp;"%)"</f>
        <v>法律 (0%)</v>
      </c>
      <c r="O38" s="10"/>
      <c r="P38" s="10"/>
      <c r="Q38" s="10"/>
      <c r="R38" s="10"/>
      <c r="S38" s="10"/>
      <c r="T38" s="10"/>
      <c r="U38" s="10"/>
      <c r="V38" s="11"/>
      <c r="W38" s="20">
        <f>IF(人物卡!AS14="",0,人物卡!AS14)</f>
        <v>0</v>
      </c>
      <c r="X38" s="11"/>
      <c r="Y38" s="19" t="str">
        <f>IF(OR(人物卡!AE34="√",人物卡!AE34="✓",人物卡!AE34="☑"),"☑","☐")</f>
        <v>☐</v>
      </c>
      <c r="Z38" s="16" t="str">
        <f>人物卡!AG34&amp;" ("&amp;IF(人物卡!AV34="",0,人物卡!AV34)&amp;"%)"</f>
        <v>潜藏 (10%)</v>
      </c>
      <c r="AA38" s="10"/>
      <c r="AB38" s="10"/>
      <c r="AC38" s="10"/>
      <c r="AD38" s="10"/>
      <c r="AE38" s="10"/>
      <c r="AF38" s="10"/>
      <c r="AG38" s="10"/>
      <c r="AH38" s="11"/>
      <c r="AI38" s="20">
        <f>IF(人物卡!AS34="",0,人物卡!AS34)</f>
        <v>10</v>
      </c>
      <c r="AJ38" s="11"/>
    </row>
    <row r="39" ht="14.4" customHeight="1" spans="1:36">
      <c r="A39" s="19" t="str">
        <f>IF(OR(人物卡!B25="√",人物卡!B25="✓",人物卡!B25="☑"),"☑","☐")</f>
        <v>☐</v>
      </c>
      <c r="B39" s="16" t="str">
        <f>人物卡!D25&amp;IF(人物卡!J25="","________",人物卡!J25)&amp;" ("&amp;IF(人物卡!S25="",0,人物卡!S25)&amp;"%)"</f>
        <v>工艺：________ (0%)</v>
      </c>
      <c r="C39" s="10"/>
      <c r="D39" s="10"/>
      <c r="E39" s="10"/>
      <c r="F39" s="10"/>
      <c r="G39" s="10"/>
      <c r="H39" s="10"/>
      <c r="I39" s="10"/>
      <c r="J39" s="11"/>
      <c r="K39" s="20">
        <f>IF(人物卡!P25="",0,人物卡!P25)</f>
        <v>0</v>
      </c>
      <c r="L39" s="11"/>
      <c r="M39" s="19" t="str">
        <f>IF(OR(人物卡!AE15="√",人物卡!AE15="✓",人物卡!AE15="☑"),"☑","☐")</f>
        <v>☐</v>
      </c>
      <c r="N39" s="16" t="str">
        <f>人物卡!AG15&amp;" ("&amp;IF(人物卡!AV15="",0,人物卡!AV15)&amp;"%)"</f>
        <v>医学 (0%)</v>
      </c>
      <c r="O39" s="10"/>
      <c r="P39" s="10"/>
      <c r="Q39" s="10"/>
      <c r="R39" s="10"/>
      <c r="S39" s="10"/>
      <c r="T39" s="10"/>
      <c r="U39" s="10"/>
      <c r="V39" s="11"/>
      <c r="W39" s="20">
        <f>IF(人物卡!AS15="",0,人物卡!AS15)</f>
        <v>0</v>
      </c>
      <c r="X39" s="11"/>
      <c r="Y39" s="19" t="str">
        <f>IF(OR(人物卡!AE35="√",人物卡!AE35="✓",人物卡!AE35="☑"),"☑","☐")</f>
        <v>☐</v>
      </c>
      <c r="Z39" s="16" t="str">
        <f>人物卡!AG35&amp;" ("&amp;IF(人物卡!AV35="",0,人物卡!AV35)&amp;"%)"</f>
        <v>手术 (0%)</v>
      </c>
      <c r="AA39" s="10"/>
      <c r="AB39" s="10"/>
      <c r="AC39" s="10"/>
      <c r="AD39" s="10"/>
      <c r="AE39" s="10"/>
      <c r="AF39" s="10"/>
      <c r="AG39" s="10"/>
      <c r="AH39" s="11"/>
      <c r="AI39" s="20">
        <f>IF(人物卡!AS35="",0,人物卡!AS35)</f>
        <v>0</v>
      </c>
      <c r="AJ39" s="11"/>
    </row>
    <row r="40" ht="14.4" customHeight="1" spans="1:36">
      <c r="A40" s="19" t="str">
        <f>IF(OR(人物卡!B26="√",人物卡!B26="✓",人物卡!B26="☑"),"☑","☐")</f>
        <v>☐</v>
      </c>
      <c r="B40" s="16" t="str">
        <f>人物卡!D26&amp;IF(人物卡!J26="","________",人物卡!J26)&amp;" ("&amp;IF(人物卡!S26="",0,人物卡!S26)&amp;"%)"</f>
        <v>工艺：________ (0%)</v>
      </c>
      <c r="C40" s="10"/>
      <c r="D40" s="10"/>
      <c r="E40" s="10"/>
      <c r="F40" s="10"/>
      <c r="G40" s="10"/>
      <c r="H40" s="10"/>
      <c r="I40" s="10"/>
      <c r="J40" s="11"/>
      <c r="K40" s="20">
        <f>IF(人物卡!P26="",0,人物卡!P26)</f>
        <v>0</v>
      </c>
      <c r="L40" s="11"/>
      <c r="M40" s="19" t="str">
        <f>IF(OR(人物卡!AE16="√",人物卡!AE16="✓",人物卡!AE16="☑"),"☑","☐")</f>
        <v>☐</v>
      </c>
      <c r="N40" s="16" t="str">
        <f>人物卡!AG16&amp;" ("&amp;IF(人物卡!AV16="",0,人物卡!AV16)&amp;"%)"</f>
        <v>近战武器 (30%)</v>
      </c>
      <c r="O40" s="10"/>
      <c r="P40" s="10"/>
      <c r="Q40" s="10"/>
      <c r="R40" s="10"/>
      <c r="S40" s="10"/>
      <c r="T40" s="10"/>
      <c r="U40" s="10"/>
      <c r="V40" s="11"/>
      <c r="W40" s="20">
        <f>IF(人物卡!AS16="",0,人物卡!AS16)</f>
        <v>30</v>
      </c>
      <c r="X40" s="11"/>
      <c r="Y40" s="19" t="str">
        <f>IF(OR(人物卡!AE36="√",人物卡!AE36="✓",人物卡!AE36="☑"),"☑","☐")</f>
        <v>☐</v>
      </c>
      <c r="Z40" s="16" t="str">
        <f>人物卡!AG36&amp;" ("&amp;IF(人物卡!AV36="",0,人物卡!AV36)&amp;"%)"</f>
        <v>生存 (10%)</v>
      </c>
      <c r="AA40" s="10"/>
      <c r="AB40" s="10"/>
      <c r="AC40" s="10"/>
      <c r="AD40" s="10"/>
      <c r="AE40" s="10"/>
      <c r="AF40" s="10"/>
      <c r="AG40" s="10"/>
      <c r="AH40" s="11"/>
      <c r="AI40" s="20">
        <f>IF(人物卡!AS36="",0,人物卡!AS36)</f>
        <v>10</v>
      </c>
      <c r="AJ40" s="11"/>
    </row>
    <row r="41" ht="14.4" customHeight="1" spans="1:36">
      <c r="A41" s="19" t="str">
        <f>IF(OR(人物卡!B27="√",人物卡!B27="✓",人物卡!B27="☑"),"☑","☐")</f>
        <v>☐</v>
      </c>
      <c r="B41" s="16" t="str">
        <f>人物卡!D27&amp;IF(人物卡!J27="","________",人物卡!J27)&amp;" ("&amp;IF(人物卡!S27="",0,人物卡!S27)&amp;"%)"</f>
        <v>工艺：________ (0%)</v>
      </c>
      <c r="C41" s="10"/>
      <c r="D41" s="10"/>
      <c r="E41" s="10"/>
      <c r="F41" s="10"/>
      <c r="G41" s="10"/>
      <c r="H41" s="10"/>
      <c r="I41" s="10"/>
      <c r="J41" s="11"/>
      <c r="K41" s="20">
        <f>IF(人物卡!P27="",0,人物卡!P27)</f>
        <v>0</v>
      </c>
      <c r="L41" s="11"/>
      <c r="M41" s="19" t="str">
        <f>IF(OR(人物卡!AE17="√",人物卡!AE17="✓",人物卡!AE17="☑"),"☑","☐")</f>
        <v>☐</v>
      </c>
      <c r="N41" s="16" t="str">
        <f>人物卡!AG17&amp;IF(人物卡!AM17="","________",人物卡!AM17)&amp;" ("&amp;IF(人物卡!AV17="",0,人物卡!AV17)&amp;"%)"</f>
        <v>军事科学：________ (0%)</v>
      </c>
      <c r="O41" s="10"/>
      <c r="P41" s="10"/>
      <c r="Q41" s="10"/>
      <c r="R41" s="10"/>
      <c r="S41" s="10"/>
      <c r="T41" s="10"/>
      <c r="U41" s="10"/>
      <c r="V41" s="11"/>
      <c r="W41" s="20">
        <f>IF(人物卡!AS17="",0,人物卡!AS17)</f>
        <v>0</v>
      </c>
      <c r="X41" s="11"/>
      <c r="Y41" s="19" t="str">
        <f>IF(OR(人物卡!AE37="√",人物卡!AE37="✓",人物卡!AE37="☑"),"☑","☐")</f>
        <v>☐</v>
      </c>
      <c r="Z41" s="16" t="str">
        <f>人物卡!AG37&amp;" ("&amp;IF(人物卡!AV37="",0,人物卡!AV37)&amp;"%)"</f>
        <v>游泳 (20%)</v>
      </c>
      <c r="AA41" s="10"/>
      <c r="AB41" s="10"/>
      <c r="AC41" s="10"/>
      <c r="AD41" s="10"/>
      <c r="AE41" s="10"/>
      <c r="AF41" s="10"/>
      <c r="AG41" s="10"/>
      <c r="AH41" s="11"/>
      <c r="AI41" s="20">
        <f>IF(人物卡!AS37="",0,人物卡!AS37)</f>
        <v>20</v>
      </c>
      <c r="AJ41" s="11"/>
    </row>
    <row r="42" ht="14.4" customHeight="1" spans="1:36">
      <c r="A42" s="19" t="str">
        <f>IF(OR(人物卡!B28="√",人物卡!B28="✓",人物卡!B28="☑"),"☑","☐")</f>
        <v>☐</v>
      </c>
      <c r="B42" s="16" t="str">
        <f>人物卡!D28&amp;IF(人物卡!J28="","________",人物卡!J28)&amp;" ("&amp;IF(人物卡!S28="",0,人物卡!S28)&amp;"%)"</f>
        <v>工艺：________ (0%)</v>
      </c>
      <c r="C42" s="10"/>
      <c r="D42" s="10"/>
      <c r="E42" s="10"/>
      <c r="F42" s="10"/>
      <c r="G42" s="10"/>
      <c r="H42" s="10"/>
      <c r="I42" s="10"/>
      <c r="J42" s="11"/>
      <c r="K42" s="20">
        <f>IF(人物卡!P28="",0,人物卡!P28)</f>
        <v>0</v>
      </c>
      <c r="L42" s="11"/>
      <c r="M42" s="19" t="str">
        <f>IF(OR(人物卡!AE18="√",人物卡!AE18="✓",人物卡!AE18="☑"),"☑","☐")</f>
        <v>☐</v>
      </c>
      <c r="N42" s="16" t="str">
        <f>人物卡!AG18&amp;IF(人物卡!AM18="","________",人物卡!AM18)&amp;" ("&amp;IF(人物卡!AV18="",0,人物卡!AV18)&amp;"%)"</f>
        <v>军事科学：________ (0%)</v>
      </c>
      <c r="O42" s="10"/>
      <c r="P42" s="10"/>
      <c r="Q42" s="10"/>
      <c r="R42" s="10"/>
      <c r="S42" s="10"/>
      <c r="T42" s="10"/>
      <c r="U42" s="10"/>
      <c r="V42" s="11"/>
      <c r="W42" s="20">
        <f>IF(人物卡!AS18="",0,人物卡!AS18)</f>
        <v>0</v>
      </c>
      <c r="X42" s="11"/>
      <c r="Y42" s="19" t="str">
        <f>IF(OR(人物卡!AE38="√",人物卡!AE38="✓",人物卡!AE38="☑"),"☑","☐")</f>
        <v>☐</v>
      </c>
      <c r="Z42" s="16" t="str">
        <f>人物卡!AG38&amp;" ("&amp;IF(人物卡!AV38="",0,人物卡!AV38)&amp;"%)"</f>
        <v>徒手搏斗 (40%)</v>
      </c>
      <c r="AA42" s="10"/>
      <c r="AB42" s="10"/>
      <c r="AC42" s="10"/>
      <c r="AD42" s="10"/>
      <c r="AE42" s="10"/>
      <c r="AF42" s="10"/>
      <c r="AG42" s="10"/>
      <c r="AH42" s="11"/>
      <c r="AI42" s="20">
        <f>IF(人物卡!AS38="",0,人物卡!AS38)</f>
        <v>40</v>
      </c>
      <c r="AJ42" s="11"/>
    </row>
    <row r="43" ht="14.4" customHeight="1" spans="1:36">
      <c r="A43" s="19" t="str">
        <f>IF(OR(人物卡!B29="√",人物卡!B29="✓",人物卡!B29="☑"),"☑","☐")</f>
        <v>☐</v>
      </c>
      <c r="B43" s="16" t="str">
        <f>人物卡!D29&amp;" ("&amp;IF(人物卡!S29="",0,人物卡!S29)&amp;"%)"</f>
        <v>犯罪学 (10%)</v>
      </c>
      <c r="C43" s="10"/>
      <c r="D43" s="10"/>
      <c r="E43" s="10"/>
      <c r="F43" s="10"/>
      <c r="G43" s="10"/>
      <c r="H43" s="10"/>
      <c r="I43" s="10"/>
      <c r="J43" s="11"/>
      <c r="K43" s="20">
        <f>IF(人物卡!P29="",0,人物卡!P29)</f>
        <v>10</v>
      </c>
      <c r="L43" s="11"/>
      <c r="M43" s="19" t="str">
        <f>IF(OR(人物卡!AE19="√",人物卡!AE19="✓",人物卡!AE19="☑"),"☑","☐")</f>
        <v>☐</v>
      </c>
      <c r="N43" s="16" t="str">
        <f>人物卡!AG19&amp;IF(人物卡!AM19="","________",人物卡!AM19)&amp;" ("&amp;IF(人物卡!AV19="",0,人物卡!AV19)&amp;"%)"</f>
        <v>军事科学：________ (0%)</v>
      </c>
      <c r="O43" s="10"/>
      <c r="P43" s="10"/>
      <c r="Q43" s="10"/>
      <c r="R43" s="10"/>
      <c r="S43" s="10"/>
      <c r="T43" s="10"/>
      <c r="U43" s="10"/>
      <c r="V43" s="11"/>
      <c r="W43" s="20">
        <f>IF(人物卡!AS19="",0,人物卡!AS19)</f>
        <v>0</v>
      </c>
      <c r="X43" s="11"/>
      <c r="Y43" s="15"/>
      <c r="Z43" s="16" t="str">
        <f>人物卡!AG39&amp;" ("&amp;IF(人物卡!AV39="",0,人物卡!AV39)&amp;"%)"</f>
        <v>非自然知识 (0%)</v>
      </c>
      <c r="AA43" s="10"/>
      <c r="AB43" s="10"/>
      <c r="AC43" s="10"/>
      <c r="AD43" s="10"/>
      <c r="AE43" s="10"/>
      <c r="AF43" s="10"/>
      <c r="AG43" s="10"/>
      <c r="AH43" s="11"/>
      <c r="AI43" s="20">
        <f>IF(人物卡!AS39="",0,人物卡!AS39)</f>
        <v>0</v>
      </c>
      <c r="AJ43" s="11"/>
    </row>
    <row r="44" ht="14.4" customHeight="1" spans="1:36">
      <c r="A44" s="19" t="str">
        <f>IF(OR(人物卡!B30="√",人物卡!B30="✓",人物卡!B30="☑"),"☑","☐")</f>
        <v>☐</v>
      </c>
      <c r="B44" s="16" t="str">
        <f>人物卡!D30&amp;" ("&amp;IF(人物卡!S30="",0,人物卡!S30)&amp;"%)"</f>
        <v>爆破 (0%)</v>
      </c>
      <c r="C44" s="10"/>
      <c r="D44" s="10"/>
      <c r="E44" s="10"/>
      <c r="F44" s="10"/>
      <c r="G44" s="10"/>
      <c r="H44" s="10"/>
      <c r="I44" s="10"/>
      <c r="J44" s="11"/>
      <c r="K44" s="20">
        <f>IF(人物卡!P30="",0,人物卡!P30)</f>
        <v>0</v>
      </c>
      <c r="L44" s="11"/>
      <c r="M44" s="19" t="str">
        <f>IF(OR(人物卡!AE20="√",人物卡!AE20="✓",人物卡!AE20="☑"),"☑","☐")</f>
        <v>☐</v>
      </c>
      <c r="N44" s="16" t="str">
        <f>人物卡!AG20&amp;" ("&amp;IF(人物卡!AV20="",0,人物卡!AV20)&amp;"%)"</f>
        <v>导航 (10%)</v>
      </c>
      <c r="O44" s="10"/>
      <c r="P44" s="10"/>
      <c r="Q44" s="10"/>
      <c r="R44" s="10"/>
      <c r="S44" s="10"/>
      <c r="T44" s="10"/>
      <c r="U44" s="10"/>
      <c r="V44" s="11"/>
      <c r="W44" s="20">
        <f>IF(人物卡!AS20="",0,人物卡!AS20)</f>
        <v>10</v>
      </c>
      <c r="X44" s="11"/>
      <c r="Y44" s="19" t="str">
        <f>IF(OR(人物卡!AE40="√",人物卡!AE40="✓",人物卡!AE40="☑"),"☑","☐")</f>
        <v>☐</v>
      </c>
      <c r="Z44" s="16" t="str">
        <f ca="1">IF(人物卡!AG40="","其他技能：________",人物卡!AG40)</f>
        <v>其他技能：________</v>
      </c>
      <c r="AA44" s="10"/>
      <c r="AB44" s="10"/>
      <c r="AC44" s="10"/>
      <c r="AD44" s="10"/>
      <c r="AE44" s="10"/>
      <c r="AF44" s="10"/>
      <c r="AG44" s="10"/>
      <c r="AH44" s="11"/>
      <c r="AI44" s="20">
        <f>IF(人物卡!AS40="",0,人物卡!AS40)</f>
        <v>0</v>
      </c>
      <c r="AJ44" s="11"/>
    </row>
    <row r="45" ht="14.4" customHeight="1" spans="1:36">
      <c r="A45" s="19" t="str">
        <f>IF(OR(人物卡!B31="√",人物卡!B31="✓",人物卡!B31="☑"),"☑","☐")</f>
        <v>☐</v>
      </c>
      <c r="B45" s="16" t="str">
        <f>人物卡!D31&amp;" ("&amp;IF(人物卡!S31="",0,人物卡!S31)&amp;"%)"</f>
        <v>乔装 (10%)</v>
      </c>
      <c r="C45" s="10"/>
      <c r="D45" s="10"/>
      <c r="E45" s="10"/>
      <c r="F45" s="10"/>
      <c r="G45" s="10"/>
      <c r="H45" s="10"/>
      <c r="I45" s="10"/>
      <c r="J45" s="11"/>
      <c r="K45" s="20">
        <f>IF(人物卡!P31="",0,人物卡!P31)</f>
        <v>10</v>
      </c>
      <c r="L45" s="11"/>
      <c r="M45" s="19" t="str">
        <f>IF(OR(人物卡!AE21="√",人物卡!AE21="✓",人物卡!AE21="☑"),"☑","☐")</f>
        <v>☐</v>
      </c>
      <c r="N45" s="16" t="str">
        <f>人物卡!AG21&amp;" ("&amp;IF(人物卡!AV21="",0,人物卡!AV21)&amp;"%)"</f>
        <v>神秘学 (10%)</v>
      </c>
      <c r="O45" s="10"/>
      <c r="P45" s="10"/>
      <c r="Q45" s="10"/>
      <c r="R45" s="10"/>
      <c r="S45" s="10"/>
      <c r="T45" s="10"/>
      <c r="U45" s="10"/>
      <c r="V45" s="11"/>
      <c r="W45" s="20">
        <f>IF(人物卡!AS21="",0,人物卡!AS21)</f>
        <v>10</v>
      </c>
      <c r="X45" s="11"/>
      <c r="Y45" s="19" t="str">
        <f>IF(OR(人物卡!AE41="√",人物卡!AE41="✓",人物卡!AE41="☑"),"☑","☐")</f>
        <v>☐</v>
      </c>
      <c r="Z45" s="16" t="str">
        <f ca="1">IF(人物卡!AG41="","其他技能：________",人物卡!AG41)</f>
        <v>其他技能：________</v>
      </c>
      <c r="AA45" s="10"/>
      <c r="AB45" s="10"/>
      <c r="AC45" s="10"/>
      <c r="AD45" s="10"/>
      <c r="AE45" s="10"/>
      <c r="AF45" s="10"/>
      <c r="AG45" s="10"/>
      <c r="AH45" s="11"/>
      <c r="AI45" s="20">
        <f>IF(人物卡!AS41="",0,人物卡!AS41)</f>
        <v>0</v>
      </c>
      <c r="AJ45" s="11"/>
    </row>
    <row r="46" ht="14.4" customHeight="1" spans="1:36">
      <c r="A46" s="19" t="str">
        <f>IF(OR(人物卡!B32="√",人物卡!B32="✓",人物卡!B32="☑"),"☑","☐")</f>
        <v>☐</v>
      </c>
      <c r="B46" s="16" t="str">
        <f>人物卡!D32&amp;" ("&amp;IF(人物卡!S32="",0,人物卡!S32)&amp;"%)"</f>
        <v>闪避 (30%)</v>
      </c>
      <c r="C46" s="10"/>
      <c r="D46" s="10"/>
      <c r="E46" s="10"/>
      <c r="F46" s="10"/>
      <c r="G46" s="10"/>
      <c r="H46" s="10"/>
      <c r="I46" s="10"/>
      <c r="J46" s="11"/>
      <c r="K46" s="20">
        <f>IF(人物卡!P32="",0,人物卡!P32)</f>
        <v>30</v>
      </c>
      <c r="L46" s="11"/>
      <c r="M46" s="19" t="str">
        <f>IF(OR(人物卡!AE22="√",人物卡!AE22="✓",人物卡!AE22="☑"),"☑","☐")</f>
        <v>☐</v>
      </c>
      <c r="N46" s="16" t="str">
        <f>人物卡!AG22&amp;" ("&amp;IF(人物卡!AV22="",0,人物卡!AV22)&amp;"%)"</f>
        <v>说服 (20%)</v>
      </c>
      <c r="O46" s="10"/>
      <c r="P46" s="10"/>
      <c r="Q46" s="10"/>
      <c r="R46" s="10"/>
      <c r="S46" s="10"/>
      <c r="T46" s="10"/>
      <c r="U46" s="10"/>
      <c r="V46" s="11"/>
      <c r="W46" s="20">
        <f>IF(人物卡!AS22="",0,人物卡!AS22)</f>
        <v>20</v>
      </c>
      <c r="X46" s="11"/>
      <c r="Y46" s="19" t="str">
        <f>IF(OR(人物卡!AE42="√",人物卡!AE42="✓",人物卡!AE42="☑"),"☑","☐")</f>
        <v>☐</v>
      </c>
      <c r="Z46" s="16" t="str">
        <f ca="1">IF(人物卡!AG42="","其他技能：________",人物卡!AG42)</f>
        <v>其他技能：________</v>
      </c>
      <c r="AA46" s="10"/>
      <c r="AB46" s="10"/>
      <c r="AC46" s="10"/>
      <c r="AD46" s="10"/>
      <c r="AE46" s="10"/>
      <c r="AF46" s="10"/>
      <c r="AG46" s="10"/>
      <c r="AH46" s="11"/>
      <c r="AI46" s="20">
        <f>IF(人物卡!AS42="",0,人物卡!AS42)</f>
        <v>0</v>
      </c>
      <c r="AJ46" s="11"/>
    </row>
    <row r="47" ht="14.4" customHeight="1" spans="1:36">
      <c r="A47" s="19" t="str">
        <f>IF(OR(人物卡!B33="√",人物卡!B33="✓",人物卡!B33="☑"),"☑","☐")</f>
        <v>☐</v>
      </c>
      <c r="B47" s="16" t="str">
        <f>人物卡!D33&amp;" ("&amp;IF(人物卡!S33="",0,人物卡!S33)&amp;"%)"</f>
        <v>机动车驾驶 (20%)</v>
      </c>
      <c r="C47" s="10"/>
      <c r="D47" s="10"/>
      <c r="E47" s="10"/>
      <c r="F47" s="10"/>
      <c r="G47" s="10"/>
      <c r="H47" s="10"/>
      <c r="I47" s="10"/>
      <c r="J47" s="11"/>
      <c r="K47" s="20">
        <f>IF(人物卡!P33="",0,人物卡!P33)</f>
        <v>20</v>
      </c>
      <c r="L47" s="11"/>
      <c r="M47" s="19" t="str">
        <f>IF(OR(人物卡!AE23="√",人物卡!AE23="✓",人物卡!AE23="☑"),"☑","☐")</f>
        <v>☐</v>
      </c>
      <c r="N47" s="16" t="str">
        <f>人物卡!AG23&amp;" ("&amp;IF(人物卡!AV23="",0,人物卡!AV23)&amp;"%)"</f>
        <v>药学 (0%)</v>
      </c>
      <c r="O47" s="10"/>
      <c r="P47" s="10"/>
      <c r="Q47" s="10"/>
      <c r="R47" s="10"/>
      <c r="S47" s="10"/>
      <c r="T47" s="10"/>
      <c r="U47" s="10"/>
      <c r="V47" s="11"/>
      <c r="W47" s="20">
        <f>IF(人物卡!AS23="",0,人物卡!AS23)</f>
        <v>0</v>
      </c>
      <c r="X47" s="11"/>
      <c r="Y47" s="19" t="str">
        <f>IF(OR(人物卡!AE43="√",人物卡!AE43="✓",人物卡!AE43="☑"),"☑","☐")</f>
        <v>☐</v>
      </c>
      <c r="Z47" s="16" t="str">
        <f ca="1">IF(人物卡!AG43="","其他技能：________",人物卡!AG43)</f>
        <v>其他技能：________</v>
      </c>
      <c r="AA47" s="10"/>
      <c r="AB47" s="10"/>
      <c r="AC47" s="10"/>
      <c r="AD47" s="10"/>
      <c r="AE47" s="10"/>
      <c r="AF47" s="10"/>
      <c r="AG47" s="10"/>
      <c r="AH47" s="11"/>
      <c r="AI47" s="20">
        <f>IF(人物卡!AS43="",0,人物卡!AS43)</f>
        <v>0</v>
      </c>
      <c r="AJ47" s="11"/>
    </row>
    <row r="48" ht="14.4" customHeight="1" spans="1:36">
      <c r="A48" s="21" t="inlineStr">
        <is>
          <t>技能使用失败后标记；模组结束时，每项已标记技能结算一次1D4，记录成长后清除标记。</t>
        </is>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3"/>
    </row>
    <row r="49" ht="14.4" customHeight="1" spans="1:36">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8"/>
    </row>
    <row r="50" ht="14.4" customHeight="1" spans="1:36">
      <c r="A50" s="22" t="s">
        <v>3326</v>
      </c>
    </row>
    <row r="51" ht="14.4" customHeight="1" spans="1:36">
      <c r="A51" s="23" t="str">
        <f>"玩家："&amp;IF(人物卡!E3="","",人物卡!E3)</f>
        <v>玩家：</v>
      </c>
      <c r="T51" s="23" t="str">
        <f>"年代："&amp;IF(人物卡!Q6="","",人物卡!Q6)</f>
        <v>年代：</v>
      </c>
    </row>
    <row r="52" ht="14.4" customHeight="1" spans="1:36">
      <c r="A52" s="24" t="s">
        <v>3327</v>
      </c>
    </row>
    <row r="53" ht="14.4" customHeight="1" spans="1:36">
      <c r="A53" s="732"/>
      <c r="B53" s="733"/>
      <c r="C53" s="733"/>
      <c r="D53" s="733"/>
      <c r="E53" s="733"/>
      <c r="F53" s="733"/>
      <c r="G53" s="733"/>
      <c r="H53" s="733"/>
      <c r="I53" s="733"/>
      <c r="J53" s="733"/>
      <c r="K53" s="733"/>
      <c r="L53" s="733"/>
      <c r="M53" s="733"/>
      <c r="N53" s="733"/>
      <c r="O53" s="733"/>
      <c r="P53" s="733"/>
      <c r="Q53" s="733"/>
      <c r="R53" s="733"/>
      <c r="S53" s="733"/>
      <c r="T53" s="733"/>
      <c r="U53" s="733"/>
      <c r="V53" s="733"/>
      <c r="W53" s="733"/>
      <c r="X53" s="733"/>
      <c r="Y53" s="733"/>
      <c r="Z53" s="733"/>
      <c r="AA53" s="733"/>
      <c r="AB53" s="733"/>
      <c r="AC53" s="733"/>
      <c r="AD53" s="733"/>
      <c r="AE53" s="733"/>
      <c r="AF53" s="733"/>
      <c r="AG53" s="733"/>
      <c r="AH53" s="733"/>
      <c r="AI53" s="733"/>
      <c r="AJ53" s="734"/>
    </row>
    <row r="54" ht="14.4" customHeight="1" spans="1:36">
      <c r="A54" s="735"/>
      <c r="AJ54" s="736"/>
    </row>
    <row r="55" ht="14.4" customHeight="1" spans="1:36">
      <c r="A55" s="737"/>
      <c r="B55" s="738"/>
      <c r="C55" s="738"/>
      <c r="D55" s="738"/>
      <c r="E55" s="738"/>
      <c r="F55" s="738"/>
      <c r="G55" s="738"/>
      <c r="H55" s="738"/>
      <c r="I55" s="738"/>
      <c r="J55" s="738"/>
      <c r="K55" s="738"/>
      <c r="L55" s="738"/>
      <c r="M55" s="738"/>
      <c r="N55" s="738"/>
      <c r="O55" s="738"/>
      <c r="P55" s="738"/>
      <c r="Q55" s="738"/>
      <c r="R55" s="738"/>
      <c r="S55" s="738"/>
      <c r="T55" s="738"/>
      <c r="U55" s="738"/>
      <c r="V55" s="738"/>
      <c r="W55" s="738"/>
      <c r="X55" s="738"/>
      <c r="Y55" s="738"/>
      <c r="Z55" s="738"/>
      <c r="AA55" s="738"/>
      <c r="AB55" s="738"/>
      <c r="AC55" s="738"/>
      <c r="AD55" s="738"/>
      <c r="AE55" s="738"/>
      <c r="AF55" s="738"/>
      <c r="AG55" s="738"/>
      <c r="AH55" s="738"/>
      <c r="AI55" s="738"/>
      <c r="AJ55" s="739"/>
    </row>
    <row r="56" ht="14.4" customHeight="1" spans="1:36">
      <c r="A56" s="9" t="s">
        <v>3328</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1"/>
    </row>
    <row r="57" ht="14.4" customHeight="1" spans="1:36">
      <c r="A57" s="26" t="str">
        <f>IF(人物卡!EI17="","",人物卡!EI17)</f>
        <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3"/>
    </row>
    <row r="58" ht="14.4" customHeight="1" spans="1:36">
      <c r="A58" s="4"/>
      <c r="AJ58" s="5"/>
    </row>
    <row r="59" ht="14.4" customHeight="1" spans="1:36">
      <c r="A59" s="4"/>
      <c r="AJ59" s="5"/>
    </row>
    <row r="60" ht="14.4" customHeight="1" spans="1:36">
      <c r="A60" s="4"/>
      <c r="AJ60" s="5"/>
    </row>
    <row r="61" ht="14.4" customHeight="1" spans="1:36">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8"/>
    </row>
    <row r="62" ht="14.4" customHeight="1" spans="1:36">
      <c r="A62" s="16" t="s">
        <v>3329</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1"/>
    </row>
    <row r="63" ht="14.4" customHeight="1" spans="1:36">
      <c r="A63" s="9" t="s">
        <v>3330</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1"/>
    </row>
    <row r="64" ht="14.4" customHeight="1" spans="1:36">
      <c r="A64" s="26" t="str">
        <f>IFERROR(MID(""&amp;IF((IF(人物卡!EK8="","","护甲："&amp;人物卡!EK8))="","",CHAR(10)&amp;(IF(人物卡!EK8="","","护甲："&amp;人物卡!EK8)))&amp;IF((IF(人物卡!CZ3="","",人物卡!CZ3))="","",CHAR(10)&amp;(IF(人物卡!CZ3="","",人物卡!CZ3)))&amp;IF((IF(人物卡!DR3="","",人物卡!DR3))="","",CHAR(10)&amp;(IF(人物卡!DR3="","",人物卡!DR3)))&amp;IF((IF(人物卡!EI3="","",人物卡!EI3))="","",CHAR(10)&amp;(IF(人物卡!EI3="","",人物卡!EI3))),2,32767),"")</f>
        <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3"/>
    </row>
    <row r="65" ht="14.4" customHeight="1" spans="1:36">
      <c r="A65" s="4"/>
      <c r="AJ65" s="5"/>
    </row>
    <row r="66" ht="14.4" customHeight="1" spans="1:36">
      <c r="A66" s="4"/>
      <c r="AJ66" s="5"/>
    </row>
    <row r="67" ht="14.4" customHeight="1" spans="1:36">
      <c r="A67" s="4"/>
      <c r="AJ67" s="5"/>
    </row>
    <row r="68" ht="14.4" customHeight="1" spans="1:36">
      <c r="A68" s="4"/>
      <c r="AJ68" s="5"/>
    </row>
    <row r="69" ht="14.4" customHeight="1" spans="1:36">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8"/>
    </row>
    <row r="70" ht="14.4" customHeight="1" spans="1:36">
      <c r="A70" s="16" t="s">
        <v>3331</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1"/>
    </row>
    <row r="71" ht="14.4" customHeight="1" spans="1:36">
      <c r="A71" s="9" t="s">
        <v>3332</v>
      </c>
      <c r="B71" s="11"/>
      <c r="C71" s="9" t="s">
        <v>3333</v>
      </c>
      <c r="D71" s="10"/>
      <c r="E71" s="10"/>
      <c r="F71" s="10"/>
      <c r="G71" s="10"/>
      <c r="H71" s="11"/>
      <c r="I71" s="9" t="s">
        <v>3334</v>
      </c>
      <c r="J71" s="10"/>
      <c r="K71" s="10"/>
      <c r="L71" s="11"/>
      <c r="M71" s="9" t="s">
        <v>56</v>
      </c>
      <c r="N71" s="10"/>
      <c r="O71" s="10"/>
      <c r="P71" s="10"/>
      <c r="Q71" s="11"/>
      <c r="R71" s="9" t="s">
        <v>3335</v>
      </c>
      <c r="S71" s="10"/>
      <c r="T71" s="10"/>
      <c r="U71" s="10"/>
      <c r="V71" s="11"/>
      <c r="W71" s="9" t="s">
        <v>3336</v>
      </c>
      <c r="X71" s="10"/>
      <c r="Y71" s="10"/>
      <c r="Z71" s="10"/>
      <c r="AA71" s="11"/>
      <c r="AB71" s="9" t="s">
        <v>3337</v>
      </c>
      <c r="AC71" s="10"/>
      <c r="AD71" s="10"/>
      <c r="AE71" s="11"/>
      <c r="AF71" s="9" t="s">
        <v>2670</v>
      </c>
      <c r="AG71" s="10"/>
      <c r="AH71" s="11"/>
      <c r="AI71" s="9" t="s">
        <v>3338</v>
      </c>
      <c r="AJ71" s="11"/>
    </row>
    <row r="72" ht="14.4" customHeight="1" spans="1:36">
      <c r="A72" s="19" t="s">
        <v>3339</v>
      </c>
      <c r="B72" s="11"/>
      <c r="C72" s="14" t="str">
        <f>IF(人物卡!CZ14="","",人物卡!CZ14)</f>
        <v/>
      </c>
      <c r="D72" s="10"/>
      <c r="E72" s="10"/>
      <c r="F72" s="10"/>
      <c r="G72" s="10"/>
      <c r="H72" s="11"/>
      <c r="I72" s="27" t="str">
        <f ca="1">IF(人物卡!DM14="","",人物卡!DM14)</f>
        <v/>
      </c>
      <c r="J72" s="10"/>
      <c r="K72" s="10"/>
      <c r="L72" s="11"/>
      <c r="M72" s="27" t="str">
        <f>IF(人物卡!DZ14="","",人物卡!DZ14)</f>
        <v/>
      </c>
      <c r="N72" s="10"/>
      <c r="O72" s="10"/>
      <c r="P72" s="10"/>
      <c r="Q72" s="11"/>
      <c r="R72" s="27" t="str">
        <f ca="1">IF(AND(ISNUMBER(SEARCH("/",人物卡!$DQ$14&amp;"")),ISNUMBER(SEARCH("%",人物卡!$DQ$14&amp;"")),ISERROR(SEARCH("%",LEFT(人物卡!$DQ$14&amp;"",IFERROR(FIND("/",人物卡!$DQ$14&amp;""),1)-1)))),TRIM(LEFT(人物卡!$DQ$14,FIND("/",人物卡!$DQ$14)-1)),IF(OR(ISNUMBER(SEARCH("%",人物卡!DQ14&amp;"")),AND(ISNUMBER(人物卡!DQ14),人物卡!DQ14&gt;0,人物卡!DQ14&lt;1),LEFT(CELL("format",人物卡!DQ14),1)="P"),"",IF(人物卡!DQ14="","",人物卡!DQ14)))</f>
        <v/>
      </c>
      <c r="S72" s="10"/>
      <c r="T72" s="10"/>
      <c r="U72" s="10"/>
      <c r="V72" s="11"/>
      <c r="W72" s="27" t="str">
        <f>IF(人物卡!DW14="","",人物卡!DW14)</f>
        <v/>
      </c>
      <c r="X72" s="10"/>
      <c r="Y72" s="10"/>
      <c r="Z72" s="10"/>
      <c r="AA72" s="11"/>
      <c r="AB72" s="27" t="str">
        <f ca="1">IF(AND(ISNUMBER(SEARCH("/",人物卡!$DQ$14&amp;"")),ISNUMBER(SEARCH("%",人物卡!$DQ$14&amp;"")),ISERROR(SEARCH("%",LEFT(人物卡!$DQ$14&amp;"",IFERROR(FIND("/",人物卡!$DQ$14&amp;""),1)-1)))),TRIM(MID(人物卡!$DQ$14,FIND("/",人物卡!$DQ$14)+1,99)),IF(OR(ISNUMBER(SEARCH("%",人物卡!DQ14&amp;"")),AND(ISNUMBER(人物卡!DQ14),人物卡!DQ14&gt;0,人物卡!DQ14&lt;1),LEFT(CELL("format",人物卡!DQ14),1)="P"),IF(ISNUMBER(人物卡!DQ14),TEXT(人物卡!DQ14,"0%"),人物卡!DQ14),""))</f>
        <v/>
      </c>
      <c r="AC72" s="10"/>
      <c r="AD72" s="10"/>
      <c r="AE72" s="11"/>
      <c r="AF72" s="27" t="str">
        <f>IF(人物卡!ED14="","",人物卡!ED14)</f>
        <v/>
      </c>
      <c r="AG72" s="10"/>
      <c r="AH72" s="11"/>
      <c r="AI72" s="15"/>
      <c r="AJ72" s="11"/>
    </row>
    <row r="73" ht="14.4" customHeight="1" spans="1:36">
      <c r="A73" s="19" t="s">
        <v>3340</v>
      </c>
      <c r="B73" s="11"/>
      <c r="C73" s="14" t="str">
        <f>IF(人物卡!CZ15="","",人物卡!CZ15)</f>
        <v/>
      </c>
      <c r="D73" s="10"/>
      <c r="E73" s="10"/>
      <c r="F73" s="10"/>
      <c r="G73" s="10"/>
      <c r="H73" s="11"/>
      <c r="I73" s="27" t="str">
        <f ca="1">IF(人物卡!DM15="","",人物卡!DM15)</f>
        <v/>
      </c>
      <c r="J73" s="10"/>
      <c r="K73" s="10"/>
      <c r="L73" s="11"/>
      <c r="M73" s="27" t="str">
        <f>IF(人物卡!DZ15="","",人物卡!DZ15)</f>
        <v/>
      </c>
      <c r="N73" s="10"/>
      <c r="O73" s="10"/>
      <c r="P73" s="10"/>
      <c r="Q73" s="11"/>
      <c r="R73" s="27" t="str">
        <f ca="1">IF(AND(ISNUMBER(SEARCH("/",人物卡!$DQ$15&amp;"")),ISNUMBER(SEARCH("%",人物卡!$DQ$15&amp;"")),ISERROR(SEARCH("%",LEFT(人物卡!$DQ$15&amp;"",IFERROR(FIND("/",人物卡!$DQ$15&amp;""),1)-1)))),TRIM(LEFT(人物卡!$DQ$15,FIND("/",人物卡!$DQ$15)-1)),IF(OR(ISNUMBER(SEARCH("%",人物卡!DQ15&amp;"")),AND(ISNUMBER(人物卡!DQ15),人物卡!DQ15&gt;0,人物卡!DQ15&lt;1),LEFT(CELL("format",人物卡!DQ15),1)="P"),"",IF(人物卡!DQ15="","",人物卡!DQ15)))</f>
        <v/>
      </c>
      <c r="S73" s="10"/>
      <c r="T73" s="10"/>
      <c r="U73" s="10"/>
      <c r="V73" s="11"/>
      <c r="W73" s="27" t="str">
        <f>IF(人物卡!DW15="","",人物卡!DW15)</f>
        <v/>
      </c>
      <c r="X73" s="10"/>
      <c r="Y73" s="10"/>
      <c r="Z73" s="10"/>
      <c r="AA73" s="11"/>
      <c r="AB73" s="27" t="str">
        <f ca="1">IF(AND(ISNUMBER(SEARCH("/",人物卡!$DQ$15&amp;"")),ISNUMBER(SEARCH("%",人物卡!$DQ$15&amp;"")),ISERROR(SEARCH("%",LEFT(人物卡!$DQ$15&amp;"",IFERROR(FIND("/",人物卡!$DQ$15&amp;""),1)-1)))),TRIM(MID(人物卡!$DQ$15,FIND("/",人物卡!$DQ$15)+1,99)),IF(OR(ISNUMBER(SEARCH("%",人物卡!DQ15&amp;"")),AND(ISNUMBER(人物卡!DQ15),人物卡!DQ15&gt;0,人物卡!DQ15&lt;1),LEFT(CELL("format",人物卡!DQ15),1)="P"),IF(ISNUMBER(人物卡!DQ15),TEXT(人物卡!DQ15,"0%"),人物卡!DQ15),""))</f>
        <v/>
      </c>
      <c r="AC73" s="10"/>
      <c r="AD73" s="10"/>
      <c r="AE73" s="11"/>
      <c r="AF73" s="27" t="str">
        <f>IF(人物卡!ED15="","",人物卡!ED15)</f>
        <v/>
      </c>
      <c r="AG73" s="10"/>
      <c r="AH73" s="11"/>
      <c r="AI73" s="15"/>
      <c r="AJ73" s="11"/>
    </row>
    <row r="74" ht="14.4" customHeight="1" spans="1:36">
      <c r="A74" s="19" t="s">
        <v>3341</v>
      </c>
      <c r="B74" s="11"/>
      <c r="C74" s="14" t="str">
        <f>IF(人物卡!CZ16="","",人物卡!CZ16)</f>
        <v/>
      </c>
      <c r="D74" s="10"/>
      <c r="E74" s="10"/>
      <c r="F74" s="10"/>
      <c r="G74" s="10"/>
      <c r="H74" s="11"/>
      <c r="I74" s="27" t="str">
        <f ca="1">IF(人物卡!DM16="","",人物卡!DM16)</f>
        <v/>
      </c>
      <c r="J74" s="10"/>
      <c r="K74" s="10"/>
      <c r="L74" s="11"/>
      <c r="M74" s="27" t="str">
        <f>IF(人物卡!DZ16="","",人物卡!DZ16)</f>
        <v/>
      </c>
      <c r="N74" s="10"/>
      <c r="O74" s="10"/>
      <c r="P74" s="10"/>
      <c r="Q74" s="11"/>
      <c r="R74" s="27" t="str">
        <f ca="1">IF(AND(ISNUMBER(SEARCH("/",人物卡!$DQ$16&amp;"")),ISNUMBER(SEARCH("%",人物卡!$DQ$16&amp;"")),ISERROR(SEARCH("%",LEFT(人物卡!$DQ$16&amp;"",IFERROR(FIND("/",人物卡!$DQ$16&amp;""),1)-1)))),TRIM(LEFT(人物卡!$DQ$16,FIND("/",人物卡!$DQ$16)-1)),IF(OR(ISNUMBER(SEARCH("%",人物卡!DQ16&amp;"")),AND(ISNUMBER(人物卡!DQ16),人物卡!DQ16&gt;0,人物卡!DQ16&lt;1),LEFT(CELL("format",人物卡!DQ16),1)="P"),"",IF(人物卡!DQ16="","",人物卡!DQ16)))</f>
        <v/>
      </c>
      <c r="S74" s="10"/>
      <c r="T74" s="10"/>
      <c r="U74" s="10"/>
      <c r="V74" s="11"/>
      <c r="W74" s="27" t="str">
        <f>IF(人物卡!DW16="","",人物卡!DW16)</f>
        <v/>
      </c>
      <c r="X74" s="10"/>
      <c r="Y74" s="10"/>
      <c r="Z74" s="10"/>
      <c r="AA74" s="11"/>
      <c r="AB74" s="27" t="str">
        <f ca="1">IF(AND(ISNUMBER(SEARCH("/",人物卡!$DQ$16&amp;"")),ISNUMBER(SEARCH("%",人物卡!$DQ$16&amp;"")),ISERROR(SEARCH("%",LEFT(人物卡!$DQ$16&amp;"",IFERROR(FIND("/",人物卡!$DQ$16&amp;""),1)-1)))),TRIM(MID(人物卡!$DQ$16,FIND("/",人物卡!$DQ$16)+1,99)),IF(OR(ISNUMBER(SEARCH("%",人物卡!DQ16&amp;"")),AND(ISNUMBER(人物卡!DQ16),人物卡!DQ16&gt;0,人物卡!DQ16&lt;1),LEFT(CELL("format",人物卡!DQ16),1)="P"),IF(ISNUMBER(人物卡!DQ16),TEXT(人物卡!DQ16,"0%"),人物卡!DQ16),""))</f>
        <v/>
      </c>
      <c r="AC74" s="10"/>
      <c r="AD74" s="10"/>
      <c r="AE74" s="11"/>
      <c r="AF74" s="27" t="str">
        <f>IF(人物卡!ED16="","",人物卡!ED16)</f>
        <v/>
      </c>
      <c r="AG74" s="10"/>
      <c r="AH74" s="11"/>
      <c r="AI74" s="15"/>
      <c r="AJ74" s="11"/>
    </row>
    <row r="75" ht="14.4" customHeight="1" spans="1:36">
      <c r="A75" s="19" t="s">
        <v>3342</v>
      </c>
      <c r="B75" s="11"/>
      <c r="C75" s="14" t="str">
        <f>IF(人物卡!CZ17="","",人物卡!CZ17)</f>
        <v/>
      </c>
      <c r="D75" s="10"/>
      <c r="E75" s="10"/>
      <c r="F75" s="10"/>
      <c r="G75" s="10"/>
      <c r="H75" s="11"/>
      <c r="I75" s="27" t="str">
        <f ca="1">IF(人物卡!DM17="","",人物卡!DM17)</f>
        <v/>
      </c>
      <c r="J75" s="10"/>
      <c r="K75" s="10"/>
      <c r="L75" s="11"/>
      <c r="M75" s="27" t="str">
        <f>IF(人物卡!DZ17="","",人物卡!DZ17)</f>
        <v/>
      </c>
      <c r="N75" s="10"/>
      <c r="O75" s="10"/>
      <c r="P75" s="10"/>
      <c r="Q75" s="11"/>
      <c r="R75" s="27" t="str">
        <f ca="1">IF(AND(ISNUMBER(SEARCH("/",人物卡!$DQ$17&amp;"")),ISNUMBER(SEARCH("%",人物卡!$DQ$17&amp;"")),ISERROR(SEARCH("%",LEFT(人物卡!$DQ$17&amp;"",IFERROR(FIND("/",人物卡!$DQ$17&amp;""),1)-1)))),TRIM(LEFT(人物卡!$DQ$17,FIND("/",人物卡!$DQ$17)-1)),IF(OR(ISNUMBER(SEARCH("%",人物卡!DQ17&amp;"")),AND(ISNUMBER(人物卡!DQ17),人物卡!DQ17&gt;0,人物卡!DQ17&lt;1),LEFT(CELL("format",人物卡!DQ17),1)="P"),"",IF(人物卡!DQ17="","",人物卡!DQ17)))</f>
        <v/>
      </c>
      <c r="S75" s="10"/>
      <c r="T75" s="10"/>
      <c r="U75" s="10"/>
      <c r="V75" s="11"/>
      <c r="W75" s="27" t="str">
        <f>IF(人物卡!DW17="","",人物卡!DW17)</f>
        <v/>
      </c>
      <c r="X75" s="10"/>
      <c r="Y75" s="10"/>
      <c r="Z75" s="10"/>
      <c r="AA75" s="11"/>
      <c r="AB75" s="27" t="str">
        <f ca="1">IF(AND(ISNUMBER(SEARCH("/",人物卡!$DQ$17&amp;"")),ISNUMBER(SEARCH("%",人物卡!$DQ$17&amp;"")),ISERROR(SEARCH("%",LEFT(人物卡!$DQ$17&amp;"",IFERROR(FIND("/",人物卡!$DQ$17&amp;""),1)-1)))),TRIM(MID(人物卡!$DQ$17,FIND("/",人物卡!$DQ$17)+1,99)),IF(OR(ISNUMBER(SEARCH("%",人物卡!DQ17&amp;"")),AND(ISNUMBER(人物卡!DQ17),人物卡!DQ17&gt;0,人物卡!DQ17&lt;1),LEFT(CELL("format",人物卡!DQ17),1)="P"),IF(ISNUMBER(人物卡!DQ17),TEXT(人物卡!DQ17,"0%"),人物卡!DQ17),""))</f>
        <v/>
      </c>
      <c r="AC75" s="10"/>
      <c r="AD75" s="10"/>
      <c r="AE75" s="11"/>
      <c r="AF75" s="27" t="str">
        <f>IF(人物卡!ED17="","",人物卡!ED17)</f>
        <v/>
      </c>
      <c r="AG75" s="10"/>
      <c r="AH75" s="11"/>
      <c r="AI75" s="15"/>
      <c r="AJ75" s="11"/>
    </row>
    <row r="76" ht="14.4" customHeight="1" spans="1:36">
      <c r="A76" s="19" t="s">
        <v>3343</v>
      </c>
      <c r="B76" s="11"/>
      <c r="C76" s="14" t="str">
        <f>IF(人物卡!CZ18="","",人物卡!CZ18)</f>
        <v/>
      </c>
      <c r="D76" s="10"/>
      <c r="E76" s="10"/>
      <c r="F76" s="10"/>
      <c r="G76" s="10"/>
      <c r="H76" s="11"/>
      <c r="I76" s="27" t="str">
        <f ca="1">IF(人物卡!DM18="","",人物卡!DM18)</f>
        <v/>
      </c>
      <c r="J76" s="10"/>
      <c r="K76" s="10"/>
      <c r="L76" s="11"/>
      <c r="M76" s="27" t="str">
        <f>IF(人物卡!DZ18="","",人物卡!DZ18)</f>
        <v/>
      </c>
      <c r="N76" s="10"/>
      <c r="O76" s="10"/>
      <c r="P76" s="10"/>
      <c r="Q76" s="11"/>
      <c r="R76" s="27" t="str">
        <f ca="1">IF(AND(ISNUMBER(SEARCH("/",人物卡!$DQ$18&amp;"")),ISNUMBER(SEARCH("%",人物卡!$DQ$18&amp;"")),ISERROR(SEARCH("%",LEFT(人物卡!$DQ$18&amp;"",IFERROR(FIND("/",人物卡!$DQ$18&amp;""),1)-1)))),TRIM(LEFT(人物卡!$DQ$18,FIND("/",人物卡!$DQ$18)-1)),IF(OR(ISNUMBER(SEARCH("%",人物卡!DQ18&amp;"")),AND(ISNUMBER(人物卡!DQ18),人物卡!DQ18&gt;0,人物卡!DQ18&lt;1),LEFT(CELL("format",人物卡!DQ18),1)="P"),"",IF(人物卡!DQ18="","",人物卡!DQ18)))</f>
        <v/>
      </c>
      <c r="S76" s="10"/>
      <c r="T76" s="10"/>
      <c r="U76" s="10"/>
      <c r="V76" s="11"/>
      <c r="W76" s="27" t="str">
        <f>IF(人物卡!DW18="","",人物卡!DW18)</f>
        <v/>
      </c>
      <c r="X76" s="10"/>
      <c r="Y76" s="10"/>
      <c r="Z76" s="10"/>
      <c r="AA76" s="11"/>
      <c r="AB76" s="27" t="str">
        <f ca="1">IF(AND(ISNUMBER(SEARCH("/",人物卡!$DQ$18&amp;"")),ISNUMBER(SEARCH("%",人物卡!$DQ$18&amp;"")),ISERROR(SEARCH("%",LEFT(人物卡!$DQ$18&amp;"",IFERROR(FIND("/",人物卡!$DQ$18&amp;""),1)-1)))),TRIM(MID(人物卡!$DQ$18,FIND("/",人物卡!$DQ$18)+1,99)),IF(OR(ISNUMBER(SEARCH("%",人物卡!DQ18&amp;"")),AND(ISNUMBER(人物卡!DQ18),人物卡!DQ18&gt;0,人物卡!DQ18&lt;1),LEFT(CELL("format",人物卡!DQ18),1)="P"),IF(ISNUMBER(人物卡!DQ18),TEXT(人物卡!DQ18,"0%"),人物卡!DQ18),""))</f>
        <v/>
      </c>
      <c r="AC76" s="10"/>
      <c r="AD76" s="10"/>
      <c r="AE76" s="11"/>
      <c r="AF76" s="27" t="str">
        <f>IF(人物卡!ED18="","",人物卡!ED18)</f>
        <v/>
      </c>
      <c r="AG76" s="10"/>
      <c r="AH76" s="11"/>
      <c r="AI76" s="15"/>
      <c r="AJ76" s="11"/>
    </row>
    <row r="77" ht="14.4" customHeight="1" spans="1:36">
      <c r="A77" s="19" t="s">
        <v>3344</v>
      </c>
      <c r="B77" s="11"/>
      <c r="C77" s="14" t="str">
        <f>IF(人物卡!CZ19="","",人物卡!CZ19)</f>
        <v/>
      </c>
      <c r="D77" s="10"/>
      <c r="E77" s="10"/>
      <c r="F77" s="10"/>
      <c r="G77" s="10"/>
      <c r="H77" s="11"/>
      <c r="I77" s="27" t="str">
        <f ca="1">IF(人物卡!DM19="","",人物卡!DM19)</f>
        <v/>
      </c>
      <c r="J77" s="10"/>
      <c r="K77" s="10"/>
      <c r="L77" s="11"/>
      <c r="M77" s="27" t="str">
        <f>IF(人物卡!DZ19="","",人物卡!DZ19)</f>
        <v/>
      </c>
      <c r="N77" s="10"/>
      <c r="O77" s="10"/>
      <c r="P77" s="10"/>
      <c r="Q77" s="11"/>
      <c r="R77" s="27" t="str">
        <f ca="1">IF(AND(ISNUMBER(SEARCH("/",人物卡!$DQ$19&amp;"")),ISNUMBER(SEARCH("%",人物卡!$DQ$19&amp;"")),ISERROR(SEARCH("%",LEFT(人物卡!$DQ$19&amp;"",IFERROR(FIND("/",人物卡!$DQ$19&amp;""),1)-1)))),TRIM(LEFT(人物卡!$DQ$19,FIND("/",人物卡!$DQ$19)-1)),IF(OR(ISNUMBER(SEARCH("%",人物卡!DQ19&amp;"")),AND(ISNUMBER(人物卡!DQ19),人物卡!DQ19&gt;0,人物卡!DQ19&lt;1),LEFT(CELL("format",人物卡!DQ19),1)="P"),"",IF(人物卡!DQ19="","",人物卡!DQ19)))</f>
        <v/>
      </c>
      <c r="S77" s="10"/>
      <c r="T77" s="10"/>
      <c r="U77" s="10"/>
      <c r="V77" s="11"/>
      <c r="W77" s="27" t="str">
        <f>IF(人物卡!DW19="","",人物卡!DW19)</f>
        <v/>
      </c>
      <c r="X77" s="10"/>
      <c r="Y77" s="10"/>
      <c r="Z77" s="10"/>
      <c r="AA77" s="11"/>
      <c r="AB77" s="27" t="str">
        <f ca="1">IF(AND(ISNUMBER(SEARCH("/",人物卡!$DQ$19&amp;"")),ISNUMBER(SEARCH("%",人物卡!$DQ$19&amp;"")),ISERROR(SEARCH("%",LEFT(人物卡!$DQ$19&amp;"",IFERROR(FIND("/",人物卡!$DQ$19&amp;""),1)-1)))),TRIM(MID(人物卡!$DQ$19,FIND("/",人物卡!$DQ$19)+1,99)),IF(OR(ISNUMBER(SEARCH("%",人物卡!DQ19&amp;"")),AND(ISNUMBER(人物卡!DQ19),人物卡!DQ19&gt;0,人物卡!DQ19&lt;1),LEFT(CELL("format",人物卡!DQ19),1)="P"),IF(ISNUMBER(人物卡!DQ19),TEXT(人物卡!DQ19,"0%"),人物卡!DQ19),""))</f>
        <v/>
      </c>
      <c r="AC77" s="10"/>
      <c r="AD77" s="10"/>
      <c r="AE77" s="11"/>
      <c r="AF77" s="27" t="str">
        <f>IF(人物卡!ED19="","",人物卡!ED19)</f>
        <v/>
      </c>
      <c r="AG77" s="10"/>
      <c r="AH77" s="11"/>
      <c r="AI77" s="15"/>
      <c r="AJ77" s="11"/>
    </row>
    <row r="78" ht="14.4" customHeight="1" spans="1:36">
      <c r="A78" s="19" t="s">
        <v>3345</v>
      </c>
      <c r="B78" s="11"/>
      <c r="C78" s="14" t="str">
        <f>IF(人物卡!CZ20="","",人物卡!CZ20)</f>
        <v/>
      </c>
      <c r="D78" s="10"/>
      <c r="E78" s="10"/>
      <c r="F78" s="10"/>
      <c r="G78" s="10"/>
      <c r="H78" s="11"/>
      <c r="I78" s="27" t="str">
        <f ca="1">IF(人物卡!DM20="","",人物卡!DM20)</f>
        <v/>
      </c>
      <c r="J78" s="10"/>
      <c r="K78" s="10"/>
      <c r="L78" s="11"/>
      <c r="M78" s="27" t="str">
        <f>IF(人物卡!DZ20="","",人物卡!DZ20)</f>
        <v/>
      </c>
      <c r="N78" s="10"/>
      <c r="O78" s="10"/>
      <c r="P78" s="10"/>
      <c r="Q78" s="11"/>
      <c r="R78" s="27" t="str">
        <f ca="1">IF(AND(ISNUMBER(SEARCH("/",人物卡!$DQ$20&amp;"")),ISNUMBER(SEARCH("%",人物卡!$DQ$20&amp;"")),ISERROR(SEARCH("%",LEFT(人物卡!$DQ$20&amp;"",IFERROR(FIND("/",人物卡!$DQ$20&amp;""),1)-1)))),TRIM(LEFT(人物卡!$DQ$20,FIND("/",人物卡!$DQ$20)-1)),IF(OR(ISNUMBER(SEARCH("%",人物卡!DQ20&amp;"")),AND(ISNUMBER(人物卡!DQ20),人物卡!DQ20&gt;0,人物卡!DQ20&lt;1),LEFT(CELL("format",人物卡!DQ20),1)="P"),"",IF(人物卡!DQ20="","",人物卡!DQ20)))</f>
        <v/>
      </c>
      <c r="S78" s="10"/>
      <c r="T78" s="10"/>
      <c r="U78" s="10"/>
      <c r="V78" s="11"/>
      <c r="W78" s="27" t="str">
        <f>IF(人物卡!DW20="","",人物卡!DW20)</f>
        <v/>
      </c>
      <c r="X78" s="10"/>
      <c r="Y78" s="10"/>
      <c r="Z78" s="10"/>
      <c r="AA78" s="11"/>
      <c r="AB78" s="27" t="str">
        <f ca="1">IF(AND(ISNUMBER(SEARCH("/",人物卡!$DQ$20&amp;"")),ISNUMBER(SEARCH("%",人物卡!$DQ$20&amp;"")),ISERROR(SEARCH("%",LEFT(人物卡!$DQ$20&amp;"",IFERROR(FIND("/",人物卡!$DQ$20&amp;""),1)-1)))),TRIM(MID(人物卡!$DQ$20,FIND("/",人物卡!$DQ$20)+1,99)),IF(OR(ISNUMBER(SEARCH("%",人物卡!DQ20&amp;"")),AND(ISNUMBER(人物卡!DQ20),人物卡!DQ20&gt;0,人物卡!DQ20&lt;1),LEFT(CELL("format",人物卡!DQ20),1)="P"),IF(ISNUMBER(人物卡!DQ20),TEXT(人物卡!DQ20,"0%"),人物卡!DQ20),""))</f>
        <v/>
      </c>
      <c r="AC78" s="10"/>
      <c r="AD78" s="10"/>
      <c r="AE78" s="11"/>
      <c r="AF78" s="27" t="str">
        <f>IF(人物卡!ED20="","",人物卡!ED20)</f>
        <v/>
      </c>
      <c r="AG78" s="10"/>
      <c r="AH78" s="11"/>
      <c r="AI78" s="15"/>
      <c r="AJ78" s="11"/>
    </row>
    <row r="79" ht="14.4" customHeight="1" spans="1:36">
      <c r="A79" s="9" t="s">
        <v>3346</v>
      </c>
      <c r="B79" s="10"/>
      <c r="C79" s="10"/>
      <c r="D79" s="10"/>
      <c r="E79" s="10"/>
      <c r="F79" s="10"/>
      <c r="G79" s="10"/>
      <c r="H79" s="10"/>
      <c r="I79" s="10"/>
      <c r="J79" s="10"/>
      <c r="K79" s="10"/>
      <c r="L79" s="10"/>
      <c r="M79" s="10"/>
      <c r="N79" s="10"/>
      <c r="O79" s="10"/>
      <c r="P79" s="10"/>
      <c r="Q79" s="10"/>
      <c r="R79" s="11"/>
      <c r="S79" s="9" t="s">
        <v>3347</v>
      </c>
      <c r="T79" s="10"/>
      <c r="U79" s="10"/>
      <c r="V79" s="10"/>
      <c r="W79" s="10"/>
      <c r="X79" s="10"/>
      <c r="Y79" s="10"/>
      <c r="Z79" s="10"/>
      <c r="AA79" s="10"/>
      <c r="AB79" s="10"/>
      <c r="AC79" s="10"/>
      <c r="AD79" s="10"/>
      <c r="AE79" s="10"/>
      <c r="AF79" s="10"/>
      <c r="AG79" s="10"/>
      <c r="AH79" s="10"/>
      <c r="AI79" s="10"/>
      <c r="AJ79" s="11"/>
    </row>
    <row r="80" ht="14.4" customHeight="1" spans="1:36">
      <c r="A80" s="18" t="str">
        <f>IFERROR(MID(""&amp;IF((IF(人物卡!BI27="","",人物卡!BI27))="","",CHAR(10)&amp;(IF(人物卡!BI27="","",人物卡!BI27)))&amp;IF((IF(人物卡!EI23="","",人物卡!EI23))="","",CHAR(10)&amp;(IF(人物卡!EI23="","",人物卡!EI23))),2,32767),"")</f>
        <v/>
      </c>
      <c r="B80" s="2"/>
      <c r="C80" s="2"/>
      <c r="D80" s="2"/>
      <c r="E80" s="2"/>
      <c r="F80" s="2"/>
      <c r="G80" s="2"/>
      <c r="H80" s="2"/>
      <c r="I80" s="2"/>
      <c r="J80" s="2"/>
      <c r="K80" s="2"/>
      <c r="L80" s="2"/>
      <c r="M80" s="2"/>
      <c r="N80" s="2"/>
      <c r="O80" s="2"/>
      <c r="P80" s="2"/>
      <c r="Q80" s="2"/>
      <c r="R80" s="3"/>
      <c r="S80" s="26"/>
      <c r="T80" s="2"/>
      <c r="U80" s="2"/>
      <c r="V80" s="2"/>
      <c r="W80" s="2"/>
      <c r="X80" s="2"/>
      <c r="Y80" s="2"/>
      <c r="Z80" s="2"/>
      <c r="AA80" s="2"/>
      <c r="AB80" s="2"/>
      <c r="AC80" s="2"/>
      <c r="AD80" s="2"/>
      <c r="AE80" s="2"/>
      <c r="AF80" s="2"/>
      <c r="AG80" s="2"/>
      <c r="AH80" s="2"/>
      <c r="AI80" s="2"/>
      <c r="AJ80" s="3"/>
    </row>
    <row r="81" ht="14.4" customHeight="1" spans="1:36">
      <c r="A81" s="4"/>
      <c r="R81" s="5"/>
      <c r="S81" s="4"/>
      <c r="AJ81" s="5"/>
    </row>
    <row r="82" ht="14.4" customHeight="1" spans="1:36">
      <c r="A82" s="4"/>
      <c r="R82" s="5"/>
      <c r="S82" s="4"/>
      <c r="AJ82" s="5"/>
    </row>
    <row r="83" ht="14.4" customHeight="1" spans="1:36">
      <c r="A83" s="4"/>
      <c r="R83" s="5"/>
      <c r="S83" s="6"/>
      <c r="T83" s="7"/>
      <c r="U83" s="7"/>
      <c r="V83" s="7"/>
      <c r="W83" s="7"/>
      <c r="X83" s="7"/>
      <c r="Y83" s="7"/>
      <c r="Z83" s="7"/>
      <c r="AA83" s="7"/>
      <c r="AB83" s="7"/>
      <c r="AC83" s="7"/>
      <c r="AD83" s="7"/>
      <c r="AE83" s="7"/>
      <c r="AF83" s="7"/>
      <c r="AG83" s="7"/>
      <c r="AH83" s="7"/>
      <c r="AI83" s="7"/>
      <c r="AJ83" s="8"/>
    </row>
    <row r="84" ht="14.4" customHeight="1" spans="1:36">
      <c r="A84" s="4"/>
      <c r="R84" s="5"/>
      <c r="S84" s="9" t="s">
        <v>3348</v>
      </c>
      <c r="T84" s="10"/>
      <c r="U84" s="10"/>
      <c r="V84" s="10"/>
      <c r="W84" s="10"/>
      <c r="X84" s="10"/>
      <c r="Y84" s="10"/>
      <c r="Z84" s="10"/>
      <c r="AA84" s="11"/>
      <c r="AB84" s="9" t="s">
        <v>8</v>
      </c>
      <c r="AC84" s="10"/>
      <c r="AD84" s="10"/>
      <c r="AE84" s="10"/>
      <c r="AF84" s="10"/>
      <c r="AG84" s="10"/>
      <c r="AH84" s="10"/>
      <c r="AI84" s="10"/>
      <c r="AJ84" s="11"/>
    </row>
    <row r="85" ht="14.4" customHeight="1" spans="1:36">
      <c r="A85" s="4"/>
      <c r="R85" s="5"/>
      <c r="S85" s="14" t="str">
        <f>IF(人物卡!BX3="","",人物卡!BX3)</f>
        <v/>
      </c>
      <c r="T85" s="10"/>
      <c r="U85" s="10"/>
      <c r="V85" s="10"/>
      <c r="W85" s="10"/>
      <c r="X85" s="10"/>
      <c r="Y85" s="10"/>
      <c r="Z85" s="10"/>
      <c r="AA85" s="11"/>
      <c r="AB85" s="14" t="str">
        <f>IF(人物卡!CP3="","",人物卡!CP3)</f>
        <v/>
      </c>
      <c r="AC85" s="10"/>
      <c r="AD85" s="10"/>
      <c r="AE85" s="10"/>
      <c r="AF85" s="10"/>
      <c r="AG85" s="10"/>
      <c r="AH85" s="10"/>
      <c r="AI85" s="10"/>
      <c r="AJ85" s="11"/>
    </row>
    <row r="86" ht="14.4" customHeight="1" spans="1:36">
      <c r="A86" s="4"/>
      <c r="R86" s="5"/>
      <c r="S86" s="14" t="str">
        <f>IF(人物卡!BX4="","",人物卡!BX4)</f>
        <v/>
      </c>
      <c r="T86" s="10"/>
      <c r="U86" s="10"/>
      <c r="V86" s="10"/>
      <c r="W86" s="10"/>
      <c r="X86" s="10"/>
      <c r="Y86" s="10"/>
      <c r="Z86" s="10"/>
      <c r="AA86" s="11"/>
      <c r="AB86" s="14" t="str">
        <f>IF(人物卡!CP4="","",人物卡!CP4)</f>
        <v/>
      </c>
      <c r="AC86" s="10"/>
      <c r="AD86" s="10"/>
      <c r="AE86" s="10"/>
      <c r="AF86" s="10"/>
      <c r="AG86" s="10"/>
      <c r="AH86" s="10"/>
      <c r="AI86" s="10"/>
      <c r="AJ86" s="11"/>
    </row>
    <row r="87" ht="14.4" customHeight="1" spans="1:36">
      <c r="A87" s="4"/>
      <c r="R87" s="5"/>
      <c r="S87" s="14" t="str">
        <f>IF(人物卡!BX5="","",人物卡!BX5)</f>
        <v/>
      </c>
      <c r="T87" s="10"/>
      <c r="U87" s="10"/>
      <c r="V87" s="10"/>
      <c r="W87" s="10"/>
      <c r="X87" s="10"/>
      <c r="Y87" s="10"/>
      <c r="Z87" s="10"/>
      <c r="AA87" s="11"/>
      <c r="AB87" s="14" t="str">
        <f>IF(人物卡!CP5="","",人物卡!CP5)</f>
        <v/>
      </c>
      <c r="AC87" s="10"/>
      <c r="AD87" s="10"/>
      <c r="AE87" s="10"/>
      <c r="AF87" s="10"/>
      <c r="AG87" s="10"/>
      <c r="AH87" s="10"/>
      <c r="AI87" s="10"/>
      <c r="AJ87" s="11"/>
    </row>
    <row r="88" ht="14.4" customHeight="1" spans="1:36">
      <c r="A88" s="4"/>
      <c r="R88" s="5"/>
      <c r="S88" s="14" t="str">
        <f>IF(人物卡!BX6="","",人物卡!BX6)</f>
        <v/>
      </c>
      <c r="T88" s="10"/>
      <c r="U88" s="10"/>
      <c r="V88" s="10"/>
      <c r="W88" s="10"/>
      <c r="X88" s="10"/>
      <c r="Y88" s="10"/>
      <c r="Z88" s="10"/>
      <c r="AA88" s="11"/>
      <c r="AB88" s="14" t="str">
        <f>IF(人物卡!CP6="","",人物卡!CP6)</f>
        <v/>
      </c>
      <c r="AC88" s="10"/>
      <c r="AD88" s="10"/>
      <c r="AE88" s="10"/>
      <c r="AF88" s="10"/>
      <c r="AG88" s="10"/>
      <c r="AH88" s="10"/>
      <c r="AI88" s="10"/>
      <c r="AJ88" s="11"/>
    </row>
    <row r="89" ht="14.4" customHeight="1" spans="1:36">
      <c r="A89" s="4"/>
      <c r="R89" s="5"/>
      <c r="S89" s="14" t="str">
        <f>IF(人物卡!BX7="","",人物卡!BX7)</f>
        <v/>
      </c>
      <c r="T89" s="10"/>
      <c r="U89" s="10"/>
      <c r="V89" s="10"/>
      <c r="W89" s="10"/>
      <c r="X89" s="10"/>
      <c r="Y89" s="10"/>
      <c r="Z89" s="10"/>
      <c r="AA89" s="11"/>
      <c r="AB89" s="14" t="str">
        <f>IF(人物卡!CP7="","",人物卡!CP7)</f>
        <v/>
      </c>
      <c r="AC89" s="10"/>
      <c r="AD89" s="10"/>
      <c r="AE89" s="10"/>
      <c r="AF89" s="10"/>
      <c r="AG89" s="10"/>
      <c r="AH89" s="10"/>
      <c r="AI89" s="10"/>
      <c r="AJ89" s="11"/>
    </row>
    <row r="90" ht="14.4" customHeight="1" spans="1:36">
      <c r="A90" s="4"/>
      <c r="R90" s="5"/>
      <c r="S90" s="14" t="str">
        <f>IF(人物卡!BX8="","",人物卡!BX8)</f>
        <v/>
      </c>
      <c r="T90" s="10"/>
      <c r="U90" s="10"/>
      <c r="V90" s="10"/>
      <c r="W90" s="10"/>
      <c r="X90" s="10"/>
      <c r="Y90" s="10"/>
      <c r="Z90" s="10"/>
      <c r="AA90" s="11"/>
      <c r="AB90" s="14" t="str">
        <f>IF(人物卡!CP8="","",人物卡!CP8)</f>
        <v/>
      </c>
      <c r="AC90" s="10"/>
      <c r="AD90" s="10"/>
      <c r="AE90" s="10"/>
      <c r="AF90" s="10"/>
      <c r="AG90" s="10"/>
      <c r="AH90" s="10"/>
      <c r="AI90" s="10"/>
      <c r="AJ90" s="11"/>
    </row>
    <row r="91" ht="14.4" customHeight="1" spans="1:36">
      <c r="A91" s="4"/>
      <c r="R91" s="5"/>
      <c r="S91" s="14" t="str">
        <f>IF(人物卡!BX9="","",人物卡!BX9)</f>
        <v/>
      </c>
      <c r="T91" s="10"/>
      <c r="U91" s="10"/>
      <c r="V91" s="10"/>
      <c r="W91" s="10"/>
      <c r="X91" s="10"/>
      <c r="Y91" s="10"/>
      <c r="Z91" s="10"/>
      <c r="AA91" s="11"/>
      <c r="AB91" s="14" t="str">
        <f>IF(人物卡!CP9="","",人物卡!CP9)</f>
        <v/>
      </c>
      <c r="AC91" s="10"/>
      <c r="AD91" s="10"/>
      <c r="AE91" s="10"/>
      <c r="AF91" s="10"/>
      <c r="AG91" s="10"/>
      <c r="AH91" s="10"/>
      <c r="AI91" s="10"/>
      <c r="AJ91" s="11"/>
    </row>
    <row r="92" ht="14.4" customHeight="1" spans="1:36">
      <c r="A92" s="4"/>
      <c r="R92" s="5"/>
      <c r="S92" s="14" t="str">
        <f>IF(人物卡!BX10="","",人物卡!BX10)</f>
        <v/>
      </c>
      <c r="T92" s="10"/>
      <c r="U92" s="10"/>
      <c r="V92" s="10"/>
      <c r="W92" s="10"/>
      <c r="X92" s="10"/>
      <c r="Y92" s="10"/>
      <c r="Z92" s="10"/>
      <c r="AA92" s="11"/>
      <c r="AB92" s="14" t="str">
        <f>IF(人物卡!CP10="","",人物卡!CP10)</f>
        <v/>
      </c>
      <c r="AC92" s="10"/>
      <c r="AD92" s="10"/>
      <c r="AE92" s="10"/>
      <c r="AF92" s="10"/>
      <c r="AG92" s="10"/>
      <c r="AH92" s="10"/>
      <c r="AI92" s="10"/>
      <c r="AJ92" s="11"/>
    </row>
    <row r="93" ht="14.4" customHeight="1" spans="1:36">
      <c r="A93" s="6"/>
      <c r="B93" s="7"/>
      <c r="C93" s="7"/>
      <c r="D93" s="7"/>
      <c r="E93" s="7"/>
      <c r="F93" s="7"/>
      <c r="G93" s="7"/>
      <c r="H93" s="7"/>
      <c r="I93" s="7"/>
      <c r="J93" s="7"/>
      <c r="K93" s="7"/>
      <c r="L93" s="7"/>
      <c r="M93" s="7"/>
      <c r="N93" s="7"/>
      <c r="O93" s="7"/>
      <c r="P93" s="7"/>
      <c r="Q93" s="7"/>
      <c r="R93" s="8"/>
      <c r="S93" s="14" t="str">
        <f>IF(人物卡!BX11="","",人物卡!BX11)</f>
        <v/>
      </c>
      <c r="T93" s="10"/>
      <c r="U93" s="10"/>
      <c r="V93" s="10"/>
      <c r="W93" s="10"/>
      <c r="X93" s="10"/>
      <c r="Y93" s="10"/>
      <c r="Z93" s="10"/>
      <c r="AA93" s="11"/>
      <c r="AB93" s="14" t="str">
        <f>IF(人物卡!CP11="","",人物卡!CP11)</f>
        <v/>
      </c>
      <c r="AC93" s="10"/>
      <c r="AD93" s="10"/>
      <c r="AE93" s="10"/>
      <c r="AF93" s="10"/>
      <c r="AG93" s="10"/>
      <c r="AH93" s="10"/>
      <c r="AI93" s="10"/>
      <c r="AJ93" s="11"/>
    </row>
    <row r="94" ht="14.4" customHeight="1" spans="1:36">
      <c r="A94" s="9" t="s">
        <v>3349</v>
      </c>
      <c r="B94" s="10"/>
      <c r="C94" s="10"/>
      <c r="D94" s="10"/>
      <c r="E94" s="10"/>
      <c r="F94" s="10"/>
      <c r="G94" s="10"/>
      <c r="H94" s="10"/>
      <c r="I94" s="10"/>
      <c r="J94" s="10"/>
      <c r="K94" s="10"/>
      <c r="L94" s="10"/>
      <c r="M94" s="10"/>
      <c r="N94" s="11"/>
      <c r="O94" s="9" t="s">
        <v>3306</v>
      </c>
      <c r="P94" s="10"/>
      <c r="Q94" s="10"/>
      <c r="R94" s="11"/>
      <c r="S94" s="21" t="s">
        <v>3350</v>
      </c>
      <c r="T94" s="2"/>
      <c r="U94" s="2"/>
      <c r="V94" s="2"/>
      <c r="W94" s="2"/>
      <c r="X94" s="2"/>
      <c r="Y94" s="2"/>
      <c r="Z94" s="2"/>
      <c r="AA94" s="2"/>
      <c r="AB94" s="2"/>
      <c r="AC94" s="2"/>
      <c r="AD94" s="2"/>
      <c r="AE94" s="2"/>
      <c r="AF94" s="2"/>
      <c r="AG94" s="2"/>
      <c r="AH94" s="2"/>
      <c r="AI94" s="2"/>
      <c r="AJ94" s="3"/>
    </row>
    <row r="95" ht="14.4" customHeight="1" spans="1:36">
      <c r="A95" s="13" t="str">
        <f>IF(人物卡!CZ38="","",IF(人物卡!EF39="√","[DG] ","")&amp;人物卡!CZ38)</f>
        <v/>
      </c>
      <c r="B95" s="10"/>
      <c r="C95" s="10"/>
      <c r="D95" s="10"/>
      <c r="E95" s="10"/>
      <c r="F95" s="10"/>
      <c r="G95" s="10"/>
      <c r="H95" s="10"/>
      <c r="I95" s="10"/>
      <c r="J95" s="10"/>
      <c r="K95" s="10"/>
      <c r="L95" s="10"/>
      <c r="M95" s="10"/>
      <c r="N95" s="11"/>
      <c r="O95" s="15" t="str">
        <f>IF(人物卡!ED39="","",人物卡!ED39)</f>
        <v/>
      </c>
      <c r="P95" s="10"/>
      <c r="Q95" s="10"/>
      <c r="R95" s="11"/>
      <c r="S95" s="4"/>
      <c r="AJ95" s="5"/>
    </row>
    <row r="96" ht="14.4" customHeight="1" spans="1:36">
      <c r="A96" s="13" t="str">
        <f>IF(人物卡!CZ41="","",IF(人物卡!EF42="√","[DG] ","")&amp;人物卡!CZ41)</f>
        <v/>
      </c>
      <c r="B96" s="10"/>
      <c r="C96" s="10"/>
      <c r="D96" s="10"/>
      <c r="E96" s="10"/>
      <c r="F96" s="10"/>
      <c r="G96" s="10"/>
      <c r="H96" s="10"/>
      <c r="I96" s="10"/>
      <c r="J96" s="10"/>
      <c r="K96" s="10"/>
      <c r="L96" s="10"/>
      <c r="M96" s="10"/>
      <c r="N96" s="11"/>
      <c r="O96" s="15" t="str">
        <f>IF(人物卡!ED42="","",人物卡!ED42)</f>
        <v/>
      </c>
      <c r="P96" s="10"/>
      <c r="Q96" s="10"/>
      <c r="R96" s="11"/>
      <c r="S96" s="6"/>
      <c r="T96" s="7"/>
      <c r="U96" s="7"/>
      <c r="V96" s="7"/>
      <c r="W96" s="7"/>
      <c r="X96" s="7"/>
      <c r="Y96" s="7"/>
      <c r="Z96" s="7"/>
      <c r="AA96" s="7"/>
      <c r="AB96" s="7"/>
      <c r="AC96" s="7"/>
      <c r="AD96" s="7"/>
      <c r="AE96" s="7"/>
      <c r="AF96" s="7"/>
      <c r="AG96" s="7"/>
      <c r="AH96" s="7"/>
      <c r="AI96" s="7"/>
      <c r="AJ96" s="8"/>
    </row>
    <row r="97" ht="14.4" customHeight="1" spans="1:36">
      <c r="A97" s="9" t="s">
        <v>3351</v>
      </c>
      <c r="B97" s="10"/>
      <c r="C97" s="10"/>
      <c r="D97" s="10"/>
      <c r="E97" s="10"/>
      <c r="F97" s="10"/>
      <c r="G97" s="10"/>
      <c r="H97" s="10"/>
      <c r="I97" s="10"/>
      <c r="J97" s="10"/>
      <c r="K97" s="10"/>
      <c r="L97" s="10"/>
      <c r="M97" s="10"/>
      <c r="N97" s="10"/>
      <c r="O97" s="10"/>
      <c r="P97" s="10"/>
      <c r="Q97" s="10"/>
      <c r="R97" s="11"/>
      <c r="S97" s="9" t="s">
        <v>3352</v>
      </c>
      <c r="T97" s="10"/>
      <c r="U97" s="10"/>
      <c r="V97" s="10"/>
      <c r="W97" s="10"/>
      <c r="X97" s="10"/>
      <c r="Y97" s="10"/>
      <c r="Z97" s="10"/>
      <c r="AA97" s="10"/>
      <c r="AB97" s="10"/>
      <c r="AC97" s="10"/>
      <c r="AD97" s="10"/>
      <c r="AE97" s="10"/>
      <c r="AF97" s="10"/>
      <c r="AG97" s="10"/>
      <c r="AH97" s="10"/>
      <c r="AI97" s="10"/>
      <c r="AJ97" s="11"/>
    </row>
    <row r="98" ht="14.4" customHeight="1" spans="1:36">
      <c r="A98" s="13"/>
      <c r="B98" s="2"/>
      <c r="C98" s="2"/>
      <c r="D98" s="2"/>
      <c r="E98" s="2"/>
      <c r="F98" s="2"/>
      <c r="G98" s="2"/>
      <c r="H98" s="2"/>
      <c r="I98" s="2"/>
      <c r="J98" s="2"/>
      <c r="K98" s="2"/>
      <c r="L98" s="2"/>
      <c r="M98" s="2"/>
      <c r="N98" s="2"/>
      <c r="O98" s="2"/>
      <c r="P98" s="2"/>
      <c r="Q98" s="2"/>
      <c r="R98" s="3"/>
      <c r="S98" s="13"/>
      <c r="T98" s="2"/>
      <c r="U98" s="2"/>
      <c r="V98" s="2"/>
      <c r="W98" s="2"/>
      <c r="X98" s="2"/>
      <c r="Y98" s="2"/>
      <c r="Z98" s="2"/>
      <c r="AA98" s="2"/>
      <c r="AB98" s="2"/>
      <c r="AC98" s="2"/>
      <c r="AD98" s="2"/>
      <c r="AE98" s="2"/>
      <c r="AF98" s="2"/>
      <c r="AG98" s="2"/>
      <c r="AH98" s="2"/>
      <c r="AI98" s="2"/>
      <c r="AJ98" s="3"/>
    </row>
    <row r="99" ht="14.4" customHeight="1" spans="1:36">
      <c r="A99" s="4"/>
      <c r="R99" s="5"/>
      <c r="S99" s="4"/>
      <c r="AJ99" s="5"/>
    </row>
    <row r="100" ht="14.4" customHeight="1" spans="1:36">
      <c r="A100" s="6"/>
      <c r="B100" s="7"/>
      <c r="C100" s="7"/>
      <c r="D100" s="7"/>
      <c r="E100" s="7"/>
      <c r="F100" s="7"/>
      <c r="G100" s="7"/>
      <c r="H100" s="7"/>
      <c r="I100" s="7"/>
      <c r="J100" s="7"/>
      <c r="K100" s="7"/>
      <c r="L100" s="7"/>
      <c r="M100" s="7"/>
      <c r="N100" s="7"/>
      <c r="O100" s="7"/>
      <c r="P100" s="7"/>
      <c r="Q100" s="7"/>
      <c r="R100" s="8"/>
      <c r="S100" s="6"/>
      <c r="T100" s="7"/>
      <c r="U100" s="7"/>
      <c r="V100" s="7"/>
      <c r="W100" s="7"/>
      <c r="X100" s="7"/>
      <c r="Y100" s="7"/>
      <c r="Z100" s="7"/>
      <c r="AA100" s="7"/>
      <c r="AB100" s="7"/>
      <c r="AC100" s="7"/>
      <c r="AD100" s="7"/>
      <c r="AE100" s="7"/>
      <c r="AF100" s="7"/>
      <c r="AG100" s="7"/>
      <c r="AH100" s="7"/>
      <c r="AI100" s="7"/>
      <c r="AJ100" s="8"/>
    </row>
    <row r="101" ht="14.4" customHeight="1" spans="1:36">
      <c r="A101" s="28" t="s">
        <v>3353</v>
      </c>
      <c r="B101" s="2"/>
      <c r="C101" s="2"/>
      <c r="D101" s="2"/>
      <c r="E101" s="2"/>
      <c r="F101" s="2"/>
      <c r="G101" s="3"/>
      <c r="H101" s="29" t="s">
        <v>3354</v>
      </c>
      <c r="I101" s="2"/>
      <c r="J101" s="2"/>
      <c r="K101" s="2"/>
      <c r="L101" s="2"/>
      <c r="M101" s="3"/>
      <c r="N101" s="30" t="s">
        <v>3355</v>
      </c>
      <c r="O101" s="2"/>
      <c r="P101" s="2"/>
      <c r="Q101" s="2"/>
      <c r="R101" s="2"/>
      <c r="S101" s="2"/>
      <c r="T101" s="2"/>
      <c r="U101" s="2"/>
      <c r="V101" s="2"/>
      <c r="W101" s="2"/>
      <c r="X101" s="2"/>
      <c r="Y101" s="2"/>
      <c r="Z101" s="2"/>
      <c r="AA101" s="2"/>
      <c r="AB101" s="2"/>
      <c r="AC101" s="3"/>
      <c r="AD101" s="31" t="s">
        <v>3356</v>
      </c>
      <c r="AE101" s="2"/>
      <c r="AF101" s="2"/>
      <c r="AG101" s="2"/>
      <c r="AH101" s="2"/>
      <c r="AI101" s="2"/>
      <c r="AJ101" s="3"/>
    </row>
    <row r="102" ht="14.4" customHeight="1" spans="1:36">
      <c r="A102" s="6"/>
      <c r="B102" s="7"/>
      <c r="C102" s="7"/>
      <c r="D102" s="7"/>
      <c r="E102" s="7"/>
      <c r="F102" s="7"/>
      <c r="G102" s="8"/>
      <c r="H102" s="6"/>
      <c r="I102" s="7"/>
      <c r="J102" s="7"/>
      <c r="K102" s="7"/>
      <c r="L102" s="7"/>
      <c r="M102" s="8"/>
      <c r="N102" s="6"/>
      <c r="O102" s="7"/>
      <c r="P102" s="7"/>
      <c r="Q102" s="7"/>
      <c r="R102" s="7"/>
      <c r="S102" s="7"/>
      <c r="T102" s="7"/>
      <c r="U102" s="7"/>
      <c r="V102" s="7"/>
      <c r="W102" s="7"/>
      <c r="X102" s="7"/>
      <c r="Y102" s="7"/>
      <c r="Z102" s="7"/>
      <c r="AA102" s="7"/>
      <c r="AB102" s="7"/>
      <c r="AC102" s="8"/>
      <c r="AD102" s="6"/>
      <c r="AE102" s="7"/>
      <c r="AF102" s="7"/>
      <c r="AG102" s="7"/>
      <c r="AH102" s="7"/>
      <c r="AI102" s="7"/>
      <c r="AJ102" s="8"/>
    </row>
    <row r="103" ht="14.4" customHeight="1" spans="1:36">
      <c r="A103" s="24" t="s">
        <v>3357</v>
      </c>
    </row>
    <row r="104" ht="14.4" customHeight="1" spans="1:36">
      <c r="A104" s="24" t="s">
        <v>3358</v>
      </c>
    </row>
  </sheetData>
  <mergeCells count="329">
    <mergeCell ref="A4:R4"/>
    <mergeCell ref="S4:AJ4"/>
    <mergeCell ref="A5:R5"/>
    <mergeCell ref="S5:AJ5"/>
    <mergeCell ref="A6:R6"/>
    <mergeCell ref="S6:AJ6"/>
    <mergeCell ref="A7:R7"/>
    <mergeCell ref="S7:AJ7"/>
    <mergeCell ref="A8:G8"/>
    <mergeCell ref="H8:M8"/>
    <mergeCell ref="N8:AJ8"/>
    <mergeCell ref="A9:G9"/>
    <mergeCell ref="H9:M9"/>
    <mergeCell ref="N9:AJ9"/>
    <mergeCell ref="A10:F10"/>
    <mergeCell ref="G10:I10"/>
    <mergeCell ref="J10:L10"/>
    <mergeCell ref="M10:S10"/>
    <mergeCell ref="T10:AF10"/>
    <mergeCell ref="AG10:AJ10"/>
    <mergeCell ref="A11:F11"/>
    <mergeCell ref="G11:I11"/>
    <mergeCell ref="J11:L11"/>
    <mergeCell ref="M11:S11"/>
    <mergeCell ref="T11:AF11"/>
    <mergeCell ref="AG11:AJ11"/>
    <mergeCell ref="A12:F12"/>
    <mergeCell ref="G12:I12"/>
    <mergeCell ref="J12:L12"/>
    <mergeCell ref="M12:S12"/>
    <mergeCell ref="T12:AF12"/>
    <mergeCell ref="AG12:AJ12"/>
    <mergeCell ref="A13:F13"/>
    <mergeCell ref="G13:I13"/>
    <mergeCell ref="J13:L13"/>
    <mergeCell ref="M13:S13"/>
    <mergeCell ref="T13:AF13"/>
    <mergeCell ref="AG13:AJ13"/>
    <mergeCell ref="A14:F14"/>
    <mergeCell ref="G14:I14"/>
    <mergeCell ref="J14:L14"/>
    <mergeCell ref="M14:S14"/>
    <mergeCell ref="T14:AF14"/>
    <mergeCell ref="AG14:AJ14"/>
    <mergeCell ref="A15:F15"/>
    <mergeCell ref="G15:I15"/>
    <mergeCell ref="J15:L15"/>
    <mergeCell ref="M15:S15"/>
    <mergeCell ref="T15:AF15"/>
    <mergeCell ref="AG15:AJ15"/>
    <mergeCell ref="A16:F16"/>
    <mergeCell ref="G16:I16"/>
    <mergeCell ref="J16:L16"/>
    <mergeCell ref="M16:S16"/>
    <mergeCell ref="T16:AJ16"/>
    <mergeCell ref="A17:H17"/>
    <mergeCell ref="I17:N17"/>
    <mergeCell ref="O17:S17"/>
    <mergeCell ref="T17:AJ17"/>
    <mergeCell ref="A18:H18"/>
    <mergeCell ref="I18:N18"/>
    <mergeCell ref="O18:S18"/>
    <mergeCell ref="A19:H19"/>
    <mergeCell ref="I19:N19"/>
    <mergeCell ref="O19:S19"/>
    <mergeCell ref="A20:H20"/>
    <mergeCell ref="I20:N20"/>
    <mergeCell ref="O20:S20"/>
    <mergeCell ref="A21:H21"/>
    <mergeCell ref="I21:N21"/>
    <mergeCell ref="O21:S21"/>
    <mergeCell ref="A22:S22"/>
    <mergeCell ref="T25:AJ25"/>
    <mergeCell ref="T26:AB26"/>
    <mergeCell ref="AC26:AJ26"/>
    <mergeCell ref="A27:J27"/>
    <mergeCell ref="K27:L27"/>
    <mergeCell ref="M27:V27"/>
    <mergeCell ref="W27:X27"/>
    <mergeCell ref="Y27:AH27"/>
    <mergeCell ref="AI27:AJ27"/>
    <mergeCell ref="B28:J28"/>
    <mergeCell ref="K28:L28"/>
    <mergeCell ref="N28:V28"/>
    <mergeCell ref="W28:X28"/>
    <mergeCell ref="Z28:AH28"/>
    <mergeCell ref="AI28:AJ28"/>
    <mergeCell ref="B29:J29"/>
    <mergeCell ref="K29:L29"/>
    <mergeCell ref="N29:V29"/>
    <mergeCell ref="W29:X29"/>
    <mergeCell ref="Z29:AH29"/>
    <mergeCell ref="AI29:AJ29"/>
    <mergeCell ref="B30:J30"/>
    <mergeCell ref="K30:L30"/>
    <mergeCell ref="N30:V30"/>
    <mergeCell ref="W30:X30"/>
    <mergeCell ref="Z30:AH30"/>
    <mergeCell ref="AI30:AJ30"/>
    <mergeCell ref="B31:J31"/>
    <mergeCell ref="K31:L31"/>
    <mergeCell ref="N31:V31"/>
    <mergeCell ref="W31:X31"/>
    <mergeCell ref="Z31:AH31"/>
    <mergeCell ref="AI31:AJ31"/>
    <mergeCell ref="B32:J32"/>
    <mergeCell ref="K32:L32"/>
    <mergeCell ref="N32:V32"/>
    <mergeCell ref="W32:X32"/>
    <mergeCell ref="Z32:AH32"/>
    <mergeCell ref="AI32:AJ32"/>
    <mergeCell ref="B33:J33"/>
    <mergeCell ref="K33:L33"/>
    <mergeCell ref="N33:V33"/>
    <mergeCell ref="W33:X33"/>
    <mergeCell ref="Z33:AH33"/>
    <mergeCell ref="AI33:AJ33"/>
    <mergeCell ref="B34:J34"/>
    <mergeCell ref="K34:L34"/>
    <mergeCell ref="N34:V34"/>
    <mergeCell ref="W34:X34"/>
    <mergeCell ref="Z34:AH34"/>
    <mergeCell ref="AI34:AJ34"/>
    <mergeCell ref="B35:J35"/>
    <mergeCell ref="K35:L35"/>
    <mergeCell ref="N35:V35"/>
    <mergeCell ref="W35:X35"/>
    <mergeCell ref="Z35:AH35"/>
    <mergeCell ref="AI35:AJ35"/>
    <mergeCell ref="B36:J36"/>
    <mergeCell ref="K36:L36"/>
    <mergeCell ref="N36:V36"/>
    <mergeCell ref="W36:X36"/>
    <mergeCell ref="Z36:AH36"/>
    <mergeCell ref="AI36:AJ36"/>
    <mergeCell ref="B37:J37"/>
    <mergeCell ref="K37:L37"/>
    <mergeCell ref="N37:V37"/>
    <mergeCell ref="W37:X37"/>
    <mergeCell ref="Z37:AH37"/>
    <mergeCell ref="AI37:AJ37"/>
    <mergeCell ref="B38:J38"/>
    <mergeCell ref="K38:L38"/>
    <mergeCell ref="N38:V38"/>
    <mergeCell ref="W38:X38"/>
    <mergeCell ref="Z38:AH38"/>
    <mergeCell ref="AI38:AJ38"/>
    <mergeCell ref="B39:J39"/>
    <mergeCell ref="K39:L39"/>
    <mergeCell ref="N39:V39"/>
    <mergeCell ref="W39:X39"/>
    <mergeCell ref="Z39:AH39"/>
    <mergeCell ref="AI39:AJ39"/>
    <mergeCell ref="B40:J40"/>
    <mergeCell ref="K40:L40"/>
    <mergeCell ref="N40:V40"/>
    <mergeCell ref="W40:X40"/>
    <mergeCell ref="Z40:AH40"/>
    <mergeCell ref="AI40:AJ40"/>
    <mergeCell ref="B41:J41"/>
    <mergeCell ref="K41:L41"/>
    <mergeCell ref="N41:V41"/>
    <mergeCell ref="W41:X41"/>
    <mergeCell ref="Z41:AH41"/>
    <mergeCell ref="AI41:AJ41"/>
    <mergeCell ref="B42:J42"/>
    <mergeCell ref="K42:L42"/>
    <mergeCell ref="N42:V42"/>
    <mergeCell ref="W42:X42"/>
    <mergeCell ref="Z42:AH42"/>
    <mergeCell ref="AI42:AJ42"/>
    <mergeCell ref="B43:J43"/>
    <mergeCell ref="K43:L43"/>
    <mergeCell ref="N43:V43"/>
    <mergeCell ref="W43:X43"/>
    <mergeCell ref="Z43:AH43"/>
    <mergeCell ref="AI43:AJ43"/>
    <mergeCell ref="B44:J44"/>
    <mergeCell ref="K44:L44"/>
    <mergeCell ref="N44:V44"/>
    <mergeCell ref="W44:X44"/>
    <mergeCell ref="Z44:AH44"/>
    <mergeCell ref="AI44:AJ44"/>
    <mergeCell ref="B45:J45"/>
    <mergeCell ref="K45:L45"/>
    <mergeCell ref="N45:V45"/>
    <mergeCell ref="W45:X45"/>
    <mergeCell ref="Z45:AH45"/>
    <mergeCell ref="AI45:AJ45"/>
    <mergeCell ref="B46:J46"/>
    <mergeCell ref="K46:L46"/>
    <mergeCell ref="N46:V46"/>
    <mergeCell ref="W46:X46"/>
    <mergeCell ref="Z46:AH46"/>
    <mergeCell ref="AI46:AJ46"/>
    <mergeCell ref="B47:J47"/>
    <mergeCell ref="K47:L47"/>
    <mergeCell ref="N47:V47"/>
    <mergeCell ref="W47:X47"/>
    <mergeCell ref="Z47:AH47"/>
    <mergeCell ref="AI47:AJ47"/>
    <mergeCell ref="A50:AJ50"/>
    <mergeCell ref="A51:S51"/>
    <mergeCell ref="T51:AJ51"/>
    <mergeCell ref="A52:AJ52"/>
    <mergeCell ref="A56:AJ56"/>
    <mergeCell ref="A62:AJ62"/>
    <mergeCell ref="A63:AJ63"/>
    <mergeCell ref="A70:AJ70"/>
    <mergeCell ref="A71:B71"/>
    <mergeCell ref="C71:H71"/>
    <mergeCell ref="I71:L71"/>
    <mergeCell ref="M71:Q71"/>
    <mergeCell ref="R71:V71"/>
    <mergeCell ref="W71:AA71"/>
    <mergeCell ref="AB71:AE71"/>
    <mergeCell ref="AF71:AH71"/>
    <mergeCell ref="AI71:AJ71"/>
    <mergeCell ref="A72:B72"/>
    <mergeCell ref="C72:H72"/>
    <mergeCell ref="I72:L72"/>
    <mergeCell ref="M72:Q72"/>
    <mergeCell ref="R72:V72"/>
    <mergeCell ref="W72:AA72"/>
    <mergeCell ref="AB72:AE72"/>
    <mergeCell ref="AF72:AH72"/>
    <mergeCell ref="AI72:AJ72"/>
    <mergeCell ref="A73:B73"/>
    <mergeCell ref="C73:H73"/>
    <mergeCell ref="I73:L73"/>
    <mergeCell ref="M73:Q73"/>
    <mergeCell ref="R73:V73"/>
    <mergeCell ref="W73:AA73"/>
    <mergeCell ref="AB73:AE73"/>
    <mergeCell ref="AF73:AH73"/>
    <mergeCell ref="AI73:AJ73"/>
    <mergeCell ref="A74:B74"/>
    <mergeCell ref="C74:H74"/>
    <mergeCell ref="I74:L74"/>
    <mergeCell ref="M74:Q74"/>
    <mergeCell ref="R74:V74"/>
    <mergeCell ref="W74:AA74"/>
    <mergeCell ref="AB74:AE74"/>
    <mergeCell ref="AF74:AH74"/>
    <mergeCell ref="AI74:AJ74"/>
    <mergeCell ref="A75:B75"/>
    <mergeCell ref="C75:H75"/>
    <mergeCell ref="I75:L75"/>
    <mergeCell ref="M75:Q75"/>
    <mergeCell ref="R75:V75"/>
    <mergeCell ref="W75:AA75"/>
    <mergeCell ref="AB75:AE75"/>
    <mergeCell ref="AF75:AH75"/>
    <mergeCell ref="AI75:AJ75"/>
    <mergeCell ref="A76:B76"/>
    <mergeCell ref="C76:H76"/>
    <mergeCell ref="I76:L76"/>
    <mergeCell ref="M76:Q76"/>
    <mergeCell ref="R76:V76"/>
    <mergeCell ref="W76:AA76"/>
    <mergeCell ref="AB76:AE76"/>
    <mergeCell ref="AF76:AH76"/>
    <mergeCell ref="AI76:AJ76"/>
    <mergeCell ref="A77:B77"/>
    <mergeCell ref="C77:H77"/>
    <mergeCell ref="I77:L77"/>
    <mergeCell ref="M77:Q77"/>
    <mergeCell ref="R77:V77"/>
    <mergeCell ref="W77:AA77"/>
    <mergeCell ref="AB77:AE77"/>
    <mergeCell ref="AF77:AH77"/>
    <mergeCell ref="AI77:AJ77"/>
    <mergeCell ref="A78:B78"/>
    <mergeCell ref="C78:H78"/>
    <mergeCell ref="I78:L78"/>
    <mergeCell ref="M78:Q78"/>
    <mergeCell ref="R78:V78"/>
    <mergeCell ref="W78:AA78"/>
    <mergeCell ref="AB78:AE78"/>
    <mergeCell ref="AF78:AH78"/>
    <mergeCell ref="AI78:AJ78"/>
    <mergeCell ref="A79:R79"/>
    <mergeCell ref="S79:AJ79"/>
    <mergeCell ref="S84:AA84"/>
    <mergeCell ref="AB84:AJ84"/>
    <mergeCell ref="S85:AA85"/>
    <mergeCell ref="AB85:AJ85"/>
    <mergeCell ref="S86:AA86"/>
    <mergeCell ref="AB86:AJ86"/>
    <mergeCell ref="S87:AA87"/>
    <mergeCell ref="AB87:AJ87"/>
    <mergeCell ref="S88:AA88"/>
    <mergeCell ref="AB88:AJ88"/>
    <mergeCell ref="S89:AA89"/>
    <mergeCell ref="AB89:AJ89"/>
    <mergeCell ref="S90:AA90"/>
    <mergeCell ref="AB90:AJ90"/>
    <mergeCell ref="S91:AA91"/>
    <mergeCell ref="AB91:AJ91"/>
    <mergeCell ref="S92:AA92"/>
    <mergeCell ref="AB92:AJ92"/>
    <mergeCell ref="S93:AA93"/>
    <mergeCell ref="AB93:AJ93"/>
    <mergeCell ref="A94:N94"/>
    <mergeCell ref="O94:R94"/>
    <mergeCell ref="A95:N95"/>
    <mergeCell ref="O95:R95"/>
    <mergeCell ref="A96:N96"/>
    <mergeCell ref="O96:R96"/>
    <mergeCell ref="A97:R97"/>
    <mergeCell ref="S97:AJ97"/>
    <mergeCell ref="A103:AJ103"/>
    <mergeCell ref="A104:AJ104"/>
    <mergeCell ref="S80:AJ83"/>
    <mergeCell ref="A53:AJ55"/>
    <mergeCell ref="A1:AJ3"/>
    <mergeCell ref="N101:AC102"/>
    <mergeCell ref="A57:AJ61"/>
    <mergeCell ref="AD101:AJ102"/>
    <mergeCell ref="A80:R93"/>
    <mergeCell ref="T18:AJ24"/>
    <mergeCell ref="A101:G102"/>
    <mergeCell ref="A23:S26"/>
    <mergeCell ref="A64:AJ69"/>
    <mergeCell ref="A48:AJ49"/>
    <mergeCell ref="S94:AJ96"/>
    <mergeCell ref="H101:M102"/>
    <mergeCell ref="A98:R100"/>
    <mergeCell ref="S98:AJ100"/>
  </mergeCells>
  <printOptions horizontalCentered="1"/>
  <pageMargins left="0.32" right="0.32" top="0.34" bottom="0.34" header="0.1" footer="0.1"/>
  <pageSetup paperSize="9" fitToHeight="0" orientation="portrait" useFirstPageNumber="1"/>
  <headerFooter>
    <oddFooter>&amp;C&amp;"微软雅黑"&amp;7 绿色三角洲 · v1.9 · 第 &amp;P / &amp;N 页</oddFooter>
  </headerFooter>
  <rowBreaks count="1" manualBreakCount="1">
    <brk id="52" max="35" man="1"/>
  </rowBreaks>
</worksheet>
</file>

<file path=xl/worksheets/sheet13.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精神疾病</x:v>
      </x:c>
      <x:c r="B2" s="592" t="str">
        <x:v>精神疾病</x:v>
      </x:c>
      <x:c r="C2" s="592" t="str">
        <x:v>精神疾病</x:v>
      </x:c>
    </x:row>
    <x:row r="3" ht="42" customHeight="1">
      <x:c r="A3" s="593" t="inlineStr">
        <x:is>
          <x:t xml:space="preserve">“人类不应知道之事”可选下列前8项；其他精神疾病按创伤确定。</x:t>
        </x:is>
      </x:c>
      <x:c r="B3" s="593" t="str">
        <x:v>在人物卡 DR55 为“人类不应知道之事”选择下列前8项之一。其他疾病由玩家与掌局者按创伤商定，记入人生动力及精神疾病栏。选择名称不会自动扣减技能。</x:v>
      </x:c>
      <x:c r="C3" s="593" t="str">
        <x:v>在人物卡 DR55 为“人类不应知道之事”选择下列前8项之一。其他疾病由玩家与掌局者按创伤商定，记入人生动力及精神疾病栏。选择名称不会自动扣减技能。</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参考选项</x:v>
      </x:c>
    </x:row>
    <x:row r="6" ht="8" customHeight="1">
      <x:c r="A6" s="591"/>
      <x:c r="B6" s="591"/>
      <x:c r="C6" s="591"/>
    </x:row>
    <x:row r="7" ht="27" customHeight="1">
      <x:c r="A7" s="595" t="str">
        <x:v>分类</x:v>
      </x:c>
      <x:c r="B7" s="595" t="str">
        <x:v>名称</x:v>
      </x:c>
      <x:c r="C7" s="595" t="inlineStr">
        <x:is>
          <x:t xml:space="preserve">内容</x:t>
        </x:is>
      </x:c>
    </x:row>
    <x:row r="8" ht="28" customHeight="1">
      <x:c r="A8" s="596" t="inlineStr">
        <x:is>
          <x:t xml:space="preserve">非自然相关精神疾病：背景可选8项</x:t>
        </x:is>
      </x:c>
      <x:c r="B8" s="596" t="str">
        <x:v>非自然相关精神疾病：DR55 的8项背景选项</x:v>
      </x:c>
      <x:c r="C8" s="596" t="str">
        <x:v>非自然相关精神疾病：DR55 的8项背景选项</x:v>
      </x:c>
    </x:row>
    <x:row r="9" ht="70" customHeight="1">
      <x:c r="A9" s="597" t="str">
        <x:v>暴力行为
无力感
非自然现象</x:v>
      </x:c>
      <x:c r="B9" s="598" t="str">
        <x:v>抑郁症</x:v>
      </x:c>
      <x:c r="C9" s="597" t="str">
        <x:v>诱因：回想起曾经历过或施于他人的创伤。表现与规则：绝望、无助或难以抑制的愧疚。急性发作时，每次技能或属性检定消耗1D4毅力。</x:v>
      </x:c>
    </x:row>
    <x:row r="10" ht="70" customHeight="1">
      <x:c r="A10" s="599" t="str">
        <x:v>暴力行为
非自然现象</x:v>
      </x:c>
      <x:c r="B10" s="600" t="str">
        <x:v>偏执型人格障碍</x:v>
      </x:c>
      <x:c r="C10" s="599" t="inlineStr">
        <x:is>
          <x:t xml:space="preserve">诱因：单次掷骰损失至少2点理智。表现与规则：无法信任或依赖他人，把事件、分歧和疑点解释成针对自己的阴谋；无统一数值惩罚。
“偏执”是偏执型人格障碍的简称。</x:t>
        </x:is>
      </x:c>
    </x:row>
    <x:row r="11" ht="54" customHeight="1">
      <x:c r="A11" s="597" t="str">
        <x:v>暴力行为
非自然现象</x:v>
      </x:c>
      <x:c r="B11" s="598" t="str">
        <x:v>睡眠障碍</x:v>
      </x:c>
      <x:c r="C11" s="597" t="str">
        <x:v>诱因：每次尝试入睡时进行理智检定，失败即发作。表现与规则：反复惊醒，24小时无法休息或恢复毅力。</x:v>
      </x:c>
    </x:row>
    <x:row r="12" ht="54" customHeight="1">
      <x:c r="A12" s="599" t="str">
        <x:v>无力感
非自然现象</x:v>
      </x:c>
      <x:c r="B12" s="600" t="str">
        <x:v>分离性人格障碍</x:v>
      </x:c>
      <x:c r="C12" s="599" t="str">
        <x:v>诱因：遭受临时疯狂或触及崩溃点。表现与规则：转为拥有独立性格与记忆的人格；可能出现更多人格。是否以及何时能控制特工，由掌局者决定。</x:v>
      </x:c>
    </x:row>
    <x:row r="13" ht="54" customHeight="1">
      <x:c r="A13" s="597" t="str">
        <x:v>非自然现象</x:v>
      </x:c>
      <x:c r="B13" s="598" t="str">
        <x:v>失忆症</x:v>
      </x:c>
      <x:c r="C13" s="597" t="str">
        <x:v>诱因：单次掷骰损失至少2点理智。表现与规则：与发作相关的内容成为记忆空白，除非特工以某种方式找回。</x:v>
      </x:c>
    </x:row>
    <x:row r="14" ht="54" customHeight="1">
      <x:c r="A14" s="599" t="str">
        <x:v>非自然现象</x:v>
      </x:c>
      <x:c r="B14" s="600" t="str">
        <x:v>人格解体障碍</x:v>
      </x:c>
      <x:c r="C14" s="599" t="str">
        <x:v>诱因：单次掷骰损失至少2点理智。表现与规则：与身体、想法、情感失去联系，感觉与自我剥离；全部技能与属性检定−20%。</x:v>
      </x:c>
    </x:row>
    <x:row r="15" ht="54" customHeight="1">
      <x:c r="A15" s="597" t="str">
        <x:v>非自然现象</x:v>
      </x:c>
      <x:c r="B15" s="598" t="str">
        <x:v>漫游症</x:v>
      </x:c>
      <x:c r="C15" s="597" t="str">
        <x:v>诱因：遭受临时疯狂或触及崩溃点。表现与规则：呆立原地或无目的地漫游，对外界毫无反应；无统一数值惩罚。</x:v>
      </x:c>
    </x:row>
    <x:row r="16" ht="54" customHeight="1">
      <x:c r="A16" s="599" t="str">
        <x:v>非自然现象</x:v>
      </x:c>
      <x:c r="B16" s="600" t="str">
        <x:v>自大狂</x:v>
      </x:c>
      <x:c r="C16" s="599" t="str">
        <x:v>诱因：单次掷骰损失至少2点理智。表现与规则：认为自己具有崇高地位，遭到暗指或质疑便暴怒；以属性或技能请求帮助或争取良好印象的检定自动失败。</x:v>
      </x:c>
    </x:row>
    <x:row r="17" ht="28" customHeight="1">
      <x:c r="A17" s="596" t="str">
        <x:v>其他普通精神疾病：暴力行为与无力感范例</x:v>
      </x:c>
      <x:c r="B17" s="596" t="str">
        <x:v>其他普通精神疾病：暴力行为与无力感范例</x:v>
      </x:c>
      <x:c r="C17" s="596" t="str">
        <x:v>其他普通精神疾病：暴力行为与无力感范例</x:v>
      </x:c>
    </x:row>
    <x:row r="18" ht="70" customHeight="1">
      <x:c r="A18" s="599" t="str">
        <x:v>暴力行为
无力感</x:v>
      </x:c>
      <x:c r="B18" s="600" t="str">
        <x:v>成瘾症</x:v>
      </x:c>
      <x:c r="C18" s="599" t="str">
        <x:v>诱因：单次掷骰损失至少2点理智。表现与规则：急切寻求有害习惯或物质；满足瘾症一般使技能与属性检定−20%。24小时未满足即失去1D6毅力且无法恢复，此后每24小时再失去1D6；毅力低于2时可能不顾后果地满足瘾症。</x:v>
      </x:c>
    </x:row>
    <x:row r="19" ht="54" customHeight="1">
      <x:c r="A19" s="597" t="str">
        <x:v>暴力行为</x:v>
      </x:c>
      <x:c r="B19" s="598" t="str">
        <x:v>间歇性暴怒症</x:v>
      </x:c>
      <x:c r="C19" s="597" t="str">
        <x:v>诱因：单次掷骰损失至少2点理智。表现与规则：爆发与实际或感知威胁程度不相称的暴怒，可能不顾一切攻击眼前事物；手册没有统一数值惩罚。</x:v>
      </x:c>
    </x:row>
    <x:row r="20" ht="54" customHeight="1">
      <x:c r="A20" s="599" t="str">
        <x:v>暴力行为</x:v>
      </x:c>
      <x:c r="B20" s="600" t="str">
        <x:v>恐声症</x:v>
      </x:c>
      <x:c r="C20" s="599" t="str">
        <x:v>诱因：巨大噪音，或足以唤起惊恐的日常噪音。表现与规则：对噪音产生强烈恐惧；急性发作时，所有理智检定−20%。</x:v>
      </x:c>
    </x:row>
    <x:row r="21" ht="70" customHeight="1">
      <x:c r="A21" s="597" t="str">
        <x:v>暴力行为</x:v>
      </x:c>
      <x:c r="B21" s="598" t="str">
        <x:v>创伤后应激障碍</x:v>
      </x:c>
      <x:c r="C21" s="597" t="str">
        <x:v>诱因：回想起曾经历过或施于他人的创伤。表现与规则：噩梦、闪回或强烈压力。急性发作时，掌局者选择：对只有特工自己感知的威胁作暴力反应，或陷入急性抑郁（每次技能或属性检定消耗1D4毅力）。</x:v>
      </x:c>
    </x:row>
    <x:row r="22" ht="70" customHeight="1">
      <x:c r="A22" s="599" t="str">
        <x:v>暴力行为</x:v>
      </x:c>
      <x:c r="B22" s="600" t="str">
        <x:v>图腾强迫症</x:v>
      </x:c>
      <x:c r="C22" s="599" t="str">
        <x:v>诱因：丢失或以为丢失图腾、交予他人、被拿走或摧毁，或一小时未能持有。表现与规则：病态依赖创伤中出现的某件物品。技能、属性与理智检定−10%，直到找回图腾或由掌局者认定找到新图腾。</x:v>
      </x:c>
    </x:row>
    <x:row r="23" ht="54" customHeight="1">
      <x:c r="A23" s="597" t="str">
        <x:v>无力感</x:v>
      </x:c>
      <x:c r="B23" s="598" t="str">
        <x:v>焦虑症</x:v>
      </x:c>
      <x:c r="C23" s="597" t="str">
        <x:v>诱因：单次掷骰损失至少2点理智。表现与规则：强烈担忧、疲惫、头痛和急性焦虑；发作时所有技能和属性检定−20%。</x:v>
      </x:c>
    </x:row>
    <x:row r="24" ht="54" customHeight="1">
      <x:c r="A24" s="599" t="str">
        <x:v>无力感</x:v>
      </x:c>
      <x:c r="B24" s="600" t="str">
        <x:v>转换障碍</x:v>
      </x:c>
      <x:c r="C24" s="599" t="str">
        <x:v>诱因：遭受临时疯狂或触及崩溃点。表现与规则：预先选择失明、失聪或瘫痪；发作时突发相应障碍、全身麻木或剧烈颤抖，直到压力源消失。</x:v>
      </x:c>
    </x:row>
    <x:row r="25" ht="54" customHeight="1">
      <x:c r="A25" s="597" t="str">
        <x:v>无力感</x:v>
      </x:c>
      <x:c r="B25" s="598" t="str">
        <x:v>空间相关恐惧症</x:v>
      </x:c>
      <x:c r="C25" s="597" t="str">
        <x:v>诱因：进入极其开放或密闭的空间，依所选类型。表现与规则：选择密闭恐惧症或广场恐惧症；发作时所有理智检定−20%。</x:v>
      </x:c>
    </x:row>
    <x:row r="26" ht="54" customHeight="1">
      <x:c r="A26" s="599" t="str">
        <x:v>无力感</x:v>
      </x:c>
      <x:c r="B26" s="600" t="str">
        <x:v>痴迷</x:v>
      </x:c>
      <x:c r="C26" s="599" t="str">
        <x:v>诱因：单次掷骰损失至少2点理智。表现与规则：对人、地点、事物、行为或想法痴迷，急性发作可能持续数日。耗时超过数小时的行为−20%。</x:v>
      </x:c>
    </x:row>
    <x:row r="27" ht="54" customHeight="1">
      <x:c r="A27" s="597" t="str">
        <x:v>无力感</x:v>
      </x:c>
      <x:c r="B27" s="598" t="str">
        <x:v>强迫症</x:v>
      </x:c>
      <x:c r="C27" s="597" t="str">
        <x:v>诱因：单次掷骰损失至少2点理智。表现与规则：强烈要求将事物整理妥当；全部技能、属性与理智检定−20%，直到整理好所有事物。</x:v>
      </x:c>
    </x:row>
    <x:row r="28" ht="28" customHeight="1">
      <x:c r="A28" s="596" t="str">
        <x:v>疾病细项：按所患疾病再确定表现形式</x:v>
      </x:c>
      <x:c r="B28" s="596" t="str">
        <x:v>疾病细项：按所患疾病再确定表现形式</x:v>
      </x:c>
      <x:c r="C28" s="596" t="str">
        <x:v>疾病细项：按所患疾病再确定表现形式</x:v>
      </x:c>
    </x:row>
    <x:row r="29" ht="54" customHeight="1">
      <x:c r="A29" s="597" t="str">
        <x:v>精神疾病细项</x:v>
      </x:c>
      <x:c r="B29" s="598" t="str">
        <x:v>转换障碍：失明</x:v>
      </x:c>
      <x:c r="C29" s="597" t="str">
        <x:v>转换障碍的视觉丧失形式。随转换障碍急性发作出现，直到压力源消失。</x:v>
      </x:c>
    </x:row>
    <x:row r="30" ht="54" customHeight="1">
      <x:c r="A30" s="599" t="str">
        <x:v>精神疾病细项</x:v>
      </x:c>
      <x:c r="B30" s="600" t="str">
        <x:v>转换障碍：失聪</x:v>
      </x:c>
      <x:c r="C30" s="599" t="str">
        <x:v>转换障碍的听觉丧失形式。随转换障碍急性发作出现，直到压力源消失。</x:v>
      </x:c>
    </x:row>
    <x:row r="31" ht="54" customHeight="1">
      <x:c r="A31" s="597" t="str">
        <x:v>精神疾病细项</x:v>
      </x:c>
      <x:c r="B31" s="598" t="str">
        <x:v>转换障碍：瘫痪</x:v>
      </x:c>
      <x:c r="C31" s="597" t="str">
        <x:v>转换障碍的行动障碍形式。随转换障碍急性发作出现，直到压力源消失。</x:v>
      </x:c>
    </x:row>
    <x:row r="32" ht="54" customHeight="1">
      <x:c r="A32" s="599" t="str">
        <x:v>精神疾病细项</x:v>
      </x:c>
      <x:c r="B32" s="600" t="str">
        <x:v>密闭恐惧症</x:v>
      </x:c>
      <x:c r="C32" s="599" t="str">
        <x:v>恐惧密闭空间，因难以逃脱而发作。急性发作时理智检定−20%。</x:v>
      </x:c>
    </x:row>
    <x:row r="33" ht="54" customHeight="1">
      <x:c r="A33" s="597" t="str">
        <x:v>精神疾病细项</x:v>
      </x:c>
      <x:c r="B33" s="598" t="str">
        <x:v>广场恐惧症</x:v>
      </x:c>
      <x:c r="C33" s="597" t="str">
        <x:v>恐惧开放空间，因范围过大、难以掌控而发作。急性发作时理智检定−20%。</x:v>
      </x:c>
    </x:row>
    <x:row r="34" ht="28" customHeight="1">
      <x:c r="A34" s="596" t="str">
        <x:v>永久疯狂参考：理智归零后的表现，不属于新角色背景选项</x:v>
      </x:c>
      <x:c r="B34" s="596" t="str">
        <x:v>永久疯狂参考：理智归零后的表现，不属于新角色背景选项</x:v>
      </x:c>
      <x:c r="C34" s="596" t="str">
        <x:v>永久疯狂参考：理智归零后的表现，不属于新角色背景选项</x:v>
      </x:c>
    </x:row>
    <x:row r="35" ht="54" customHeight="1">
      <x:c r="A35" s="597" t="str">
        <x:v>永久疯狂参考</x:v>
      </x:c>
      <x:c r="B35" s="598" t="str">
        <x:v>紧张性抑郁障碍</x:v>
      </x:c>
      <x:c r="C35" s="597" t="str">
        <x:v>理智归零后的常见表现：彻底剥离、停止说话及自我照料。属于由掌局者处理的永久疯狂，不能作为新角色的普通疾病直接选取。</x:v>
      </x:c>
    </x:row>
    <x:row r="36" ht="70" customHeight="1">
      <x:c r="A36" s="599" t="str">
        <x:v>永久疯狂参考</x:v>
      </x:c>
      <x:c r="B36" s="600" t="str">
        <x:v>妄想症</x:v>
      </x:c>
      <x:c r="C36" s="599" t="str">
        <x:v>理智归零后的常见表现：坚信妄想、与幻觉互动，无法以正常方式唤回。原文该节小标题为“妄想症”，同页前文的三项总述写“躁狂症”；保留此译文内部命名差异，不把两者扩成两项。</x:v>
      </x:c>
    </x:row>
    <x:row r="37" ht="54" customHeight="1">
      <x:c r="A37" s="597" t="str">
        <x:v>永久疯狂参考</x:v>
      </x:c>
      <x:c r="B37" s="598" t="str">
        <x:v>精神变态</x:v>
      </x:c>
      <x:c r="C37" s="597" t="str">
        <x:v>理智归零后的常见表现：同理心消失、把他人视作取乐物件，有时仍能伪装正常。是否移出游戏由掌局者决定。</x:v>
      </x:c>
    </x:row>
  </x:sheetData>
  <x:mergeCells>
    <x:mergeCell ref="A2:C2"/>
    <x:mergeCell ref="A3:C3"/>
    <x:mergeCell ref="A4:C4"/>
    <x:mergeCell ref="A8:C8"/>
    <x:mergeCell ref="A17:C17"/>
    <x:mergeCell ref="A28:C28"/>
    <x:mergeCell ref="A34:C34"/>
  </x:mergeCells>
  <x:hyperlinks>
    <x:hyperlink ref="A5" location="'人物卡'!A1"/>
    <x:hyperlink ref="B5" location="'规则速查'!A1"/>
    <x:hyperlink ref="C5" location="'参考选项'!A1"/>
  </x:hyperlinks>
  <x:pageMargins left="0.25" right="0.25" top="0.35" bottom="0.35" header="0.15" footer="0.15"/>
  <x:pageSetup paperSize="9" orientation="landscape" fitToWidth="1" fitToHeight="0"/>
</x:worksheet>
</file>

<file path=xl/worksheets/sheet14.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参考选项</x:v>
      </x:c>
      <x:c r="B2" s="592" t="str">
        <x:v>参考选项</x:v>
      </x:c>
      <x:c r="C2" s="592" t="str">
        <x:v>参考选项</x:v>
      </x:c>
    </x:row>
    <x:row r="3" ht="42" customHeight="1">
      <x:c r="A3" s="593" t="inlineStr">
        <x:is>
          <x:t xml:space="preserve">特训、重要关系和人生动力可自行命名。</x:t>
        </x:is>
      </x:c>
      <x:c r="B3" s="593" t="str">
        <x:v>按创建角色和幕间活动查找常用选项。特训、重要关系及人生动力均可自行命名；职业、技能包、武器和技能专攻保留在已有工作表与主卡下拉中。</x:v>
      </x:c>
      <x:c r="C3" s="593" t="str">
        <x:v>按创建角色和幕间活动查找常用选项。特训、重要关系及人生动力均可自行命名；职业、技能包、武器和技能专攻保留在已有工作表与主卡下拉中。</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精神疾病</x:v>
      </x:c>
    </x:row>
    <x:row r="6" ht="8" customHeight="1">
      <x:c r="A6" s="591"/>
      <x:c r="B6" s="591"/>
      <x:c r="C6" s="591"/>
    </x:row>
    <x:row r="7" ht="27" customHeight="1">
      <x:c r="A7" s="595" t="str">
        <x:v>分类</x:v>
      </x:c>
      <x:c r="B7" s="595" t="str">
        <x:v>名称</x:v>
      </x:c>
      <x:c r="C7" s="595" t="inlineStr">
        <x:is>
          <x:t xml:space="preserve">内容</x:t>
        </x:is>
      </x:c>
    </x:row>
    <x:row r="8" ht="28" customHeight="1">
      <x:c r="A8" s="596" t="str">
        <x:v>属性分配</x:v>
      </x:c>
      <x:c r="B8" s="596" t="str">
        <x:v>属性分配</x:v>
      </x:c>
      <x:c r="C8" s="596" t="str">
        <x:v>属性分配</x:v>
      </x:c>
    </x:row>
    <x:row r="9" ht="54" customHeight="1">
      <x:c r="A9" s="597" t="str">
        <x:v>属性分配</x:v>
      </x:c>
      <x:c r="B9" s="598" t="str">
        <x:v>均衡</x:v>
      </x:c>
      <x:c r="C9" s="597" t="inlineStr">
        <x:is>
          <x:t xml:space="preserve">参考购点排列：13、13、12、12、11、11；合计72点，玩家自行分配到六项属性。</x:t>
        </x:is>
      </x:c>
    </x:row>
    <x:row r="10" ht="54" customHeight="1">
      <x:c r="A10" s="599" t="str">
        <x:v>属性分配</x:v>
      </x:c>
      <x:c r="B10" s="600" t="str">
        <x:v>集中</x:v>
      </x:c>
      <x:c r="C10" s="599" t="inlineStr">
        <x:is>
          <x:t xml:space="preserve">参考购点排列：15、14、12、11、10、10；合计72点，玩家自行分配到六项属性。</x:t>
        </x:is>
      </x:c>
    </x:row>
    <x:row r="11" ht="54" customHeight="1">
      <x:c r="A11" s="597" t="str">
        <x:v>属性分配</x:v>
      </x:c>
      <x:c r="B11" s="598" t="str">
        <x:v>高度集中</x:v>
      </x:c>
      <x:c r="C11" s="597" t="inlineStr">
        <x:is>
          <x:t xml:space="preserve">参考购点排列：17、14、12、10、10、9；合计72点，玩家自行分配到六项属性。</x:t>
        </x:is>
      </x:c>
    </x:row>
    <x:row r="12" ht="28" customHeight="1">
      <x:c r="A12" s="596" t="str">
        <x:v>基础属性</x:v>
      </x:c>
      <x:c r="B12" s="596" t="str">
        <x:v>基础属性</x:v>
      </x:c>
      <x:c r="C12" s="596" t="str">
        <x:v>基础属性</x:v>
      </x:c>
    </x:row>
    <x:row r="13" ht="70" customHeight="1">
      <x:c r="A13" s="597" t="str">
        <x:v>基础属性</x:v>
      </x:c>
      <x:c r="B13" s="598" t="str">
        <x:v>力量（STR）</x:v>
      </x:c>
      <x:c r="C13" s="597" t="inlineStr">
        <x:is>
          <x:t xml:space="preserve">肌肉力量与身体魄力。一般属性检定使用当前有效属性×5。</x:t>
        </x:is>
      </x:c>
    </x:row>
    <x:row r="14" ht="70" customHeight="1">
      <x:c r="A14" s="599" t="str">
        <x:v>基础属性</x:v>
      </x:c>
      <x:c r="B14" s="600" t="str">
        <x:v>体质（CON）</x:v>
      </x:c>
      <x:c r="C14" s="599" t="inlineStr">
        <x:is>
          <x:t xml:space="preserve">健康、体魄与身体耐受力。</x:t>
        </x:is>
      </x:c>
    </x:row>
    <x:row r="15" ht="70" customHeight="1">
      <x:c r="A15" s="597" t="str">
        <x:v>基础属性</x:v>
      </x:c>
      <x:c r="B15" s="598" t="str">
        <x:v>敏捷（DEX）</x:v>
      </x:c>
      <x:c r="C15" s="597" t="inlineStr">
        <x:is>
          <x:t xml:space="preserve">身体灵巧、平衡与全身协调性。</x:t>
        </x:is>
      </x:c>
    </x:row>
    <x:row r="16" ht="70" customHeight="1">
      <x:c r="A16" s="599" t="str">
        <x:v>基础属性</x:v>
      </x:c>
      <x:c r="B16" s="600" t="str">
        <x:v>智力（INT）</x:v>
      </x:c>
      <x:c r="C16" s="599" t="inlineStr">
        <x:is>
          <x:t xml:space="preserve">逻辑、创造力、直觉和教育。</x:t>
        </x:is>
      </x:c>
    </x:row>
    <x:row r="17" ht="70" customHeight="1">
      <x:c r="A17" s="597" t="str">
        <x:v>基础属性</x:v>
      </x:c>
      <x:c r="B17" s="598" t="str">
        <x:v>意志（POW）</x:v>
      </x:c>
      <x:c r="C17" s="597" t="inlineStr">
        <x:is>
          <x:t xml:space="preserve">自我强度、动力与精神耐受度。</x:t>
        </x:is>
      </x:c>
    </x:row>
    <x:row r="18" ht="70" customHeight="1">
      <x:c r="A18" s="599" t="str">
        <x:v>基础属性</x:v>
      </x:c>
      <x:c r="B18" s="600" t="str">
        <x:v>魅力（CHA）</x:v>
      </x:c>
      <x:c r="C18" s="599" t="inlineStr">
        <x:is>
          <x:t xml:space="preserve">吸引力、领导力与个人气质，也可能包括外貌。</x:t>
        </x:is>
      </x:c>
    </x:row>
    <x:row r="19" ht="28" customHeight="1">
      <x:c r="A19" s="596" t="str">
        <x:v>特训范例</x:v>
      </x:c>
      <x:c r="B19" s="596" t="str">
        <x:v>特训范例</x:v>
      </x:c>
      <x:c r="C19" s="596" t="str">
        <x:v>特训范例</x:v>
      </x:c>
    </x:row>
    <x:row r="20" ht="70" customHeight="1">
      <x:c r="A20" s="599" t="str">
        <x:v>特训范例</x:v>
      </x:c>
      <x:c r="B20" s="600" t="str">
        <x:v>跳伞</x:v>
      </x:c>
      <x:c r="C20" s="599" t="inlineStr">
        <x:is>
          <x:t xml:space="preserve">对应运动或敏捷。特训通常需10—20小时指导与练习，为现有技能或属性增加用途；不单独增加技能点。</x:t>
        </x:is>
      </x:c>
    </x:row>
    <x:row r="21" ht="70" customHeight="1">
      <x:c r="A21" s="597" t="str">
        <x:v>特训范例</x:v>
      </x:c>
      <x:c r="B21" s="598" t="str">
        <x:v>滑雪</x:v>
      </x:c>
      <x:c r="C21" s="597" t="inlineStr">
        <x:is>
          <x:t xml:space="preserve">对应运动。</x:t>
        </x:is>
      </x:c>
    </x:row>
    <x:row r="22" ht="70" customHeight="1">
      <x:c r="A22" s="599" t="str">
        <x:v>特训范例</x:v>
      </x:c>
      <x:c r="B22" s="600" t="str">
        <x:v>潜水器材</x:v>
      </x:c>
      <x:c r="C22" s="599" t="inlineStr">
        <x:is>
          <x:t xml:space="preserve">对应游泳。</x:t>
        </x:is>
      </x:c>
    </x:row>
    <x:row r="23" ht="70" customHeight="1">
      <x:c r="A23" s="597" t="str">
        <x:v>特训范例</x:v>
      </x:c>
      <x:c r="B23" s="598" t="str">
        <x:v>太空服活动</x:v>
      </x:c>
      <x:c r="C23" s="597" t="inlineStr">
        <x:is>
          <x:t xml:space="preserve">对应智力。</x:t>
        </x:is>
      </x:c>
    </x:row>
    <x:row r="24" ht="70" customHeight="1">
      <x:c r="A24" s="599" t="str">
        <x:v>特训范例</x:v>
      </x:c>
      <x:c r="B24" s="600" t="str">
        <x:v>罕见的近战武器</x:v>
      </x:c>
      <x:c r="C24" s="599" t="inlineStr">
        <x:is>
          <x:t xml:space="preserve">对应近战武器。</x:t>
        </x:is>
      </x:c>
    </x:row>
    <x:row r="25" ht="70" customHeight="1">
      <x:c r="A25" s="597" t="str">
        <x:v>特训范例</x:v>
      </x:c>
      <x:c r="B25" s="598" t="str">
        <x:v>罕见的手枪或步枪</x:v>
      </x:c>
      <x:c r="C25" s="597" t="inlineStr">
        <x:is>
          <x:t xml:space="preserve">对应射击。</x:t>
        </x:is>
      </x:c>
    </x:row>
    <x:row r="26" ht="70" customHeight="1">
      <x:c r="A26" s="599" t="str">
        <x:v>特训范例</x:v>
      </x:c>
      <x:c r="B26" s="600" t="str">
        <x:v>手榴弹</x:v>
      </x:c>
      <x:c r="C26" s="599" t="inlineStr">
        <x:is>
          <x:t xml:space="preserve">对应运动。</x:t>
        </x:is>
      </x:c>
    </x:row>
    <x:row r="27" ht="70" customHeight="1">
      <x:c r="A27" s="597" t="str">
        <x:v>特训范例</x:v>
      </x:c>
      <x:c r="B27" s="598" t="str">
        <x:v>对某个亚文化的深刻了解</x:v>
      </x:c>
      <x:c r="C27" s="597" t="inlineStr">
        <x:is>
          <x:t xml:space="preserve">对应智力。</x:t>
        </x:is>
      </x:c>
    </x:row>
    <x:row r="28" ht="70" customHeight="1">
      <x:c r="A28" s="599" t="str">
        <x:v>特训范例</x:v>
      </x:c>
      <x:c r="B28" s="600" t="str">
        <x:v>其他国家的刑法</x:v>
      </x:c>
      <x:c r="C28" s="599" t="inlineStr">
        <x:is>
          <x:t xml:space="preserve">对应法律。</x:t>
        </x:is>
      </x:c>
    </x:row>
    <x:row r="29" ht="70" customHeight="1">
      <x:c r="A29" s="597" t="str">
        <x:v>特训范例</x:v>
      </x:c>
      <x:c r="B29" s="598" t="str">
        <x:v>开锁工具</x:v>
      </x:c>
      <x:c r="C29" s="597" t="inlineStr">
        <x:is>
          <x:t xml:space="preserve">对应敏捷。</x:t>
        </x:is>
      </x:c>
    </x:row>
    <x:row r="30" ht="70" customHeight="1">
      <x:c r="A30" s="599" t="str">
        <x:v>特训范例</x:v>
      </x:c>
      <x:c r="B30" s="600" t="str">
        <x:v>电子安保系统</x:v>
      </x:c>
      <x:c r="C30" s="599" t="inlineStr">
        <x:is>
          <x:t xml:space="preserve">对应智力。</x:t>
        </x:is>
      </x:c>
    </x:row>
    <x:row r="31" ht="70" customHeight="1">
      <x:c r="A31" s="597" t="str">
        <x:v>特训范例</x:v>
      </x:c>
      <x:c r="B31" s="598" t="str">
        <x:v>对地下团伙内幕的了解</x:v>
      </x:c>
      <x:c r="C31" s="597" t="inlineStr">
        <x:is>
          <x:t xml:space="preserve">对应犯罪学。</x:t>
        </x:is>
      </x:c>
    </x:row>
    <x:row r="32" ht="70" customHeight="1">
      <x:c r="A32" s="599" t="str">
        <x:v>特训范例</x:v>
      </x:c>
      <x:c r="B32" s="600" t="str">
        <x:v>娴熟地使用一门稀有的方言</x:v>
      </x:c>
      <x:c r="C32" s="599" t="inlineStr">
        <x:is>
          <x:t xml:space="preserve">对应外语。</x:t>
        </x:is>
      </x:c>
    </x:row>
    <x:row r="33" ht="70" customHeight="1">
      <x:c r="A33" s="597" t="str">
        <x:v>特训范例</x:v>
      </x:c>
      <x:c r="B33" s="598" t="str">
        <x:v>黑市</x:v>
      </x:c>
      <x:c r="C33" s="597" t="inlineStr">
        <x:is>
          <x:t xml:space="preserve">对应犯罪学或魅力。</x:t>
        </x:is>
      </x:c>
    </x:row>
    <x:row r="34" ht="28" customHeight="1">
      <x:c r="A34" s="596" t="str">
        <x:v>重要关系范例</x:v>
      </x:c>
      <x:c r="B34" s="596" t="str">
        <x:v>重要关系范例</x:v>
      </x:c>
      <x:c r="C34" s="596" t="str">
        <x:v>重要关系范例</x:v>
      </x:c>
    </x:row>
    <x:row r="35" ht="70" customHeight="1">
      <x:c r="A35" s="597" t="str">
        <x:v>重要关系范例</x:v>
      </x:c>
      <x:c r="B35" s="598" t="str">
        <x:v>配偶或前配偶（个人）</x:v>
      </x:c>
      <x:c r="C35" s="597" t="inlineStr">
        <x:is>
          <x:t xml:space="preserve">写出具体人物或可互动的小群体。每段初始关系值等于有效魅力，数量由职业决定；与群体的关系也只使用一个关系值。</x:t>
        </x:is>
      </x:c>
    </x:row>
    <x:row r="36" ht="70" customHeight="1">
      <x:c r="A36" s="599" t="str">
        <x:v>重要关系范例</x:v>
      </x:c>
      <x:c r="B36" s="600" t="str">
        <x:v>儿子或女儿（个人）</x:v>
      </x:c>
      <x:c r="C36" s="599"/>
    </x:row>
    <x:row r="37" ht="70" customHeight="1">
      <x:c r="A37" s="597" t="str">
        <x:v>重要关系范例</x:v>
      </x:c>
      <x:c r="B37" s="598" t="str">
        <x:v>父母或祖父母之一（个人）</x:v>
      </x:c>
      <x:c r="C37" s="597"/>
    </x:row>
    <x:row r="38" ht="70" customHeight="1">
      <x:c r="A38" s="599" t="str">
        <x:v>重要关系范例</x:v>
      </x:c>
      <x:c r="B38" s="600" t="str">
        <x:v>挚友（个人）</x:v>
      </x:c>
      <x:c r="C38" s="599"/>
    </x:row>
    <x:row r="39" ht="70" customHeight="1">
      <x:c r="A39" s="597" t="str">
        <x:v>重要关系范例</x:v>
      </x:c>
      <x:c r="B39" s="598" t="str">
        <x:v>同事或搭档（个人）</x:v>
      </x:c>
      <x:c r="C39" s="597"/>
    </x:row>
    <x:row r="40" ht="70" customHeight="1">
      <x:c r="A40" s="599" t="str">
        <x:v>重要关系范例</x:v>
      </x:c>
      <x:c r="B40" s="600" t="str">
        <x:v>心理医生或治疗师（个人）</x:v>
      </x:c>
      <x:c r="C40" s="599"/>
    </x:row>
    <x:row r="41" ht="70" customHeight="1">
      <x:c r="A41" s="597" t="str">
        <x:v>重要关系范例</x:v>
      </x:c>
      <x:c r="B41" s="598" t="str">
        <x:v>配偶和孩子（群体）</x:v>
      </x:c>
      <x:c r="C41" s="597"/>
    </x:row>
    <x:row r="42" ht="70" customHeight="1">
      <x:c r="A42" s="599" t="str">
        <x:v>重要关系范例</x:v>
      </x:c>
      <x:c r="B42" s="600" t="str">
        <x:v>父母亲（群体）</x:v>
      </x:c>
      <x:c r="C42" s="599"/>
    </x:row>
    <x:row r="43" ht="70" customHeight="1">
      <x:c r="A43" s="597" t="str">
        <x:v>重要关系范例</x:v>
      </x:c>
      <x:c r="B43" s="598" t="str">
        <x:v>兄弟姐妹（群体）</x:v>
      </x:c>
      <x:c r="C43" s="597"/>
    </x:row>
    <x:row r="44" ht="70" customHeight="1">
      <x:c r="A44" s="599" t="str">
        <x:v>重要关系范例</x:v>
      </x:c>
      <x:c r="B44" s="600" t="str">
        <x:v>一起执行艰难工作的同事（群体）</x:v>
      </x:c>
      <x:c r="C44" s="599"/>
    </x:row>
    <x:row r="45" ht="70" customHeight="1">
      <x:c r="A45" s="597" t="str">
        <x:v>重要关系范例</x:v>
      </x:c>
      <x:c r="B45" s="598" t="str">
        <x:v>教友或互助小组（群体）</x:v>
      </x:c>
      <x:c r="C45" s="597"/>
    </x:row>
    <x:row r="46" ht="70" customHeight="1">
      <x:c r="A46" s="599" t="str">
        <x:v>重要关系范例</x:v>
      </x:c>
      <x:c r="B46" s="600" t="str">
        <x:v>受过同一次创伤的幸存者（群体）</x:v>
      </x:c>
      <x:c r="C46" s="599"/>
    </x:row>
    <x:row r="47" ht="28" customHeight="1">
      <x:c r="A47" s="596" t="str">
        <x:v>人生动力范例</x:v>
      </x:c>
      <x:c r="B47" s="596" t="str">
        <x:v>人生动力范例</x:v>
      </x:c>
      <x:c r="C47" s="596" t="str">
        <x:v>人生动力范例</x:v>
      </x:c>
    </x:row>
    <x:row r="48" ht="70" customHeight="1">
      <x:c r="A48" s="599" t="str">
        <x:v>人生动力范例</x:v>
      </x:c>
      <x:c r="B48" s="600" t="str">
        <x:v>信仰</x:v>
      </x:c>
      <x:c r="C48" s="599" t="inlineStr">
        <x:is>
          <x:t xml:space="preserve">角色所信奉的价值或信仰。至多5条人生动力，可自行补充；每当触及崩溃点，去除一条动力并记录相应创伤。</x:t>
        </x:is>
      </x:c>
    </x:row>
    <x:row r="49" ht="70" customHeight="1">
      <x:c r="A49" s="597" t="str">
        <x:v>人生动力范例</x:v>
      </x:c>
      <x:c r="B49" s="598" t="str">
        <x:v>爱国情结</x:v>
      </x:c>
      <x:c r="C49" s="597" t="inlineStr">
        <x:is>
          <x:t xml:space="preserve">保卫国家、履行责任等角色信念。</x:t>
        </x:is>
      </x:c>
    </x:row>
    <x:row r="50" ht="70" customHeight="1">
      <x:c r="A50" s="599" t="str">
        <x:v>人生动力范例</x:v>
      </x:c>
      <x:c r="B50" s="600" t="str">
        <x:v>兴趣爱好</x:v>
      </x:c>
      <x:c r="C50" s="599" t="inlineStr">
        <x:is>
          <x:t xml:space="preserve">角色在工作之外认为有意义的事情。</x:t>
        </x:is>
      </x:c>
    </x:row>
    <x:row r="51" ht="87" customHeight="1">
      <x:c r="A51" s="597" t="str">
        <x:v>人生动力范例</x:v>
      </x:c>
      <x:c r="B51" s="598" t="str">
        <x:v>宠物</x:v>
      </x:c>
      <x:c r="C51" s="597" t="inlineStr">
        <x:is>
          <x:t xml:space="preserve">对宠物的关爱可以成为人生动力，但宠物不能成为重要关系。</x:t>
        </x:is>
      </x:c>
    </x:row>
    <x:row r="52" ht="28" customHeight="1">
      <x:c r="A52" s="596" t="str">
        <x:v>创伤经历</x:v>
      </x:c>
      <x:c r="B52" s="596" t="str">
        <x:v>创伤经历</x:v>
      </x:c>
      <x:c r="C52" s="596" t="str">
        <x:v>创伤经历</x:v>
      </x:c>
    </x:row>
    <x:row r="53" ht="70" customHeight="1">
      <x:c r="A53" s="597" t="str">
        <x:v>创伤经历</x:v>
      </x:c>
      <x:c r="B53" s="598" t="str">
        <x:v>极端暴力</x:v>
      </x:c>
      <x:c r="C53" s="597" t="inlineStr">
        <x:is>
          <x:t xml:space="preserve">神秘学+10；理智−5；魅力−3，各重要关系−3；适应暴力。与掌局者共同补充经历细节。</x:t>
        </x:is>
      </x:c>
    </x:row>
    <x:row r="54" ht="70" customHeight="1">
      <x:c r="A54" s="599" t="str">
        <x:v>创伤经历</x:v>
      </x:c>
      <x:c r="B54" s="600" t="str">
        <x:v>关押或入狱</x:v>
      </x:c>
      <x:c r="C54" s="599" t="inlineStr">
        <x:is>
          <x:t xml:space="preserve">神秘学+10；理智−5；意志−3，该意志下降不再降低理智；适应无力感。与掌局者共同补充经历细节。</x:t>
        </x:is>
      </x:c>
    </x:row>
    <x:row r="55" ht="70" customHeight="1">
      <x:c r="A55" s="597" t="str">
        <x:v>创伤经历</x:v>
      </x:c>
      <x:c r="B55" s="598" t="str">
        <x:v>艰苦经历</x:v>
      </x:c>
      <x:c r="C55" s="597" t="inlineStr">
        <x:is>
          <x:t xml:space="preserve">神秘学及另外5项所选技能各+10，非自然知识除外，最高90%；理智−5；去掉一段重要关系。与掌局者共同补充经历细节。</x:t>
        </x:is>
      </x:c>
    </x:row>
    <x:row r="56" ht="70" customHeight="1">
      <x:c r="A56" s="599" t="str">
        <x:v>创伤经历</x:v>
      </x:c>
      <x:c r="B56" s="600" t="str">
        <x:v>人类不应知道之事</x:v>
      </x:c>
      <x:c r="C56" s="599" t="inlineStr">
        <x:is>
          <x:t xml:space="preserve">非自然知识+10；神秘学+20；理智减去意志；选择一项非自然相关精神疾病；崩溃点重置为新理智−意志。与掌局者共同补充经历细节。</x:t>
        </x:is>
      </x:c>
    </x:row>
    <x:row r="57" ht="28" customHeight="1">
      <x:c r="A57" s="596" t="str">
        <x:v>适应理智损失</x:v>
      </x:c>
      <x:c r="B57" s="596" t="str">
        <x:v>适应理智损失</x:v>
      </x:c>
      <x:c r="C57" s="596" t="str">
        <x:v>适应理智损失</x:v>
      </x:c>
    </x:row>
    <x:row r="58" ht="87" customHeight="1">
      <x:c r="A58" s="599" t="str">
        <x:v>适应理智损失</x:v>
      </x:c>
      <x:c r="B58" s="600" t="str">
        <x:v>暴力行为</x:v>
      </x:c>
      <x:c r="C58" s="599" t="inlineStr">
        <x:is>
          <x:t xml:space="preserve">连续3次因暴力损失理智、期间未因暴力临时疯狂或触及崩溃点，即获得适应。此后对应理智检定自动成功；获得时魅力永久−1D6，全部重要关系损失相同点数。这是游戏中获得适应的规则；创建时的创伤背景已规定固定代价，不额外叠加本项1D6损失。</x:t>
        </x:is>
      </x:c>
    </x:row>
    <x:row r="59" ht="87" customHeight="1">
      <x:c r="A59" s="597" t="str">
        <x:v>适应理智损失</x:v>
      </x:c>
      <x:c r="B59" s="598" t="str">
        <x:v>无力感</x:v>
      </x:c>
      <x:c r="C59" s="597" t="inlineStr">
        <x:is>
          <x:t xml:space="preserve">连续3次因无力感损失理智、期间未因无力感临时疯狂或触及崩溃点，即获得适应。此后对应理智检定自动成功；获得时意志永久−1D6。这是游戏中获得适应的规则；创建时的创伤背景已规定固定代价，不额外叠加本项1D6损失。</x:t>
        </x:is>
      </x:c>
    </x:row>
    <x:row r="60" ht="28" customHeight="1">
      <x:c r="A60" s="596" t="str">
        <x:v>临时疯狂反应</x:v>
      </x:c>
      <x:c r="B60" s="596" t="str">
        <x:v>临时疯狂反应</x:v>
      </x:c>
      <x:c r="C60" s="596" t="str">
        <x:v>临时疯狂反应</x:v>
      </x:c>
    </x:row>
    <x:row r="61" ht="87" customHeight="1">
      <x:c r="A61" s="597" t="str">
        <x:v>临时疯狂反应</x:v>
      </x:c>
      <x:c r="B61" s="598" t="str">
        <x:v>逃跑</x:v>
      </x:c>
      <x:c r="C61" s="597" t="inlineStr">
        <x:is>
          <x:t xml:space="preserve">单次理智检定损失至少5点时，与掌局者根据情境商定反应。尽快远离理智损失来源，持续体质个战斗轮或直到认为安全（先到者），随后精疲力尽；常见于非自然现象和暴力行为。</x:t>
        </x:is>
      </x:c>
    </x:row>
    <x:row r="62" ht="70" customHeight="1">
      <x:c r="A62" s="599" t="str">
        <x:v>临时疯狂反应</x:v>
      </x:c>
      <x:c r="B62" s="600" t="str">
        <x:v>搏命</x:v>
      </x:c>
      <x:c r="C62" s="599" t="inlineStr">
        <x:is>
          <x:t xml:space="preserve">单次理智检定损失至少5点时，与掌局者根据情境商定反应。攻击最近威胁，不论其强弱，直到昏迷、死亡或受束缚；常见于无力感和暴力行为。</x:t>
        </x:is>
      </x:c>
    </x:row>
    <x:row r="63" ht="87" customHeight="1">
      <x:c r="A63" s="597" t="str">
        <x:v>临时疯狂反应</x:v>
      </x:c>
      <x:c r="B63" s="598" t="str">
        <x:v>屈服</x:v>
      </x:c>
      <x:c r="C63" s="597" t="inlineStr">
        <x:is>
          <x:t xml:space="preserve">单次理智检定损失至少5点时，与掌局者根据情境商定反应。失去知觉或陷入呆滞无反应，直到掌局者认定恢复；回忆创伤细节需智力×5检定并造成压力；常见于非自然现象和无力感。</x:t>
        </x:is>
      </x:c>
    </x:row>
    <x:row r="64" ht="28" customHeight="1">
      <x:c r="A64" s="596" t="str">
        <x:v>幕间私人规划</x:v>
      </x:c>
      <x:c r="B64" s="596" t="str">
        <x:v>幕间私人规划</x:v>
      </x:c>
      <x:c r="C64" s="596" t="str">
        <x:v>幕间私人规划</x:v>
      </x:c>
    </x:row>
    <x:row r="65" ht="70" customHeight="1">
      <x:c r="A65" s="597" t="str">
        <x:v>幕间私人规划</x:v>
      </x:c>
      <x:c r="B65" s="598" t="str">
        <x:v>按部就班</x:v>
      </x:c>
      <x:c r="C65" s="597" t="inlineStr">
        <x:is>
          <x:t xml:space="preserve">维护一项非绿色三角洲关系，理智成功：关系+1D6（不超过魅力）；大成功另加1理智（不超过意志×5）；失败关系+1；大失败关系−1D4、理智−1。</x:t>
        </x:is>
      </x:c>
    </x:row>
    <x:row r="66" ht="70" customHeight="1">
      <x:c r="A66" s="599" t="str">
        <x:v>幕间私人规划</x:v>
      </x:c>
      <x:c r="B66" s="600" t="str">
        <x:v>远离喧嚣</x:v>
      </x:c>
      <x:c r="C66" s="599" t="inlineStr">
        <x:is>
          <x:t xml:space="preserve">一项非绿色三角洲关系−1；理智成功：理智+1D4，大成功改+4，均不超过意志×5；失败+1；大失败−1D4。</x:t>
        </x:is>
      </x:c>
    </x:row>
    <x:row r="67" ht="70" customHeight="1">
      <x:c r="A67" s="597" t="str">
        <x:v>幕间私人规划</x:v>
      </x:c>
      <x:c r="B67" s="598" t="str">
        <x:v>建立新的重要关系</x:v>
      </x:c>
      <x:c r="C67" s="597" t="inlineStr">
        <x:is>
          <x:t xml:space="preserve">魅力×5成功可建立新关系，初始值为魅力一半、向上取整；同时一项旧有的非绿色三角洲关系−1。</x:t>
        </x:is>
      </x:c>
    </x:row>
    <x:row r="68" ht="87" customHeight="1">
      <x:c r="A68" s="599" t="str">
        <x:v>幕间私人规划</x:v>
      </x:c>
      <x:c r="B68" s="600" t="str">
        <x:v>接受心理治疗</x:v>
      </x:c>
      <x:c r="C68" s="599" t="inlineStr">
        <x:is>
          <x:t xml:space="preserve">一项非绿色三角洲关系−1；使用幸运或治疗师的精神治疗检定，恢复量随是否坦白而异。大成功可能治愈疾病并建立治疗师关系；痊愈疾病仍保留记录，之后可能复发。</x:t>
        </x:is>
      </x:c>
    </x:row>
    <x:row r="69" ht="70" customHeight="1">
      <x:c r="A69" s="597" t="str">
        <x:v>幕间私人规划</x:v>
      </x:c>
      <x:c r="B69" s="598" t="str">
        <x:v>提升技能或属性</x:v>
      </x:c>
      <x:c r="C69" s="597" t="inlineStr">
        <x:is>
          <x:t xml:space="preserve">选择两项不同的技能/属性，各进行技能或属性×5检定；失败则技能+3D6（上限99%）或属性+1（上限18）。每提升一项，损失一项非绿色三角洲关系1点。</x:t>
        </x:is>
      </x:c>
    </x:row>
    <x:row r="70" ht="70" customHeight="1">
      <x:c r="A70" s="599" t="str">
        <x:v>幕间私人规划</x:v>
      </x:c>
      <x:c r="B70" s="600" t="str">
        <x:v>重建人生动力</x:v>
      </x:c>
      <x:c r="C70" s="599" t="inlineStr">
        <x:is>
          <x:t xml:space="preserve">理智成功：理智+1，大成功改+1D4，均不超过意志×5，并使一项非绿色三角洲关系−1；大失败理智−1。</x:t>
        </x:is>
      </x:c>
    </x:row>
    <x:row r="71" ht="54" customHeight="1">
      <x:c r="A71" s="597" t="str">
        <x:v>幕间私人规划</x:v>
      </x:c>
      <x:c r="B71" s="598" t="str">
        <x:v>进行特训</x:v>
      </x:c>
      <x:c r="C71" s="597" t="inlineStr">
        <x:is>
          <x:t xml:space="preserve">获得一项新的特训；因忽略责任，使一项非绿色三角洲关系−1。</x:t>
        </x:is>
      </x:c>
    </x:row>
    <x:row r="72" ht="70" customHeight="1">
      <x:c r="A72" s="599" t="str">
        <x:v>幕间私人规划</x:v>
      </x:c>
      <x:c r="B72" s="600" t="str">
        <x:v>回顾案件</x:v>
      </x:c>
      <x:c r="C72" s="599" t="inlineStr">
        <x:is>
          <x:t xml:space="preserve">一项非绿色三角洲关系−1；掌局者暗骰犯罪学或神秘学，决定线索及风险；无论结果如何，理智增减1D6−3。</x:t>
        </x:is>
      </x:c>
    </x:row>
    <x:row r="73" ht="70" customHeight="1">
      <x:c r="A73" s="597" t="str">
        <x:v>幕间私人规划</x:v>
      </x:c>
      <x:c r="B73" s="598" t="str">
        <x:v>研究非自然知识</x:v>
      </x:c>
      <x:c r="C73" s="597" t="inlineStr">
        <x:is>
          <x:t xml:space="preserve">研究禁忌资料，非自然知识的具体增长与发现由掌局者决定；任选一项重要关系损失1D4。</x:t>
        </x:is>
      </x:c>
    </x:row>
    <x:row r="74" ht="28" customHeight="1">
      <x:c r="A74" s="596" t="str">
        <x:v>已有选项入口</x:v>
      </x:c>
      <x:c r="B74" s="596" t="str">
        <x:v>已有选项入口</x:v>
      </x:c>
      <x:c r="C74" s="596" t="str">
        <x:v>已有选项入口</x:v>
      </x:c>
    </x:row>
    <x:row r="75" ht="54" customHeight="1">
      <x:c r="A75" s="597" t="str">
        <x:v>已有选项入口</x:v>
      </x:c>
      <x:c r="B75" s="598" t="str">
        <x:v>职业与子模板</x:v>
      </x:c>
      <x:c r="C75" s="597" t="inlineStr">
        <x:is>
          <x:t xml:space="preserve">选择职业及适用子模板后自动联动。</x:t>
        </x:is>
      </x:c>
    </x:row>
    <x:row r="76" ht="54" customHeight="1">
      <x:c r="A76" s="599" t="str">
        <x:v>已有选项入口</x:v>
      </x:c>
      <x:c r="B76" s="600" t="str">
        <x:v>额外技能包</x:v>
      </x:c>
      <x:c r="C76" s="599" t="inlineStr">
        <x:is>
          <x:t xml:space="preserve">选择技能包，任选项直接在人物卡内选择。</x:t>
        </x:is>
      </x:c>
    </x:row>
    <x:row r="77" ht="70" customHeight="1">
      <x:c r="A77" s="597" t="str">
        <x:v>已有选项入口</x:v>
      </x:c>
      <x:c r="B77" s="598" t="str">
        <x:v>技能专攻</x:v>
      </x:c>
      <x:c r="C77" s="597" t="inlineStr">
        <x:is>
          <x:t xml:space="preserve">艺术、工艺、外语、军事科学、特种载具、科学的专攻范例；可按情境自定。</x:t>
        </x:is>
      </x:c>
    </x:row>
    <x:row r="78" ht="54" customHeight="1">
      <x:c r="A78" s="599" t="str">
        <x:v>已有选项入口</x:v>
      </x:c>
      <x:c r="B78" s="600" t="str">
        <x:v>武器与护甲</x:v>
      </x:c>
      <x:c r="C78" s="599" t="inlineStr">
        <x:is>
          <x:t xml:space="preserve">武器、护甲与特殊效果。</x:t>
        </x:is>
      </x:c>
    </x:row>
  </x:sheetData>
  <x:mergeCells>
    <x:mergeCell ref="A2:C2"/>
    <x:mergeCell ref="A3:C3"/>
    <x:mergeCell ref="A4:C4"/>
    <x:mergeCell ref="A8:C8"/>
    <x:mergeCell ref="A12:C12"/>
    <x:mergeCell ref="A19:C19"/>
    <x:mergeCell ref="A34:C34"/>
    <x:mergeCell ref="A47:C47"/>
    <x:mergeCell ref="A52:C52"/>
    <x:mergeCell ref="A57:C57"/>
    <x:mergeCell ref="A60:C60"/>
    <x:mergeCell ref="A64:C64"/>
    <x:mergeCell ref="A74:C74"/>
  </x:mergeCells>
  <x:hyperlinks>
    <x:hyperlink ref="A5" location="'人物卡'!A1"/>
    <x:hyperlink ref="B5" location="'规则速查'!A1"/>
    <x:hyperlink ref="C5" location="'精神疾病'!A1"/>
  </x:hyperlinks>
  <x:pageMargins left="0.25" right="0.25" top="0.35" bottom="0.35" header="0.15" footer="0.15"/>
  <x:pageSetup paperSize="9" orientation="landscape" fitToWidth="1" fitToHeight="0"/>
</x:worksheet>
</file>

<file path=xl/worksheets/sheet15.xml><?xml version="1.0" encoding="utf-8"?>
<x:worksheet xmlns:x="http://schemas.openxmlformats.org/spreadsheetml/2006/main">
  <x:sheetPr>
    <x:tabColor rgb="FFB4C6E7"/>
    <x:pageSetUpPr fitToPage="1"/>
  </x:sheetPr>
  <x:sheetViews>
    <x:sheetView showGridLines="0" workbookViewId="0">
      <x:pane xSplit="2" ySplit="7" topLeftCell="C8" activePane="bottomRight" state="frozen"/>
    </x:sheetView>
  </x:sheetViews>
  <x:sheetFormatPr defaultRowHeight="15"/>
  <x:cols>
    <x:col min="1" max="1" width="7" hidden="0" customWidth="1"/>
    <x:col min="2" max="2" width="13" hidden="0" customWidth="1"/>
    <x:col min="3" max="3" width="25" hidden="0" customWidth="1"/>
    <x:col min="4" max="4" width="19" hidden="0" customWidth="1"/>
    <x:col min="5" max="5" width="22" hidden="0" customWidth="1"/>
    <x:col min="6" max="6" width="42" hidden="0" customWidth="1"/>
    <x:col min="7" max="7" width="40" hidden="0" customWidth="1"/>
    <x:col min="8" max="8" width="42" hidden="0" customWidth="1"/>
  </x:cols>
  <x:sheetData>
    <x:row r="1" ht="30" customHeight="1">
      <x:c r="A1" s="601" t="str">
        <x:v>绿色三角洲｜模组经历备忘录　v1.9</x:v>
      </x:c>
      <x:c r="B1" s="601" t="str">
        <x:v>绿色三角洲｜模组经历备忘录　v1.9</x:v>
      </x:c>
      <x:c r="C1" s="601" t="str">
        <x:v>绿色三角洲｜模组经历备忘录　v1.9</x:v>
      </x:c>
      <x:c r="D1" s="601" t="str">
        <x:v>绿色三角洲｜模组经历备忘录　v1.9</x:v>
      </x:c>
      <x:c r="E1" s="601" t="str">
        <x:v>绿色三角洲｜模组经历备忘录　v1.9</x:v>
      </x:c>
      <x:c r="F1" s="601" t="str">
        <x:v>绿色三角洲｜模组经历备忘录　v1.9</x:v>
      </x:c>
      <x:c r="G1" s="601" t="str">
        <x:v>绿色三角洲｜模组经历备忘录　v1.9</x:v>
      </x:c>
      <x:c r="H1" s="601" t="str">
        <x:v>绿色三角洲｜模组经历备忘录　v1.9</x:v>
      </x:c>
    </x:row>
    <x:row r="2" ht="25" customHeight="1">
      <x:c r="A2" s="602" t="inlineStr">
        <x:is>
          <x:t xml:space="preserve">每场游戏或行动结束后记录一条。</x:t>
        </x:is>
      </x:c>
      <x:c r="B2" s="602" t="str">
        <x:v>每场或每次行动结束后记一条。可记录任务结果、重要人物、角色变化和下次开局要处理的事项。</x:v>
      </x:c>
      <x:c r="C2" s="602" t="str">
        <x:v>每场或每次行动结束后记一条。可记录任务结果、重要人物、角色变化和下次开局要处理的事项。</x:v>
      </x:c>
      <x:c r="D2" s="602" t="str">
        <x:v>每场或每次行动结束后记一条。可记录任务结果、重要人物、角色变化和下次开局要处理的事项。</x:v>
      </x:c>
      <x:c r="E2" s="602" t="str">
        <x:v>每场或每次行动结束后记一条。可记录任务结果、重要人物、角色变化和下次开局要处理的事项。</x:v>
      </x:c>
      <x:c r="F2" s="602" t="str">
        <x:v>每场或每次行动结束后记一条。可记录任务结果、重要人物、角色变化和下次开局要处理的事项。</x:v>
      </x:c>
      <x:c r="G2" s="602" t="str">
        <x:v>每场或每次行动结束后记一条。可记录任务结果、重要人物、角色变化和下次开局要处理的事项。</x:v>
      </x:c>
      <x:c r="H2" s="602" t="str">
        <x:v>每场或每次行动结束后记一条。可记录任务结果、重要人物、角色变化和下次开局要处理的事项。</x:v>
      </x:c>
    </x:row>
    <x:row r="3" ht="25" customHeight="1">
      <x:c r="A3" s="602"/>
      <x:c r="B3" s="602" t="str">
        <x:v>角色变化可记技能成长、理智与崩溃点、创伤、重要关系、装备及幕间活动；人物卡中的当前数值仍在对应栏目填写。</x:v>
      </x:c>
      <x:c r="C3" s="602" t="str">
        <x:v>角色变化可记技能成长、理智与崩溃点、创伤、重要关系、装备及幕间活动；人物卡中的当前数值仍在对应栏目填写。</x:v>
      </x:c>
      <x:c r="D3" s="602" t="str">
        <x:v>角色变化可记技能成长、理智与崩溃点、创伤、重要关系、装备及幕间活动；人物卡中的当前数值仍在对应栏目填写。</x:v>
      </x:c>
      <x:c r="E3" s="602" t="str">
        <x:v>角色变化可记技能成长、理智与崩溃点、创伤、重要关系、装备及幕间活动；人物卡中的当前数值仍在对应栏目填写。</x:v>
      </x:c>
      <x:c r="F3" s="602" t="str">
        <x:v>角色变化可记技能成长、理智与崩溃点、创伤、重要关系、装备及幕间活动；人物卡中的当前数值仍在对应栏目填写。</x:v>
      </x:c>
      <x:c r="G3" s="602" t="str">
        <x:v>角色变化可记技能成长、理智与崩溃点、创伤、重要关系、装备及幕间活动；人物卡中的当前数值仍在对应栏目填写。</x:v>
      </x:c>
      <x:c r="H3" s="602" t="str">
        <x:v>角色变化可记技能成长、理智与崩溃点、创伤、重要关系、装备及幕间活动；人物卡中的当前数值仍在对应栏目填写。</x:v>
      </x:c>
    </x:row>
    <x:row r="4" ht="8" customHeight="1">
      <x:c r="A4" s="602"/>
      <x:c r="B4" s="602"/>
      <x:c r="C4" s="602"/>
      <x:c r="D4" s="602"/>
      <x:c r="E4" s="602"/>
      <x:c r="F4" s="602"/>
      <x:c r="G4" s="602"/>
      <x:c r="H4" s="602"/>
    </x:row>
    <x:row r="5" ht="24" customHeight="1">
      <x:c r="A5" s="582" t="inlineStr">
        <x:is>
          <x:t xml:space="preserve">返回人物卡</x:t>
        </x:is>
      </x:c>
      <x:c r="B5" s="602" t="str">
        <x:v>返回人物卡</x:v>
      </x:c>
      <x:c r="C5" s="582" t="inlineStr">
        <x:is>
          <x:t xml:space="preserve">规则速查</x:t>
        </x:is>
      </x:c>
      <x:c r="D5" s="602" t="str">
        <x:v>规则速查</x:v>
      </x:c>
      <x:c r="E5" s="582" t="inlineStr">
        <x:is>
          <x:t xml:space="preserve">绿箱生成器</x:t>
        </x:is>
      </x:c>
      <x:c r="F5" s="602" t="str">
        <x:v>绿箱生成器</x:v>
      </x:c>
      <x:c r="G5" s="582" t="inlineStr">
        <x:is>
          <x:t xml:space="preserve">版本与更新</x:t>
        </x:is>
      </x:c>
      <x:c r="H5" s="582" t="inlineStr">
        <x:is>
          <x:t>幕间与结算</x:t>
        </x:is>
      </x:c>
    </x:row>
    <x:row r="6" ht="8" customHeight="1">
      <x:c r="A6" s="602"/>
      <x:c r="B6" s="602"/>
      <x:c r="C6" s="602"/>
      <x:c r="D6" s="602"/>
      <x:c r="E6" s="602"/>
      <x:c r="F6" s="602"/>
      <x:c r="G6" s="602"/>
      <x:c r="H6" s="602"/>
    </x:row>
    <x:row r="7" ht="28" customHeight="1">
      <x:c r="A7" s="603" t="str">
        <x:v>序号</x:v>
      </x:c>
      <x:c r="B7" s="603" t="str">
        <x:v>游戏日期</x:v>
      </x:c>
      <x:c r="C7" s="603" t="str">
        <x:v>模组／行动名称</x:v>
      </x:c>
      <x:c r="D7" s="603" t="str">
        <x:v>场次／掌局者</x:v>
      </x:c>
      <x:c r="E7" s="603" t="str">
        <x:v>同行特工</x:v>
      </x:c>
      <x:c r="F7" s="603" t="str">
        <x:v>经历与行动结果</x:v>
      </x:c>
      <x:c r="G7" s="603" t="str">
        <x:v>角色变化／幕间事项</x:v>
      </x:c>
      <x:c r="H7" s="603" t="str">
        <x:v>线索与下次备忘</x:v>
      </x:c>
    </x:row>
    <x:row r="8" ht="74" customHeight="1">
      <x:c r="A8" s="604" t="n">
        <x:v>1</x:v>
      </x:c>
      <x:c r="B8" s="605"/>
      <x:c r="C8" s="604"/>
      <x:c r="D8" s="604"/>
      <x:c r="E8" s="604"/>
      <x:c r="F8" s="604"/>
      <x:c r="G8" s="604"/>
      <x:c r="H8" s="604"/>
    </x:row>
    <x:row r="9" ht="74" customHeight="1">
      <x:c r="A9" s="606" t="n">
        <x:v>2</x:v>
      </x:c>
      <x:c r="B9" s="607"/>
      <x:c r="C9" s="606"/>
      <x:c r="D9" s="606"/>
      <x:c r="E9" s="606"/>
      <x:c r="F9" s="606"/>
      <x:c r="G9" s="606"/>
      <x:c r="H9" s="606"/>
    </x:row>
    <x:row r="10" ht="74" customHeight="1">
      <x:c r="A10" s="604" t="n">
        <x:v>3</x:v>
      </x:c>
      <x:c r="B10" s="605"/>
      <x:c r="C10" s="604"/>
      <x:c r="D10" s="604"/>
      <x:c r="E10" s="604"/>
      <x:c r="F10" s="604"/>
      <x:c r="G10" s="604"/>
      <x:c r="H10" s="604"/>
    </x:row>
    <x:row r="11" ht="74" customHeight="1">
      <x:c r="A11" s="606" t="n">
        <x:v>4</x:v>
      </x:c>
      <x:c r="B11" s="607"/>
      <x:c r="C11" s="606"/>
      <x:c r="D11" s="606"/>
      <x:c r="E11" s="606"/>
      <x:c r="F11" s="606"/>
      <x:c r="G11" s="606"/>
      <x:c r="H11" s="606"/>
    </x:row>
    <x:row r="12" ht="74" customHeight="1">
      <x:c r="A12" s="604" t="n">
        <x:v>5</x:v>
      </x:c>
      <x:c r="B12" s="605"/>
      <x:c r="C12" s="604"/>
      <x:c r="D12" s="604"/>
      <x:c r="E12" s="604"/>
      <x:c r="F12" s="604"/>
      <x:c r="G12" s="604"/>
      <x:c r="H12" s="604"/>
    </x:row>
    <x:row r="13" ht="74" customHeight="1">
      <x:c r="A13" s="606" t="n">
        <x:v>6</x:v>
      </x:c>
      <x:c r="B13" s="607"/>
      <x:c r="C13" s="606"/>
      <x:c r="D13" s="606"/>
      <x:c r="E13" s="606"/>
      <x:c r="F13" s="606"/>
      <x:c r="G13" s="606"/>
      <x:c r="H13" s="606"/>
    </x:row>
    <x:row r="14" ht="74" customHeight="1">
      <x:c r="A14" s="604" t="n">
        <x:v>7</x:v>
      </x:c>
      <x:c r="B14" s="605"/>
      <x:c r="C14" s="604"/>
      <x:c r="D14" s="604"/>
      <x:c r="E14" s="604"/>
      <x:c r="F14" s="604"/>
      <x:c r="G14" s="604"/>
      <x:c r="H14" s="604"/>
    </x:row>
    <x:row r="15" ht="74" customHeight="1">
      <x:c r="A15" s="606" t="n">
        <x:v>8</x:v>
      </x:c>
      <x:c r="B15" s="607"/>
      <x:c r="C15" s="606"/>
      <x:c r="D15" s="606"/>
      <x:c r="E15" s="606"/>
      <x:c r="F15" s="606"/>
      <x:c r="G15" s="606"/>
      <x:c r="H15" s="606"/>
    </x:row>
    <x:row r="16" ht="74" customHeight="1">
      <x:c r="A16" s="604" t="n">
        <x:v>9</x:v>
      </x:c>
      <x:c r="B16" s="605"/>
      <x:c r="C16" s="604"/>
      <x:c r="D16" s="604"/>
      <x:c r="E16" s="604"/>
      <x:c r="F16" s="604"/>
      <x:c r="G16" s="604"/>
      <x:c r="H16" s="604"/>
    </x:row>
    <x:row r="17" ht="74" customHeight="1">
      <x:c r="A17" s="606" t="n">
        <x:v>10</x:v>
      </x:c>
      <x:c r="B17" s="607"/>
      <x:c r="C17" s="606"/>
      <x:c r="D17" s="606"/>
      <x:c r="E17" s="606"/>
      <x:c r="F17" s="606"/>
      <x:c r="G17" s="606"/>
      <x:c r="H17" s="606"/>
    </x:row>
    <x:row r="18" ht="74" customHeight="1">
      <x:c r="A18" s="604" t="n">
        <x:v>11</x:v>
      </x:c>
      <x:c r="B18" s="605"/>
      <x:c r="C18" s="604"/>
      <x:c r="D18" s="604"/>
      <x:c r="E18" s="604"/>
      <x:c r="F18" s="604"/>
      <x:c r="G18" s="604"/>
      <x:c r="H18" s="604"/>
    </x:row>
    <x:row r="19" ht="74" customHeight="1">
      <x:c r="A19" s="606" t="n">
        <x:v>12</x:v>
      </x:c>
      <x:c r="B19" s="607"/>
      <x:c r="C19" s="606"/>
      <x:c r="D19" s="606"/>
      <x:c r="E19" s="606"/>
      <x:c r="F19" s="606"/>
      <x:c r="G19" s="606"/>
      <x:c r="H19" s="606"/>
    </x:row>
    <x:row r="20" ht="74" customHeight="1">
      <x:c r="A20" s="604" t="n">
        <x:v>13</x:v>
      </x:c>
      <x:c r="B20" s="605"/>
      <x:c r="C20" s="604"/>
      <x:c r="D20" s="604"/>
      <x:c r="E20" s="604"/>
      <x:c r="F20" s="604"/>
      <x:c r="G20" s="604"/>
      <x:c r="H20" s="604"/>
    </x:row>
    <x:row r="21" ht="74" customHeight="1">
      <x:c r="A21" s="606" t="n">
        <x:v>14</x:v>
      </x:c>
      <x:c r="B21" s="607"/>
      <x:c r="C21" s="606"/>
      <x:c r="D21" s="606"/>
      <x:c r="E21" s="606"/>
      <x:c r="F21" s="606"/>
      <x:c r="G21" s="606"/>
      <x:c r="H21" s="606"/>
    </x:row>
    <x:row r="22" ht="74" customHeight="1">
      <x:c r="A22" s="604" t="n">
        <x:v>15</x:v>
      </x:c>
      <x:c r="B22" s="605"/>
      <x:c r="C22" s="604"/>
      <x:c r="D22" s="604"/>
      <x:c r="E22" s="604"/>
      <x:c r="F22" s="604"/>
      <x:c r="G22" s="604"/>
      <x:c r="H22" s="604"/>
    </x:row>
    <x:row r="23" ht="74" customHeight="1">
      <x:c r="A23" s="606" t="n">
        <x:v>16</x:v>
      </x:c>
      <x:c r="B23" s="607"/>
      <x:c r="C23" s="606"/>
      <x:c r="D23" s="606"/>
      <x:c r="E23" s="606"/>
      <x:c r="F23" s="606"/>
      <x:c r="G23" s="606"/>
      <x:c r="H23" s="606"/>
    </x:row>
    <x:row r="24" ht="74" customHeight="1">
      <x:c r="A24" s="604" t="n">
        <x:v>17</x:v>
      </x:c>
      <x:c r="B24" s="605"/>
      <x:c r="C24" s="604"/>
      <x:c r="D24" s="604"/>
      <x:c r="E24" s="604"/>
      <x:c r="F24" s="604"/>
      <x:c r="G24" s="604"/>
      <x:c r="H24" s="604"/>
    </x:row>
    <x:row r="25" ht="74" customHeight="1">
      <x:c r="A25" s="606" t="n">
        <x:v>18</x:v>
      </x:c>
      <x:c r="B25" s="607"/>
      <x:c r="C25" s="606"/>
      <x:c r="D25" s="606"/>
      <x:c r="E25" s="606"/>
      <x:c r="F25" s="606"/>
      <x:c r="G25" s="606"/>
      <x:c r="H25" s="606"/>
    </x:row>
    <x:row r="26" ht="74" customHeight="1">
      <x:c r="A26" s="604" t="n">
        <x:v>19</x:v>
      </x:c>
      <x:c r="B26" s="605"/>
      <x:c r="C26" s="604"/>
      <x:c r="D26" s="604"/>
      <x:c r="E26" s="604"/>
      <x:c r="F26" s="604"/>
      <x:c r="G26" s="604"/>
      <x:c r="H26" s="604"/>
    </x:row>
    <x:row r="27" ht="74" customHeight="1">
      <x:c r="A27" s="606" t="n">
        <x:v>20</x:v>
      </x:c>
      <x:c r="B27" s="607"/>
      <x:c r="C27" s="606"/>
      <x:c r="D27" s="606"/>
      <x:c r="E27" s="606"/>
      <x:c r="F27" s="606"/>
      <x:c r="G27" s="606"/>
      <x:c r="H27" s="606"/>
    </x:row>
  </x:sheetData>
  <x:autoFilter ref="A7:H27"/>
  <x:mergeCells>
    <x:mergeCell ref="A1:H1"/>
    <x:mergeCell ref="A2:H2"/>
    <x:mergeCell ref="A3:H3"/>
    <x:mergeCell ref="A5:B5"/>
    <x:mergeCell ref="C5:D5"/>
    <x:mergeCell ref="E5:F5"/>
    <x:mergeCell ref="G5:H5"/>
  </x:mergeCells>
  <x:hyperlinks>
    <x:hyperlink ref="A5" location="'人物卡'!B2"/>
    <x:hyperlink ref="C5" location="'规则速查'!A1"/>
    <x:hyperlink xmlns:r="http://schemas.openxmlformats.org/officeDocument/2006/relationships" ref="E5" r:id="rIdV16Link3"/>
    <x:hyperlink ref="G5" location="'更新记录'!A1"/>
    <x:hyperlink ref="H5" location="'幕间与结算'!A1"/>
  </x:hyperlinks>
  <x:pageMargins left="0.25" right="0.25" top="0.35" bottom="0.35" header="0.15" footer="0.15"/>
  <x:pageSetup paperSize="9" orientation="landscape" fitToWidth="1" fitToHeight="0"/>
</x:worksheet>
</file>

<file path=xl/worksheets/sheet16.xml><?xml version="1.0" encoding="utf-8"?>
<x:worksheet xmlns:x="http://schemas.openxmlformats.org/spreadsheetml/2006/main">
  <x:sheetPr>
    <x:tabColor rgb="FF1F4D3A"/>
  </x:sheetPr>
  <x:sheetViews>
    <x:sheetView showGridLines="0" workbookViewId="0">
      <x:pane ySplit="8" topLeftCell="A9" activePane="bottomLeft" state="frozen"/>
    </x:sheetView>
  </x:sheetViews>
  <x:sheetFormatPr defaultRowHeight="15"/>
  <x:cols>
    <x:col min="1" max="1" width="5.5" hidden="0" customWidth="1"/>
    <x:col min="2" max="2" width="8" hidden="0" customWidth="1"/>
    <x:col min="3" max="3" width="17" hidden="0" customWidth="1"/>
    <x:col min="4" max="4" width="20" hidden="0" customWidth="1"/>
    <x:col min="5" max="5" width="27" hidden="0" customWidth="1"/>
    <x:col min="6" max="6" width="8" hidden="0" customWidth="1"/>
    <x:col min="7" max="7" width="9" hidden="0" customWidth="1"/>
    <x:col min="8" max="8" width="9" hidden="0" customWidth="1"/>
    <x:col min="9" max="9" width="9" hidden="0" customWidth="1"/>
    <x:col min="10" max="10" width="7" hidden="0" customWidth="1"/>
    <x:col min="11" max="11" width="14" hidden="0" customWidth="1"/>
    <x:col min="12" max="12" width="16" hidden="0" customWidth="1"/>
    <x:col min="13" max="13" width="8" hidden="0" customWidth="1"/>
    <x:col min="14" max="14" width="40" hidden="0" customWidth="1"/>
  </x:cols>
  <x:sheetData>
    <x:row r="1" ht="32" customHeight="1">
      <x:c r="A1" s="671" t="str">
        <x:v>幕间与结算</x:v>
      </x:c>
      <x:c r="B1" s="671" t="str">
        <x:v>幕间与结算</x:v>
      </x:c>
      <x:c r="C1" s="671" t="str">
        <x:v>幕间与结算</x:v>
      </x:c>
      <x:c r="D1" s="671" t="str">
        <x:v>幕间与结算</x:v>
      </x:c>
      <x:c r="E1" s="671" t="str">
        <x:v>幕间与结算</x:v>
      </x:c>
      <x:c r="F1" s="671" t="str">
        <x:v>幕间与结算</x:v>
      </x:c>
      <x:c r="G1" s="671" t="str">
        <x:v>幕间与结算</x:v>
      </x:c>
      <x:c r="H1" s="671" t="str">
        <x:v>幕间与结算</x:v>
      </x:c>
      <x:c r="I1" s="671" t="str">
        <x:v>幕间与结算</x:v>
      </x:c>
      <x:c r="J1" s="671" t="str">
        <x:v>幕间与结算</x:v>
      </x:c>
      <x:c r="K1" s="671" t="str">
        <x:v>幕间与结算</x:v>
      </x:c>
      <x:c r="L1" s="671" t="str">
        <x:v>幕间与结算</x:v>
      </x:c>
      <x:c r="M1" s="671" t="str">
        <x:v>幕间与结算</x:v>
      </x:c>
      <x:c r="N1" s="671" t="str">
        <x:v>幕间与结算</x:v>
      </x:c>
    </x:row>
    <x:row r="2" ht="25" customHeight="1">
      <x:c r="A2" s="674" t="str">
        <x:v>人物卡</x:v>
      </x:c>
      <x:c r="B2" s="674" t="str">
        <x:v>人物卡</x:v>
      </x:c>
      <x:c r="C2" s="674" t="str">
        <x:v>人物卡</x:v>
      </x:c>
      <x:c r="D2" s="674" t="str">
        <x:v>人物卡</x:v>
      </x:c>
      <x:c r="E2" s="674" t="str">
        <x:v>模组经历</x:v>
      </x:c>
      <x:c r="F2" s="674" t="str">
        <x:v>模组经历</x:v>
      </x:c>
      <x:c r="G2" s="674" t="str">
        <x:v>模组经历</x:v>
      </x:c>
      <x:c r="H2" s="674" t="str">
        <x:v>模组经历</x:v>
      </x:c>
      <x:c r="I2" s="674" t="str">
        <x:v>模组经历</x:v>
      </x:c>
      <x:c r="J2" s="674" t="str">
        <x:v>技能结算</x:v>
      </x:c>
      <x:c r="K2" s="674" t="str">
        <x:v>技能结算</x:v>
      </x:c>
      <x:c r="L2" s="674" t="str">
        <x:v>技能结算</x:v>
      </x:c>
      <x:c r="M2" s="674" t="str">
        <x:v>技能结算</x:v>
      </x:c>
      <x:c r="N2" s="674" t="str">
        <x:v>技能结算</x:v>
      </x:c>
    </x:row>
    <x:row r="3" ht="28" customHeight="1">
      <x:c r="A3" s="675" t="str">
        <x:v>模组</x:v>
      </x:c>
      <x:c r="B3" s="679" t="inlineStr">
        <x:is>
          <x:t>01</x:t>
        </x:is>
      </x:c>
      <x:c r="C3" s="681" t="str">
        <x:f>IFERROR(INDEX('幕间计算'!$K$2:$K$21,VALUE(B3)),"")</x:f>
        <x:v>待命名模组</x:v>
      </x:c>
      <x:c r="D3" s="681"/>
      <x:c r="E3" s="681"/>
      <x:c r="F3" s="681"/>
      <x:c r="G3" s="682" t="inlineStr">
        <x:is>
          <x:t>每笔变化另记一行，确认后同步。</x:t>
        </x:is>
      </x:c>
      <x:c r="H3" s="682" t="str">
        <x:v>蓝色格为填写项。确认后计入人物卡，失败技能在下方结算。</x:v>
      </x:c>
      <x:c r="I3" s="682" t="str">
        <x:v>蓝色格为填写项。确认后计入人物卡，失败技能在下方结算。</x:v>
      </x:c>
      <x:c r="J3" s="682" t="str">
        <x:v>蓝色格为填写项。确认后计入人物卡，失败技能在下方结算。</x:v>
      </x:c>
      <x:c r="K3" s="682" t="str">
        <x:v>蓝色格为填写项。确认后计入人物卡，失败技能在下方结算。</x:v>
      </x:c>
      <x:c r="L3" s="682" t="str">
        <x:v>蓝色格为填写项。确认后计入人物卡，失败技能在下方结算。</x:v>
      </x:c>
      <x:c r="M3" s="682" t="str">
        <x:v>蓝色格为填写项。确认后计入人物卡，失败技能在下方结算。</x:v>
      </x:c>
      <x:c r="N3" s="682" t="str">
        <x:v>蓝色格为填写项。确认后计入人物卡，失败技能在下方结算。</x:v>
      </x:c>
    </x:row>
    <x:row r="4" ht="27" customHeight="1">
      <x:c r="A4" s="686" t="str">
        <x:v>力量</x:v>
      </x:c>
      <x:c r="B4" s="686" t="str">
        <x:v>体质</x:v>
      </x:c>
      <x:c r="C4" s="686" t="str">
        <x:v>敏捷</x:v>
      </x:c>
      <x:c r="D4" s="686" t="str">
        <x:v>智力</x:v>
      </x:c>
      <x:c r="E4" s="686" t="str">
        <x:v>意志</x:v>
      </x:c>
      <x:c r="F4" s="686" t="str">
        <x:v>魅力</x:v>
      </x:c>
      <x:c r="G4" s="686" t="str">
        <x:v>当前体力</x:v>
      </x:c>
      <x:c r="H4" s="686" t="str">
        <x:v>当前毅力</x:v>
      </x:c>
      <x:c r="I4" s="686" t="str">
        <x:v>当前理智</x:v>
      </x:c>
      <x:c r="J4" s="686" t="str">
        <x:v>崩溃点</x:v>
      </x:c>
      <x:c r="K4" s="668"/>
      <x:c r="L4" s="668"/>
      <x:c r="M4" s="668"/>
      <x:c r="N4" s="668"/>
    </x:row>
    <x:row r="5" ht="29" customHeight="1">
      <x:c r="A5" s="689"/>
      <x:c r="B5" s="689"/>
      <x:c r="C5" s="689"/>
      <x:c r="D5" s="689"/>
      <x:c r="E5" s="689"/>
      <x:c r="F5" s="689"/>
      <x:c r="G5" s="689"/>
      <x:c r="H5" s="689"/>
      <x:c r="I5" s="689"/>
      <x:c r="J5" s="689"/>
      <x:c r="K5" s="668"/>
      <x:c r="L5" s="668"/>
      <x:c r="M5" s="668"/>
      <x:c r="N5" s="668"/>
    </x:row>
    <x:row r="6" ht="26" customHeight="1">
      <x:c r="A6" s="682" t="str">
        <x:v>填写变更前值与实际增减，确认后同步；无数值变化可只记事件。关系代价填正数。</x:v>
      </x:c>
      <x:c r="B6" s="682" t="str">
        <x:v>填写变更前值与实际增减，确认后同步；无数值变化可只记事件。关系代价填正数。</x:v>
      </x:c>
      <x:c r="C6" s="682" t="str">
        <x:v>填写变更前值与实际增减，确认后同步；无数值变化可只记事件。关系代价填正数。</x:v>
      </x:c>
      <x:c r="D6" s="682" t="str">
        <x:v>填写变更前值与实际增减，确认后同步；无数值变化可只记事件。关系代价填正数。</x:v>
      </x:c>
      <x:c r="E6" s="682" t="str">
        <x:v>填写变更前值与实际增减，确认后同步；无数值变化可只记事件。关系代价填正数。</x:v>
      </x:c>
      <x:c r="F6" s="682" t="str">
        <x:v>填写变更前值与实际增减，确认后同步；无数值变化可只记事件。关系代价填正数。</x:v>
      </x:c>
      <x:c r="G6" s="682" t="str">
        <x:v>填写变更前值与实际增减，确认后同步；无数值变化可只记事件。关系代价填正数。</x:v>
      </x:c>
      <x:c r="H6" s="682" t="str">
        <x:v>填写变更前值与实际增减，确认后同步；无数值变化可只记事件。关系代价填正数。</x:v>
      </x:c>
      <x:c r="I6" s="682" t="str">
        <x:v>填写变更前值与实际增减，确认后同步；无数值变化可只记事件。关系代价填正数。</x:v>
      </x:c>
      <x:c r="J6" s="682" t="str">
        <x:v>填写变更前值与实际增减，确认后同步；无数值变化可只记事件。关系代价填正数。</x:v>
      </x:c>
      <x:c r="K6" s="682" t="str">
        <x:v>填写变更前值与实际增减，确认后同步；无数值变化可只记事件。关系代价填正数。</x:v>
      </x:c>
      <x:c r="L6" s="682" t="str">
        <x:v>填写变更前值与实际增减，确认后同步；无数值变化可只记事件。关系代价填正数。</x:v>
      </x:c>
      <x:c r="M6" s="682" t="str">
        <x:v>填写变更前值与实际增减，确认后同步；无数值变化可只记事件。关系代价填正数。</x:v>
      </x:c>
      <x:c r="N6" s="682" t="str">
        <x:v>填写变更前值与实际增减，确认后同步；无数值变化可只记事件。关系代价填正数。</x:v>
      </x:c>
    </x:row>
    <x:row r="7" ht="28" customHeight="1">
      <x:c r="A7" s="692" t="str">
        <x:v>事件与数值变化</x:v>
      </x:c>
      <x:c r="B7" s="692" t="str">
        <x:v>事件与数值变化</x:v>
      </x:c>
      <x:c r="C7" s="692" t="str">
        <x:v>事件与数值变化</x:v>
      </x:c>
      <x:c r="D7" s="692" t="str">
        <x:v>事件与数值变化</x:v>
      </x:c>
      <x:c r="E7" s="692" t="str">
        <x:v>事件与数值变化</x:v>
      </x:c>
      <x:c r="F7" s="692" t="str">
        <x:v>事件与数值变化</x:v>
      </x:c>
      <x:c r="G7" s="692" t="str">
        <x:v>事件与数值变化</x:v>
      </x:c>
      <x:c r="H7" s="692" t="str">
        <x:v>事件与数值变化</x:v>
      </x:c>
      <x:c r="I7" s="692" t="str">
        <x:v>事件与数值变化</x:v>
      </x:c>
      <x:c r="J7" s="692" t="str">
        <x:v>事件与数值变化</x:v>
      </x:c>
      <x:c r="K7" s="692" t="str">
        <x:v>事件与数值变化</x:v>
      </x:c>
      <x:c r="L7" s="692" t="str">
        <x:v>事件与数值变化</x:v>
      </x:c>
      <x:c r="M7" s="692" t="str">
        <x:v>事件与数值变化</x:v>
      </x:c>
      <x:c r="N7" s="692" t="str">
        <x:v>事件与数值变化</x:v>
      </x:c>
    </x:row>
    <x:row r="8" ht="30" customHeight="1">
      <x:c r="A8" s="695" t="str">
        <x:v>序号</x:v>
      </x:c>
      <x:c r="B8" s="695" t="str">
        <x:v>模组</x:v>
      </x:c>
      <x:c r="C8" s="695" t="str">
        <x:v>游戏内日期</x:v>
      </x:c>
      <x:c r="D8" s="695" t="str">
        <x:v>事项</x:v>
      </x:c>
      <x:c r="E8" s="695" t="str">
        <x:v>目标</x:v>
      </x:c>
      <x:c r="F8" s="695" t="str">
        <x:v>变更前值</x:v>
      </x:c>
      <x:c r="G8" s="695" t="str">
        <x:v>结果</x:v>
      </x:c>
      <x:c r="H8" s="695" t="str">
        <x:v>成长标记</x:v>
      </x:c>
      <x:c r="I8" s="695" t="str">
        <x:v>变化点数</x:v>
      </x:c>
      <x:c r="J8" s="695" t="str">
        <x:v>确认</x:v>
      </x:c>
      <x:c r="K8" s="695" t="str">
        <x:v>已计变化</x:v>
      </x:c>
      <x:c r="L8" s="695" t="str">
        <x:v>代价关系</x:v>
      </x:c>
      <x:c r="M8" s="695" t="str">
        <x:v>代价点数</x:v>
      </x:c>
      <x:c r="N8" s="695" t="str">
        <x:v>事件与处理</x:v>
      </x:c>
    </x:row>
    <x:row r="9" ht="29" customHeight="1">
      <x:c r="A9" s="699" t="n">
        <x:v>1</x:v>
      </x:c>
      <x:c r="B9" s="688"/>
      <x:c r="C9" s="700"/>
      <x:c r="D9" s="687"/>
      <x:c r="E9" s="687"/>
      <x:c r="F9" s="689"/>
      <x:c r="G9" s="688"/>
      <x:c r="H9" s="688"/>
      <x:c r="I9" s="689"/>
      <x:c r="J9" s="688"/>
      <x:c r="K9" s="701">
        <x:f>IF(J9&lt;&gt;"确认",0,IF(OR('幕间计算'!A210=0,D9="",E9=""),"补全记录",IF(AND(I9&lt;&gt;"",NOT(ISNUMBER(I9))),"点数无效",IF(AND(I9&lt;&gt;"",NOT(ISNUMBER(F9))),"填写前值",IF(AND(L9&lt;&gt;"",OR(NOT(ISNUMBER(M9)),M9&lt;=0,M9&gt;99)),"填写代价",IF(AND(L9="",M9&lt;&gt;""),"选择关系",IF(AND(E9="无数值变化",N(I9)&lt;&gt;0),"选择目标",IF(I9="",0,MAX(-F9,MIN(I9,IF(LEFT(E9,3)="技能：",99,IF(COUNTIF('幕间计算'!$H$2:$H$7,E9)&gt;0,18,IF(COUNTIF('幕间计算'!$N$2:$N$8,E9)&gt;0,'幕间计算'!S7,IF(E9="体力",CEILING(('幕间计算'!S2+'幕间计算'!S3)/2,1),IF(E9="毅力",'幕间计算'!S6,IF(E9="理智",IF(OR(D9="按部就班",D9="远离喧嚣",D9="接受心理治疗",D9="重建人生动力"),MIN(99-N('人物卡'!BB39),'幕间计算'!S6*5),99-N('人物卡'!BB39)),99))))))-F9))))))))))</x:f>
        <x:v>0</x:v>
      </x:c>
      <x:c r="L9" s="687"/>
      <x:c r="M9" s="689"/>
      <x:c r="N9" s="702"/>
    </x:row>
    <x:row r="10" ht="29" customHeight="1">
      <x:c r="A10" s="699" t="n">
        <x:v>2</x:v>
      </x:c>
      <x:c r="B10" s="688"/>
      <x:c r="C10" s="700"/>
      <x:c r="D10" s="687"/>
      <x:c r="E10" s="687"/>
      <x:c r="F10" s="689"/>
      <x:c r="G10" s="688"/>
      <x:c r="H10" s="688"/>
      <x:c r="I10" s="689"/>
      <x:c r="J10" s="688"/>
      <x:c r="K10" s="701">
        <x:f>IF(J10&lt;&gt;"确认",0,IF(OR('幕间计算'!A211=0,D10="",E10=""),"补全记录",IF(AND(I10&lt;&gt;"",NOT(ISNUMBER(I10))),"点数无效",IF(AND(I10&lt;&gt;"",NOT(ISNUMBER(F10))),"填写前值",IF(AND(L10&lt;&gt;"",OR(NOT(ISNUMBER(M10)),M10&lt;=0,M10&gt;99)),"填写代价",IF(AND(L10="",M10&lt;&gt;""),"选择关系",IF(AND(E10="无数值变化",N(I10)&lt;&gt;0),"选择目标",IF(I10="",0,MAX(-F10,MIN(I10,IF(LEFT(E10,3)="技能：",99,IF(COUNTIF('幕间计算'!$H$2:$H$7,E10)&gt;0,18,IF(COUNTIF('幕间计算'!$N$2:$N$8,E10)&gt;0,'幕间计算'!BK210,IF(E10="体力",CEILING(('幕间计算'!BF210+'幕间计算'!BG210)/2,1),IF(E10="毅力",'幕间计算'!BJ210,IF(E10="理智",IF(OR(D10="按部就班",D10="远离喧嚣",D10="接受心理治疗",D10="重建人生动力"),MIN(99-'幕间计算'!BL210,'幕间计算'!BJ210*5),99-'幕间计算'!BL210),99))))))-F10))))))))))</x:f>
        <x:v>0</x:v>
      </x:c>
      <x:c r="L10" s="687"/>
      <x:c r="M10" s="689"/>
      <x:c r="N10" s="702"/>
    </x:row>
    <x:row r="11" ht="29" customHeight="1">
      <x:c r="A11" s="699" t="n">
        <x:v>3</x:v>
      </x:c>
      <x:c r="B11" s="688"/>
      <x:c r="C11" s="700"/>
      <x:c r="D11" s="687"/>
      <x:c r="E11" s="687"/>
      <x:c r="F11" s="689"/>
      <x:c r="G11" s="688"/>
      <x:c r="H11" s="688"/>
      <x:c r="I11" s="689"/>
      <x:c r="J11" s="688"/>
      <x:c r="K11" s="701">
        <x:f>IF(J11&lt;&gt;"确认",0,IF(OR('幕间计算'!A212=0,D11="",E11=""),"补全记录",IF(AND(I11&lt;&gt;"",NOT(ISNUMBER(I11))),"点数无效",IF(AND(I11&lt;&gt;"",NOT(ISNUMBER(F11))),"填写前值",IF(AND(L11&lt;&gt;"",OR(NOT(ISNUMBER(M11)),M11&lt;=0,M11&gt;99)),"填写代价",IF(AND(L11="",M11&lt;&gt;""),"选择关系",IF(AND(E11="无数值变化",N(I11)&lt;&gt;0),"选择目标",IF(I11="",0,MAX(-F11,MIN(I11,IF(LEFT(E11,3)="技能：",99,IF(COUNTIF('幕间计算'!$H$2:$H$7,E11)&gt;0,18,IF(COUNTIF('幕间计算'!$N$2:$N$8,E11)&gt;0,'幕间计算'!BK211,IF(E11="体力",CEILING(('幕间计算'!BF211+'幕间计算'!BG211)/2,1),IF(E11="毅力",'幕间计算'!BJ211,IF(E11="理智",IF(OR(D11="按部就班",D11="远离喧嚣",D11="接受心理治疗",D11="重建人生动力"),MIN(99-'幕间计算'!BL211,'幕间计算'!BJ211*5),99-'幕间计算'!BL211),99))))))-F11))))))))))</x:f>
        <x:v>0</x:v>
      </x:c>
      <x:c r="L11" s="687"/>
      <x:c r="M11" s="689"/>
      <x:c r="N11" s="702"/>
    </x:row>
    <x:row r="12" ht="29" customHeight="1">
      <x:c r="A12" s="699" t="n">
        <x:v>4</x:v>
      </x:c>
      <x:c r="B12" s="688"/>
      <x:c r="C12" s="700"/>
      <x:c r="D12" s="687"/>
      <x:c r="E12" s="687"/>
      <x:c r="F12" s="689"/>
      <x:c r="G12" s="688"/>
      <x:c r="H12" s="688"/>
      <x:c r="I12" s="689"/>
      <x:c r="J12" s="688"/>
      <x:c r="K12" s="701">
        <x:f>IF(J12&lt;&gt;"确认",0,IF(OR('幕间计算'!A213=0,D12="",E12=""),"补全记录",IF(AND(I12&lt;&gt;"",NOT(ISNUMBER(I12))),"点数无效",IF(AND(I12&lt;&gt;"",NOT(ISNUMBER(F12))),"填写前值",IF(AND(L12&lt;&gt;"",OR(NOT(ISNUMBER(M12)),M12&lt;=0,M12&gt;99)),"填写代价",IF(AND(L12="",M12&lt;&gt;""),"选择关系",IF(AND(E12="无数值变化",N(I12)&lt;&gt;0),"选择目标",IF(I12="",0,MAX(-F12,MIN(I12,IF(LEFT(E12,3)="技能：",99,IF(COUNTIF('幕间计算'!$H$2:$H$7,E12)&gt;0,18,IF(COUNTIF('幕间计算'!$N$2:$N$8,E12)&gt;0,'幕间计算'!BK212,IF(E12="体力",CEILING(('幕间计算'!BF212+'幕间计算'!BG212)/2,1),IF(E12="毅力",'幕间计算'!BJ212,IF(E12="理智",IF(OR(D12="按部就班",D12="远离喧嚣",D12="接受心理治疗",D12="重建人生动力"),MIN(99-'幕间计算'!BL212,'幕间计算'!BJ212*5),99-'幕间计算'!BL212),99))))))-F12))))))))))</x:f>
        <x:v>0</x:v>
      </x:c>
      <x:c r="L12" s="687"/>
      <x:c r="M12" s="689"/>
      <x:c r="N12" s="702"/>
    </x:row>
    <x:row r="13" ht="29" customHeight="1">
      <x:c r="A13" s="699" t="n">
        <x:v>5</x:v>
      </x:c>
      <x:c r="B13" s="688"/>
      <x:c r="C13" s="700"/>
      <x:c r="D13" s="687"/>
      <x:c r="E13" s="687"/>
      <x:c r="F13" s="689"/>
      <x:c r="G13" s="688"/>
      <x:c r="H13" s="688"/>
      <x:c r="I13" s="689"/>
      <x:c r="J13" s="688"/>
      <x:c r="K13" s="701">
        <x:f>IF(J13&lt;&gt;"确认",0,IF(OR('幕间计算'!A214=0,D13="",E13=""),"补全记录",IF(AND(I13&lt;&gt;"",NOT(ISNUMBER(I13))),"点数无效",IF(AND(I13&lt;&gt;"",NOT(ISNUMBER(F13))),"填写前值",IF(AND(L13&lt;&gt;"",OR(NOT(ISNUMBER(M13)),M13&lt;=0,M13&gt;99)),"填写代价",IF(AND(L13="",M13&lt;&gt;""),"选择关系",IF(AND(E13="无数值变化",N(I13)&lt;&gt;0),"选择目标",IF(I13="",0,MAX(-F13,MIN(I13,IF(LEFT(E13,3)="技能：",99,IF(COUNTIF('幕间计算'!$H$2:$H$7,E13)&gt;0,18,IF(COUNTIF('幕间计算'!$N$2:$N$8,E13)&gt;0,'幕间计算'!BK213,IF(E13="体力",CEILING(('幕间计算'!BF213+'幕间计算'!BG213)/2,1),IF(E13="毅力",'幕间计算'!BJ213,IF(E13="理智",IF(OR(D13="按部就班",D13="远离喧嚣",D13="接受心理治疗",D13="重建人生动力"),MIN(99-'幕间计算'!BL213,'幕间计算'!BJ213*5),99-'幕间计算'!BL213),99))))))-F13))))))))))</x:f>
        <x:v>0</x:v>
      </x:c>
      <x:c r="L13" s="687"/>
      <x:c r="M13" s="689"/>
      <x:c r="N13" s="702"/>
    </x:row>
    <x:row r="14" ht="29" customHeight="1">
      <x:c r="A14" s="699" t="n">
        <x:v>6</x:v>
      </x:c>
      <x:c r="B14" s="688"/>
      <x:c r="C14" s="700"/>
      <x:c r="D14" s="687"/>
      <x:c r="E14" s="687"/>
      <x:c r="F14" s="689"/>
      <x:c r="G14" s="688"/>
      <x:c r="H14" s="688"/>
      <x:c r="I14" s="689"/>
      <x:c r="J14" s="688"/>
      <x:c r="K14" s="701">
        <x:f>IF(J14&lt;&gt;"确认",0,IF(OR('幕间计算'!A215=0,D14="",E14=""),"补全记录",IF(AND(I14&lt;&gt;"",NOT(ISNUMBER(I14))),"点数无效",IF(AND(I14&lt;&gt;"",NOT(ISNUMBER(F14))),"填写前值",IF(AND(L14&lt;&gt;"",OR(NOT(ISNUMBER(M14)),M14&lt;=0,M14&gt;99)),"填写代价",IF(AND(L14="",M14&lt;&gt;""),"选择关系",IF(AND(E14="无数值变化",N(I14)&lt;&gt;0),"选择目标",IF(I14="",0,MAX(-F14,MIN(I14,IF(LEFT(E14,3)="技能：",99,IF(COUNTIF('幕间计算'!$H$2:$H$7,E14)&gt;0,18,IF(COUNTIF('幕间计算'!$N$2:$N$8,E14)&gt;0,'幕间计算'!BK214,IF(E14="体力",CEILING(('幕间计算'!BF214+'幕间计算'!BG214)/2,1),IF(E14="毅力",'幕间计算'!BJ214,IF(E14="理智",IF(OR(D14="按部就班",D14="远离喧嚣",D14="接受心理治疗",D14="重建人生动力"),MIN(99-'幕间计算'!BL214,'幕间计算'!BJ214*5),99-'幕间计算'!BL214),99))))))-F14))))))))))</x:f>
        <x:v>0</x:v>
      </x:c>
      <x:c r="L14" s="687"/>
      <x:c r="M14" s="689"/>
      <x:c r="N14" s="702"/>
    </x:row>
    <x:row r="15" ht="29" customHeight="1">
      <x:c r="A15" s="699" t="n">
        <x:v>7</x:v>
      </x:c>
      <x:c r="B15" s="688"/>
      <x:c r="C15" s="700"/>
      <x:c r="D15" s="687"/>
      <x:c r="E15" s="687"/>
      <x:c r="F15" s="689"/>
      <x:c r="G15" s="688"/>
      <x:c r="H15" s="688"/>
      <x:c r="I15" s="689"/>
      <x:c r="J15" s="688"/>
      <x:c r="K15" s="701">
        <x:f>IF(J15&lt;&gt;"确认",0,IF(OR('幕间计算'!A216=0,D15="",E15=""),"补全记录",IF(AND(I15&lt;&gt;"",NOT(ISNUMBER(I15))),"点数无效",IF(AND(I15&lt;&gt;"",NOT(ISNUMBER(F15))),"填写前值",IF(AND(L15&lt;&gt;"",OR(NOT(ISNUMBER(M15)),M15&lt;=0,M15&gt;99)),"填写代价",IF(AND(L15="",M15&lt;&gt;""),"选择关系",IF(AND(E15="无数值变化",N(I15)&lt;&gt;0),"选择目标",IF(I15="",0,MAX(-F15,MIN(I15,IF(LEFT(E15,3)="技能：",99,IF(COUNTIF('幕间计算'!$H$2:$H$7,E15)&gt;0,18,IF(COUNTIF('幕间计算'!$N$2:$N$8,E15)&gt;0,'幕间计算'!BK215,IF(E15="体力",CEILING(('幕间计算'!BF215+'幕间计算'!BG215)/2,1),IF(E15="毅力",'幕间计算'!BJ215,IF(E15="理智",IF(OR(D15="按部就班",D15="远离喧嚣",D15="接受心理治疗",D15="重建人生动力"),MIN(99-'幕间计算'!BL215,'幕间计算'!BJ215*5),99-'幕间计算'!BL215),99))))))-F15))))))))))</x:f>
        <x:v>0</x:v>
      </x:c>
      <x:c r="L15" s="687"/>
      <x:c r="M15" s="689"/>
      <x:c r="N15" s="702"/>
    </x:row>
    <x:row r="16" ht="29" customHeight="1">
      <x:c r="A16" s="699" t="n">
        <x:v>8</x:v>
      </x:c>
      <x:c r="B16" s="688"/>
      <x:c r="C16" s="700"/>
      <x:c r="D16" s="687"/>
      <x:c r="E16" s="687"/>
      <x:c r="F16" s="689"/>
      <x:c r="G16" s="688"/>
      <x:c r="H16" s="688"/>
      <x:c r="I16" s="689"/>
      <x:c r="J16" s="688"/>
      <x:c r="K16" s="701">
        <x:f>IF(J16&lt;&gt;"确认",0,IF(OR('幕间计算'!A217=0,D16="",E16=""),"补全记录",IF(AND(I16&lt;&gt;"",NOT(ISNUMBER(I16))),"点数无效",IF(AND(I16&lt;&gt;"",NOT(ISNUMBER(F16))),"填写前值",IF(AND(L16&lt;&gt;"",OR(NOT(ISNUMBER(M16)),M16&lt;=0,M16&gt;99)),"填写代价",IF(AND(L16="",M16&lt;&gt;""),"选择关系",IF(AND(E16="无数值变化",N(I16)&lt;&gt;0),"选择目标",IF(I16="",0,MAX(-F16,MIN(I16,IF(LEFT(E16,3)="技能：",99,IF(COUNTIF('幕间计算'!$H$2:$H$7,E16)&gt;0,18,IF(COUNTIF('幕间计算'!$N$2:$N$8,E16)&gt;0,'幕间计算'!BK216,IF(E16="体力",CEILING(('幕间计算'!BF216+'幕间计算'!BG216)/2,1),IF(E16="毅力",'幕间计算'!BJ216,IF(E16="理智",IF(OR(D16="按部就班",D16="远离喧嚣",D16="接受心理治疗",D16="重建人生动力"),MIN(99-'幕间计算'!BL216,'幕间计算'!BJ216*5),99-'幕间计算'!BL216),99))))))-F16))))))))))</x:f>
        <x:v>0</x:v>
      </x:c>
      <x:c r="L16" s="687"/>
      <x:c r="M16" s="689"/>
      <x:c r="N16" s="702"/>
    </x:row>
    <x:row r="17" ht="29" customHeight="1">
      <x:c r="A17" s="699" t="n">
        <x:v>9</x:v>
      </x:c>
      <x:c r="B17" s="688"/>
      <x:c r="C17" s="700"/>
      <x:c r="D17" s="687"/>
      <x:c r="E17" s="687"/>
      <x:c r="F17" s="689"/>
      <x:c r="G17" s="688"/>
      <x:c r="H17" s="688"/>
      <x:c r="I17" s="689"/>
      <x:c r="J17" s="688"/>
      <x:c r="K17" s="701">
        <x:f>IF(J17&lt;&gt;"确认",0,IF(OR('幕间计算'!A218=0,D17="",E17=""),"补全记录",IF(AND(I17&lt;&gt;"",NOT(ISNUMBER(I17))),"点数无效",IF(AND(I17&lt;&gt;"",NOT(ISNUMBER(F17))),"填写前值",IF(AND(L17&lt;&gt;"",OR(NOT(ISNUMBER(M17)),M17&lt;=0,M17&gt;99)),"填写代价",IF(AND(L17="",M17&lt;&gt;""),"选择关系",IF(AND(E17="无数值变化",N(I17)&lt;&gt;0),"选择目标",IF(I17="",0,MAX(-F17,MIN(I17,IF(LEFT(E17,3)="技能：",99,IF(COUNTIF('幕间计算'!$H$2:$H$7,E17)&gt;0,18,IF(COUNTIF('幕间计算'!$N$2:$N$8,E17)&gt;0,'幕间计算'!BK217,IF(E17="体力",CEILING(('幕间计算'!BF217+'幕间计算'!BG217)/2,1),IF(E17="毅力",'幕间计算'!BJ217,IF(E17="理智",IF(OR(D17="按部就班",D17="远离喧嚣",D17="接受心理治疗",D17="重建人生动力"),MIN(99-'幕间计算'!BL217,'幕间计算'!BJ217*5),99-'幕间计算'!BL217),99))))))-F17))))))))))</x:f>
        <x:v>0</x:v>
      </x:c>
      <x:c r="L17" s="687"/>
      <x:c r="M17" s="689"/>
      <x:c r="N17" s="702"/>
    </x:row>
    <x:row r="18" ht="29" customHeight="1">
      <x:c r="A18" s="699" t="n">
        <x:v>10</x:v>
      </x:c>
      <x:c r="B18" s="688"/>
      <x:c r="C18" s="700"/>
      <x:c r="D18" s="687"/>
      <x:c r="E18" s="687"/>
      <x:c r="F18" s="689"/>
      <x:c r="G18" s="688"/>
      <x:c r="H18" s="688"/>
      <x:c r="I18" s="689"/>
      <x:c r="J18" s="688"/>
      <x:c r="K18" s="701">
        <x:f>IF(J18&lt;&gt;"确认",0,IF(OR('幕间计算'!A219=0,D18="",E18=""),"补全记录",IF(AND(I18&lt;&gt;"",NOT(ISNUMBER(I18))),"点数无效",IF(AND(I18&lt;&gt;"",NOT(ISNUMBER(F18))),"填写前值",IF(AND(L18&lt;&gt;"",OR(NOT(ISNUMBER(M18)),M18&lt;=0,M18&gt;99)),"填写代价",IF(AND(L18="",M18&lt;&gt;""),"选择关系",IF(AND(E18="无数值变化",N(I18)&lt;&gt;0),"选择目标",IF(I18="",0,MAX(-F18,MIN(I18,IF(LEFT(E18,3)="技能：",99,IF(COUNTIF('幕间计算'!$H$2:$H$7,E18)&gt;0,18,IF(COUNTIF('幕间计算'!$N$2:$N$8,E18)&gt;0,'幕间计算'!BK218,IF(E18="体力",CEILING(('幕间计算'!BF218+'幕间计算'!BG218)/2,1),IF(E18="毅力",'幕间计算'!BJ218,IF(E18="理智",IF(OR(D18="按部就班",D18="远离喧嚣",D18="接受心理治疗",D18="重建人生动力"),MIN(99-'幕间计算'!BL218,'幕间计算'!BJ218*5),99-'幕间计算'!BL218),99))))))-F18))))))))))</x:f>
        <x:v>0</x:v>
      </x:c>
      <x:c r="L18" s="687"/>
      <x:c r="M18" s="689"/>
      <x:c r="N18" s="702"/>
    </x:row>
    <x:row r="19" ht="29" customHeight="1">
      <x:c r="A19" s="699" t="n">
        <x:v>11</x:v>
      </x:c>
      <x:c r="B19" s="688"/>
      <x:c r="C19" s="700"/>
      <x:c r="D19" s="687"/>
      <x:c r="E19" s="687"/>
      <x:c r="F19" s="689"/>
      <x:c r="G19" s="688"/>
      <x:c r="H19" s="688"/>
      <x:c r="I19" s="689"/>
      <x:c r="J19" s="688"/>
      <x:c r="K19" s="701">
        <x:f>IF(J19&lt;&gt;"确认",0,IF(OR('幕间计算'!A220=0,D19="",E19=""),"补全记录",IF(AND(I19&lt;&gt;"",NOT(ISNUMBER(I19))),"点数无效",IF(AND(I19&lt;&gt;"",NOT(ISNUMBER(F19))),"填写前值",IF(AND(L19&lt;&gt;"",OR(NOT(ISNUMBER(M19)),M19&lt;=0,M19&gt;99)),"填写代价",IF(AND(L19="",M19&lt;&gt;""),"选择关系",IF(AND(E19="无数值变化",N(I19)&lt;&gt;0),"选择目标",IF(I19="",0,MAX(-F19,MIN(I19,IF(LEFT(E19,3)="技能：",99,IF(COUNTIF('幕间计算'!$H$2:$H$7,E19)&gt;0,18,IF(COUNTIF('幕间计算'!$N$2:$N$8,E19)&gt;0,'幕间计算'!BK219,IF(E19="体力",CEILING(('幕间计算'!BF219+'幕间计算'!BG219)/2,1),IF(E19="毅力",'幕间计算'!BJ219,IF(E19="理智",IF(OR(D19="按部就班",D19="远离喧嚣",D19="接受心理治疗",D19="重建人生动力"),MIN(99-'幕间计算'!BL219,'幕间计算'!BJ219*5),99-'幕间计算'!BL219),99))))))-F19))))))))))</x:f>
        <x:v>0</x:v>
      </x:c>
      <x:c r="L19" s="687"/>
      <x:c r="M19" s="689"/>
      <x:c r="N19" s="702"/>
    </x:row>
    <x:row r="20" ht="29" customHeight="1">
      <x:c r="A20" s="699" t="n">
        <x:v>12</x:v>
      </x:c>
      <x:c r="B20" s="688"/>
      <x:c r="C20" s="700"/>
      <x:c r="D20" s="687"/>
      <x:c r="E20" s="687"/>
      <x:c r="F20" s="689"/>
      <x:c r="G20" s="688"/>
      <x:c r="H20" s="688"/>
      <x:c r="I20" s="689"/>
      <x:c r="J20" s="688"/>
      <x:c r="K20" s="701">
        <x:f>IF(J20&lt;&gt;"确认",0,IF(OR('幕间计算'!A221=0,D20="",E20=""),"补全记录",IF(AND(I20&lt;&gt;"",NOT(ISNUMBER(I20))),"点数无效",IF(AND(I20&lt;&gt;"",NOT(ISNUMBER(F20))),"填写前值",IF(AND(L20&lt;&gt;"",OR(NOT(ISNUMBER(M20)),M20&lt;=0,M20&gt;99)),"填写代价",IF(AND(L20="",M20&lt;&gt;""),"选择关系",IF(AND(E20="无数值变化",N(I20)&lt;&gt;0),"选择目标",IF(I20="",0,MAX(-F20,MIN(I20,IF(LEFT(E20,3)="技能：",99,IF(COUNTIF('幕间计算'!$H$2:$H$7,E20)&gt;0,18,IF(COUNTIF('幕间计算'!$N$2:$N$8,E20)&gt;0,'幕间计算'!BK220,IF(E20="体力",CEILING(('幕间计算'!BF220+'幕间计算'!BG220)/2,1),IF(E20="毅力",'幕间计算'!BJ220,IF(E20="理智",IF(OR(D20="按部就班",D20="远离喧嚣",D20="接受心理治疗",D20="重建人生动力"),MIN(99-'幕间计算'!BL220,'幕间计算'!BJ220*5),99-'幕间计算'!BL220),99))))))-F20))))))))))</x:f>
        <x:v>0</x:v>
      </x:c>
      <x:c r="L20" s="687"/>
      <x:c r="M20" s="689"/>
      <x:c r="N20" s="702"/>
    </x:row>
    <x:row r="21" ht="29" customHeight="1">
      <x:c r="A21" s="699" t="n">
        <x:v>13</x:v>
      </x:c>
      <x:c r="B21" s="688"/>
      <x:c r="C21" s="700"/>
      <x:c r="D21" s="687"/>
      <x:c r="E21" s="687"/>
      <x:c r="F21" s="689"/>
      <x:c r="G21" s="688"/>
      <x:c r="H21" s="688"/>
      <x:c r="I21" s="689"/>
      <x:c r="J21" s="688"/>
      <x:c r="K21" s="701">
        <x:f>IF(J21&lt;&gt;"确认",0,IF(OR('幕间计算'!A222=0,D21="",E21=""),"补全记录",IF(AND(I21&lt;&gt;"",NOT(ISNUMBER(I21))),"点数无效",IF(AND(I21&lt;&gt;"",NOT(ISNUMBER(F21))),"填写前值",IF(AND(L21&lt;&gt;"",OR(NOT(ISNUMBER(M21)),M21&lt;=0,M21&gt;99)),"填写代价",IF(AND(L21="",M21&lt;&gt;""),"选择关系",IF(AND(E21="无数值变化",N(I21)&lt;&gt;0),"选择目标",IF(I21="",0,MAX(-F21,MIN(I21,IF(LEFT(E21,3)="技能：",99,IF(COUNTIF('幕间计算'!$H$2:$H$7,E21)&gt;0,18,IF(COUNTIF('幕间计算'!$N$2:$N$8,E21)&gt;0,'幕间计算'!BK221,IF(E21="体力",CEILING(('幕间计算'!BF221+'幕间计算'!BG221)/2,1),IF(E21="毅力",'幕间计算'!BJ221,IF(E21="理智",IF(OR(D21="按部就班",D21="远离喧嚣",D21="接受心理治疗",D21="重建人生动力"),MIN(99-'幕间计算'!BL221,'幕间计算'!BJ221*5),99-'幕间计算'!BL221),99))))))-F21))))))))))</x:f>
        <x:v>0</x:v>
      </x:c>
      <x:c r="L21" s="687"/>
      <x:c r="M21" s="689"/>
      <x:c r="N21" s="702"/>
    </x:row>
    <x:row r="22" ht="29" customHeight="1">
      <x:c r="A22" s="699" t="n">
        <x:v>14</x:v>
      </x:c>
      <x:c r="B22" s="688"/>
      <x:c r="C22" s="700"/>
      <x:c r="D22" s="687"/>
      <x:c r="E22" s="687"/>
      <x:c r="F22" s="689"/>
      <x:c r="G22" s="688"/>
      <x:c r="H22" s="688"/>
      <x:c r="I22" s="689"/>
      <x:c r="J22" s="688"/>
      <x:c r="K22" s="701">
        <x:f>IF(J22&lt;&gt;"确认",0,IF(OR('幕间计算'!A223=0,D22="",E22=""),"补全记录",IF(AND(I22&lt;&gt;"",NOT(ISNUMBER(I22))),"点数无效",IF(AND(I22&lt;&gt;"",NOT(ISNUMBER(F22))),"填写前值",IF(AND(L22&lt;&gt;"",OR(NOT(ISNUMBER(M22)),M22&lt;=0,M22&gt;99)),"填写代价",IF(AND(L22="",M22&lt;&gt;""),"选择关系",IF(AND(E22="无数值变化",N(I22)&lt;&gt;0),"选择目标",IF(I22="",0,MAX(-F22,MIN(I22,IF(LEFT(E22,3)="技能：",99,IF(COUNTIF('幕间计算'!$H$2:$H$7,E22)&gt;0,18,IF(COUNTIF('幕间计算'!$N$2:$N$8,E22)&gt;0,'幕间计算'!BK222,IF(E22="体力",CEILING(('幕间计算'!BF222+'幕间计算'!BG222)/2,1),IF(E22="毅力",'幕间计算'!BJ222,IF(E22="理智",IF(OR(D22="按部就班",D22="远离喧嚣",D22="接受心理治疗",D22="重建人生动力"),MIN(99-'幕间计算'!BL222,'幕间计算'!BJ222*5),99-'幕间计算'!BL222),99))))))-F22))))))))))</x:f>
        <x:v>0</x:v>
      </x:c>
      <x:c r="L22" s="687"/>
      <x:c r="M22" s="689"/>
      <x:c r="N22" s="702"/>
    </x:row>
    <x:row r="23" ht="29" customHeight="1">
      <x:c r="A23" s="699" t="n">
        <x:v>15</x:v>
      </x:c>
      <x:c r="B23" s="688"/>
      <x:c r="C23" s="700"/>
      <x:c r="D23" s="687"/>
      <x:c r="E23" s="687"/>
      <x:c r="F23" s="689"/>
      <x:c r="G23" s="688"/>
      <x:c r="H23" s="688"/>
      <x:c r="I23" s="689"/>
      <x:c r="J23" s="688"/>
      <x:c r="K23" s="701">
        <x:f>IF(J23&lt;&gt;"确认",0,IF(OR('幕间计算'!A224=0,D23="",E23=""),"补全记录",IF(AND(I23&lt;&gt;"",NOT(ISNUMBER(I23))),"点数无效",IF(AND(I23&lt;&gt;"",NOT(ISNUMBER(F23))),"填写前值",IF(AND(L23&lt;&gt;"",OR(NOT(ISNUMBER(M23)),M23&lt;=0,M23&gt;99)),"填写代价",IF(AND(L23="",M23&lt;&gt;""),"选择关系",IF(AND(E23="无数值变化",N(I23)&lt;&gt;0),"选择目标",IF(I23="",0,MAX(-F23,MIN(I23,IF(LEFT(E23,3)="技能：",99,IF(COUNTIF('幕间计算'!$H$2:$H$7,E23)&gt;0,18,IF(COUNTIF('幕间计算'!$N$2:$N$8,E23)&gt;0,'幕间计算'!BK223,IF(E23="体力",CEILING(('幕间计算'!BF223+'幕间计算'!BG223)/2,1),IF(E23="毅力",'幕间计算'!BJ223,IF(E23="理智",IF(OR(D23="按部就班",D23="远离喧嚣",D23="接受心理治疗",D23="重建人生动力"),MIN(99-'幕间计算'!BL223,'幕间计算'!BJ223*5),99-'幕间计算'!BL223),99))))))-F23))))))))))</x:f>
        <x:v>0</x:v>
      </x:c>
      <x:c r="L23" s="687"/>
      <x:c r="M23" s="689"/>
      <x:c r="N23" s="702"/>
    </x:row>
    <x:row r="24" ht="29" customHeight="1">
      <x:c r="A24" s="699" t="n">
        <x:v>16</x:v>
      </x:c>
      <x:c r="B24" s="688"/>
      <x:c r="C24" s="700"/>
      <x:c r="D24" s="687"/>
      <x:c r="E24" s="687"/>
      <x:c r="F24" s="689"/>
      <x:c r="G24" s="688"/>
      <x:c r="H24" s="688"/>
      <x:c r="I24" s="689"/>
      <x:c r="J24" s="688"/>
      <x:c r="K24" s="701">
        <x:f>IF(J24&lt;&gt;"确认",0,IF(OR('幕间计算'!A225=0,D24="",E24=""),"补全记录",IF(AND(I24&lt;&gt;"",NOT(ISNUMBER(I24))),"点数无效",IF(AND(I24&lt;&gt;"",NOT(ISNUMBER(F24))),"填写前值",IF(AND(L24&lt;&gt;"",OR(NOT(ISNUMBER(M24)),M24&lt;=0,M24&gt;99)),"填写代价",IF(AND(L24="",M24&lt;&gt;""),"选择关系",IF(AND(E24="无数值变化",N(I24)&lt;&gt;0),"选择目标",IF(I24="",0,MAX(-F24,MIN(I24,IF(LEFT(E24,3)="技能：",99,IF(COUNTIF('幕间计算'!$H$2:$H$7,E24)&gt;0,18,IF(COUNTIF('幕间计算'!$N$2:$N$8,E24)&gt;0,'幕间计算'!BK224,IF(E24="体力",CEILING(('幕间计算'!BF224+'幕间计算'!BG224)/2,1),IF(E24="毅力",'幕间计算'!BJ224,IF(E24="理智",IF(OR(D24="按部就班",D24="远离喧嚣",D24="接受心理治疗",D24="重建人生动力"),MIN(99-'幕间计算'!BL224,'幕间计算'!BJ224*5),99-'幕间计算'!BL224),99))))))-F24))))))))))</x:f>
        <x:v>0</x:v>
      </x:c>
      <x:c r="L24" s="687"/>
      <x:c r="M24" s="689"/>
      <x:c r="N24" s="702"/>
    </x:row>
    <x:row r="25" ht="29" customHeight="1">
      <x:c r="A25" s="699" t="n">
        <x:v>17</x:v>
      </x:c>
      <x:c r="B25" s="688"/>
      <x:c r="C25" s="700"/>
      <x:c r="D25" s="687"/>
      <x:c r="E25" s="687"/>
      <x:c r="F25" s="689"/>
      <x:c r="G25" s="688"/>
      <x:c r="H25" s="688"/>
      <x:c r="I25" s="689"/>
      <x:c r="J25" s="688"/>
      <x:c r="K25" s="701">
        <x:f>IF(J25&lt;&gt;"确认",0,IF(OR('幕间计算'!A226=0,D25="",E25=""),"补全记录",IF(AND(I25&lt;&gt;"",NOT(ISNUMBER(I25))),"点数无效",IF(AND(I25&lt;&gt;"",NOT(ISNUMBER(F25))),"填写前值",IF(AND(L25&lt;&gt;"",OR(NOT(ISNUMBER(M25)),M25&lt;=0,M25&gt;99)),"填写代价",IF(AND(L25="",M25&lt;&gt;""),"选择关系",IF(AND(E25="无数值变化",N(I25)&lt;&gt;0),"选择目标",IF(I25="",0,MAX(-F25,MIN(I25,IF(LEFT(E25,3)="技能：",99,IF(COUNTIF('幕间计算'!$H$2:$H$7,E25)&gt;0,18,IF(COUNTIF('幕间计算'!$N$2:$N$8,E25)&gt;0,'幕间计算'!BK225,IF(E25="体力",CEILING(('幕间计算'!BF225+'幕间计算'!BG225)/2,1),IF(E25="毅力",'幕间计算'!BJ225,IF(E25="理智",IF(OR(D25="按部就班",D25="远离喧嚣",D25="接受心理治疗",D25="重建人生动力"),MIN(99-'幕间计算'!BL225,'幕间计算'!BJ225*5),99-'幕间计算'!BL225),99))))))-F25))))))))))</x:f>
        <x:v>0</x:v>
      </x:c>
      <x:c r="L25" s="687"/>
      <x:c r="M25" s="689"/>
      <x:c r="N25" s="702"/>
    </x:row>
    <x:row r="26" ht="29" customHeight="1">
      <x:c r="A26" s="699" t="n">
        <x:v>18</x:v>
      </x:c>
      <x:c r="B26" s="688"/>
      <x:c r="C26" s="700"/>
      <x:c r="D26" s="687"/>
      <x:c r="E26" s="687"/>
      <x:c r="F26" s="689"/>
      <x:c r="G26" s="688"/>
      <x:c r="H26" s="688"/>
      <x:c r="I26" s="689"/>
      <x:c r="J26" s="688"/>
      <x:c r="K26" s="701">
        <x:f>IF(J26&lt;&gt;"确认",0,IF(OR('幕间计算'!A227=0,D26="",E26=""),"补全记录",IF(AND(I26&lt;&gt;"",NOT(ISNUMBER(I26))),"点数无效",IF(AND(I26&lt;&gt;"",NOT(ISNUMBER(F26))),"填写前值",IF(AND(L26&lt;&gt;"",OR(NOT(ISNUMBER(M26)),M26&lt;=0,M26&gt;99)),"填写代价",IF(AND(L26="",M26&lt;&gt;""),"选择关系",IF(AND(E26="无数值变化",N(I26)&lt;&gt;0),"选择目标",IF(I26="",0,MAX(-F26,MIN(I26,IF(LEFT(E26,3)="技能：",99,IF(COUNTIF('幕间计算'!$H$2:$H$7,E26)&gt;0,18,IF(COUNTIF('幕间计算'!$N$2:$N$8,E26)&gt;0,'幕间计算'!BK226,IF(E26="体力",CEILING(('幕间计算'!BF226+'幕间计算'!BG226)/2,1),IF(E26="毅力",'幕间计算'!BJ226,IF(E26="理智",IF(OR(D26="按部就班",D26="远离喧嚣",D26="接受心理治疗",D26="重建人生动力"),MIN(99-'幕间计算'!BL226,'幕间计算'!BJ226*5),99-'幕间计算'!BL226),99))))))-F26))))))))))</x:f>
        <x:v>0</x:v>
      </x:c>
      <x:c r="L26" s="687"/>
      <x:c r="M26" s="689"/>
      <x:c r="N26" s="702"/>
    </x:row>
    <x:row r="27" ht="29" customHeight="1">
      <x:c r="A27" s="699" t="n">
        <x:v>19</x:v>
      </x:c>
      <x:c r="B27" s="688"/>
      <x:c r="C27" s="700"/>
      <x:c r="D27" s="687"/>
      <x:c r="E27" s="687"/>
      <x:c r="F27" s="689"/>
      <x:c r="G27" s="688"/>
      <x:c r="H27" s="688"/>
      <x:c r="I27" s="689"/>
      <x:c r="J27" s="688"/>
      <x:c r="K27" s="701">
        <x:f>IF(J27&lt;&gt;"确认",0,IF(OR('幕间计算'!A228=0,D27="",E27=""),"补全记录",IF(AND(I27&lt;&gt;"",NOT(ISNUMBER(I27))),"点数无效",IF(AND(I27&lt;&gt;"",NOT(ISNUMBER(F27))),"填写前值",IF(AND(L27&lt;&gt;"",OR(NOT(ISNUMBER(M27)),M27&lt;=0,M27&gt;99)),"填写代价",IF(AND(L27="",M27&lt;&gt;""),"选择关系",IF(AND(E27="无数值变化",N(I27)&lt;&gt;0),"选择目标",IF(I27="",0,MAX(-F27,MIN(I27,IF(LEFT(E27,3)="技能：",99,IF(COUNTIF('幕间计算'!$H$2:$H$7,E27)&gt;0,18,IF(COUNTIF('幕间计算'!$N$2:$N$8,E27)&gt;0,'幕间计算'!BK227,IF(E27="体力",CEILING(('幕间计算'!BF227+'幕间计算'!BG227)/2,1),IF(E27="毅力",'幕间计算'!BJ227,IF(E27="理智",IF(OR(D27="按部就班",D27="远离喧嚣",D27="接受心理治疗",D27="重建人生动力"),MIN(99-'幕间计算'!BL227,'幕间计算'!BJ227*5),99-'幕间计算'!BL227),99))))))-F27))))))))))</x:f>
        <x:v>0</x:v>
      </x:c>
      <x:c r="L27" s="687"/>
      <x:c r="M27" s="689"/>
      <x:c r="N27" s="702"/>
    </x:row>
    <x:row r="28" ht="29" customHeight="1">
      <x:c r="A28" s="699" t="n">
        <x:v>20</x:v>
      </x:c>
      <x:c r="B28" s="688"/>
      <x:c r="C28" s="700"/>
      <x:c r="D28" s="687"/>
      <x:c r="E28" s="687"/>
      <x:c r="F28" s="689"/>
      <x:c r="G28" s="688"/>
      <x:c r="H28" s="688"/>
      <x:c r="I28" s="689"/>
      <x:c r="J28" s="688"/>
      <x:c r="K28" s="701">
        <x:f>IF(J28&lt;&gt;"确认",0,IF(OR('幕间计算'!A229=0,D28="",E28=""),"补全记录",IF(AND(I28&lt;&gt;"",NOT(ISNUMBER(I28))),"点数无效",IF(AND(I28&lt;&gt;"",NOT(ISNUMBER(F28))),"填写前值",IF(AND(L28&lt;&gt;"",OR(NOT(ISNUMBER(M28)),M28&lt;=0,M28&gt;99)),"填写代价",IF(AND(L28="",M28&lt;&gt;""),"选择关系",IF(AND(E28="无数值变化",N(I28)&lt;&gt;0),"选择目标",IF(I28="",0,MAX(-F28,MIN(I28,IF(LEFT(E28,3)="技能：",99,IF(COUNTIF('幕间计算'!$H$2:$H$7,E28)&gt;0,18,IF(COUNTIF('幕间计算'!$N$2:$N$8,E28)&gt;0,'幕间计算'!BK228,IF(E28="体力",CEILING(('幕间计算'!BF228+'幕间计算'!BG228)/2,1),IF(E28="毅力",'幕间计算'!BJ228,IF(E28="理智",IF(OR(D28="按部就班",D28="远离喧嚣",D28="接受心理治疗",D28="重建人生动力"),MIN(99-'幕间计算'!BL228,'幕间计算'!BJ228*5),99-'幕间计算'!BL228),99))))))-F28))))))))))</x:f>
        <x:v>0</x:v>
      </x:c>
      <x:c r="L28" s="687"/>
      <x:c r="M28" s="689"/>
      <x:c r="N28" s="702"/>
    </x:row>
    <x:row r="29" ht="29" customHeight="1">
      <x:c r="A29" s="699" t="n">
        <x:v>21</x:v>
      </x:c>
      <x:c r="B29" s="688"/>
      <x:c r="C29" s="700"/>
      <x:c r="D29" s="687"/>
      <x:c r="E29" s="687"/>
      <x:c r="F29" s="689"/>
      <x:c r="G29" s="688"/>
      <x:c r="H29" s="688"/>
      <x:c r="I29" s="689"/>
      <x:c r="J29" s="688"/>
      <x:c r="K29" s="701">
        <x:f>IF(J29&lt;&gt;"确认",0,IF(OR('幕间计算'!A230=0,D29="",E29=""),"补全记录",IF(AND(I29&lt;&gt;"",NOT(ISNUMBER(I29))),"点数无效",IF(AND(I29&lt;&gt;"",NOT(ISNUMBER(F29))),"填写前值",IF(AND(L29&lt;&gt;"",OR(NOT(ISNUMBER(M29)),M29&lt;=0,M29&gt;99)),"填写代价",IF(AND(L29="",M29&lt;&gt;""),"选择关系",IF(AND(E29="无数值变化",N(I29)&lt;&gt;0),"选择目标",IF(I29="",0,MAX(-F29,MIN(I29,IF(LEFT(E29,3)="技能：",99,IF(COUNTIF('幕间计算'!$H$2:$H$7,E29)&gt;0,18,IF(COUNTIF('幕间计算'!$N$2:$N$8,E29)&gt;0,'幕间计算'!BK229,IF(E29="体力",CEILING(('幕间计算'!BF229+'幕间计算'!BG229)/2,1),IF(E29="毅力",'幕间计算'!BJ229,IF(E29="理智",IF(OR(D29="按部就班",D29="远离喧嚣",D29="接受心理治疗",D29="重建人生动力"),MIN(99-'幕间计算'!BL229,'幕间计算'!BJ229*5),99-'幕间计算'!BL229),99))))))-F29))))))))))</x:f>
        <x:v>0</x:v>
      </x:c>
      <x:c r="L29" s="687"/>
      <x:c r="M29" s="689"/>
      <x:c r="N29" s="702"/>
    </x:row>
    <x:row r="30" ht="29" customHeight="1">
      <x:c r="A30" s="699" t="n">
        <x:v>22</x:v>
      </x:c>
      <x:c r="B30" s="688"/>
      <x:c r="C30" s="700"/>
      <x:c r="D30" s="687"/>
      <x:c r="E30" s="687"/>
      <x:c r="F30" s="689"/>
      <x:c r="G30" s="688"/>
      <x:c r="H30" s="688"/>
      <x:c r="I30" s="689"/>
      <x:c r="J30" s="688"/>
      <x:c r="K30" s="701">
        <x:f>IF(J30&lt;&gt;"确认",0,IF(OR('幕间计算'!A231=0,D30="",E30=""),"补全记录",IF(AND(I30&lt;&gt;"",NOT(ISNUMBER(I30))),"点数无效",IF(AND(I30&lt;&gt;"",NOT(ISNUMBER(F30))),"填写前值",IF(AND(L30&lt;&gt;"",OR(NOT(ISNUMBER(M30)),M30&lt;=0,M30&gt;99)),"填写代价",IF(AND(L30="",M30&lt;&gt;""),"选择关系",IF(AND(E30="无数值变化",N(I30)&lt;&gt;0),"选择目标",IF(I30="",0,MAX(-F30,MIN(I30,IF(LEFT(E30,3)="技能：",99,IF(COUNTIF('幕间计算'!$H$2:$H$7,E30)&gt;0,18,IF(COUNTIF('幕间计算'!$N$2:$N$8,E30)&gt;0,'幕间计算'!BK230,IF(E30="体力",CEILING(('幕间计算'!BF230+'幕间计算'!BG230)/2,1),IF(E30="毅力",'幕间计算'!BJ230,IF(E30="理智",IF(OR(D30="按部就班",D30="远离喧嚣",D30="接受心理治疗",D30="重建人生动力"),MIN(99-'幕间计算'!BL230,'幕间计算'!BJ230*5),99-'幕间计算'!BL230),99))))))-F30))))))))))</x:f>
        <x:v>0</x:v>
      </x:c>
      <x:c r="L30" s="687"/>
      <x:c r="M30" s="689"/>
      <x:c r="N30" s="702"/>
    </x:row>
    <x:row r="31" ht="29" customHeight="1">
      <x:c r="A31" s="699" t="n">
        <x:v>23</x:v>
      </x:c>
      <x:c r="B31" s="688"/>
      <x:c r="C31" s="700"/>
      <x:c r="D31" s="687"/>
      <x:c r="E31" s="687"/>
      <x:c r="F31" s="689"/>
      <x:c r="G31" s="688"/>
      <x:c r="H31" s="688"/>
      <x:c r="I31" s="689"/>
      <x:c r="J31" s="688"/>
      <x:c r="K31" s="701">
        <x:f>IF(J31&lt;&gt;"确认",0,IF(OR('幕间计算'!A232=0,D31="",E31=""),"补全记录",IF(AND(I31&lt;&gt;"",NOT(ISNUMBER(I31))),"点数无效",IF(AND(I31&lt;&gt;"",NOT(ISNUMBER(F31))),"填写前值",IF(AND(L31&lt;&gt;"",OR(NOT(ISNUMBER(M31)),M31&lt;=0,M31&gt;99)),"填写代价",IF(AND(L31="",M31&lt;&gt;""),"选择关系",IF(AND(E31="无数值变化",N(I31)&lt;&gt;0),"选择目标",IF(I31="",0,MAX(-F31,MIN(I31,IF(LEFT(E31,3)="技能：",99,IF(COUNTIF('幕间计算'!$H$2:$H$7,E31)&gt;0,18,IF(COUNTIF('幕间计算'!$N$2:$N$8,E31)&gt;0,'幕间计算'!BK231,IF(E31="体力",CEILING(('幕间计算'!BF231+'幕间计算'!BG231)/2,1),IF(E31="毅力",'幕间计算'!BJ231,IF(E31="理智",IF(OR(D31="按部就班",D31="远离喧嚣",D31="接受心理治疗",D31="重建人生动力"),MIN(99-'幕间计算'!BL231,'幕间计算'!BJ231*5),99-'幕间计算'!BL231),99))))))-F31))))))))))</x:f>
        <x:v>0</x:v>
      </x:c>
      <x:c r="L31" s="687"/>
      <x:c r="M31" s="689"/>
      <x:c r="N31" s="702"/>
    </x:row>
    <x:row r="32" ht="29" customHeight="1">
      <x:c r="A32" s="699" t="n">
        <x:v>24</x:v>
      </x:c>
      <x:c r="B32" s="688"/>
      <x:c r="C32" s="700"/>
      <x:c r="D32" s="687"/>
      <x:c r="E32" s="687"/>
      <x:c r="F32" s="689"/>
      <x:c r="G32" s="688"/>
      <x:c r="H32" s="688"/>
      <x:c r="I32" s="689"/>
      <x:c r="J32" s="688"/>
      <x:c r="K32" s="701">
        <x:f>IF(J32&lt;&gt;"确认",0,IF(OR('幕间计算'!A233=0,D32="",E32=""),"补全记录",IF(AND(I32&lt;&gt;"",NOT(ISNUMBER(I32))),"点数无效",IF(AND(I32&lt;&gt;"",NOT(ISNUMBER(F32))),"填写前值",IF(AND(L32&lt;&gt;"",OR(NOT(ISNUMBER(M32)),M32&lt;=0,M32&gt;99)),"填写代价",IF(AND(L32="",M32&lt;&gt;""),"选择关系",IF(AND(E32="无数值变化",N(I32)&lt;&gt;0),"选择目标",IF(I32="",0,MAX(-F32,MIN(I32,IF(LEFT(E32,3)="技能：",99,IF(COUNTIF('幕间计算'!$H$2:$H$7,E32)&gt;0,18,IF(COUNTIF('幕间计算'!$N$2:$N$8,E32)&gt;0,'幕间计算'!BK232,IF(E32="体力",CEILING(('幕间计算'!BF232+'幕间计算'!BG232)/2,1),IF(E32="毅力",'幕间计算'!BJ232,IF(E32="理智",IF(OR(D32="按部就班",D32="远离喧嚣",D32="接受心理治疗",D32="重建人生动力"),MIN(99-'幕间计算'!BL232,'幕间计算'!BJ232*5),99-'幕间计算'!BL232),99))))))-F32))))))))))</x:f>
        <x:v>0</x:v>
      </x:c>
      <x:c r="L32" s="687"/>
      <x:c r="M32" s="689"/>
      <x:c r="N32" s="702"/>
    </x:row>
    <x:row r="33" ht="29" customHeight="1">
      <x:c r="A33" s="699" t="n">
        <x:v>25</x:v>
      </x:c>
      <x:c r="B33" s="688"/>
      <x:c r="C33" s="700"/>
      <x:c r="D33" s="687"/>
      <x:c r="E33" s="687"/>
      <x:c r="F33" s="689"/>
      <x:c r="G33" s="688"/>
      <x:c r="H33" s="688"/>
      <x:c r="I33" s="689"/>
      <x:c r="J33" s="688"/>
      <x:c r="K33" s="701">
        <x:f>IF(J33&lt;&gt;"确认",0,IF(OR('幕间计算'!A234=0,D33="",E33=""),"补全记录",IF(AND(I33&lt;&gt;"",NOT(ISNUMBER(I33))),"点数无效",IF(AND(I33&lt;&gt;"",NOT(ISNUMBER(F33))),"填写前值",IF(AND(L33&lt;&gt;"",OR(NOT(ISNUMBER(M33)),M33&lt;=0,M33&gt;99)),"填写代价",IF(AND(L33="",M33&lt;&gt;""),"选择关系",IF(AND(E33="无数值变化",N(I33)&lt;&gt;0),"选择目标",IF(I33="",0,MAX(-F33,MIN(I33,IF(LEFT(E33,3)="技能：",99,IF(COUNTIF('幕间计算'!$H$2:$H$7,E33)&gt;0,18,IF(COUNTIF('幕间计算'!$N$2:$N$8,E33)&gt;0,'幕间计算'!BK233,IF(E33="体力",CEILING(('幕间计算'!BF233+'幕间计算'!BG233)/2,1),IF(E33="毅力",'幕间计算'!BJ233,IF(E33="理智",IF(OR(D33="按部就班",D33="远离喧嚣",D33="接受心理治疗",D33="重建人生动力"),MIN(99-'幕间计算'!BL233,'幕间计算'!BJ233*5),99-'幕间计算'!BL233),99))))))-F33))))))))))</x:f>
        <x:v>0</x:v>
      </x:c>
      <x:c r="L33" s="687"/>
      <x:c r="M33" s="689"/>
      <x:c r="N33" s="702"/>
    </x:row>
    <x:row r="34" ht="29" customHeight="1">
      <x:c r="A34" s="699" t="n">
        <x:v>26</x:v>
      </x:c>
      <x:c r="B34" s="688"/>
      <x:c r="C34" s="700"/>
      <x:c r="D34" s="687"/>
      <x:c r="E34" s="687"/>
      <x:c r="F34" s="689"/>
      <x:c r="G34" s="688"/>
      <x:c r="H34" s="688"/>
      <x:c r="I34" s="689"/>
      <x:c r="J34" s="688"/>
      <x:c r="K34" s="701">
        <x:f>IF(J34&lt;&gt;"确认",0,IF(OR('幕间计算'!A235=0,D34="",E34=""),"补全记录",IF(AND(I34&lt;&gt;"",NOT(ISNUMBER(I34))),"点数无效",IF(AND(I34&lt;&gt;"",NOT(ISNUMBER(F34))),"填写前值",IF(AND(L34&lt;&gt;"",OR(NOT(ISNUMBER(M34)),M34&lt;=0,M34&gt;99)),"填写代价",IF(AND(L34="",M34&lt;&gt;""),"选择关系",IF(AND(E34="无数值变化",N(I34)&lt;&gt;0),"选择目标",IF(I34="",0,MAX(-F34,MIN(I34,IF(LEFT(E34,3)="技能：",99,IF(COUNTIF('幕间计算'!$H$2:$H$7,E34)&gt;0,18,IF(COUNTIF('幕间计算'!$N$2:$N$8,E34)&gt;0,'幕间计算'!BK234,IF(E34="体力",CEILING(('幕间计算'!BF234+'幕间计算'!BG234)/2,1),IF(E34="毅力",'幕间计算'!BJ234,IF(E34="理智",IF(OR(D34="按部就班",D34="远离喧嚣",D34="接受心理治疗",D34="重建人生动力"),MIN(99-'幕间计算'!BL234,'幕间计算'!BJ234*5),99-'幕间计算'!BL234),99))))))-F34))))))))))</x:f>
        <x:v>0</x:v>
      </x:c>
      <x:c r="L34" s="687"/>
      <x:c r="M34" s="689"/>
      <x:c r="N34" s="702"/>
    </x:row>
    <x:row r="35" ht="29" customHeight="1">
      <x:c r="A35" s="699" t="n">
        <x:v>27</x:v>
      </x:c>
      <x:c r="B35" s="688"/>
      <x:c r="C35" s="700"/>
      <x:c r="D35" s="687"/>
      <x:c r="E35" s="687"/>
      <x:c r="F35" s="689"/>
      <x:c r="G35" s="688"/>
      <x:c r="H35" s="688"/>
      <x:c r="I35" s="689"/>
      <x:c r="J35" s="688"/>
      <x:c r="K35" s="701">
        <x:f>IF(J35&lt;&gt;"确认",0,IF(OR('幕间计算'!A236=0,D35="",E35=""),"补全记录",IF(AND(I35&lt;&gt;"",NOT(ISNUMBER(I35))),"点数无效",IF(AND(I35&lt;&gt;"",NOT(ISNUMBER(F35))),"填写前值",IF(AND(L35&lt;&gt;"",OR(NOT(ISNUMBER(M35)),M35&lt;=0,M35&gt;99)),"填写代价",IF(AND(L35="",M35&lt;&gt;""),"选择关系",IF(AND(E35="无数值变化",N(I35)&lt;&gt;0),"选择目标",IF(I35="",0,MAX(-F35,MIN(I35,IF(LEFT(E35,3)="技能：",99,IF(COUNTIF('幕间计算'!$H$2:$H$7,E35)&gt;0,18,IF(COUNTIF('幕间计算'!$N$2:$N$8,E35)&gt;0,'幕间计算'!BK235,IF(E35="体力",CEILING(('幕间计算'!BF235+'幕间计算'!BG235)/2,1),IF(E35="毅力",'幕间计算'!BJ235,IF(E35="理智",IF(OR(D35="按部就班",D35="远离喧嚣",D35="接受心理治疗",D35="重建人生动力"),MIN(99-'幕间计算'!BL235,'幕间计算'!BJ235*5),99-'幕间计算'!BL235),99))))))-F35))))))))))</x:f>
        <x:v>0</x:v>
      </x:c>
      <x:c r="L35" s="687"/>
      <x:c r="M35" s="689"/>
      <x:c r="N35" s="702"/>
    </x:row>
    <x:row r="36" ht="29" customHeight="1">
      <x:c r="A36" s="699" t="n">
        <x:v>28</x:v>
      </x:c>
      <x:c r="B36" s="688"/>
      <x:c r="C36" s="700"/>
      <x:c r="D36" s="687"/>
      <x:c r="E36" s="687"/>
      <x:c r="F36" s="689"/>
      <x:c r="G36" s="688"/>
      <x:c r="H36" s="688"/>
      <x:c r="I36" s="689"/>
      <x:c r="J36" s="688"/>
      <x:c r="K36" s="701">
        <x:f>IF(J36&lt;&gt;"确认",0,IF(OR('幕间计算'!A237=0,D36="",E36=""),"补全记录",IF(AND(I36&lt;&gt;"",NOT(ISNUMBER(I36))),"点数无效",IF(AND(I36&lt;&gt;"",NOT(ISNUMBER(F36))),"填写前值",IF(AND(L36&lt;&gt;"",OR(NOT(ISNUMBER(M36)),M36&lt;=0,M36&gt;99)),"填写代价",IF(AND(L36="",M36&lt;&gt;""),"选择关系",IF(AND(E36="无数值变化",N(I36)&lt;&gt;0),"选择目标",IF(I36="",0,MAX(-F36,MIN(I36,IF(LEFT(E36,3)="技能：",99,IF(COUNTIF('幕间计算'!$H$2:$H$7,E36)&gt;0,18,IF(COUNTIF('幕间计算'!$N$2:$N$8,E36)&gt;0,'幕间计算'!BK236,IF(E36="体力",CEILING(('幕间计算'!BF236+'幕间计算'!BG236)/2,1),IF(E36="毅力",'幕间计算'!BJ236,IF(E36="理智",IF(OR(D36="按部就班",D36="远离喧嚣",D36="接受心理治疗",D36="重建人生动力"),MIN(99-'幕间计算'!BL236,'幕间计算'!BJ236*5),99-'幕间计算'!BL236),99))))))-F36))))))))))</x:f>
        <x:v>0</x:v>
      </x:c>
      <x:c r="L36" s="687"/>
      <x:c r="M36" s="689"/>
      <x:c r="N36" s="702"/>
    </x:row>
    <x:row r="37" ht="29" customHeight="1">
      <x:c r="A37" s="699" t="n">
        <x:v>29</x:v>
      </x:c>
      <x:c r="B37" s="688"/>
      <x:c r="C37" s="700"/>
      <x:c r="D37" s="687"/>
      <x:c r="E37" s="687"/>
      <x:c r="F37" s="689"/>
      <x:c r="G37" s="688"/>
      <x:c r="H37" s="688"/>
      <x:c r="I37" s="689"/>
      <x:c r="J37" s="688"/>
      <x:c r="K37" s="701">
        <x:f>IF(J37&lt;&gt;"确认",0,IF(OR('幕间计算'!A238=0,D37="",E37=""),"补全记录",IF(AND(I37&lt;&gt;"",NOT(ISNUMBER(I37))),"点数无效",IF(AND(I37&lt;&gt;"",NOT(ISNUMBER(F37))),"填写前值",IF(AND(L37&lt;&gt;"",OR(NOT(ISNUMBER(M37)),M37&lt;=0,M37&gt;99)),"填写代价",IF(AND(L37="",M37&lt;&gt;""),"选择关系",IF(AND(E37="无数值变化",N(I37)&lt;&gt;0),"选择目标",IF(I37="",0,MAX(-F37,MIN(I37,IF(LEFT(E37,3)="技能：",99,IF(COUNTIF('幕间计算'!$H$2:$H$7,E37)&gt;0,18,IF(COUNTIF('幕间计算'!$N$2:$N$8,E37)&gt;0,'幕间计算'!BK237,IF(E37="体力",CEILING(('幕间计算'!BF237+'幕间计算'!BG237)/2,1),IF(E37="毅力",'幕间计算'!BJ237,IF(E37="理智",IF(OR(D37="按部就班",D37="远离喧嚣",D37="接受心理治疗",D37="重建人生动力"),MIN(99-'幕间计算'!BL237,'幕间计算'!BJ237*5),99-'幕间计算'!BL237),99))))))-F37))))))))))</x:f>
        <x:v>0</x:v>
      </x:c>
      <x:c r="L37" s="687"/>
      <x:c r="M37" s="689"/>
      <x:c r="N37" s="702"/>
    </x:row>
    <x:row r="38" ht="29" customHeight="1">
      <x:c r="A38" s="699" t="n">
        <x:v>30</x:v>
      </x:c>
      <x:c r="B38" s="688"/>
      <x:c r="C38" s="700"/>
      <x:c r="D38" s="687"/>
      <x:c r="E38" s="687"/>
      <x:c r="F38" s="689"/>
      <x:c r="G38" s="688"/>
      <x:c r="H38" s="688"/>
      <x:c r="I38" s="689"/>
      <x:c r="J38" s="688"/>
      <x:c r="K38" s="701">
        <x:f>IF(J38&lt;&gt;"确认",0,IF(OR('幕间计算'!A239=0,D38="",E38=""),"补全记录",IF(AND(I38&lt;&gt;"",NOT(ISNUMBER(I38))),"点数无效",IF(AND(I38&lt;&gt;"",NOT(ISNUMBER(F38))),"填写前值",IF(AND(L38&lt;&gt;"",OR(NOT(ISNUMBER(M38)),M38&lt;=0,M38&gt;99)),"填写代价",IF(AND(L38="",M38&lt;&gt;""),"选择关系",IF(AND(E38="无数值变化",N(I38)&lt;&gt;0),"选择目标",IF(I38="",0,MAX(-F38,MIN(I38,IF(LEFT(E38,3)="技能：",99,IF(COUNTIF('幕间计算'!$H$2:$H$7,E38)&gt;0,18,IF(COUNTIF('幕间计算'!$N$2:$N$8,E38)&gt;0,'幕间计算'!BK238,IF(E38="体力",CEILING(('幕间计算'!BF238+'幕间计算'!BG238)/2,1),IF(E38="毅力",'幕间计算'!BJ238,IF(E38="理智",IF(OR(D38="按部就班",D38="远离喧嚣",D38="接受心理治疗",D38="重建人生动力"),MIN(99-'幕间计算'!BL238,'幕间计算'!BJ238*5),99-'幕间计算'!BL238),99))))))-F38))))))))))</x:f>
        <x:v>0</x:v>
      </x:c>
      <x:c r="L38" s="687"/>
      <x:c r="M38" s="689"/>
      <x:c r="N38" s="702"/>
    </x:row>
    <x:row r="39" ht="29" customHeight="1">
      <x:c r="A39" s="699" t="n">
        <x:v>31</x:v>
      </x:c>
      <x:c r="B39" s="688"/>
      <x:c r="C39" s="700"/>
      <x:c r="D39" s="687"/>
      <x:c r="E39" s="687"/>
      <x:c r="F39" s="689"/>
      <x:c r="G39" s="688"/>
      <x:c r="H39" s="688"/>
      <x:c r="I39" s="689"/>
      <x:c r="J39" s="688"/>
      <x:c r="K39" s="701">
        <x:f>IF(J39&lt;&gt;"确认",0,IF(OR('幕间计算'!A240=0,D39="",E39=""),"补全记录",IF(AND(I39&lt;&gt;"",NOT(ISNUMBER(I39))),"点数无效",IF(AND(I39&lt;&gt;"",NOT(ISNUMBER(F39))),"填写前值",IF(AND(L39&lt;&gt;"",OR(NOT(ISNUMBER(M39)),M39&lt;=0,M39&gt;99)),"填写代价",IF(AND(L39="",M39&lt;&gt;""),"选择关系",IF(AND(E39="无数值变化",N(I39)&lt;&gt;0),"选择目标",IF(I39="",0,MAX(-F39,MIN(I39,IF(LEFT(E39,3)="技能：",99,IF(COUNTIF('幕间计算'!$H$2:$H$7,E39)&gt;0,18,IF(COUNTIF('幕间计算'!$N$2:$N$8,E39)&gt;0,'幕间计算'!BK239,IF(E39="体力",CEILING(('幕间计算'!BF239+'幕间计算'!BG239)/2,1),IF(E39="毅力",'幕间计算'!BJ239,IF(E39="理智",IF(OR(D39="按部就班",D39="远离喧嚣",D39="接受心理治疗",D39="重建人生动力"),MIN(99-'幕间计算'!BL239,'幕间计算'!BJ239*5),99-'幕间计算'!BL239),99))))))-F39))))))))))</x:f>
        <x:v>0</x:v>
      </x:c>
      <x:c r="L39" s="687"/>
      <x:c r="M39" s="689"/>
      <x:c r="N39" s="702"/>
    </x:row>
    <x:row r="40" ht="29" customHeight="1">
      <x:c r="A40" s="699" t="n">
        <x:v>32</x:v>
      </x:c>
      <x:c r="B40" s="688"/>
      <x:c r="C40" s="700"/>
      <x:c r="D40" s="687"/>
      <x:c r="E40" s="687"/>
      <x:c r="F40" s="689"/>
      <x:c r="G40" s="688"/>
      <x:c r="H40" s="688"/>
      <x:c r="I40" s="689"/>
      <x:c r="J40" s="688"/>
      <x:c r="K40" s="701">
        <x:f>IF(J40&lt;&gt;"确认",0,IF(OR('幕间计算'!A241=0,D40="",E40=""),"补全记录",IF(AND(I40&lt;&gt;"",NOT(ISNUMBER(I40))),"点数无效",IF(AND(I40&lt;&gt;"",NOT(ISNUMBER(F40))),"填写前值",IF(AND(L40&lt;&gt;"",OR(NOT(ISNUMBER(M40)),M40&lt;=0,M40&gt;99)),"填写代价",IF(AND(L40="",M40&lt;&gt;""),"选择关系",IF(AND(E40="无数值变化",N(I40)&lt;&gt;0),"选择目标",IF(I40="",0,MAX(-F40,MIN(I40,IF(LEFT(E40,3)="技能：",99,IF(COUNTIF('幕间计算'!$H$2:$H$7,E40)&gt;0,18,IF(COUNTIF('幕间计算'!$N$2:$N$8,E40)&gt;0,'幕间计算'!BK240,IF(E40="体力",CEILING(('幕间计算'!BF240+'幕间计算'!BG240)/2,1),IF(E40="毅力",'幕间计算'!BJ240,IF(E40="理智",IF(OR(D40="按部就班",D40="远离喧嚣",D40="接受心理治疗",D40="重建人生动力"),MIN(99-'幕间计算'!BL240,'幕间计算'!BJ240*5),99-'幕间计算'!BL240),99))))))-F40))))))))))</x:f>
        <x:v>0</x:v>
      </x:c>
      <x:c r="L40" s="687"/>
      <x:c r="M40" s="689"/>
      <x:c r="N40" s="702"/>
    </x:row>
    <x:row r="41" ht="29" customHeight="1">
      <x:c r="A41" s="699" t="n">
        <x:v>33</x:v>
      </x:c>
      <x:c r="B41" s="688"/>
      <x:c r="C41" s="700"/>
      <x:c r="D41" s="687"/>
      <x:c r="E41" s="687"/>
      <x:c r="F41" s="689"/>
      <x:c r="G41" s="688"/>
      <x:c r="H41" s="688"/>
      <x:c r="I41" s="689"/>
      <x:c r="J41" s="688"/>
      <x:c r="K41" s="701">
        <x:f>IF(J41&lt;&gt;"确认",0,IF(OR('幕间计算'!A242=0,D41="",E41=""),"补全记录",IF(AND(I41&lt;&gt;"",NOT(ISNUMBER(I41))),"点数无效",IF(AND(I41&lt;&gt;"",NOT(ISNUMBER(F41))),"填写前值",IF(AND(L41&lt;&gt;"",OR(NOT(ISNUMBER(M41)),M41&lt;=0,M41&gt;99)),"填写代价",IF(AND(L41="",M41&lt;&gt;""),"选择关系",IF(AND(E41="无数值变化",N(I41)&lt;&gt;0),"选择目标",IF(I41="",0,MAX(-F41,MIN(I41,IF(LEFT(E41,3)="技能：",99,IF(COUNTIF('幕间计算'!$H$2:$H$7,E41)&gt;0,18,IF(COUNTIF('幕间计算'!$N$2:$N$8,E41)&gt;0,'幕间计算'!BK241,IF(E41="体力",CEILING(('幕间计算'!BF241+'幕间计算'!BG241)/2,1),IF(E41="毅力",'幕间计算'!BJ241,IF(E41="理智",IF(OR(D41="按部就班",D41="远离喧嚣",D41="接受心理治疗",D41="重建人生动力"),MIN(99-'幕间计算'!BL241,'幕间计算'!BJ241*5),99-'幕间计算'!BL241),99))))))-F41))))))))))</x:f>
        <x:v>0</x:v>
      </x:c>
      <x:c r="L41" s="687"/>
      <x:c r="M41" s="689"/>
      <x:c r="N41" s="702"/>
    </x:row>
    <x:row r="42" ht="29" customHeight="1">
      <x:c r="A42" s="699" t="n">
        <x:v>34</x:v>
      </x:c>
      <x:c r="B42" s="688"/>
      <x:c r="C42" s="700"/>
      <x:c r="D42" s="687"/>
      <x:c r="E42" s="687"/>
      <x:c r="F42" s="689"/>
      <x:c r="G42" s="688"/>
      <x:c r="H42" s="688"/>
      <x:c r="I42" s="689"/>
      <x:c r="J42" s="688"/>
      <x:c r="K42" s="701">
        <x:f>IF(J42&lt;&gt;"确认",0,IF(OR('幕间计算'!A243=0,D42="",E42=""),"补全记录",IF(AND(I42&lt;&gt;"",NOT(ISNUMBER(I42))),"点数无效",IF(AND(I42&lt;&gt;"",NOT(ISNUMBER(F42))),"填写前值",IF(AND(L42&lt;&gt;"",OR(NOT(ISNUMBER(M42)),M42&lt;=0,M42&gt;99)),"填写代价",IF(AND(L42="",M42&lt;&gt;""),"选择关系",IF(AND(E42="无数值变化",N(I42)&lt;&gt;0),"选择目标",IF(I42="",0,MAX(-F42,MIN(I42,IF(LEFT(E42,3)="技能：",99,IF(COUNTIF('幕间计算'!$H$2:$H$7,E42)&gt;0,18,IF(COUNTIF('幕间计算'!$N$2:$N$8,E42)&gt;0,'幕间计算'!BK242,IF(E42="体力",CEILING(('幕间计算'!BF242+'幕间计算'!BG242)/2,1),IF(E42="毅力",'幕间计算'!BJ242,IF(E42="理智",IF(OR(D42="按部就班",D42="远离喧嚣",D42="接受心理治疗",D42="重建人生动力"),MIN(99-'幕间计算'!BL242,'幕间计算'!BJ242*5),99-'幕间计算'!BL242),99))))))-F42))))))))))</x:f>
        <x:v>0</x:v>
      </x:c>
      <x:c r="L42" s="687"/>
      <x:c r="M42" s="689"/>
      <x:c r="N42" s="702"/>
    </x:row>
    <x:row r="43" ht="29" customHeight="1">
      <x:c r="A43" s="699" t="n">
        <x:v>35</x:v>
      </x:c>
      <x:c r="B43" s="688"/>
      <x:c r="C43" s="700"/>
      <x:c r="D43" s="687"/>
      <x:c r="E43" s="687"/>
      <x:c r="F43" s="689"/>
      <x:c r="G43" s="688"/>
      <x:c r="H43" s="688"/>
      <x:c r="I43" s="689"/>
      <x:c r="J43" s="688"/>
      <x:c r="K43" s="701">
        <x:f>IF(J43&lt;&gt;"确认",0,IF(OR('幕间计算'!A244=0,D43="",E43=""),"补全记录",IF(AND(I43&lt;&gt;"",NOT(ISNUMBER(I43))),"点数无效",IF(AND(I43&lt;&gt;"",NOT(ISNUMBER(F43))),"填写前值",IF(AND(L43&lt;&gt;"",OR(NOT(ISNUMBER(M43)),M43&lt;=0,M43&gt;99)),"填写代价",IF(AND(L43="",M43&lt;&gt;""),"选择关系",IF(AND(E43="无数值变化",N(I43)&lt;&gt;0),"选择目标",IF(I43="",0,MAX(-F43,MIN(I43,IF(LEFT(E43,3)="技能：",99,IF(COUNTIF('幕间计算'!$H$2:$H$7,E43)&gt;0,18,IF(COUNTIF('幕间计算'!$N$2:$N$8,E43)&gt;0,'幕间计算'!BK243,IF(E43="体力",CEILING(('幕间计算'!BF243+'幕间计算'!BG243)/2,1),IF(E43="毅力",'幕间计算'!BJ243,IF(E43="理智",IF(OR(D43="按部就班",D43="远离喧嚣",D43="接受心理治疗",D43="重建人生动力"),MIN(99-'幕间计算'!BL243,'幕间计算'!BJ243*5),99-'幕间计算'!BL243),99))))))-F43))))))))))</x:f>
        <x:v>0</x:v>
      </x:c>
      <x:c r="L43" s="687"/>
      <x:c r="M43" s="689"/>
      <x:c r="N43" s="702"/>
    </x:row>
    <x:row r="44" ht="29" customHeight="1">
      <x:c r="A44" s="699" t="n">
        <x:v>36</x:v>
      </x:c>
      <x:c r="B44" s="688"/>
      <x:c r="C44" s="700"/>
      <x:c r="D44" s="687"/>
      <x:c r="E44" s="687"/>
      <x:c r="F44" s="689"/>
      <x:c r="G44" s="688"/>
      <x:c r="H44" s="688"/>
      <x:c r="I44" s="689"/>
      <x:c r="J44" s="688"/>
      <x:c r="K44" s="701">
        <x:f>IF(J44&lt;&gt;"确认",0,IF(OR('幕间计算'!A245=0,D44="",E44=""),"补全记录",IF(AND(I44&lt;&gt;"",NOT(ISNUMBER(I44))),"点数无效",IF(AND(I44&lt;&gt;"",NOT(ISNUMBER(F44))),"填写前值",IF(AND(L44&lt;&gt;"",OR(NOT(ISNUMBER(M44)),M44&lt;=0,M44&gt;99)),"填写代价",IF(AND(L44="",M44&lt;&gt;""),"选择关系",IF(AND(E44="无数值变化",N(I44)&lt;&gt;0),"选择目标",IF(I44="",0,MAX(-F44,MIN(I44,IF(LEFT(E44,3)="技能：",99,IF(COUNTIF('幕间计算'!$H$2:$H$7,E44)&gt;0,18,IF(COUNTIF('幕间计算'!$N$2:$N$8,E44)&gt;0,'幕间计算'!BK244,IF(E44="体力",CEILING(('幕间计算'!BF244+'幕间计算'!BG244)/2,1),IF(E44="毅力",'幕间计算'!BJ244,IF(E44="理智",IF(OR(D44="按部就班",D44="远离喧嚣",D44="接受心理治疗",D44="重建人生动力"),MIN(99-'幕间计算'!BL244,'幕间计算'!BJ244*5),99-'幕间计算'!BL244),99))))))-F44))))))))))</x:f>
        <x:v>0</x:v>
      </x:c>
      <x:c r="L44" s="687"/>
      <x:c r="M44" s="689"/>
      <x:c r="N44" s="702"/>
    </x:row>
    <x:row r="45" ht="29" customHeight="1">
      <x:c r="A45" s="699" t="n">
        <x:v>37</x:v>
      </x:c>
      <x:c r="B45" s="688"/>
      <x:c r="C45" s="700"/>
      <x:c r="D45" s="687"/>
      <x:c r="E45" s="687"/>
      <x:c r="F45" s="689"/>
      <x:c r="G45" s="688"/>
      <x:c r="H45" s="688"/>
      <x:c r="I45" s="689"/>
      <x:c r="J45" s="688"/>
      <x:c r="K45" s="701">
        <x:f>IF(J45&lt;&gt;"确认",0,IF(OR('幕间计算'!A246=0,D45="",E45=""),"补全记录",IF(AND(I45&lt;&gt;"",NOT(ISNUMBER(I45))),"点数无效",IF(AND(I45&lt;&gt;"",NOT(ISNUMBER(F45))),"填写前值",IF(AND(L45&lt;&gt;"",OR(NOT(ISNUMBER(M45)),M45&lt;=0,M45&gt;99)),"填写代价",IF(AND(L45="",M45&lt;&gt;""),"选择关系",IF(AND(E45="无数值变化",N(I45)&lt;&gt;0),"选择目标",IF(I45="",0,MAX(-F45,MIN(I45,IF(LEFT(E45,3)="技能：",99,IF(COUNTIF('幕间计算'!$H$2:$H$7,E45)&gt;0,18,IF(COUNTIF('幕间计算'!$N$2:$N$8,E45)&gt;0,'幕间计算'!BK245,IF(E45="体力",CEILING(('幕间计算'!BF245+'幕间计算'!BG245)/2,1),IF(E45="毅力",'幕间计算'!BJ245,IF(E45="理智",IF(OR(D45="按部就班",D45="远离喧嚣",D45="接受心理治疗",D45="重建人生动力"),MIN(99-'幕间计算'!BL245,'幕间计算'!BJ245*5),99-'幕间计算'!BL245),99))))))-F45))))))))))</x:f>
        <x:v>0</x:v>
      </x:c>
      <x:c r="L45" s="687"/>
      <x:c r="M45" s="689"/>
      <x:c r="N45" s="702"/>
    </x:row>
    <x:row r="46" ht="29" customHeight="1">
      <x:c r="A46" s="699" t="n">
        <x:v>38</x:v>
      </x:c>
      <x:c r="B46" s="688"/>
      <x:c r="C46" s="700"/>
      <x:c r="D46" s="687"/>
      <x:c r="E46" s="687"/>
      <x:c r="F46" s="689"/>
      <x:c r="G46" s="688"/>
      <x:c r="H46" s="688"/>
      <x:c r="I46" s="689"/>
      <x:c r="J46" s="688"/>
      <x:c r="K46" s="701">
        <x:f>IF(J46&lt;&gt;"确认",0,IF(OR('幕间计算'!A247=0,D46="",E46=""),"补全记录",IF(AND(I46&lt;&gt;"",NOT(ISNUMBER(I46))),"点数无效",IF(AND(I46&lt;&gt;"",NOT(ISNUMBER(F46))),"填写前值",IF(AND(L46&lt;&gt;"",OR(NOT(ISNUMBER(M46)),M46&lt;=0,M46&gt;99)),"填写代价",IF(AND(L46="",M46&lt;&gt;""),"选择关系",IF(AND(E46="无数值变化",N(I46)&lt;&gt;0),"选择目标",IF(I46="",0,MAX(-F46,MIN(I46,IF(LEFT(E46,3)="技能：",99,IF(COUNTIF('幕间计算'!$H$2:$H$7,E46)&gt;0,18,IF(COUNTIF('幕间计算'!$N$2:$N$8,E46)&gt;0,'幕间计算'!BK246,IF(E46="体力",CEILING(('幕间计算'!BF246+'幕间计算'!BG246)/2,1),IF(E46="毅力",'幕间计算'!BJ246,IF(E46="理智",IF(OR(D46="按部就班",D46="远离喧嚣",D46="接受心理治疗",D46="重建人生动力"),MIN(99-'幕间计算'!BL246,'幕间计算'!BJ246*5),99-'幕间计算'!BL246),99))))))-F46))))))))))</x:f>
        <x:v>0</x:v>
      </x:c>
      <x:c r="L46" s="687"/>
      <x:c r="M46" s="689"/>
      <x:c r="N46" s="702"/>
    </x:row>
    <x:row r="47" ht="29" customHeight="1">
      <x:c r="A47" s="699" t="n">
        <x:v>39</x:v>
      </x:c>
      <x:c r="B47" s="688"/>
      <x:c r="C47" s="700"/>
      <x:c r="D47" s="687"/>
      <x:c r="E47" s="687"/>
      <x:c r="F47" s="689"/>
      <x:c r="G47" s="688"/>
      <x:c r="H47" s="688"/>
      <x:c r="I47" s="689"/>
      <x:c r="J47" s="688"/>
      <x:c r="K47" s="701">
        <x:f>IF(J47&lt;&gt;"确认",0,IF(OR('幕间计算'!A248=0,D47="",E47=""),"补全记录",IF(AND(I47&lt;&gt;"",NOT(ISNUMBER(I47))),"点数无效",IF(AND(I47&lt;&gt;"",NOT(ISNUMBER(F47))),"填写前值",IF(AND(L47&lt;&gt;"",OR(NOT(ISNUMBER(M47)),M47&lt;=0,M47&gt;99)),"填写代价",IF(AND(L47="",M47&lt;&gt;""),"选择关系",IF(AND(E47="无数值变化",N(I47)&lt;&gt;0),"选择目标",IF(I47="",0,MAX(-F47,MIN(I47,IF(LEFT(E47,3)="技能：",99,IF(COUNTIF('幕间计算'!$H$2:$H$7,E47)&gt;0,18,IF(COUNTIF('幕间计算'!$N$2:$N$8,E47)&gt;0,'幕间计算'!BK247,IF(E47="体力",CEILING(('幕间计算'!BF247+'幕间计算'!BG247)/2,1),IF(E47="毅力",'幕间计算'!BJ247,IF(E47="理智",IF(OR(D47="按部就班",D47="远离喧嚣",D47="接受心理治疗",D47="重建人生动力"),MIN(99-'幕间计算'!BL247,'幕间计算'!BJ247*5),99-'幕间计算'!BL247),99))))))-F47))))))))))</x:f>
        <x:v>0</x:v>
      </x:c>
      <x:c r="L47" s="687"/>
      <x:c r="M47" s="689"/>
      <x:c r="N47" s="702"/>
    </x:row>
    <x:row r="48" ht="29" customHeight="1">
      <x:c r="A48" s="699" t="n">
        <x:v>40</x:v>
      </x:c>
      <x:c r="B48" s="688"/>
      <x:c r="C48" s="700"/>
      <x:c r="D48" s="687"/>
      <x:c r="E48" s="687"/>
      <x:c r="F48" s="689"/>
      <x:c r="G48" s="688"/>
      <x:c r="H48" s="688"/>
      <x:c r="I48" s="689"/>
      <x:c r="J48" s="688"/>
      <x:c r="K48" s="701">
        <x:f>IF(J48&lt;&gt;"确认",0,IF(OR('幕间计算'!A249=0,D48="",E48=""),"补全记录",IF(AND(I48&lt;&gt;"",NOT(ISNUMBER(I48))),"点数无效",IF(AND(I48&lt;&gt;"",NOT(ISNUMBER(F48))),"填写前值",IF(AND(L48&lt;&gt;"",OR(NOT(ISNUMBER(M48)),M48&lt;=0,M48&gt;99)),"填写代价",IF(AND(L48="",M48&lt;&gt;""),"选择关系",IF(AND(E48="无数值变化",N(I48)&lt;&gt;0),"选择目标",IF(I48="",0,MAX(-F48,MIN(I48,IF(LEFT(E48,3)="技能：",99,IF(COUNTIF('幕间计算'!$H$2:$H$7,E48)&gt;0,18,IF(COUNTIF('幕间计算'!$N$2:$N$8,E48)&gt;0,'幕间计算'!BK248,IF(E48="体力",CEILING(('幕间计算'!BF248+'幕间计算'!BG248)/2,1),IF(E48="毅力",'幕间计算'!BJ248,IF(E48="理智",IF(OR(D48="按部就班",D48="远离喧嚣",D48="接受心理治疗",D48="重建人生动力"),MIN(99-'幕间计算'!BL248,'幕间计算'!BJ248*5),99-'幕间计算'!BL248),99))))))-F48))))))))))</x:f>
        <x:v>0</x:v>
      </x:c>
      <x:c r="L48" s="687"/>
      <x:c r="M48" s="689"/>
      <x:c r="N48" s="702"/>
    </x:row>
    <x:row r="49" ht="29" customHeight="1">
      <x:c r="A49" s="699" t="n">
        <x:v>41</x:v>
      </x:c>
      <x:c r="B49" s="688"/>
      <x:c r="C49" s="700"/>
      <x:c r="D49" s="687"/>
      <x:c r="E49" s="687"/>
      <x:c r="F49" s="689"/>
      <x:c r="G49" s="688"/>
      <x:c r="H49" s="688"/>
      <x:c r="I49" s="689"/>
      <x:c r="J49" s="688"/>
      <x:c r="K49" s="701">
        <x:f>IF(J49&lt;&gt;"确认",0,IF(OR('幕间计算'!A250=0,D49="",E49=""),"补全记录",IF(AND(I49&lt;&gt;"",NOT(ISNUMBER(I49))),"点数无效",IF(AND(I49&lt;&gt;"",NOT(ISNUMBER(F49))),"填写前值",IF(AND(L49&lt;&gt;"",OR(NOT(ISNUMBER(M49)),M49&lt;=0,M49&gt;99)),"填写代价",IF(AND(L49="",M49&lt;&gt;""),"选择关系",IF(AND(E49="无数值变化",N(I49)&lt;&gt;0),"选择目标",IF(I49="",0,MAX(-F49,MIN(I49,IF(LEFT(E49,3)="技能：",99,IF(COUNTIF('幕间计算'!$H$2:$H$7,E49)&gt;0,18,IF(COUNTIF('幕间计算'!$N$2:$N$8,E49)&gt;0,'幕间计算'!BK249,IF(E49="体力",CEILING(('幕间计算'!BF249+'幕间计算'!BG249)/2,1),IF(E49="毅力",'幕间计算'!BJ249,IF(E49="理智",IF(OR(D49="按部就班",D49="远离喧嚣",D49="接受心理治疗",D49="重建人生动力"),MIN(99-'幕间计算'!BL249,'幕间计算'!BJ249*5),99-'幕间计算'!BL249),99))))))-F49))))))))))</x:f>
        <x:v>0</x:v>
      </x:c>
      <x:c r="L49" s="687"/>
      <x:c r="M49" s="689"/>
      <x:c r="N49" s="702"/>
    </x:row>
    <x:row r="50" ht="29" customHeight="1">
      <x:c r="A50" s="699" t="n">
        <x:v>42</x:v>
      </x:c>
      <x:c r="B50" s="688"/>
      <x:c r="C50" s="700"/>
      <x:c r="D50" s="687"/>
      <x:c r="E50" s="687"/>
      <x:c r="F50" s="689"/>
      <x:c r="G50" s="688"/>
      <x:c r="H50" s="688"/>
      <x:c r="I50" s="689"/>
      <x:c r="J50" s="688"/>
      <x:c r="K50" s="701">
        <x:f>IF(J50&lt;&gt;"确认",0,IF(OR('幕间计算'!A251=0,D50="",E50=""),"补全记录",IF(AND(I50&lt;&gt;"",NOT(ISNUMBER(I50))),"点数无效",IF(AND(I50&lt;&gt;"",NOT(ISNUMBER(F50))),"填写前值",IF(AND(L50&lt;&gt;"",OR(NOT(ISNUMBER(M50)),M50&lt;=0,M50&gt;99)),"填写代价",IF(AND(L50="",M50&lt;&gt;""),"选择关系",IF(AND(E50="无数值变化",N(I50)&lt;&gt;0),"选择目标",IF(I50="",0,MAX(-F50,MIN(I50,IF(LEFT(E50,3)="技能：",99,IF(COUNTIF('幕间计算'!$H$2:$H$7,E50)&gt;0,18,IF(COUNTIF('幕间计算'!$N$2:$N$8,E50)&gt;0,'幕间计算'!BK250,IF(E50="体力",CEILING(('幕间计算'!BF250+'幕间计算'!BG250)/2,1),IF(E50="毅力",'幕间计算'!BJ250,IF(E50="理智",IF(OR(D50="按部就班",D50="远离喧嚣",D50="接受心理治疗",D50="重建人生动力"),MIN(99-'幕间计算'!BL250,'幕间计算'!BJ250*5),99-'幕间计算'!BL250),99))))))-F50))))))))))</x:f>
        <x:v>0</x:v>
      </x:c>
      <x:c r="L50" s="687"/>
      <x:c r="M50" s="689"/>
      <x:c r="N50" s="702"/>
    </x:row>
    <x:row r="51" ht="29" customHeight="1">
      <x:c r="A51" s="699" t="n">
        <x:v>43</x:v>
      </x:c>
      <x:c r="B51" s="688"/>
      <x:c r="C51" s="700"/>
      <x:c r="D51" s="687"/>
      <x:c r="E51" s="687"/>
      <x:c r="F51" s="689"/>
      <x:c r="G51" s="688"/>
      <x:c r="H51" s="688"/>
      <x:c r="I51" s="689"/>
      <x:c r="J51" s="688"/>
      <x:c r="K51" s="701">
        <x:f>IF(J51&lt;&gt;"确认",0,IF(OR('幕间计算'!A252=0,D51="",E51=""),"补全记录",IF(AND(I51&lt;&gt;"",NOT(ISNUMBER(I51))),"点数无效",IF(AND(I51&lt;&gt;"",NOT(ISNUMBER(F51))),"填写前值",IF(AND(L51&lt;&gt;"",OR(NOT(ISNUMBER(M51)),M51&lt;=0,M51&gt;99)),"填写代价",IF(AND(L51="",M51&lt;&gt;""),"选择关系",IF(AND(E51="无数值变化",N(I51)&lt;&gt;0),"选择目标",IF(I51="",0,MAX(-F51,MIN(I51,IF(LEFT(E51,3)="技能：",99,IF(COUNTIF('幕间计算'!$H$2:$H$7,E51)&gt;0,18,IF(COUNTIF('幕间计算'!$N$2:$N$8,E51)&gt;0,'幕间计算'!BK251,IF(E51="体力",CEILING(('幕间计算'!BF251+'幕间计算'!BG251)/2,1),IF(E51="毅力",'幕间计算'!BJ251,IF(E51="理智",IF(OR(D51="按部就班",D51="远离喧嚣",D51="接受心理治疗",D51="重建人生动力"),MIN(99-'幕间计算'!BL251,'幕间计算'!BJ251*5),99-'幕间计算'!BL251),99))))))-F51))))))))))</x:f>
        <x:v>0</x:v>
      </x:c>
      <x:c r="L51" s="687"/>
      <x:c r="M51" s="689"/>
      <x:c r="N51" s="702"/>
    </x:row>
    <x:row r="52" ht="29" customHeight="1">
      <x:c r="A52" s="699" t="n">
        <x:v>44</x:v>
      </x:c>
      <x:c r="B52" s="688"/>
      <x:c r="C52" s="700"/>
      <x:c r="D52" s="687"/>
      <x:c r="E52" s="687"/>
      <x:c r="F52" s="689"/>
      <x:c r="G52" s="688"/>
      <x:c r="H52" s="688"/>
      <x:c r="I52" s="689"/>
      <x:c r="J52" s="688"/>
      <x:c r="K52" s="701">
        <x:f>IF(J52&lt;&gt;"确认",0,IF(OR('幕间计算'!A253=0,D52="",E52=""),"补全记录",IF(AND(I52&lt;&gt;"",NOT(ISNUMBER(I52))),"点数无效",IF(AND(I52&lt;&gt;"",NOT(ISNUMBER(F52))),"填写前值",IF(AND(L52&lt;&gt;"",OR(NOT(ISNUMBER(M52)),M52&lt;=0,M52&gt;99)),"填写代价",IF(AND(L52="",M52&lt;&gt;""),"选择关系",IF(AND(E52="无数值变化",N(I52)&lt;&gt;0),"选择目标",IF(I52="",0,MAX(-F52,MIN(I52,IF(LEFT(E52,3)="技能：",99,IF(COUNTIF('幕间计算'!$H$2:$H$7,E52)&gt;0,18,IF(COUNTIF('幕间计算'!$N$2:$N$8,E52)&gt;0,'幕间计算'!BK252,IF(E52="体力",CEILING(('幕间计算'!BF252+'幕间计算'!BG252)/2,1),IF(E52="毅力",'幕间计算'!BJ252,IF(E52="理智",IF(OR(D52="按部就班",D52="远离喧嚣",D52="接受心理治疗",D52="重建人生动力"),MIN(99-'幕间计算'!BL252,'幕间计算'!BJ252*5),99-'幕间计算'!BL252),99))))))-F52))))))))))</x:f>
        <x:v>0</x:v>
      </x:c>
      <x:c r="L52" s="687"/>
      <x:c r="M52" s="689"/>
      <x:c r="N52" s="702"/>
    </x:row>
    <x:row r="53" ht="29" customHeight="1">
      <x:c r="A53" s="699" t="n">
        <x:v>45</x:v>
      </x:c>
      <x:c r="B53" s="688"/>
      <x:c r="C53" s="700"/>
      <x:c r="D53" s="687"/>
      <x:c r="E53" s="687"/>
      <x:c r="F53" s="689"/>
      <x:c r="G53" s="688"/>
      <x:c r="H53" s="688"/>
      <x:c r="I53" s="689"/>
      <x:c r="J53" s="688"/>
      <x:c r="K53" s="701">
        <x:f>IF(J53&lt;&gt;"确认",0,IF(OR('幕间计算'!A254=0,D53="",E53=""),"补全记录",IF(AND(I53&lt;&gt;"",NOT(ISNUMBER(I53))),"点数无效",IF(AND(I53&lt;&gt;"",NOT(ISNUMBER(F53))),"填写前值",IF(AND(L53&lt;&gt;"",OR(NOT(ISNUMBER(M53)),M53&lt;=0,M53&gt;99)),"填写代价",IF(AND(L53="",M53&lt;&gt;""),"选择关系",IF(AND(E53="无数值变化",N(I53)&lt;&gt;0),"选择目标",IF(I53="",0,MAX(-F53,MIN(I53,IF(LEFT(E53,3)="技能：",99,IF(COUNTIF('幕间计算'!$H$2:$H$7,E53)&gt;0,18,IF(COUNTIF('幕间计算'!$N$2:$N$8,E53)&gt;0,'幕间计算'!BK253,IF(E53="体力",CEILING(('幕间计算'!BF253+'幕间计算'!BG253)/2,1),IF(E53="毅力",'幕间计算'!BJ253,IF(E53="理智",IF(OR(D53="按部就班",D53="远离喧嚣",D53="接受心理治疗",D53="重建人生动力"),MIN(99-'幕间计算'!BL253,'幕间计算'!BJ253*5),99-'幕间计算'!BL253),99))))))-F53))))))))))</x:f>
        <x:v>0</x:v>
      </x:c>
      <x:c r="L53" s="687"/>
      <x:c r="M53" s="689"/>
      <x:c r="N53" s="702"/>
    </x:row>
    <x:row r="54" ht="29" customHeight="1">
      <x:c r="A54" s="699" t="n">
        <x:v>46</x:v>
      </x:c>
      <x:c r="B54" s="688"/>
      <x:c r="C54" s="700"/>
      <x:c r="D54" s="687"/>
      <x:c r="E54" s="687"/>
      <x:c r="F54" s="689"/>
      <x:c r="G54" s="688"/>
      <x:c r="H54" s="688"/>
      <x:c r="I54" s="689"/>
      <x:c r="J54" s="688"/>
      <x:c r="K54" s="701">
        <x:f>IF(J54&lt;&gt;"确认",0,IF(OR('幕间计算'!A255=0,D54="",E54=""),"补全记录",IF(AND(I54&lt;&gt;"",NOT(ISNUMBER(I54))),"点数无效",IF(AND(I54&lt;&gt;"",NOT(ISNUMBER(F54))),"填写前值",IF(AND(L54&lt;&gt;"",OR(NOT(ISNUMBER(M54)),M54&lt;=0,M54&gt;99)),"填写代价",IF(AND(L54="",M54&lt;&gt;""),"选择关系",IF(AND(E54="无数值变化",N(I54)&lt;&gt;0),"选择目标",IF(I54="",0,MAX(-F54,MIN(I54,IF(LEFT(E54,3)="技能：",99,IF(COUNTIF('幕间计算'!$H$2:$H$7,E54)&gt;0,18,IF(COUNTIF('幕间计算'!$N$2:$N$8,E54)&gt;0,'幕间计算'!BK254,IF(E54="体力",CEILING(('幕间计算'!BF254+'幕间计算'!BG254)/2,1),IF(E54="毅力",'幕间计算'!BJ254,IF(E54="理智",IF(OR(D54="按部就班",D54="远离喧嚣",D54="接受心理治疗",D54="重建人生动力"),MIN(99-'幕间计算'!BL254,'幕间计算'!BJ254*5),99-'幕间计算'!BL254),99))))))-F54))))))))))</x:f>
        <x:v>0</x:v>
      </x:c>
      <x:c r="L54" s="687"/>
      <x:c r="M54" s="689"/>
      <x:c r="N54" s="702"/>
    </x:row>
    <x:row r="55" ht="29" customHeight="1">
      <x:c r="A55" s="699" t="n">
        <x:v>47</x:v>
      </x:c>
      <x:c r="B55" s="688"/>
      <x:c r="C55" s="700"/>
      <x:c r="D55" s="687"/>
      <x:c r="E55" s="687"/>
      <x:c r="F55" s="689"/>
      <x:c r="G55" s="688"/>
      <x:c r="H55" s="688"/>
      <x:c r="I55" s="689"/>
      <x:c r="J55" s="688"/>
      <x:c r="K55" s="701">
        <x:f>IF(J55&lt;&gt;"确认",0,IF(OR('幕间计算'!A256=0,D55="",E55=""),"补全记录",IF(AND(I55&lt;&gt;"",NOT(ISNUMBER(I55))),"点数无效",IF(AND(I55&lt;&gt;"",NOT(ISNUMBER(F55))),"填写前值",IF(AND(L55&lt;&gt;"",OR(NOT(ISNUMBER(M55)),M55&lt;=0,M55&gt;99)),"填写代价",IF(AND(L55="",M55&lt;&gt;""),"选择关系",IF(AND(E55="无数值变化",N(I55)&lt;&gt;0),"选择目标",IF(I55="",0,MAX(-F55,MIN(I55,IF(LEFT(E55,3)="技能：",99,IF(COUNTIF('幕间计算'!$H$2:$H$7,E55)&gt;0,18,IF(COUNTIF('幕间计算'!$N$2:$N$8,E55)&gt;0,'幕间计算'!BK255,IF(E55="体力",CEILING(('幕间计算'!BF255+'幕间计算'!BG255)/2,1),IF(E55="毅力",'幕间计算'!BJ255,IF(E55="理智",IF(OR(D55="按部就班",D55="远离喧嚣",D55="接受心理治疗",D55="重建人生动力"),MIN(99-'幕间计算'!BL255,'幕间计算'!BJ255*5),99-'幕间计算'!BL255),99))))))-F55))))))))))</x:f>
        <x:v>0</x:v>
      </x:c>
      <x:c r="L55" s="687"/>
      <x:c r="M55" s="689"/>
      <x:c r="N55" s="702"/>
    </x:row>
    <x:row r="56" ht="29" customHeight="1">
      <x:c r="A56" s="699" t="n">
        <x:v>48</x:v>
      </x:c>
      <x:c r="B56" s="688"/>
      <x:c r="C56" s="700"/>
      <x:c r="D56" s="687"/>
      <x:c r="E56" s="687"/>
      <x:c r="F56" s="689"/>
      <x:c r="G56" s="688"/>
      <x:c r="H56" s="688"/>
      <x:c r="I56" s="689"/>
      <x:c r="J56" s="688"/>
      <x:c r="K56" s="701">
        <x:f>IF(J56&lt;&gt;"确认",0,IF(OR('幕间计算'!A257=0,D56="",E56=""),"补全记录",IF(AND(I56&lt;&gt;"",NOT(ISNUMBER(I56))),"点数无效",IF(AND(I56&lt;&gt;"",NOT(ISNUMBER(F56))),"填写前值",IF(AND(L56&lt;&gt;"",OR(NOT(ISNUMBER(M56)),M56&lt;=0,M56&gt;99)),"填写代价",IF(AND(L56="",M56&lt;&gt;""),"选择关系",IF(AND(E56="无数值变化",N(I56)&lt;&gt;0),"选择目标",IF(I56="",0,MAX(-F56,MIN(I56,IF(LEFT(E56,3)="技能：",99,IF(COUNTIF('幕间计算'!$H$2:$H$7,E56)&gt;0,18,IF(COUNTIF('幕间计算'!$N$2:$N$8,E56)&gt;0,'幕间计算'!BK256,IF(E56="体力",CEILING(('幕间计算'!BF256+'幕间计算'!BG256)/2,1),IF(E56="毅力",'幕间计算'!BJ256,IF(E56="理智",IF(OR(D56="按部就班",D56="远离喧嚣",D56="接受心理治疗",D56="重建人生动力"),MIN(99-'幕间计算'!BL256,'幕间计算'!BJ256*5),99-'幕间计算'!BL256),99))))))-F56))))))))))</x:f>
        <x:v>0</x:v>
      </x:c>
      <x:c r="L56" s="687"/>
      <x:c r="M56" s="689"/>
      <x:c r="N56" s="702"/>
    </x:row>
    <x:row r="57" ht="29" customHeight="1">
      <x:c r="A57" s="699" t="n">
        <x:v>49</x:v>
      </x:c>
      <x:c r="B57" s="688"/>
      <x:c r="C57" s="700"/>
      <x:c r="D57" s="687"/>
      <x:c r="E57" s="687"/>
      <x:c r="F57" s="689"/>
      <x:c r="G57" s="688"/>
      <x:c r="H57" s="688"/>
      <x:c r="I57" s="689"/>
      <x:c r="J57" s="688"/>
      <x:c r="K57" s="701">
        <x:f>IF(J57&lt;&gt;"确认",0,IF(OR('幕间计算'!A258=0,D57="",E57=""),"补全记录",IF(AND(I57&lt;&gt;"",NOT(ISNUMBER(I57))),"点数无效",IF(AND(I57&lt;&gt;"",NOT(ISNUMBER(F57))),"填写前值",IF(AND(L57&lt;&gt;"",OR(NOT(ISNUMBER(M57)),M57&lt;=0,M57&gt;99)),"填写代价",IF(AND(L57="",M57&lt;&gt;""),"选择关系",IF(AND(E57="无数值变化",N(I57)&lt;&gt;0),"选择目标",IF(I57="",0,MAX(-F57,MIN(I57,IF(LEFT(E57,3)="技能：",99,IF(COUNTIF('幕间计算'!$H$2:$H$7,E57)&gt;0,18,IF(COUNTIF('幕间计算'!$N$2:$N$8,E57)&gt;0,'幕间计算'!BK257,IF(E57="体力",CEILING(('幕间计算'!BF257+'幕间计算'!BG257)/2,1),IF(E57="毅力",'幕间计算'!BJ257,IF(E57="理智",IF(OR(D57="按部就班",D57="远离喧嚣",D57="接受心理治疗",D57="重建人生动力"),MIN(99-'幕间计算'!BL257,'幕间计算'!BJ257*5),99-'幕间计算'!BL257),99))))))-F57))))))))))</x:f>
        <x:v>0</x:v>
      </x:c>
      <x:c r="L57" s="687"/>
      <x:c r="M57" s="689"/>
      <x:c r="N57" s="702"/>
    </x:row>
    <x:row r="58" ht="29" customHeight="1">
      <x:c r="A58" s="699" t="n">
        <x:v>50</x:v>
      </x:c>
      <x:c r="B58" s="688"/>
      <x:c r="C58" s="700"/>
      <x:c r="D58" s="687"/>
      <x:c r="E58" s="687"/>
      <x:c r="F58" s="689"/>
      <x:c r="G58" s="688"/>
      <x:c r="H58" s="688"/>
      <x:c r="I58" s="689"/>
      <x:c r="J58" s="688"/>
      <x:c r="K58" s="701">
        <x:f>IF(J58&lt;&gt;"确认",0,IF(OR('幕间计算'!A259=0,D58="",E58=""),"补全记录",IF(AND(I58&lt;&gt;"",NOT(ISNUMBER(I58))),"点数无效",IF(AND(I58&lt;&gt;"",NOT(ISNUMBER(F58))),"填写前值",IF(AND(L58&lt;&gt;"",OR(NOT(ISNUMBER(M58)),M58&lt;=0,M58&gt;99)),"填写代价",IF(AND(L58="",M58&lt;&gt;""),"选择关系",IF(AND(E58="无数值变化",N(I58)&lt;&gt;0),"选择目标",IF(I58="",0,MAX(-F58,MIN(I58,IF(LEFT(E58,3)="技能：",99,IF(COUNTIF('幕间计算'!$H$2:$H$7,E58)&gt;0,18,IF(COUNTIF('幕间计算'!$N$2:$N$8,E58)&gt;0,'幕间计算'!BK258,IF(E58="体力",CEILING(('幕间计算'!BF258+'幕间计算'!BG258)/2,1),IF(E58="毅力",'幕间计算'!BJ258,IF(E58="理智",IF(OR(D58="按部就班",D58="远离喧嚣",D58="接受心理治疗",D58="重建人生动力"),MIN(99-'幕间计算'!BL258,'幕间计算'!BJ258*5),99-'幕间计算'!BL258),99))))))-F58))))))))))</x:f>
        <x:v>0</x:v>
      </x:c>
      <x:c r="L58" s="687"/>
      <x:c r="M58" s="689"/>
      <x:c r="N58" s="702"/>
    </x:row>
    <x:row r="59" ht="29" customHeight="1">
      <x:c r="A59" s="699" t="n">
        <x:v>51</x:v>
      </x:c>
      <x:c r="B59" s="688"/>
      <x:c r="C59" s="700"/>
      <x:c r="D59" s="687"/>
      <x:c r="E59" s="687"/>
      <x:c r="F59" s="689"/>
      <x:c r="G59" s="688"/>
      <x:c r="H59" s="688"/>
      <x:c r="I59" s="689"/>
      <x:c r="J59" s="688"/>
      <x:c r="K59" s="701">
        <x:f>IF(J59&lt;&gt;"确认",0,IF(OR('幕间计算'!A260=0,D59="",E59=""),"补全记录",IF(AND(I59&lt;&gt;"",NOT(ISNUMBER(I59))),"点数无效",IF(AND(I59&lt;&gt;"",NOT(ISNUMBER(F59))),"填写前值",IF(AND(L59&lt;&gt;"",OR(NOT(ISNUMBER(M59)),M59&lt;=0,M59&gt;99)),"填写代价",IF(AND(L59="",M59&lt;&gt;""),"选择关系",IF(AND(E59="无数值变化",N(I59)&lt;&gt;0),"选择目标",IF(I59="",0,MAX(-F59,MIN(I59,IF(LEFT(E59,3)="技能：",99,IF(COUNTIF('幕间计算'!$H$2:$H$7,E59)&gt;0,18,IF(COUNTIF('幕间计算'!$N$2:$N$8,E59)&gt;0,'幕间计算'!BK259,IF(E59="体力",CEILING(('幕间计算'!BF259+'幕间计算'!BG259)/2,1),IF(E59="毅力",'幕间计算'!BJ259,IF(E59="理智",IF(OR(D59="按部就班",D59="远离喧嚣",D59="接受心理治疗",D59="重建人生动力"),MIN(99-'幕间计算'!BL259,'幕间计算'!BJ259*5),99-'幕间计算'!BL259),99))))))-F59))))))))))</x:f>
        <x:v>0</x:v>
      </x:c>
      <x:c r="L59" s="687"/>
      <x:c r="M59" s="689"/>
      <x:c r="N59" s="702"/>
    </x:row>
    <x:row r="60" ht="29" customHeight="1">
      <x:c r="A60" s="699" t="n">
        <x:v>52</x:v>
      </x:c>
      <x:c r="B60" s="688"/>
      <x:c r="C60" s="700"/>
      <x:c r="D60" s="687"/>
      <x:c r="E60" s="687"/>
      <x:c r="F60" s="689"/>
      <x:c r="G60" s="688"/>
      <x:c r="H60" s="688"/>
      <x:c r="I60" s="689"/>
      <x:c r="J60" s="688"/>
      <x:c r="K60" s="701">
        <x:f>IF(J60&lt;&gt;"确认",0,IF(OR('幕间计算'!A261=0,D60="",E60=""),"补全记录",IF(AND(I60&lt;&gt;"",NOT(ISNUMBER(I60))),"点数无效",IF(AND(I60&lt;&gt;"",NOT(ISNUMBER(F60))),"填写前值",IF(AND(L60&lt;&gt;"",OR(NOT(ISNUMBER(M60)),M60&lt;=0,M60&gt;99)),"填写代价",IF(AND(L60="",M60&lt;&gt;""),"选择关系",IF(AND(E60="无数值变化",N(I60)&lt;&gt;0),"选择目标",IF(I60="",0,MAX(-F60,MIN(I60,IF(LEFT(E60,3)="技能：",99,IF(COUNTIF('幕间计算'!$H$2:$H$7,E60)&gt;0,18,IF(COUNTIF('幕间计算'!$N$2:$N$8,E60)&gt;0,'幕间计算'!BK260,IF(E60="体力",CEILING(('幕间计算'!BF260+'幕间计算'!BG260)/2,1),IF(E60="毅力",'幕间计算'!BJ260,IF(E60="理智",IF(OR(D60="按部就班",D60="远离喧嚣",D60="接受心理治疗",D60="重建人生动力"),MIN(99-'幕间计算'!BL260,'幕间计算'!BJ260*5),99-'幕间计算'!BL260),99))))))-F60))))))))))</x:f>
        <x:v>0</x:v>
      </x:c>
      <x:c r="L60" s="687"/>
      <x:c r="M60" s="689"/>
      <x:c r="N60" s="702"/>
    </x:row>
    <x:row r="61" ht="29" customHeight="1">
      <x:c r="A61" s="699" t="n">
        <x:v>53</x:v>
      </x:c>
      <x:c r="B61" s="688"/>
      <x:c r="C61" s="700"/>
      <x:c r="D61" s="687"/>
      <x:c r="E61" s="687"/>
      <x:c r="F61" s="689"/>
      <x:c r="G61" s="688"/>
      <x:c r="H61" s="688"/>
      <x:c r="I61" s="689"/>
      <x:c r="J61" s="688"/>
      <x:c r="K61" s="701">
        <x:f>IF(J61&lt;&gt;"确认",0,IF(OR('幕间计算'!A262=0,D61="",E61=""),"补全记录",IF(AND(I61&lt;&gt;"",NOT(ISNUMBER(I61))),"点数无效",IF(AND(I61&lt;&gt;"",NOT(ISNUMBER(F61))),"填写前值",IF(AND(L61&lt;&gt;"",OR(NOT(ISNUMBER(M61)),M61&lt;=0,M61&gt;99)),"填写代价",IF(AND(L61="",M61&lt;&gt;""),"选择关系",IF(AND(E61="无数值变化",N(I61)&lt;&gt;0),"选择目标",IF(I61="",0,MAX(-F61,MIN(I61,IF(LEFT(E61,3)="技能：",99,IF(COUNTIF('幕间计算'!$H$2:$H$7,E61)&gt;0,18,IF(COUNTIF('幕间计算'!$N$2:$N$8,E61)&gt;0,'幕间计算'!BK261,IF(E61="体力",CEILING(('幕间计算'!BF261+'幕间计算'!BG261)/2,1),IF(E61="毅力",'幕间计算'!BJ261,IF(E61="理智",IF(OR(D61="按部就班",D61="远离喧嚣",D61="接受心理治疗",D61="重建人生动力"),MIN(99-'幕间计算'!BL261,'幕间计算'!BJ261*5),99-'幕间计算'!BL261),99))))))-F61))))))))))</x:f>
        <x:v>0</x:v>
      </x:c>
      <x:c r="L61" s="687"/>
      <x:c r="M61" s="689"/>
      <x:c r="N61" s="702"/>
    </x:row>
    <x:row r="62" ht="29" customHeight="1">
      <x:c r="A62" s="699" t="n">
        <x:v>54</x:v>
      </x:c>
      <x:c r="B62" s="688"/>
      <x:c r="C62" s="700"/>
      <x:c r="D62" s="687"/>
      <x:c r="E62" s="687"/>
      <x:c r="F62" s="689"/>
      <x:c r="G62" s="688"/>
      <x:c r="H62" s="688"/>
      <x:c r="I62" s="689"/>
      <x:c r="J62" s="688"/>
      <x:c r="K62" s="701">
        <x:f>IF(J62&lt;&gt;"确认",0,IF(OR('幕间计算'!A263=0,D62="",E62=""),"补全记录",IF(AND(I62&lt;&gt;"",NOT(ISNUMBER(I62))),"点数无效",IF(AND(I62&lt;&gt;"",NOT(ISNUMBER(F62))),"填写前值",IF(AND(L62&lt;&gt;"",OR(NOT(ISNUMBER(M62)),M62&lt;=0,M62&gt;99)),"填写代价",IF(AND(L62="",M62&lt;&gt;""),"选择关系",IF(AND(E62="无数值变化",N(I62)&lt;&gt;0),"选择目标",IF(I62="",0,MAX(-F62,MIN(I62,IF(LEFT(E62,3)="技能：",99,IF(COUNTIF('幕间计算'!$H$2:$H$7,E62)&gt;0,18,IF(COUNTIF('幕间计算'!$N$2:$N$8,E62)&gt;0,'幕间计算'!BK262,IF(E62="体力",CEILING(('幕间计算'!BF262+'幕间计算'!BG262)/2,1),IF(E62="毅力",'幕间计算'!BJ262,IF(E62="理智",IF(OR(D62="按部就班",D62="远离喧嚣",D62="接受心理治疗",D62="重建人生动力"),MIN(99-'幕间计算'!BL262,'幕间计算'!BJ262*5),99-'幕间计算'!BL262),99))))))-F62))))))))))</x:f>
        <x:v>0</x:v>
      </x:c>
      <x:c r="L62" s="687"/>
      <x:c r="M62" s="689"/>
      <x:c r="N62" s="702"/>
    </x:row>
    <x:row r="63" ht="29" customHeight="1">
      <x:c r="A63" s="699" t="n">
        <x:v>55</x:v>
      </x:c>
      <x:c r="B63" s="688"/>
      <x:c r="C63" s="700"/>
      <x:c r="D63" s="687"/>
      <x:c r="E63" s="687"/>
      <x:c r="F63" s="689"/>
      <x:c r="G63" s="688"/>
      <x:c r="H63" s="688"/>
      <x:c r="I63" s="689"/>
      <x:c r="J63" s="688"/>
      <x:c r="K63" s="701">
        <x:f>IF(J63&lt;&gt;"确认",0,IF(OR('幕间计算'!A264=0,D63="",E63=""),"补全记录",IF(AND(I63&lt;&gt;"",NOT(ISNUMBER(I63))),"点数无效",IF(AND(I63&lt;&gt;"",NOT(ISNUMBER(F63))),"填写前值",IF(AND(L63&lt;&gt;"",OR(NOT(ISNUMBER(M63)),M63&lt;=0,M63&gt;99)),"填写代价",IF(AND(L63="",M63&lt;&gt;""),"选择关系",IF(AND(E63="无数值变化",N(I63)&lt;&gt;0),"选择目标",IF(I63="",0,MAX(-F63,MIN(I63,IF(LEFT(E63,3)="技能：",99,IF(COUNTIF('幕间计算'!$H$2:$H$7,E63)&gt;0,18,IF(COUNTIF('幕间计算'!$N$2:$N$8,E63)&gt;0,'幕间计算'!BK263,IF(E63="体力",CEILING(('幕间计算'!BF263+'幕间计算'!BG263)/2,1),IF(E63="毅力",'幕间计算'!BJ263,IF(E63="理智",IF(OR(D63="按部就班",D63="远离喧嚣",D63="接受心理治疗",D63="重建人生动力"),MIN(99-'幕间计算'!BL263,'幕间计算'!BJ263*5),99-'幕间计算'!BL263),99))))))-F63))))))))))</x:f>
        <x:v>0</x:v>
      </x:c>
      <x:c r="L63" s="687"/>
      <x:c r="M63" s="689"/>
      <x:c r="N63" s="702"/>
    </x:row>
    <x:row r="64" ht="29" customHeight="1">
      <x:c r="A64" s="699" t="n">
        <x:v>56</x:v>
      </x:c>
      <x:c r="B64" s="688"/>
      <x:c r="C64" s="700"/>
      <x:c r="D64" s="687"/>
      <x:c r="E64" s="687"/>
      <x:c r="F64" s="689"/>
      <x:c r="G64" s="688"/>
      <x:c r="H64" s="688"/>
      <x:c r="I64" s="689"/>
      <x:c r="J64" s="688"/>
      <x:c r="K64" s="701">
        <x:f>IF(J64&lt;&gt;"确认",0,IF(OR('幕间计算'!A265=0,D64="",E64=""),"补全记录",IF(AND(I64&lt;&gt;"",NOT(ISNUMBER(I64))),"点数无效",IF(AND(I64&lt;&gt;"",NOT(ISNUMBER(F64))),"填写前值",IF(AND(L64&lt;&gt;"",OR(NOT(ISNUMBER(M64)),M64&lt;=0,M64&gt;99)),"填写代价",IF(AND(L64="",M64&lt;&gt;""),"选择关系",IF(AND(E64="无数值变化",N(I64)&lt;&gt;0),"选择目标",IF(I64="",0,MAX(-F64,MIN(I64,IF(LEFT(E64,3)="技能：",99,IF(COUNTIF('幕间计算'!$H$2:$H$7,E64)&gt;0,18,IF(COUNTIF('幕间计算'!$N$2:$N$8,E64)&gt;0,'幕间计算'!BK264,IF(E64="体力",CEILING(('幕间计算'!BF264+'幕间计算'!BG264)/2,1),IF(E64="毅力",'幕间计算'!BJ264,IF(E64="理智",IF(OR(D64="按部就班",D64="远离喧嚣",D64="接受心理治疗",D64="重建人生动力"),MIN(99-'幕间计算'!BL264,'幕间计算'!BJ264*5),99-'幕间计算'!BL264),99))))))-F64))))))))))</x:f>
        <x:v>0</x:v>
      </x:c>
      <x:c r="L64" s="687"/>
      <x:c r="M64" s="689"/>
      <x:c r="N64" s="702"/>
    </x:row>
    <x:row r="65" ht="29" customHeight="1">
      <x:c r="A65" s="699" t="n">
        <x:v>57</x:v>
      </x:c>
      <x:c r="B65" s="688"/>
      <x:c r="C65" s="700"/>
      <x:c r="D65" s="687"/>
      <x:c r="E65" s="687"/>
      <x:c r="F65" s="689"/>
      <x:c r="G65" s="688"/>
      <x:c r="H65" s="688"/>
      <x:c r="I65" s="689"/>
      <x:c r="J65" s="688"/>
      <x:c r="K65" s="701">
        <x:f>IF(J65&lt;&gt;"确认",0,IF(OR('幕间计算'!A266=0,D65="",E65=""),"补全记录",IF(AND(I65&lt;&gt;"",NOT(ISNUMBER(I65))),"点数无效",IF(AND(I65&lt;&gt;"",NOT(ISNUMBER(F65))),"填写前值",IF(AND(L65&lt;&gt;"",OR(NOT(ISNUMBER(M65)),M65&lt;=0,M65&gt;99)),"填写代价",IF(AND(L65="",M65&lt;&gt;""),"选择关系",IF(AND(E65="无数值变化",N(I65)&lt;&gt;0),"选择目标",IF(I65="",0,MAX(-F65,MIN(I65,IF(LEFT(E65,3)="技能：",99,IF(COUNTIF('幕间计算'!$H$2:$H$7,E65)&gt;0,18,IF(COUNTIF('幕间计算'!$N$2:$N$8,E65)&gt;0,'幕间计算'!BK265,IF(E65="体力",CEILING(('幕间计算'!BF265+'幕间计算'!BG265)/2,1),IF(E65="毅力",'幕间计算'!BJ265,IF(E65="理智",IF(OR(D65="按部就班",D65="远离喧嚣",D65="接受心理治疗",D65="重建人生动力"),MIN(99-'幕间计算'!BL265,'幕间计算'!BJ265*5),99-'幕间计算'!BL265),99))))))-F65))))))))))</x:f>
        <x:v>0</x:v>
      </x:c>
      <x:c r="L65" s="687"/>
      <x:c r="M65" s="689"/>
      <x:c r="N65" s="702"/>
    </x:row>
    <x:row r="66" ht="29" customHeight="1">
      <x:c r="A66" s="699" t="n">
        <x:v>58</x:v>
      </x:c>
      <x:c r="B66" s="688"/>
      <x:c r="C66" s="700"/>
      <x:c r="D66" s="687"/>
      <x:c r="E66" s="687"/>
      <x:c r="F66" s="689"/>
      <x:c r="G66" s="688"/>
      <x:c r="H66" s="688"/>
      <x:c r="I66" s="689"/>
      <x:c r="J66" s="688"/>
      <x:c r="K66" s="701">
        <x:f>IF(J66&lt;&gt;"确认",0,IF(OR('幕间计算'!A267=0,D66="",E66=""),"补全记录",IF(AND(I66&lt;&gt;"",NOT(ISNUMBER(I66))),"点数无效",IF(AND(I66&lt;&gt;"",NOT(ISNUMBER(F66))),"填写前值",IF(AND(L66&lt;&gt;"",OR(NOT(ISNUMBER(M66)),M66&lt;=0,M66&gt;99)),"填写代价",IF(AND(L66="",M66&lt;&gt;""),"选择关系",IF(AND(E66="无数值变化",N(I66)&lt;&gt;0),"选择目标",IF(I66="",0,MAX(-F66,MIN(I66,IF(LEFT(E66,3)="技能：",99,IF(COUNTIF('幕间计算'!$H$2:$H$7,E66)&gt;0,18,IF(COUNTIF('幕间计算'!$N$2:$N$8,E66)&gt;0,'幕间计算'!BK266,IF(E66="体力",CEILING(('幕间计算'!BF266+'幕间计算'!BG266)/2,1),IF(E66="毅力",'幕间计算'!BJ266,IF(E66="理智",IF(OR(D66="按部就班",D66="远离喧嚣",D66="接受心理治疗",D66="重建人生动力"),MIN(99-'幕间计算'!BL266,'幕间计算'!BJ266*5),99-'幕间计算'!BL266),99))))))-F66))))))))))</x:f>
        <x:v>0</x:v>
      </x:c>
      <x:c r="L66" s="687"/>
      <x:c r="M66" s="689"/>
      <x:c r="N66" s="702"/>
    </x:row>
    <x:row r="67" ht="29" customHeight="1">
      <x:c r="A67" s="699" t="n">
        <x:v>59</x:v>
      </x:c>
      <x:c r="B67" s="688"/>
      <x:c r="C67" s="700"/>
      <x:c r="D67" s="687"/>
      <x:c r="E67" s="687"/>
      <x:c r="F67" s="689"/>
      <x:c r="G67" s="688"/>
      <x:c r="H67" s="688"/>
      <x:c r="I67" s="689"/>
      <x:c r="J67" s="688"/>
      <x:c r="K67" s="701">
        <x:f>IF(J67&lt;&gt;"确认",0,IF(OR('幕间计算'!A268=0,D67="",E67=""),"补全记录",IF(AND(I67&lt;&gt;"",NOT(ISNUMBER(I67))),"点数无效",IF(AND(I67&lt;&gt;"",NOT(ISNUMBER(F67))),"填写前值",IF(AND(L67&lt;&gt;"",OR(NOT(ISNUMBER(M67)),M67&lt;=0,M67&gt;99)),"填写代价",IF(AND(L67="",M67&lt;&gt;""),"选择关系",IF(AND(E67="无数值变化",N(I67)&lt;&gt;0),"选择目标",IF(I67="",0,MAX(-F67,MIN(I67,IF(LEFT(E67,3)="技能：",99,IF(COUNTIF('幕间计算'!$H$2:$H$7,E67)&gt;0,18,IF(COUNTIF('幕间计算'!$N$2:$N$8,E67)&gt;0,'幕间计算'!BK267,IF(E67="体力",CEILING(('幕间计算'!BF267+'幕间计算'!BG267)/2,1),IF(E67="毅力",'幕间计算'!BJ267,IF(E67="理智",IF(OR(D67="按部就班",D67="远离喧嚣",D67="接受心理治疗",D67="重建人生动力"),MIN(99-'幕间计算'!BL267,'幕间计算'!BJ267*5),99-'幕间计算'!BL267),99))))))-F67))))))))))</x:f>
        <x:v>0</x:v>
      </x:c>
      <x:c r="L67" s="687"/>
      <x:c r="M67" s="689"/>
      <x:c r="N67" s="702"/>
    </x:row>
    <x:row r="68" ht="29" customHeight="1">
      <x:c r="A68" s="699" t="n">
        <x:v>60</x:v>
      </x:c>
      <x:c r="B68" s="688"/>
      <x:c r="C68" s="700"/>
      <x:c r="D68" s="687"/>
      <x:c r="E68" s="687"/>
      <x:c r="F68" s="689"/>
      <x:c r="G68" s="688"/>
      <x:c r="H68" s="688"/>
      <x:c r="I68" s="689"/>
      <x:c r="J68" s="688"/>
      <x:c r="K68" s="701">
        <x:f>IF(J68&lt;&gt;"确认",0,IF(OR('幕间计算'!A269=0,D68="",E68=""),"补全记录",IF(AND(I68&lt;&gt;"",NOT(ISNUMBER(I68))),"点数无效",IF(AND(I68&lt;&gt;"",NOT(ISNUMBER(F68))),"填写前值",IF(AND(L68&lt;&gt;"",OR(NOT(ISNUMBER(M68)),M68&lt;=0,M68&gt;99)),"填写代价",IF(AND(L68="",M68&lt;&gt;""),"选择关系",IF(AND(E68="无数值变化",N(I68)&lt;&gt;0),"选择目标",IF(I68="",0,MAX(-F68,MIN(I68,IF(LEFT(E68,3)="技能：",99,IF(COUNTIF('幕间计算'!$H$2:$H$7,E68)&gt;0,18,IF(COUNTIF('幕间计算'!$N$2:$N$8,E68)&gt;0,'幕间计算'!BK268,IF(E68="体力",CEILING(('幕间计算'!BF268+'幕间计算'!BG268)/2,1),IF(E68="毅力",'幕间计算'!BJ268,IF(E68="理智",IF(OR(D68="按部就班",D68="远离喧嚣",D68="接受心理治疗",D68="重建人生动力"),MIN(99-'幕间计算'!BL268,'幕间计算'!BJ268*5),99-'幕间计算'!BL268),99))))))-F68))))))))))</x:f>
        <x:v>0</x:v>
      </x:c>
      <x:c r="L68" s="687"/>
      <x:c r="M68" s="689"/>
      <x:c r="N68" s="702"/>
    </x:row>
    <x:row r="69" ht="29" customHeight="1">
      <x:c r="A69" s="699" t="n">
        <x:v>61</x:v>
      </x:c>
      <x:c r="B69" s="688"/>
      <x:c r="C69" s="700"/>
      <x:c r="D69" s="687"/>
      <x:c r="E69" s="687"/>
      <x:c r="F69" s="689"/>
      <x:c r="G69" s="688"/>
      <x:c r="H69" s="688"/>
      <x:c r="I69" s="689"/>
      <x:c r="J69" s="688"/>
      <x:c r="K69" s="701">
        <x:f>IF(J69&lt;&gt;"确认",0,IF(OR('幕间计算'!A270=0,D69="",E69=""),"补全记录",IF(AND(I69&lt;&gt;"",NOT(ISNUMBER(I69))),"点数无效",IF(AND(I69&lt;&gt;"",NOT(ISNUMBER(F69))),"填写前值",IF(AND(L69&lt;&gt;"",OR(NOT(ISNUMBER(M69)),M69&lt;=0,M69&gt;99)),"填写代价",IF(AND(L69="",M69&lt;&gt;""),"选择关系",IF(AND(E69="无数值变化",N(I69)&lt;&gt;0),"选择目标",IF(I69="",0,MAX(-F69,MIN(I69,IF(LEFT(E69,3)="技能：",99,IF(COUNTIF('幕间计算'!$H$2:$H$7,E69)&gt;0,18,IF(COUNTIF('幕间计算'!$N$2:$N$8,E69)&gt;0,'幕间计算'!BK269,IF(E69="体力",CEILING(('幕间计算'!BF269+'幕间计算'!BG269)/2,1),IF(E69="毅力",'幕间计算'!BJ269,IF(E69="理智",IF(OR(D69="按部就班",D69="远离喧嚣",D69="接受心理治疗",D69="重建人生动力"),MIN(99-'幕间计算'!BL269,'幕间计算'!BJ269*5),99-'幕间计算'!BL269),99))))))-F69))))))))))</x:f>
        <x:v>0</x:v>
      </x:c>
      <x:c r="L69" s="687"/>
      <x:c r="M69" s="689"/>
      <x:c r="N69" s="702"/>
    </x:row>
    <x:row r="70" ht="29" customHeight="1">
      <x:c r="A70" s="699" t="n">
        <x:v>62</x:v>
      </x:c>
      <x:c r="B70" s="688"/>
      <x:c r="C70" s="700"/>
      <x:c r="D70" s="687"/>
      <x:c r="E70" s="687"/>
      <x:c r="F70" s="689"/>
      <x:c r="G70" s="688"/>
      <x:c r="H70" s="688"/>
      <x:c r="I70" s="689"/>
      <x:c r="J70" s="688"/>
      <x:c r="K70" s="701">
        <x:f>IF(J70&lt;&gt;"确认",0,IF(OR('幕间计算'!A271=0,D70="",E70=""),"补全记录",IF(AND(I70&lt;&gt;"",NOT(ISNUMBER(I70))),"点数无效",IF(AND(I70&lt;&gt;"",NOT(ISNUMBER(F70))),"填写前值",IF(AND(L70&lt;&gt;"",OR(NOT(ISNUMBER(M70)),M70&lt;=0,M70&gt;99)),"填写代价",IF(AND(L70="",M70&lt;&gt;""),"选择关系",IF(AND(E70="无数值变化",N(I70)&lt;&gt;0),"选择目标",IF(I70="",0,MAX(-F70,MIN(I70,IF(LEFT(E70,3)="技能：",99,IF(COUNTIF('幕间计算'!$H$2:$H$7,E70)&gt;0,18,IF(COUNTIF('幕间计算'!$N$2:$N$8,E70)&gt;0,'幕间计算'!BK270,IF(E70="体力",CEILING(('幕间计算'!BF270+'幕间计算'!BG270)/2,1),IF(E70="毅力",'幕间计算'!BJ270,IF(E70="理智",IF(OR(D70="按部就班",D70="远离喧嚣",D70="接受心理治疗",D70="重建人生动力"),MIN(99-'幕间计算'!BL270,'幕间计算'!BJ270*5),99-'幕间计算'!BL270),99))))))-F70))))))))))</x:f>
        <x:v>0</x:v>
      </x:c>
      <x:c r="L70" s="687"/>
      <x:c r="M70" s="689"/>
      <x:c r="N70" s="702"/>
    </x:row>
    <x:row r="71" ht="29" customHeight="1">
      <x:c r="A71" s="699" t="n">
        <x:v>63</x:v>
      </x:c>
      <x:c r="B71" s="688"/>
      <x:c r="C71" s="700"/>
      <x:c r="D71" s="687"/>
      <x:c r="E71" s="687"/>
      <x:c r="F71" s="689"/>
      <x:c r="G71" s="688"/>
      <x:c r="H71" s="688"/>
      <x:c r="I71" s="689"/>
      <x:c r="J71" s="688"/>
      <x:c r="K71" s="701">
        <x:f>IF(J71&lt;&gt;"确认",0,IF(OR('幕间计算'!A272=0,D71="",E71=""),"补全记录",IF(AND(I71&lt;&gt;"",NOT(ISNUMBER(I71))),"点数无效",IF(AND(I71&lt;&gt;"",NOT(ISNUMBER(F71))),"填写前值",IF(AND(L71&lt;&gt;"",OR(NOT(ISNUMBER(M71)),M71&lt;=0,M71&gt;99)),"填写代价",IF(AND(L71="",M71&lt;&gt;""),"选择关系",IF(AND(E71="无数值变化",N(I71)&lt;&gt;0),"选择目标",IF(I71="",0,MAX(-F71,MIN(I71,IF(LEFT(E71,3)="技能：",99,IF(COUNTIF('幕间计算'!$H$2:$H$7,E71)&gt;0,18,IF(COUNTIF('幕间计算'!$N$2:$N$8,E71)&gt;0,'幕间计算'!BK271,IF(E71="体力",CEILING(('幕间计算'!BF271+'幕间计算'!BG271)/2,1),IF(E71="毅力",'幕间计算'!BJ271,IF(E71="理智",IF(OR(D71="按部就班",D71="远离喧嚣",D71="接受心理治疗",D71="重建人生动力"),MIN(99-'幕间计算'!BL271,'幕间计算'!BJ271*5),99-'幕间计算'!BL271),99))))))-F71))))))))))</x:f>
        <x:v>0</x:v>
      </x:c>
      <x:c r="L71" s="687"/>
      <x:c r="M71" s="689"/>
      <x:c r="N71" s="702"/>
    </x:row>
    <x:row r="72" ht="29" customHeight="1">
      <x:c r="A72" s="699" t="n">
        <x:v>64</x:v>
      </x:c>
      <x:c r="B72" s="688"/>
      <x:c r="C72" s="700"/>
      <x:c r="D72" s="687"/>
      <x:c r="E72" s="687"/>
      <x:c r="F72" s="689"/>
      <x:c r="G72" s="688"/>
      <x:c r="H72" s="688"/>
      <x:c r="I72" s="689"/>
      <x:c r="J72" s="688"/>
      <x:c r="K72" s="701">
        <x:f>IF(J72&lt;&gt;"确认",0,IF(OR('幕间计算'!A273=0,D72="",E72=""),"补全记录",IF(AND(I72&lt;&gt;"",NOT(ISNUMBER(I72))),"点数无效",IF(AND(I72&lt;&gt;"",NOT(ISNUMBER(F72))),"填写前值",IF(AND(L72&lt;&gt;"",OR(NOT(ISNUMBER(M72)),M72&lt;=0,M72&gt;99)),"填写代价",IF(AND(L72="",M72&lt;&gt;""),"选择关系",IF(AND(E72="无数值变化",N(I72)&lt;&gt;0),"选择目标",IF(I72="",0,MAX(-F72,MIN(I72,IF(LEFT(E72,3)="技能：",99,IF(COUNTIF('幕间计算'!$H$2:$H$7,E72)&gt;0,18,IF(COUNTIF('幕间计算'!$N$2:$N$8,E72)&gt;0,'幕间计算'!BK272,IF(E72="体力",CEILING(('幕间计算'!BF272+'幕间计算'!BG272)/2,1),IF(E72="毅力",'幕间计算'!BJ272,IF(E72="理智",IF(OR(D72="按部就班",D72="远离喧嚣",D72="接受心理治疗",D72="重建人生动力"),MIN(99-'幕间计算'!BL272,'幕间计算'!BJ272*5),99-'幕间计算'!BL272),99))))))-F72))))))))))</x:f>
        <x:v>0</x:v>
      </x:c>
      <x:c r="L72" s="687"/>
      <x:c r="M72" s="689"/>
      <x:c r="N72" s="702"/>
    </x:row>
    <x:row r="73" ht="29" customHeight="1">
      <x:c r="A73" s="699" t="n">
        <x:v>65</x:v>
      </x:c>
      <x:c r="B73" s="688"/>
      <x:c r="C73" s="700"/>
      <x:c r="D73" s="687"/>
      <x:c r="E73" s="687"/>
      <x:c r="F73" s="689"/>
      <x:c r="G73" s="688"/>
      <x:c r="H73" s="688"/>
      <x:c r="I73" s="689"/>
      <x:c r="J73" s="688"/>
      <x:c r="K73" s="701">
        <x:f>IF(J73&lt;&gt;"确认",0,IF(OR('幕间计算'!A274=0,D73="",E73=""),"补全记录",IF(AND(I73&lt;&gt;"",NOT(ISNUMBER(I73))),"点数无效",IF(AND(I73&lt;&gt;"",NOT(ISNUMBER(F73))),"填写前值",IF(AND(L73&lt;&gt;"",OR(NOT(ISNUMBER(M73)),M73&lt;=0,M73&gt;99)),"填写代价",IF(AND(L73="",M73&lt;&gt;""),"选择关系",IF(AND(E73="无数值变化",N(I73)&lt;&gt;0),"选择目标",IF(I73="",0,MAX(-F73,MIN(I73,IF(LEFT(E73,3)="技能：",99,IF(COUNTIF('幕间计算'!$H$2:$H$7,E73)&gt;0,18,IF(COUNTIF('幕间计算'!$N$2:$N$8,E73)&gt;0,'幕间计算'!BK273,IF(E73="体力",CEILING(('幕间计算'!BF273+'幕间计算'!BG273)/2,1),IF(E73="毅力",'幕间计算'!BJ273,IF(E73="理智",IF(OR(D73="按部就班",D73="远离喧嚣",D73="接受心理治疗",D73="重建人生动力"),MIN(99-'幕间计算'!BL273,'幕间计算'!BJ273*5),99-'幕间计算'!BL273),99))))))-F73))))))))))</x:f>
        <x:v>0</x:v>
      </x:c>
      <x:c r="L73" s="687"/>
      <x:c r="M73" s="689"/>
      <x:c r="N73" s="702"/>
    </x:row>
    <x:row r="74" ht="29" customHeight="1">
      <x:c r="A74" s="699" t="n">
        <x:v>66</x:v>
      </x:c>
      <x:c r="B74" s="688"/>
      <x:c r="C74" s="700"/>
      <x:c r="D74" s="687"/>
      <x:c r="E74" s="687"/>
      <x:c r="F74" s="689"/>
      <x:c r="G74" s="688"/>
      <x:c r="H74" s="688"/>
      <x:c r="I74" s="689"/>
      <x:c r="J74" s="688"/>
      <x:c r="K74" s="701">
        <x:f>IF(J74&lt;&gt;"确认",0,IF(OR('幕间计算'!A275=0,D74="",E74=""),"补全记录",IF(AND(I74&lt;&gt;"",NOT(ISNUMBER(I74))),"点数无效",IF(AND(I74&lt;&gt;"",NOT(ISNUMBER(F74))),"填写前值",IF(AND(L74&lt;&gt;"",OR(NOT(ISNUMBER(M74)),M74&lt;=0,M74&gt;99)),"填写代价",IF(AND(L74="",M74&lt;&gt;""),"选择关系",IF(AND(E74="无数值变化",N(I74)&lt;&gt;0),"选择目标",IF(I74="",0,MAX(-F74,MIN(I74,IF(LEFT(E74,3)="技能：",99,IF(COUNTIF('幕间计算'!$H$2:$H$7,E74)&gt;0,18,IF(COUNTIF('幕间计算'!$N$2:$N$8,E74)&gt;0,'幕间计算'!BK274,IF(E74="体力",CEILING(('幕间计算'!BF274+'幕间计算'!BG274)/2,1),IF(E74="毅力",'幕间计算'!BJ274,IF(E74="理智",IF(OR(D74="按部就班",D74="远离喧嚣",D74="接受心理治疗",D74="重建人生动力"),MIN(99-'幕间计算'!BL274,'幕间计算'!BJ274*5),99-'幕间计算'!BL274),99))))))-F74))))))))))</x:f>
        <x:v>0</x:v>
      </x:c>
      <x:c r="L74" s="687"/>
      <x:c r="M74" s="689"/>
      <x:c r="N74" s="702"/>
    </x:row>
    <x:row r="75" ht="29" customHeight="1">
      <x:c r="A75" s="699" t="n">
        <x:v>67</x:v>
      </x:c>
      <x:c r="B75" s="688"/>
      <x:c r="C75" s="700"/>
      <x:c r="D75" s="687"/>
      <x:c r="E75" s="687"/>
      <x:c r="F75" s="689"/>
      <x:c r="G75" s="688"/>
      <x:c r="H75" s="688"/>
      <x:c r="I75" s="689"/>
      <x:c r="J75" s="688"/>
      <x:c r="K75" s="701">
        <x:f>IF(J75&lt;&gt;"确认",0,IF(OR('幕间计算'!A276=0,D75="",E75=""),"补全记录",IF(AND(I75&lt;&gt;"",NOT(ISNUMBER(I75))),"点数无效",IF(AND(I75&lt;&gt;"",NOT(ISNUMBER(F75))),"填写前值",IF(AND(L75&lt;&gt;"",OR(NOT(ISNUMBER(M75)),M75&lt;=0,M75&gt;99)),"填写代价",IF(AND(L75="",M75&lt;&gt;""),"选择关系",IF(AND(E75="无数值变化",N(I75)&lt;&gt;0),"选择目标",IF(I75="",0,MAX(-F75,MIN(I75,IF(LEFT(E75,3)="技能：",99,IF(COUNTIF('幕间计算'!$H$2:$H$7,E75)&gt;0,18,IF(COUNTIF('幕间计算'!$N$2:$N$8,E75)&gt;0,'幕间计算'!BK275,IF(E75="体力",CEILING(('幕间计算'!BF275+'幕间计算'!BG275)/2,1),IF(E75="毅力",'幕间计算'!BJ275,IF(E75="理智",IF(OR(D75="按部就班",D75="远离喧嚣",D75="接受心理治疗",D75="重建人生动力"),MIN(99-'幕间计算'!BL275,'幕间计算'!BJ275*5),99-'幕间计算'!BL275),99))))))-F75))))))))))</x:f>
        <x:v>0</x:v>
      </x:c>
      <x:c r="L75" s="687"/>
      <x:c r="M75" s="689"/>
      <x:c r="N75" s="702"/>
    </x:row>
    <x:row r="76" ht="29" customHeight="1">
      <x:c r="A76" s="699" t="n">
        <x:v>68</x:v>
      </x:c>
      <x:c r="B76" s="688"/>
      <x:c r="C76" s="700"/>
      <x:c r="D76" s="687"/>
      <x:c r="E76" s="687"/>
      <x:c r="F76" s="689"/>
      <x:c r="G76" s="688"/>
      <x:c r="H76" s="688"/>
      <x:c r="I76" s="689"/>
      <x:c r="J76" s="688"/>
      <x:c r="K76" s="701">
        <x:f>IF(J76&lt;&gt;"确认",0,IF(OR('幕间计算'!A277=0,D76="",E76=""),"补全记录",IF(AND(I76&lt;&gt;"",NOT(ISNUMBER(I76))),"点数无效",IF(AND(I76&lt;&gt;"",NOT(ISNUMBER(F76))),"填写前值",IF(AND(L76&lt;&gt;"",OR(NOT(ISNUMBER(M76)),M76&lt;=0,M76&gt;99)),"填写代价",IF(AND(L76="",M76&lt;&gt;""),"选择关系",IF(AND(E76="无数值变化",N(I76)&lt;&gt;0),"选择目标",IF(I76="",0,MAX(-F76,MIN(I76,IF(LEFT(E76,3)="技能：",99,IF(COUNTIF('幕间计算'!$H$2:$H$7,E76)&gt;0,18,IF(COUNTIF('幕间计算'!$N$2:$N$8,E76)&gt;0,'幕间计算'!BK276,IF(E76="体力",CEILING(('幕间计算'!BF276+'幕间计算'!BG276)/2,1),IF(E76="毅力",'幕间计算'!BJ276,IF(E76="理智",IF(OR(D76="按部就班",D76="远离喧嚣",D76="接受心理治疗",D76="重建人生动力"),MIN(99-'幕间计算'!BL276,'幕间计算'!BJ276*5),99-'幕间计算'!BL276),99))))))-F76))))))))))</x:f>
        <x:v>0</x:v>
      </x:c>
      <x:c r="L76" s="687"/>
      <x:c r="M76" s="689"/>
      <x:c r="N76" s="702"/>
    </x:row>
    <x:row r="77" ht="29" customHeight="1">
      <x:c r="A77" s="699" t="n">
        <x:v>69</x:v>
      </x:c>
      <x:c r="B77" s="688"/>
      <x:c r="C77" s="700"/>
      <x:c r="D77" s="687"/>
      <x:c r="E77" s="687"/>
      <x:c r="F77" s="689"/>
      <x:c r="G77" s="688"/>
      <x:c r="H77" s="688"/>
      <x:c r="I77" s="689"/>
      <x:c r="J77" s="688"/>
      <x:c r="K77" s="701">
        <x:f>IF(J77&lt;&gt;"确认",0,IF(OR('幕间计算'!A278=0,D77="",E77=""),"补全记录",IF(AND(I77&lt;&gt;"",NOT(ISNUMBER(I77))),"点数无效",IF(AND(I77&lt;&gt;"",NOT(ISNUMBER(F77))),"填写前值",IF(AND(L77&lt;&gt;"",OR(NOT(ISNUMBER(M77)),M77&lt;=0,M77&gt;99)),"填写代价",IF(AND(L77="",M77&lt;&gt;""),"选择关系",IF(AND(E77="无数值变化",N(I77)&lt;&gt;0),"选择目标",IF(I77="",0,MAX(-F77,MIN(I77,IF(LEFT(E77,3)="技能：",99,IF(COUNTIF('幕间计算'!$H$2:$H$7,E77)&gt;0,18,IF(COUNTIF('幕间计算'!$N$2:$N$8,E77)&gt;0,'幕间计算'!BK277,IF(E77="体力",CEILING(('幕间计算'!BF277+'幕间计算'!BG277)/2,1),IF(E77="毅力",'幕间计算'!BJ277,IF(E77="理智",IF(OR(D77="按部就班",D77="远离喧嚣",D77="接受心理治疗",D77="重建人生动力"),MIN(99-'幕间计算'!BL277,'幕间计算'!BJ277*5),99-'幕间计算'!BL277),99))))))-F77))))))))))</x:f>
        <x:v>0</x:v>
      </x:c>
      <x:c r="L77" s="687"/>
      <x:c r="M77" s="689"/>
      <x:c r="N77" s="702"/>
    </x:row>
    <x:row r="78" ht="29" customHeight="1">
      <x:c r="A78" s="699" t="n">
        <x:v>70</x:v>
      </x:c>
      <x:c r="B78" s="688"/>
      <x:c r="C78" s="700"/>
      <x:c r="D78" s="687"/>
      <x:c r="E78" s="687"/>
      <x:c r="F78" s="689"/>
      <x:c r="G78" s="688"/>
      <x:c r="H78" s="688"/>
      <x:c r="I78" s="689"/>
      <x:c r="J78" s="688"/>
      <x:c r="K78" s="701">
        <x:f>IF(J78&lt;&gt;"确认",0,IF(OR('幕间计算'!A279=0,D78="",E78=""),"补全记录",IF(AND(I78&lt;&gt;"",NOT(ISNUMBER(I78))),"点数无效",IF(AND(I78&lt;&gt;"",NOT(ISNUMBER(F78))),"填写前值",IF(AND(L78&lt;&gt;"",OR(NOT(ISNUMBER(M78)),M78&lt;=0,M78&gt;99)),"填写代价",IF(AND(L78="",M78&lt;&gt;""),"选择关系",IF(AND(E78="无数值变化",N(I78)&lt;&gt;0),"选择目标",IF(I78="",0,MAX(-F78,MIN(I78,IF(LEFT(E78,3)="技能：",99,IF(COUNTIF('幕间计算'!$H$2:$H$7,E78)&gt;0,18,IF(COUNTIF('幕间计算'!$N$2:$N$8,E78)&gt;0,'幕间计算'!BK278,IF(E78="体力",CEILING(('幕间计算'!BF278+'幕间计算'!BG278)/2,1),IF(E78="毅力",'幕间计算'!BJ278,IF(E78="理智",IF(OR(D78="按部就班",D78="远离喧嚣",D78="接受心理治疗",D78="重建人生动力"),MIN(99-'幕间计算'!BL278,'幕间计算'!BJ278*5),99-'幕间计算'!BL278),99))))))-F78))))))))))</x:f>
        <x:v>0</x:v>
      </x:c>
      <x:c r="L78" s="687"/>
      <x:c r="M78" s="689"/>
      <x:c r="N78" s="702"/>
    </x:row>
    <x:row r="79" ht="29" customHeight="1">
      <x:c r="A79" s="699" t="n">
        <x:v>71</x:v>
      </x:c>
      <x:c r="B79" s="688"/>
      <x:c r="C79" s="700"/>
      <x:c r="D79" s="687"/>
      <x:c r="E79" s="687"/>
      <x:c r="F79" s="689"/>
      <x:c r="G79" s="688"/>
      <x:c r="H79" s="688"/>
      <x:c r="I79" s="689"/>
      <x:c r="J79" s="688"/>
      <x:c r="K79" s="701">
        <x:f>IF(J79&lt;&gt;"确认",0,IF(OR('幕间计算'!A280=0,D79="",E79=""),"补全记录",IF(AND(I79&lt;&gt;"",NOT(ISNUMBER(I79))),"点数无效",IF(AND(I79&lt;&gt;"",NOT(ISNUMBER(F79))),"填写前值",IF(AND(L79&lt;&gt;"",OR(NOT(ISNUMBER(M79)),M79&lt;=0,M79&gt;99)),"填写代价",IF(AND(L79="",M79&lt;&gt;""),"选择关系",IF(AND(E79="无数值变化",N(I79)&lt;&gt;0),"选择目标",IF(I79="",0,MAX(-F79,MIN(I79,IF(LEFT(E79,3)="技能：",99,IF(COUNTIF('幕间计算'!$H$2:$H$7,E79)&gt;0,18,IF(COUNTIF('幕间计算'!$N$2:$N$8,E79)&gt;0,'幕间计算'!BK279,IF(E79="体力",CEILING(('幕间计算'!BF279+'幕间计算'!BG279)/2,1),IF(E79="毅力",'幕间计算'!BJ279,IF(E79="理智",IF(OR(D79="按部就班",D79="远离喧嚣",D79="接受心理治疗",D79="重建人生动力"),MIN(99-'幕间计算'!BL279,'幕间计算'!BJ279*5),99-'幕间计算'!BL279),99))))))-F79))))))))))</x:f>
        <x:v>0</x:v>
      </x:c>
      <x:c r="L79" s="687"/>
      <x:c r="M79" s="689"/>
      <x:c r="N79" s="702"/>
    </x:row>
    <x:row r="80" ht="29" customHeight="1">
      <x:c r="A80" s="699" t="n">
        <x:v>72</x:v>
      </x:c>
      <x:c r="B80" s="688"/>
      <x:c r="C80" s="700"/>
      <x:c r="D80" s="687"/>
      <x:c r="E80" s="687"/>
      <x:c r="F80" s="689"/>
      <x:c r="G80" s="688"/>
      <x:c r="H80" s="688"/>
      <x:c r="I80" s="689"/>
      <x:c r="J80" s="688"/>
      <x:c r="K80" s="701">
        <x:f>IF(J80&lt;&gt;"确认",0,IF(OR('幕间计算'!A281=0,D80="",E80=""),"补全记录",IF(AND(I80&lt;&gt;"",NOT(ISNUMBER(I80))),"点数无效",IF(AND(I80&lt;&gt;"",NOT(ISNUMBER(F80))),"填写前值",IF(AND(L80&lt;&gt;"",OR(NOT(ISNUMBER(M80)),M80&lt;=0,M80&gt;99)),"填写代价",IF(AND(L80="",M80&lt;&gt;""),"选择关系",IF(AND(E80="无数值变化",N(I80)&lt;&gt;0),"选择目标",IF(I80="",0,MAX(-F80,MIN(I80,IF(LEFT(E80,3)="技能：",99,IF(COUNTIF('幕间计算'!$H$2:$H$7,E80)&gt;0,18,IF(COUNTIF('幕间计算'!$N$2:$N$8,E80)&gt;0,'幕间计算'!BK280,IF(E80="体力",CEILING(('幕间计算'!BF280+'幕间计算'!BG280)/2,1),IF(E80="毅力",'幕间计算'!BJ280,IF(E80="理智",IF(OR(D80="按部就班",D80="远离喧嚣",D80="接受心理治疗",D80="重建人生动力"),MIN(99-'幕间计算'!BL280,'幕间计算'!BJ280*5),99-'幕间计算'!BL280),99))))))-F80))))))))))</x:f>
        <x:v>0</x:v>
      </x:c>
      <x:c r="L80" s="687"/>
      <x:c r="M80" s="689"/>
      <x:c r="N80" s="702"/>
    </x:row>
    <x:row r="81" ht="29" customHeight="1">
      <x:c r="A81" s="699" t="n">
        <x:v>73</x:v>
      </x:c>
      <x:c r="B81" s="688"/>
      <x:c r="C81" s="700"/>
      <x:c r="D81" s="687"/>
      <x:c r="E81" s="687"/>
      <x:c r="F81" s="689"/>
      <x:c r="G81" s="688"/>
      <x:c r="H81" s="688"/>
      <x:c r="I81" s="689"/>
      <x:c r="J81" s="688"/>
      <x:c r="K81" s="701">
        <x:f>IF(J81&lt;&gt;"确认",0,IF(OR('幕间计算'!A282=0,D81="",E81=""),"补全记录",IF(AND(I81&lt;&gt;"",NOT(ISNUMBER(I81))),"点数无效",IF(AND(I81&lt;&gt;"",NOT(ISNUMBER(F81))),"填写前值",IF(AND(L81&lt;&gt;"",OR(NOT(ISNUMBER(M81)),M81&lt;=0,M81&gt;99)),"填写代价",IF(AND(L81="",M81&lt;&gt;""),"选择关系",IF(AND(E81="无数值变化",N(I81)&lt;&gt;0),"选择目标",IF(I81="",0,MAX(-F81,MIN(I81,IF(LEFT(E81,3)="技能：",99,IF(COUNTIF('幕间计算'!$H$2:$H$7,E81)&gt;0,18,IF(COUNTIF('幕间计算'!$N$2:$N$8,E81)&gt;0,'幕间计算'!BK281,IF(E81="体力",CEILING(('幕间计算'!BF281+'幕间计算'!BG281)/2,1),IF(E81="毅力",'幕间计算'!BJ281,IF(E81="理智",IF(OR(D81="按部就班",D81="远离喧嚣",D81="接受心理治疗",D81="重建人生动力"),MIN(99-'幕间计算'!BL281,'幕间计算'!BJ281*5),99-'幕间计算'!BL281),99))))))-F81))))))))))</x:f>
        <x:v>0</x:v>
      </x:c>
      <x:c r="L81" s="687"/>
      <x:c r="M81" s="689"/>
      <x:c r="N81" s="702"/>
    </x:row>
    <x:row r="82" ht="29" customHeight="1">
      <x:c r="A82" s="699" t="n">
        <x:v>74</x:v>
      </x:c>
      <x:c r="B82" s="688"/>
      <x:c r="C82" s="700"/>
      <x:c r="D82" s="687"/>
      <x:c r="E82" s="687"/>
      <x:c r="F82" s="689"/>
      <x:c r="G82" s="688"/>
      <x:c r="H82" s="688"/>
      <x:c r="I82" s="689"/>
      <x:c r="J82" s="688"/>
      <x:c r="K82" s="701">
        <x:f>IF(J82&lt;&gt;"确认",0,IF(OR('幕间计算'!A283=0,D82="",E82=""),"补全记录",IF(AND(I82&lt;&gt;"",NOT(ISNUMBER(I82))),"点数无效",IF(AND(I82&lt;&gt;"",NOT(ISNUMBER(F82))),"填写前值",IF(AND(L82&lt;&gt;"",OR(NOT(ISNUMBER(M82)),M82&lt;=0,M82&gt;99)),"填写代价",IF(AND(L82="",M82&lt;&gt;""),"选择关系",IF(AND(E82="无数值变化",N(I82)&lt;&gt;0),"选择目标",IF(I82="",0,MAX(-F82,MIN(I82,IF(LEFT(E82,3)="技能：",99,IF(COUNTIF('幕间计算'!$H$2:$H$7,E82)&gt;0,18,IF(COUNTIF('幕间计算'!$N$2:$N$8,E82)&gt;0,'幕间计算'!BK282,IF(E82="体力",CEILING(('幕间计算'!BF282+'幕间计算'!BG282)/2,1),IF(E82="毅力",'幕间计算'!BJ282,IF(E82="理智",IF(OR(D82="按部就班",D82="远离喧嚣",D82="接受心理治疗",D82="重建人生动力"),MIN(99-'幕间计算'!BL282,'幕间计算'!BJ282*5),99-'幕间计算'!BL282),99))))))-F82))))))))))</x:f>
        <x:v>0</x:v>
      </x:c>
      <x:c r="L82" s="687"/>
      <x:c r="M82" s="689"/>
      <x:c r="N82" s="702"/>
    </x:row>
    <x:row r="83" ht="29" customHeight="1">
      <x:c r="A83" s="699" t="n">
        <x:v>75</x:v>
      </x:c>
      <x:c r="B83" s="688"/>
      <x:c r="C83" s="700"/>
      <x:c r="D83" s="687"/>
      <x:c r="E83" s="687"/>
      <x:c r="F83" s="689"/>
      <x:c r="G83" s="688"/>
      <x:c r="H83" s="688"/>
      <x:c r="I83" s="689"/>
      <x:c r="J83" s="688"/>
      <x:c r="K83" s="701">
        <x:f>IF(J83&lt;&gt;"确认",0,IF(OR('幕间计算'!A284=0,D83="",E83=""),"补全记录",IF(AND(I83&lt;&gt;"",NOT(ISNUMBER(I83))),"点数无效",IF(AND(I83&lt;&gt;"",NOT(ISNUMBER(F83))),"填写前值",IF(AND(L83&lt;&gt;"",OR(NOT(ISNUMBER(M83)),M83&lt;=0,M83&gt;99)),"填写代价",IF(AND(L83="",M83&lt;&gt;""),"选择关系",IF(AND(E83="无数值变化",N(I83)&lt;&gt;0),"选择目标",IF(I83="",0,MAX(-F83,MIN(I83,IF(LEFT(E83,3)="技能：",99,IF(COUNTIF('幕间计算'!$H$2:$H$7,E83)&gt;0,18,IF(COUNTIF('幕间计算'!$N$2:$N$8,E83)&gt;0,'幕间计算'!BK283,IF(E83="体力",CEILING(('幕间计算'!BF283+'幕间计算'!BG283)/2,1),IF(E83="毅力",'幕间计算'!BJ283,IF(E83="理智",IF(OR(D83="按部就班",D83="远离喧嚣",D83="接受心理治疗",D83="重建人生动力"),MIN(99-'幕间计算'!BL283,'幕间计算'!BJ283*5),99-'幕间计算'!BL283),99))))))-F83))))))))))</x:f>
        <x:v>0</x:v>
      </x:c>
      <x:c r="L83" s="687"/>
      <x:c r="M83" s="689"/>
      <x:c r="N83" s="702"/>
    </x:row>
    <x:row r="84" ht="29" customHeight="1">
      <x:c r="A84" s="699" t="n">
        <x:v>76</x:v>
      </x:c>
      <x:c r="B84" s="688"/>
      <x:c r="C84" s="700"/>
      <x:c r="D84" s="687"/>
      <x:c r="E84" s="687"/>
      <x:c r="F84" s="689"/>
      <x:c r="G84" s="688"/>
      <x:c r="H84" s="688"/>
      <x:c r="I84" s="689"/>
      <x:c r="J84" s="688"/>
      <x:c r="K84" s="701">
        <x:f>IF(J84&lt;&gt;"确认",0,IF(OR('幕间计算'!A285=0,D84="",E84=""),"补全记录",IF(AND(I84&lt;&gt;"",NOT(ISNUMBER(I84))),"点数无效",IF(AND(I84&lt;&gt;"",NOT(ISNUMBER(F84))),"填写前值",IF(AND(L84&lt;&gt;"",OR(NOT(ISNUMBER(M84)),M84&lt;=0,M84&gt;99)),"填写代价",IF(AND(L84="",M84&lt;&gt;""),"选择关系",IF(AND(E84="无数值变化",N(I84)&lt;&gt;0),"选择目标",IF(I84="",0,MAX(-F84,MIN(I84,IF(LEFT(E84,3)="技能：",99,IF(COUNTIF('幕间计算'!$H$2:$H$7,E84)&gt;0,18,IF(COUNTIF('幕间计算'!$N$2:$N$8,E84)&gt;0,'幕间计算'!BK284,IF(E84="体力",CEILING(('幕间计算'!BF284+'幕间计算'!BG284)/2,1),IF(E84="毅力",'幕间计算'!BJ284,IF(E84="理智",IF(OR(D84="按部就班",D84="远离喧嚣",D84="接受心理治疗",D84="重建人生动力"),MIN(99-'幕间计算'!BL284,'幕间计算'!BJ284*5),99-'幕间计算'!BL284),99))))))-F84))))))))))</x:f>
        <x:v>0</x:v>
      </x:c>
      <x:c r="L84" s="687"/>
      <x:c r="M84" s="689"/>
      <x:c r="N84" s="702"/>
    </x:row>
    <x:row r="85" ht="29" customHeight="1">
      <x:c r="A85" s="699" t="n">
        <x:v>77</x:v>
      </x:c>
      <x:c r="B85" s="688"/>
      <x:c r="C85" s="700"/>
      <x:c r="D85" s="687"/>
      <x:c r="E85" s="687"/>
      <x:c r="F85" s="689"/>
      <x:c r="G85" s="688"/>
      <x:c r="H85" s="688"/>
      <x:c r="I85" s="689"/>
      <x:c r="J85" s="688"/>
      <x:c r="K85" s="701">
        <x:f>IF(J85&lt;&gt;"确认",0,IF(OR('幕间计算'!A286=0,D85="",E85=""),"补全记录",IF(AND(I85&lt;&gt;"",NOT(ISNUMBER(I85))),"点数无效",IF(AND(I85&lt;&gt;"",NOT(ISNUMBER(F85))),"填写前值",IF(AND(L85&lt;&gt;"",OR(NOT(ISNUMBER(M85)),M85&lt;=0,M85&gt;99)),"填写代价",IF(AND(L85="",M85&lt;&gt;""),"选择关系",IF(AND(E85="无数值变化",N(I85)&lt;&gt;0),"选择目标",IF(I85="",0,MAX(-F85,MIN(I85,IF(LEFT(E85,3)="技能：",99,IF(COUNTIF('幕间计算'!$H$2:$H$7,E85)&gt;0,18,IF(COUNTIF('幕间计算'!$N$2:$N$8,E85)&gt;0,'幕间计算'!BK285,IF(E85="体力",CEILING(('幕间计算'!BF285+'幕间计算'!BG285)/2,1),IF(E85="毅力",'幕间计算'!BJ285,IF(E85="理智",IF(OR(D85="按部就班",D85="远离喧嚣",D85="接受心理治疗",D85="重建人生动力"),MIN(99-'幕间计算'!BL285,'幕间计算'!BJ285*5),99-'幕间计算'!BL285),99))))))-F85))))))))))</x:f>
        <x:v>0</x:v>
      </x:c>
      <x:c r="L85" s="687"/>
      <x:c r="M85" s="689"/>
      <x:c r="N85" s="702"/>
    </x:row>
    <x:row r="86" ht="29" customHeight="1">
      <x:c r="A86" s="699" t="n">
        <x:v>78</x:v>
      </x:c>
      <x:c r="B86" s="688"/>
      <x:c r="C86" s="700"/>
      <x:c r="D86" s="687"/>
      <x:c r="E86" s="687"/>
      <x:c r="F86" s="689"/>
      <x:c r="G86" s="688"/>
      <x:c r="H86" s="688"/>
      <x:c r="I86" s="689"/>
      <x:c r="J86" s="688"/>
      <x:c r="K86" s="701">
        <x:f>IF(J86&lt;&gt;"确认",0,IF(OR('幕间计算'!A287=0,D86="",E86=""),"补全记录",IF(AND(I86&lt;&gt;"",NOT(ISNUMBER(I86))),"点数无效",IF(AND(I86&lt;&gt;"",NOT(ISNUMBER(F86))),"填写前值",IF(AND(L86&lt;&gt;"",OR(NOT(ISNUMBER(M86)),M86&lt;=0,M86&gt;99)),"填写代价",IF(AND(L86="",M86&lt;&gt;""),"选择关系",IF(AND(E86="无数值变化",N(I86)&lt;&gt;0),"选择目标",IF(I86="",0,MAX(-F86,MIN(I86,IF(LEFT(E86,3)="技能：",99,IF(COUNTIF('幕间计算'!$H$2:$H$7,E86)&gt;0,18,IF(COUNTIF('幕间计算'!$N$2:$N$8,E86)&gt;0,'幕间计算'!BK286,IF(E86="体力",CEILING(('幕间计算'!BF286+'幕间计算'!BG286)/2,1),IF(E86="毅力",'幕间计算'!BJ286,IF(E86="理智",IF(OR(D86="按部就班",D86="远离喧嚣",D86="接受心理治疗",D86="重建人生动力"),MIN(99-'幕间计算'!BL286,'幕间计算'!BJ286*5),99-'幕间计算'!BL286),99))))))-F86))))))))))</x:f>
        <x:v>0</x:v>
      </x:c>
      <x:c r="L86" s="687"/>
      <x:c r="M86" s="689"/>
      <x:c r="N86" s="702"/>
    </x:row>
    <x:row r="87" ht="29" customHeight="1">
      <x:c r="A87" s="699" t="n">
        <x:v>79</x:v>
      </x:c>
      <x:c r="B87" s="688"/>
      <x:c r="C87" s="700"/>
      <x:c r="D87" s="687"/>
      <x:c r="E87" s="687"/>
      <x:c r="F87" s="689"/>
      <x:c r="G87" s="688"/>
      <x:c r="H87" s="688"/>
      <x:c r="I87" s="689"/>
      <x:c r="J87" s="688"/>
      <x:c r="K87" s="701">
        <x:f>IF(J87&lt;&gt;"确认",0,IF(OR('幕间计算'!A288=0,D87="",E87=""),"补全记录",IF(AND(I87&lt;&gt;"",NOT(ISNUMBER(I87))),"点数无效",IF(AND(I87&lt;&gt;"",NOT(ISNUMBER(F87))),"填写前值",IF(AND(L87&lt;&gt;"",OR(NOT(ISNUMBER(M87)),M87&lt;=0,M87&gt;99)),"填写代价",IF(AND(L87="",M87&lt;&gt;""),"选择关系",IF(AND(E87="无数值变化",N(I87)&lt;&gt;0),"选择目标",IF(I87="",0,MAX(-F87,MIN(I87,IF(LEFT(E87,3)="技能：",99,IF(COUNTIF('幕间计算'!$H$2:$H$7,E87)&gt;0,18,IF(COUNTIF('幕间计算'!$N$2:$N$8,E87)&gt;0,'幕间计算'!BK287,IF(E87="体力",CEILING(('幕间计算'!BF287+'幕间计算'!BG287)/2,1),IF(E87="毅力",'幕间计算'!BJ287,IF(E87="理智",IF(OR(D87="按部就班",D87="远离喧嚣",D87="接受心理治疗",D87="重建人生动力"),MIN(99-'幕间计算'!BL287,'幕间计算'!BJ287*5),99-'幕间计算'!BL287),99))))))-F87))))))))))</x:f>
        <x:v>0</x:v>
      </x:c>
      <x:c r="L87" s="687"/>
      <x:c r="M87" s="689"/>
      <x:c r="N87" s="702"/>
    </x:row>
    <x:row r="88" ht="29" customHeight="1">
      <x:c r="A88" s="699" t="n">
        <x:v>80</x:v>
      </x:c>
      <x:c r="B88" s="688"/>
      <x:c r="C88" s="700"/>
      <x:c r="D88" s="687"/>
      <x:c r="E88" s="687"/>
      <x:c r="F88" s="689"/>
      <x:c r="G88" s="688"/>
      <x:c r="H88" s="688"/>
      <x:c r="I88" s="689"/>
      <x:c r="J88" s="688"/>
      <x:c r="K88" s="701">
        <x:f>IF(J88&lt;&gt;"确认",0,IF(OR('幕间计算'!A289=0,D88="",E88=""),"补全记录",IF(AND(I88&lt;&gt;"",NOT(ISNUMBER(I88))),"点数无效",IF(AND(I88&lt;&gt;"",NOT(ISNUMBER(F88))),"填写前值",IF(AND(L88&lt;&gt;"",OR(NOT(ISNUMBER(M88)),M88&lt;=0,M88&gt;99)),"填写代价",IF(AND(L88="",M88&lt;&gt;""),"选择关系",IF(AND(E88="无数值变化",N(I88)&lt;&gt;0),"选择目标",IF(I88="",0,MAX(-F88,MIN(I88,IF(LEFT(E88,3)="技能：",99,IF(COUNTIF('幕间计算'!$H$2:$H$7,E88)&gt;0,18,IF(COUNTIF('幕间计算'!$N$2:$N$8,E88)&gt;0,'幕间计算'!BK288,IF(E88="体力",CEILING(('幕间计算'!BF288+'幕间计算'!BG288)/2,1),IF(E88="毅力",'幕间计算'!BJ288,IF(E88="理智",IF(OR(D88="按部就班",D88="远离喧嚣",D88="接受心理治疗",D88="重建人生动力"),MIN(99-'幕间计算'!BL288,'幕间计算'!BJ288*5),99-'幕间计算'!BL288),99))))))-F88))))))))))</x:f>
        <x:v>0</x:v>
      </x:c>
      <x:c r="L88" s="687"/>
      <x:c r="M88" s="689"/>
      <x:c r="N88" s="702"/>
    </x:row>
    <x:row r="89" ht="29" customHeight="1">
      <x:c r="A89" s="699" t="n">
        <x:v>81</x:v>
      </x:c>
      <x:c r="B89" s="688"/>
      <x:c r="C89" s="700"/>
      <x:c r="D89" s="687"/>
      <x:c r="E89" s="687"/>
      <x:c r="F89" s="689"/>
      <x:c r="G89" s="688"/>
      <x:c r="H89" s="688"/>
      <x:c r="I89" s="689"/>
      <x:c r="J89" s="688"/>
      <x:c r="K89" s="701">
        <x:f>IF(J89&lt;&gt;"确认",0,IF(OR('幕间计算'!A290=0,D89="",E89=""),"补全记录",IF(AND(I89&lt;&gt;"",NOT(ISNUMBER(I89))),"点数无效",IF(AND(I89&lt;&gt;"",NOT(ISNUMBER(F89))),"填写前值",IF(AND(L89&lt;&gt;"",OR(NOT(ISNUMBER(M89)),M89&lt;=0,M89&gt;99)),"填写代价",IF(AND(L89="",M89&lt;&gt;""),"选择关系",IF(AND(E89="无数值变化",N(I89)&lt;&gt;0),"选择目标",IF(I89="",0,MAX(-F89,MIN(I89,IF(LEFT(E89,3)="技能：",99,IF(COUNTIF('幕间计算'!$H$2:$H$7,E89)&gt;0,18,IF(COUNTIF('幕间计算'!$N$2:$N$8,E89)&gt;0,'幕间计算'!BK289,IF(E89="体力",CEILING(('幕间计算'!BF289+'幕间计算'!BG289)/2,1),IF(E89="毅力",'幕间计算'!BJ289,IF(E89="理智",IF(OR(D89="按部就班",D89="远离喧嚣",D89="接受心理治疗",D89="重建人生动力"),MIN(99-'幕间计算'!BL289,'幕间计算'!BJ289*5),99-'幕间计算'!BL289),99))))))-F89))))))))))</x:f>
        <x:v>0</x:v>
      </x:c>
      <x:c r="L89" s="687"/>
      <x:c r="M89" s="689"/>
      <x:c r="N89" s="702"/>
    </x:row>
    <x:row r="90" ht="29" customHeight="1">
      <x:c r="A90" s="699" t="n">
        <x:v>82</x:v>
      </x:c>
      <x:c r="B90" s="688"/>
      <x:c r="C90" s="700"/>
      <x:c r="D90" s="687"/>
      <x:c r="E90" s="687"/>
      <x:c r="F90" s="689"/>
      <x:c r="G90" s="688"/>
      <x:c r="H90" s="688"/>
      <x:c r="I90" s="689"/>
      <x:c r="J90" s="688"/>
      <x:c r="K90" s="701">
        <x:f>IF(J90&lt;&gt;"确认",0,IF(OR('幕间计算'!A291=0,D90="",E90=""),"补全记录",IF(AND(I90&lt;&gt;"",NOT(ISNUMBER(I90))),"点数无效",IF(AND(I90&lt;&gt;"",NOT(ISNUMBER(F90))),"填写前值",IF(AND(L90&lt;&gt;"",OR(NOT(ISNUMBER(M90)),M90&lt;=0,M90&gt;99)),"填写代价",IF(AND(L90="",M90&lt;&gt;""),"选择关系",IF(AND(E90="无数值变化",N(I90)&lt;&gt;0),"选择目标",IF(I90="",0,MAX(-F90,MIN(I90,IF(LEFT(E90,3)="技能：",99,IF(COUNTIF('幕间计算'!$H$2:$H$7,E90)&gt;0,18,IF(COUNTIF('幕间计算'!$N$2:$N$8,E90)&gt;0,'幕间计算'!BK290,IF(E90="体力",CEILING(('幕间计算'!BF290+'幕间计算'!BG290)/2,1),IF(E90="毅力",'幕间计算'!BJ290,IF(E90="理智",IF(OR(D90="按部就班",D90="远离喧嚣",D90="接受心理治疗",D90="重建人生动力"),MIN(99-'幕间计算'!BL290,'幕间计算'!BJ290*5),99-'幕间计算'!BL290),99))))))-F90))))))))))</x:f>
        <x:v>0</x:v>
      </x:c>
      <x:c r="L90" s="687"/>
      <x:c r="M90" s="689"/>
      <x:c r="N90" s="702"/>
    </x:row>
    <x:row r="91" ht="29" customHeight="1">
      <x:c r="A91" s="699" t="n">
        <x:v>83</x:v>
      </x:c>
      <x:c r="B91" s="688"/>
      <x:c r="C91" s="700"/>
      <x:c r="D91" s="687"/>
      <x:c r="E91" s="687"/>
      <x:c r="F91" s="689"/>
      <x:c r="G91" s="688"/>
      <x:c r="H91" s="688"/>
      <x:c r="I91" s="689"/>
      <x:c r="J91" s="688"/>
      <x:c r="K91" s="701">
        <x:f>IF(J91&lt;&gt;"确认",0,IF(OR('幕间计算'!A292=0,D91="",E91=""),"补全记录",IF(AND(I91&lt;&gt;"",NOT(ISNUMBER(I91))),"点数无效",IF(AND(I91&lt;&gt;"",NOT(ISNUMBER(F91))),"填写前值",IF(AND(L91&lt;&gt;"",OR(NOT(ISNUMBER(M91)),M91&lt;=0,M91&gt;99)),"填写代价",IF(AND(L91="",M91&lt;&gt;""),"选择关系",IF(AND(E91="无数值变化",N(I91)&lt;&gt;0),"选择目标",IF(I91="",0,MAX(-F91,MIN(I91,IF(LEFT(E91,3)="技能：",99,IF(COUNTIF('幕间计算'!$H$2:$H$7,E91)&gt;0,18,IF(COUNTIF('幕间计算'!$N$2:$N$8,E91)&gt;0,'幕间计算'!BK291,IF(E91="体力",CEILING(('幕间计算'!BF291+'幕间计算'!BG291)/2,1),IF(E91="毅力",'幕间计算'!BJ291,IF(E91="理智",IF(OR(D91="按部就班",D91="远离喧嚣",D91="接受心理治疗",D91="重建人生动力"),MIN(99-'幕间计算'!BL291,'幕间计算'!BJ291*5),99-'幕间计算'!BL291),99))))))-F91))))))))))</x:f>
        <x:v>0</x:v>
      </x:c>
      <x:c r="L91" s="687"/>
      <x:c r="M91" s="689"/>
      <x:c r="N91" s="702"/>
    </x:row>
    <x:row r="92" ht="29" customHeight="1">
      <x:c r="A92" s="699" t="n">
        <x:v>84</x:v>
      </x:c>
      <x:c r="B92" s="688"/>
      <x:c r="C92" s="700"/>
      <x:c r="D92" s="687"/>
      <x:c r="E92" s="687"/>
      <x:c r="F92" s="689"/>
      <x:c r="G92" s="688"/>
      <x:c r="H92" s="688"/>
      <x:c r="I92" s="689"/>
      <x:c r="J92" s="688"/>
      <x:c r="K92" s="701">
        <x:f>IF(J92&lt;&gt;"确认",0,IF(OR('幕间计算'!A293=0,D92="",E92=""),"补全记录",IF(AND(I92&lt;&gt;"",NOT(ISNUMBER(I92))),"点数无效",IF(AND(I92&lt;&gt;"",NOT(ISNUMBER(F92))),"填写前值",IF(AND(L92&lt;&gt;"",OR(NOT(ISNUMBER(M92)),M92&lt;=0,M92&gt;99)),"填写代价",IF(AND(L92="",M92&lt;&gt;""),"选择关系",IF(AND(E92="无数值变化",N(I92)&lt;&gt;0),"选择目标",IF(I92="",0,MAX(-F92,MIN(I92,IF(LEFT(E92,3)="技能：",99,IF(COUNTIF('幕间计算'!$H$2:$H$7,E92)&gt;0,18,IF(COUNTIF('幕间计算'!$N$2:$N$8,E92)&gt;0,'幕间计算'!BK292,IF(E92="体力",CEILING(('幕间计算'!BF292+'幕间计算'!BG292)/2,1),IF(E92="毅力",'幕间计算'!BJ292,IF(E92="理智",IF(OR(D92="按部就班",D92="远离喧嚣",D92="接受心理治疗",D92="重建人生动力"),MIN(99-'幕间计算'!BL292,'幕间计算'!BJ292*5),99-'幕间计算'!BL292),99))))))-F92))))))))))</x:f>
        <x:v>0</x:v>
      </x:c>
      <x:c r="L92" s="687"/>
      <x:c r="M92" s="689"/>
      <x:c r="N92" s="702"/>
    </x:row>
    <x:row r="93" ht="29" customHeight="1">
      <x:c r="A93" s="699" t="n">
        <x:v>85</x:v>
      </x:c>
      <x:c r="B93" s="688"/>
      <x:c r="C93" s="700"/>
      <x:c r="D93" s="687"/>
      <x:c r="E93" s="687"/>
      <x:c r="F93" s="689"/>
      <x:c r="G93" s="688"/>
      <x:c r="H93" s="688"/>
      <x:c r="I93" s="689"/>
      <x:c r="J93" s="688"/>
      <x:c r="K93" s="701">
        <x:f>IF(J93&lt;&gt;"确认",0,IF(OR('幕间计算'!A294=0,D93="",E93=""),"补全记录",IF(AND(I93&lt;&gt;"",NOT(ISNUMBER(I93))),"点数无效",IF(AND(I93&lt;&gt;"",NOT(ISNUMBER(F93))),"填写前值",IF(AND(L93&lt;&gt;"",OR(NOT(ISNUMBER(M93)),M93&lt;=0,M93&gt;99)),"填写代价",IF(AND(L93="",M93&lt;&gt;""),"选择关系",IF(AND(E93="无数值变化",N(I93)&lt;&gt;0),"选择目标",IF(I93="",0,MAX(-F93,MIN(I93,IF(LEFT(E93,3)="技能：",99,IF(COUNTIF('幕间计算'!$H$2:$H$7,E93)&gt;0,18,IF(COUNTIF('幕间计算'!$N$2:$N$8,E93)&gt;0,'幕间计算'!BK293,IF(E93="体力",CEILING(('幕间计算'!BF293+'幕间计算'!BG293)/2,1),IF(E93="毅力",'幕间计算'!BJ293,IF(E93="理智",IF(OR(D93="按部就班",D93="远离喧嚣",D93="接受心理治疗",D93="重建人生动力"),MIN(99-'幕间计算'!BL293,'幕间计算'!BJ293*5),99-'幕间计算'!BL293),99))))))-F93))))))))))</x:f>
        <x:v>0</x:v>
      </x:c>
      <x:c r="L93" s="687"/>
      <x:c r="M93" s="689"/>
      <x:c r="N93" s="702"/>
    </x:row>
    <x:row r="94" ht="29" customHeight="1">
      <x:c r="A94" s="699" t="n">
        <x:v>86</x:v>
      </x:c>
      <x:c r="B94" s="688"/>
      <x:c r="C94" s="700"/>
      <x:c r="D94" s="687"/>
      <x:c r="E94" s="687"/>
      <x:c r="F94" s="689"/>
      <x:c r="G94" s="688"/>
      <x:c r="H94" s="688"/>
      <x:c r="I94" s="689"/>
      <x:c r="J94" s="688"/>
      <x:c r="K94" s="701">
        <x:f>IF(J94&lt;&gt;"确认",0,IF(OR('幕间计算'!A295=0,D94="",E94=""),"补全记录",IF(AND(I94&lt;&gt;"",NOT(ISNUMBER(I94))),"点数无效",IF(AND(I94&lt;&gt;"",NOT(ISNUMBER(F94))),"填写前值",IF(AND(L94&lt;&gt;"",OR(NOT(ISNUMBER(M94)),M94&lt;=0,M94&gt;99)),"填写代价",IF(AND(L94="",M94&lt;&gt;""),"选择关系",IF(AND(E94="无数值变化",N(I94)&lt;&gt;0),"选择目标",IF(I94="",0,MAX(-F94,MIN(I94,IF(LEFT(E94,3)="技能：",99,IF(COUNTIF('幕间计算'!$H$2:$H$7,E94)&gt;0,18,IF(COUNTIF('幕间计算'!$N$2:$N$8,E94)&gt;0,'幕间计算'!BK294,IF(E94="体力",CEILING(('幕间计算'!BF294+'幕间计算'!BG294)/2,1),IF(E94="毅力",'幕间计算'!BJ294,IF(E94="理智",IF(OR(D94="按部就班",D94="远离喧嚣",D94="接受心理治疗",D94="重建人生动力"),MIN(99-'幕间计算'!BL294,'幕间计算'!BJ294*5),99-'幕间计算'!BL294),99))))))-F94))))))))))</x:f>
        <x:v>0</x:v>
      </x:c>
      <x:c r="L94" s="687"/>
      <x:c r="M94" s="689"/>
      <x:c r="N94" s="702"/>
    </x:row>
    <x:row r="95" ht="29" customHeight="1">
      <x:c r="A95" s="699" t="n">
        <x:v>87</x:v>
      </x:c>
      <x:c r="B95" s="688"/>
      <x:c r="C95" s="700"/>
      <x:c r="D95" s="687"/>
      <x:c r="E95" s="687"/>
      <x:c r="F95" s="689"/>
      <x:c r="G95" s="688"/>
      <x:c r="H95" s="688"/>
      <x:c r="I95" s="689"/>
      <x:c r="J95" s="688"/>
      <x:c r="K95" s="701">
        <x:f>IF(J95&lt;&gt;"确认",0,IF(OR('幕间计算'!A296=0,D95="",E95=""),"补全记录",IF(AND(I95&lt;&gt;"",NOT(ISNUMBER(I95))),"点数无效",IF(AND(I95&lt;&gt;"",NOT(ISNUMBER(F95))),"填写前值",IF(AND(L95&lt;&gt;"",OR(NOT(ISNUMBER(M95)),M95&lt;=0,M95&gt;99)),"填写代价",IF(AND(L95="",M95&lt;&gt;""),"选择关系",IF(AND(E95="无数值变化",N(I95)&lt;&gt;0),"选择目标",IF(I95="",0,MAX(-F95,MIN(I95,IF(LEFT(E95,3)="技能：",99,IF(COUNTIF('幕间计算'!$H$2:$H$7,E95)&gt;0,18,IF(COUNTIF('幕间计算'!$N$2:$N$8,E95)&gt;0,'幕间计算'!BK295,IF(E95="体力",CEILING(('幕间计算'!BF295+'幕间计算'!BG295)/2,1),IF(E95="毅力",'幕间计算'!BJ295,IF(E95="理智",IF(OR(D95="按部就班",D95="远离喧嚣",D95="接受心理治疗",D95="重建人生动力"),MIN(99-'幕间计算'!BL295,'幕间计算'!BJ295*5),99-'幕间计算'!BL295),99))))))-F95))))))))))</x:f>
        <x:v>0</x:v>
      </x:c>
      <x:c r="L95" s="687"/>
      <x:c r="M95" s="689"/>
      <x:c r="N95" s="702"/>
    </x:row>
    <x:row r="96" ht="29" customHeight="1">
      <x:c r="A96" s="699" t="n">
        <x:v>88</x:v>
      </x:c>
      <x:c r="B96" s="688"/>
      <x:c r="C96" s="700"/>
      <x:c r="D96" s="687"/>
      <x:c r="E96" s="687"/>
      <x:c r="F96" s="689"/>
      <x:c r="G96" s="688"/>
      <x:c r="H96" s="688"/>
      <x:c r="I96" s="689"/>
      <x:c r="J96" s="688"/>
      <x:c r="K96" s="701">
        <x:f>IF(J96&lt;&gt;"确认",0,IF(OR('幕间计算'!A297=0,D96="",E96=""),"补全记录",IF(AND(I96&lt;&gt;"",NOT(ISNUMBER(I96))),"点数无效",IF(AND(I96&lt;&gt;"",NOT(ISNUMBER(F96))),"填写前值",IF(AND(L96&lt;&gt;"",OR(NOT(ISNUMBER(M96)),M96&lt;=0,M96&gt;99)),"填写代价",IF(AND(L96="",M96&lt;&gt;""),"选择关系",IF(AND(E96="无数值变化",N(I96)&lt;&gt;0),"选择目标",IF(I96="",0,MAX(-F96,MIN(I96,IF(LEFT(E96,3)="技能：",99,IF(COUNTIF('幕间计算'!$H$2:$H$7,E96)&gt;0,18,IF(COUNTIF('幕间计算'!$N$2:$N$8,E96)&gt;0,'幕间计算'!BK296,IF(E96="体力",CEILING(('幕间计算'!BF296+'幕间计算'!BG296)/2,1),IF(E96="毅力",'幕间计算'!BJ296,IF(E96="理智",IF(OR(D96="按部就班",D96="远离喧嚣",D96="接受心理治疗",D96="重建人生动力"),MIN(99-'幕间计算'!BL296,'幕间计算'!BJ296*5),99-'幕间计算'!BL296),99))))))-F96))))))))))</x:f>
        <x:v>0</x:v>
      </x:c>
      <x:c r="L96" s="687"/>
      <x:c r="M96" s="689"/>
      <x:c r="N96" s="702"/>
    </x:row>
    <x:row r="97" ht="29" customHeight="1">
      <x:c r="A97" s="699" t="n">
        <x:v>89</x:v>
      </x:c>
      <x:c r="B97" s="688"/>
      <x:c r="C97" s="700"/>
      <x:c r="D97" s="687"/>
      <x:c r="E97" s="687"/>
      <x:c r="F97" s="689"/>
      <x:c r="G97" s="688"/>
      <x:c r="H97" s="688"/>
      <x:c r="I97" s="689"/>
      <x:c r="J97" s="688"/>
      <x:c r="K97" s="701">
        <x:f>IF(J97&lt;&gt;"确认",0,IF(OR('幕间计算'!A298=0,D97="",E97=""),"补全记录",IF(AND(I97&lt;&gt;"",NOT(ISNUMBER(I97))),"点数无效",IF(AND(I97&lt;&gt;"",NOT(ISNUMBER(F97))),"填写前值",IF(AND(L97&lt;&gt;"",OR(NOT(ISNUMBER(M97)),M97&lt;=0,M97&gt;99)),"填写代价",IF(AND(L97="",M97&lt;&gt;""),"选择关系",IF(AND(E97="无数值变化",N(I97)&lt;&gt;0),"选择目标",IF(I97="",0,MAX(-F97,MIN(I97,IF(LEFT(E97,3)="技能：",99,IF(COUNTIF('幕间计算'!$H$2:$H$7,E97)&gt;0,18,IF(COUNTIF('幕间计算'!$N$2:$N$8,E97)&gt;0,'幕间计算'!BK297,IF(E97="体力",CEILING(('幕间计算'!BF297+'幕间计算'!BG297)/2,1),IF(E97="毅力",'幕间计算'!BJ297,IF(E97="理智",IF(OR(D97="按部就班",D97="远离喧嚣",D97="接受心理治疗",D97="重建人生动力"),MIN(99-'幕间计算'!BL297,'幕间计算'!BJ297*5),99-'幕间计算'!BL297),99))))))-F97))))))))))</x:f>
        <x:v>0</x:v>
      </x:c>
      <x:c r="L97" s="687"/>
      <x:c r="M97" s="689"/>
      <x:c r="N97" s="702"/>
    </x:row>
    <x:row r="98" ht="29" customHeight="1">
      <x:c r="A98" s="699" t="n">
        <x:v>90</x:v>
      </x:c>
      <x:c r="B98" s="688"/>
      <x:c r="C98" s="700"/>
      <x:c r="D98" s="687"/>
      <x:c r="E98" s="687"/>
      <x:c r="F98" s="689"/>
      <x:c r="G98" s="688"/>
      <x:c r="H98" s="688"/>
      <x:c r="I98" s="689"/>
      <x:c r="J98" s="688"/>
      <x:c r="K98" s="701">
        <x:f>IF(J98&lt;&gt;"确认",0,IF(OR('幕间计算'!A299=0,D98="",E98=""),"补全记录",IF(AND(I98&lt;&gt;"",NOT(ISNUMBER(I98))),"点数无效",IF(AND(I98&lt;&gt;"",NOT(ISNUMBER(F98))),"填写前值",IF(AND(L98&lt;&gt;"",OR(NOT(ISNUMBER(M98)),M98&lt;=0,M98&gt;99)),"填写代价",IF(AND(L98="",M98&lt;&gt;""),"选择关系",IF(AND(E98="无数值变化",N(I98)&lt;&gt;0),"选择目标",IF(I98="",0,MAX(-F98,MIN(I98,IF(LEFT(E98,3)="技能：",99,IF(COUNTIF('幕间计算'!$H$2:$H$7,E98)&gt;0,18,IF(COUNTIF('幕间计算'!$N$2:$N$8,E98)&gt;0,'幕间计算'!BK298,IF(E98="体力",CEILING(('幕间计算'!BF298+'幕间计算'!BG298)/2,1),IF(E98="毅力",'幕间计算'!BJ298,IF(E98="理智",IF(OR(D98="按部就班",D98="远离喧嚣",D98="接受心理治疗",D98="重建人生动力"),MIN(99-'幕间计算'!BL298,'幕间计算'!BJ298*5),99-'幕间计算'!BL298),99))))))-F98))))))))))</x:f>
        <x:v>0</x:v>
      </x:c>
      <x:c r="L98" s="687"/>
      <x:c r="M98" s="689"/>
      <x:c r="N98" s="702"/>
    </x:row>
    <x:row r="99" ht="29" customHeight="1">
      <x:c r="A99" s="699" t="n">
        <x:v>91</x:v>
      </x:c>
      <x:c r="B99" s="688"/>
      <x:c r="C99" s="700"/>
      <x:c r="D99" s="687"/>
      <x:c r="E99" s="687"/>
      <x:c r="F99" s="689"/>
      <x:c r="G99" s="688"/>
      <x:c r="H99" s="688"/>
      <x:c r="I99" s="689"/>
      <x:c r="J99" s="688"/>
      <x:c r="K99" s="701">
        <x:f>IF(J99&lt;&gt;"确认",0,IF(OR('幕间计算'!A300=0,D99="",E99=""),"补全记录",IF(AND(I99&lt;&gt;"",NOT(ISNUMBER(I99))),"点数无效",IF(AND(I99&lt;&gt;"",NOT(ISNUMBER(F99))),"填写前值",IF(AND(L99&lt;&gt;"",OR(NOT(ISNUMBER(M99)),M99&lt;=0,M99&gt;99)),"填写代价",IF(AND(L99="",M99&lt;&gt;""),"选择关系",IF(AND(E99="无数值变化",N(I99)&lt;&gt;0),"选择目标",IF(I99="",0,MAX(-F99,MIN(I99,IF(LEFT(E99,3)="技能：",99,IF(COUNTIF('幕间计算'!$H$2:$H$7,E99)&gt;0,18,IF(COUNTIF('幕间计算'!$N$2:$N$8,E99)&gt;0,'幕间计算'!BK299,IF(E99="体力",CEILING(('幕间计算'!BF299+'幕间计算'!BG299)/2,1),IF(E99="毅力",'幕间计算'!BJ299,IF(E99="理智",IF(OR(D99="按部就班",D99="远离喧嚣",D99="接受心理治疗",D99="重建人生动力"),MIN(99-'幕间计算'!BL299,'幕间计算'!BJ299*5),99-'幕间计算'!BL299),99))))))-F99))))))))))</x:f>
        <x:v>0</x:v>
      </x:c>
      <x:c r="L99" s="687"/>
      <x:c r="M99" s="689"/>
      <x:c r="N99" s="702"/>
    </x:row>
    <x:row r="100" ht="29" customHeight="1">
      <x:c r="A100" s="699" t="n">
        <x:v>92</x:v>
      </x:c>
      <x:c r="B100" s="688"/>
      <x:c r="C100" s="700"/>
      <x:c r="D100" s="687"/>
      <x:c r="E100" s="687"/>
      <x:c r="F100" s="689"/>
      <x:c r="G100" s="688"/>
      <x:c r="H100" s="688"/>
      <x:c r="I100" s="689"/>
      <x:c r="J100" s="688"/>
      <x:c r="K100" s="701">
        <x:f>IF(J100&lt;&gt;"确认",0,IF(OR('幕间计算'!A301=0,D100="",E100=""),"补全记录",IF(AND(I100&lt;&gt;"",NOT(ISNUMBER(I100))),"点数无效",IF(AND(I100&lt;&gt;"",NOT(ISNUMBER(F100))),"填写前值",IF(AND(L100&lt;&gt;"",OR(NOT(ISNUMBER(M100)),M100&lt;=0,M100&gt;99)),"填写代价",IF(AND(L100="",M100&lt;&gt;""),"选择关系",IF(AND(E100="无数值变化",N(I100)&lt;&gt;0),"选择目标",IF(I100="",0,MAX(-F100,MIN(I100,IF(LEFT(E100,3)="技能：",99,IF(COUNTIF('幕间计算'!$H$2:$H$7,E100)&gt;0,18,IF(COUNTIF('幕间计算'!$N$2:$N$8,E100)&gt;0,'幕间计算'!BK300,IF(E100="体力",CEILING(('幕间计算'!BF300+'幕间计算'!BG300)/2,1),IF(E100="毅力",'幕间计算'!BJ300,IF(E100="理智",IF(OR(D100="按部就班",D100="远离喧嚣",D100="接受心理治疗",D100="重建人生动力"),MIN(99-'幕间计算'!BL300,'幕间计算'!BJ300*5),99-'幕间计算'!BL300),99))))))-F100))))))))))</x:f>
        <x:v>0</x:v>
      </x:c>
      <x:c r="L100" s="687"/>
      <x:c r="M100" s="689"/>
      <x:c r="N100" s="702"/>
    </x:row>
    <x:row r="101" ht="29" customHeight="1">
      <x:c r="A101" s="699" t="n">
        <x:v>93</x:v>
      </x:c>
      <x:c r="B101" s="688"/>
      <x:c r="C101" s="700"/>
      <x:c r="D101" s="687"/>
      <x:c r="E101" s="687"/>
      <x:c r="F101" s="689"/>
      <x:c r="G101" s="688"/>
      <x:c r="H101" s="688"/>
      <x:c r="I101" s="689"/>
      <x:c r="J101" s="688"/>
      <x:c r="K101" s="701">
        <x:f>IF(J101&lt;&gt;"确认",0,IF(OR('幕间计算'!A302=0,D101="",E101=""),"补全记录",IF(AND(I101&lt;&gt;"",NOT(ISNUMBER(I101))),"点数无效",IF(AND(I101&lt;&gt;"",NOT(ISNUMBER(F101))),"填写前值",IF(AND(L101&lt;&gt;"",OR(NOT(ISNUMBER(M101)),M101&lt;=0,M101&gt;99)),"填写代价",IF(AND(L101="",M101&lt;&gt;""),"选择关系",IF(AND(E101="无数值变化",N(I101)&lt;&gt;0),"选择目标",IF(I101="",0,MAX(-F101,MIN(I101,IF(LEFT(E101,3)="技能：",99,IF(COUNTIF('幕间计算'!$H$2:$H$7,E101)&gt;0,18,IF(COUNTIF('幕间计算'!$N$2:$N$8,E101)&gt;0,'幕间计算'!BK301,IF(E101="体力",CEILING(('幕间计算'!BF301+'幕间计算'!BG301)/2,1),IF(E101="毅力",'幕间计算'!BJ301,IF(E101="理智",IF(OR(D101="按部就班",D101="远离喧嚣",D101="接受心理治疗",D101="重建人生动力"),MIN(99-'幕间计算'!BL301,'幕间计算'!BJ301*5),99-'幕间计算'!BL301),99))))))-F101))))))))))</x:f>
        <x:v>0</x:v>
      </x:c>
      <x:c r="L101" s="687"/>
      <x:c r="M101" s="689"/>
      <x:c r="N101" s="702"/>
    </x:row>
    <x:row r="102" ht="29" customHeight="1">
      <x:c r="A102" s="699" t="n">
        <x:v>94</x:v>
      </x:c>
      <x:c r="B102" s="688"/>
      <x:c r="C102" s="700"/>
      <x:c r="D102" s="687"/>
      <x:c r="E102" s="687"/>
      <x:c r="F102" s="689"/>
      <x:c r="G102" s="688"/>
      <x:c r="H102" s="688"/>
      <x:c r="I102" s="689"/>
      <x:c r="J102" s="688"/>
      <x:c r="K102" s="701">
        <x:f>IF(J102&lt;&gt;"确认",0,IF(OR('幕间计算'!A303=0,D102="",E102=""),"补全记录",IF(AND(I102&lt;&gt;"",NOT(ISNUMBER(I102))),"点数无效",IF(AND(I102&lt;&gt;"",NOT(ISNUMBER(F102))),"填写前值",IF(AND(L102&lt;&gt;"",OR(NOT(ISNUMBER(M102)),M102&lt;=0,M102&gt;99)),"填写代价",IF(AND(L102="",M102&lt;&gt;""),"选择关系",IF(AND(E102="无数值变化",N(I102)&lt;&gt;0),"选择目标",IF(I102="",0,MAX(-F102,MIN(I102,IF(LEFT(E102,3)="技能：",99,IF(COUNTIF('幕间计算'!$H$2:$H$7,E102)&gt;0,18,IF(COUNTIF('幕间计算'!$N$2:$N$8,E102)&gt;0,'幕间计算'!BK302,IF(E102="体力",CEILING(('幕间计算'!BF302+'幕间计算'!BG302)/2,1),IF(E102="毅力",'幕间计算'!BJ302,IF(E102="理智",IF(OR(D102="按部就班",D102="远离喧嚣",D102="接受心理治疗",D102="重建人生动力"),MIN(99-'幕间计算'!BL302,'幕间计算'!BJ302*5),99-'幕间计算'!BL302),99))))))-F102))))))))))</x:f>
        <x:v>0</x:v>
      </x:c>
      <x:c r="L102" s="687"/>
      <x:c r="M102" s="689"/>
      <x:c r="N102" s="702"/>
    </x:row>
    <x:row r="103" ht="29" customHeight="1">
      <x:c r="A103" s="699" t="n">
        <x:v>95</x:v>
      </x:c>
      <x:c r="B103" s="688"/>
      <x:c r="C103" s="700"/>
      <x:c r="D103" s="687"/>
      <x:c r="E103" s="687"/>
      <x:c r="F103" s="689"/>
      <x:c r="G103" s="688"/>
      <x:c r="H103" s="688"/>
      <x:c r="I103" s="689"/>
      <x:c r="J103" s="688"/>
      <x:c r="K103" s="701">
        <x:f>IF(J103&lt;&gt;"确认",0,IF(OR('幕间计算'!A304=0,D103="",E103=""),"补全记录",IF(AND(I103&lt;&gt;"",NOT(ISNUMBER(I103))),"点数无效",IF(AND(I103&lt;&gt;"",NOT(ISNUMBER(F103))),"填写前值",IF(AND(L103&lt;&gt;"",OR(NOT(ISNUMBER(M103)),M103&lt;=0,M103&gt;99)),"填写代价",IF(AND(L103="",M103&lt;&gt;""),"选择关系",IF(AND(E103="无数值变化",N(I103)&lt;&gt;0),"选择目标",IF(I103="",0,MAX(-F103,MIN(I103,IF(LEFT(E103,3)="技能：",99,IF(COUNTIF('幕间计算'!$H$2:$H$7,E103)&gt;0,18,IF(COUNTIF('幕间计算'!$N$2:$N$8,E103)&gt;0,'幕间计算'!BK303,IF(E103="体力",CEILING(('幕间计算'!BF303+'幕间计算'!BG303)/2,1),IF(E103="毅力",'幕间计算'!BJ303,IF(E103="理智",IF(OR(D103="按部就班",D103="远离喧嚣",D103="接受心理治疗",D103="重建人生动力"),MIN(99-'幕间计算'!BL303,'幕间计算'!BJ303*5),99-'幕间计算'!BL303),99))))))-F103))))))))))</x:f>
        <x:v>0</x:v>
      </x:c>
      <x:c r="L103" s="687"/>
      <x:c r="M103" s="689"/>
      <x:c r="N103" s="702"/>
    </x:row>
    <x:row r="104" ht="29" customHeight="1">
      <x:c r="A104" s="699" t="n">
        <x:v>96</x:v>
      </x:c>
      <x:c r="B104" s="688"/>
      <x:c r="C104" s="700"/>
      <x:c r="D104" s="687"/>
      <x:c r="E104" s="687"/>
      <x:c r="F104" s="689"/>
      <x:c r="G104" s="688"/>
      <x:c r="H104" s="688"/>
      <x:c r="I104" s="689"/>
      <x:c r="J104" s="688"/>
      <x:c r="K104" s="701">
        <x:f>IF(J104&lt;&gt;"确认",0,IF(OR('幕间计算'!A305=0,D104="",E104=""),"补全记录",IF(AND(I104&lt;&gt;"",NOT(ISNUMBER(I104))),"点数无效",IF(AND(I104&lt;&gt;"",NOT(ISNUMBER(F104))),"填写前值",IF(AND(L104&lt;&gt;"",OR(NOT(ISNUMBER(M104)),M104&lt;=0,M104&gt;99)),"填写代价",IF(AND(L104="",M104&lt;&gt;""),"选择关系",IF(AND(E104="无数值变化",N(I104)&lt;&gt;0),"选择目标",IF(I104="",0,MAX(-F104,MIN(I104,IF(LEFT(E104,3)="技能：",99,IF(COUNTIF('幕间计算'!$H$2:$H$7,E104)&gt;0,18,IF(COUNTIF('幕间计算'!$N$2:$N$8,E104)&gt;0,'幕间计算'!BK304,IF(E104="体力",CEILING(('幕间计算'!BF304+'幕间计算'!BG304)/2,1),IF(E104="毅力",'幕间计算'!BJ304,IF(E104="理智",IF(OR(D104="按部就班",D104="远离喧嚣",D104="接受心理治疗",D104="重建人生动力"),MIN(99-'幕间计算'!BL304,'幕间计算'!BJ304*5),99-'幕间计算'!BL304),99))))))-F104))))))))))</x:f>
        <x:v>0</x:v>
      </x:c>
      <x:c r="L104" s="687"/>
      <x:c r="M104" s="689"/>
      <x:c r="N104" s="702"/>
    </x:row>
    <x:row r="105" ht="29" customHeight="1">
      <x:c r="A105" s="699" t="n">
        <x:v>97</x:v>
      </x:c>
      <x:c r="B105" s="688"/>
      <x:c r="C105" s="700"/>
      <x:c r="D105" s="687"/>
      <x:c r="E105" s="687"/>
      <x:c r="F105" s="689"/>
      <x:c r="G105" s="688"/>
      <x:c r="H105" s="688"/>
      <x:c r="I105" s="689"/>
      <x:c r="J105" s="688"/>
      <x:c r="K105" s="701">
        <x:f>IF(J105&lt;&gt;"确认",0,IF(OR('幕间计算'!A306=0,D105="",E105=""),"补全记录",IF(AND(I105&lt;&gt;"",NOT(ISNUMBER(I105))),"点数无效",IF(AND(I105&lt;&gt;"",NOT(ISNUMBER(F105))),"填写前值",IF(AND(L105&lt;&gt;"",OR(NOT(ISNUMBER(M105)),M105&lt;=0,M105&gt;99)),"填写代价",IF(AND(L105="",M105&lt;&gt;""),"选择关系",IF(AND(E105="无数值变化",N(I105)&lt;&gt;0),"选择目标",IF(I105="",0,MAX(-F105,MIN(I105,IF(LEFT(E105,3)="技能：",99,IF(COUNTIF('幕间计算'!$H$2:$H$7,E105)&gt;0,18,IF(COUNTIF('幕间计算'!$N$2:$N$8,E105)&gt;0,'幕间计算'!BK305,IF(E105="体力",CEILING(('幕间计算'!BF305+'幕间计算'!BG305)/2,1),IF(E105="毅力",'幕间计算'!BJ305,IF(E105="理智",IF(OR(D105="按部就班",D105="远离喧嚣",D105="接受心理治疗",D105="重建人生动力"),MIN(99-'幕间计算'!BL305,'幕间计算'!BJ305*5),99-'幕间计算'!BL305),99))))))-F105))))))))))</x:f>
        <x:v>0</x:v>
      </x:c>
      <x:c r="L105" s="687"/>
      <x:c r="M105" s="689"/>
      <x:c r="N105" s="702"/>
    </x:row>
    <x:row r="106" ht="29" customHeight="1">
      <x:c r="A106" s="699" t="n">
        <x:v>98</x:v>
      </x:c>
      <x:c r="B106" s="688"/>
      <x:c r="C106" s="700"/>
      <x:c r="D106" s="687"/>
      <x:c r="E106" s="687"/>
      <x:c r="F106" s="689"/>
      <x:c r="G106" s="688"/>
      <x:c r="H106" s="688"/>
      <x:c r="I106" s="689"/>
      <x:c r="J106" s="688"/>
      <x:c r="K106" s="701">
        <x:f>IF(J106&lt;&gt;"确认",0,IF(OR('幕间计算'!A307=0,D106="",E106=""),"补全记录",IF(AND(I106&lt;&gt;"",NOT(ISNUMBER(I106))),"点数无效",IF(AND(I106&lt;&gt;"",NOT(ISNUMBER(F106))),"填写前值",IF(AND(L106&lt;&gt;"",OR(NOT(ISNUMBER(M106)),M106&lt;=0,M106&gt;99)),"填写代价",IF(AND(L106="",M106&lt;&gt;""),"选择关系",IF(AND(E106="无数值变化",N(I106)&lt;&gt;0),"选择目标",IF(I106="",0,MAX(-F106,MIN(I106,IF(LEFT(E106,3)="技能：",99,IF(COUNTIF('幕间计算'!$H$2:$H$7,E106)&gt;0,18,IF(COUNTIF('幕间计算'!$N$2:$N$8,E106)&gt;0,'幕间计算'!BK306,IF(E106="体力",CEILING(('幕间计算'!BF306+'幕间计算'!BG306)/2,1),IF(E106="毅力",'幕间计算'!BJ306,IF(E106="理智",IF(OR(D106="按部就班",D106="远离喧嚣",D106="接受心理治疗",D106="重建人生动力"),MIN(99-'幕间计算'!BL306,'幕间计算'!BJ306*5),99-'幕间计算'!BL306),99))))))-F106))))))))))</x:f>
        <x:v>0</x:v>
      </x:c>
      <x:c r="L106" s="687"/>
      <x:c r="M106" s="689"/>
      <x:c r="N106" s="702"/>
    </x:row>
    <x:row r="107" ht="29" customHeight="1">
      <x:c r="A107" s="699" t="n">
        <x:v>99</x:v>
      </x:c>
      <x:c r="B107" s="688"/>
      <x:c r="C107" s="700"/>
      <x:c r="D107" s="687"/>
      <x:c r="E107" s="687"/>
      <x:c r="F107" s="689"/>
      <x:c r="G107" s="688"/>
      <x:c r="H107" s="688"/>
      <x:c r="I107" s="689"/>
      <x:c r="J107" s="688"/>
      <x:c r="K107" s="701">
        <x:f>IF(J107&lt;&gt;"确认",0,IF(OR('幕间计算'!A308=0,D107="",E107=""),"补全记录",IF(AND(I107&lt;&gt;"",NOT(ISNUMBER(I107))),"点数无效",IF(AND(I107&lt;&gt;"",NOT(ISNUMBER(F107))),"填写前值",IF(AND(L107&lt;&gt;"",OR(NOT(ISNUMBER(M107)),M107&lt;=0,M107&gt;99)),"填写代价",IF(AND(L107="",M107&lt;&gt;""),"选择关系",IF(AND(E107="无数值变化",N(I107)&lt;&gt;0),"选择目标",IF(I107="",0,MAX(-F107,MIN(I107,IF(LEFT(E107,3)="技能：",99,IF(COUNTIF('幕间计算'!$H$2:$H$7,E107)&gt;0,18,IF(COUNTIF('幕间计算'!$N$2:$N$8,E107)&gt;0,'幕间计算'!BK307,IF(E107="体力",CEILING(('幕间计算'!BF307+'幕间计算'!BG307)/2,1),IF(E107="毅力",'幕间计算'!BJ307,IF(E107="理智",IF(OR(D107="按部就班",D107="远离喧嚣",D107="接受心理治疗",D107="重建人生动力"),MIN(99-'幕间计算'!BL307,'幕间计算'!BJ307*5),99-'幕间计算'!BL307),99))))))-F107))))))))))</x:f>
        <x:v>0</x:v>
      </x:c>
      <x:c r="L107" s="687"/>
      <x:c r="M107" s="689"/>
      <x:c r="N107" s="702"/>
    </x:row>
    <x:row r="108" ht="29" customHeight="1">
      <x:c r="A108" s="699" t="n">
        <x:v>100</x:v>
      </x:c>
      <x:c r="B108" s="688"/>
      <x:c r="C108" s="700"/>
      <x:c r="D108" s="687"/>
      <x:c r="E108" s="687"/>
      <x:c r="F108" s="689"/>
      <x:c r="G108" s="688"/>
      <x:c r="H108" s="688"/>
      <x:c r="I108" s="689"/>
      <x:c r="J108" s="688"/>
      <x:c r="K108" s="701">
        <x:f>IF(J108&lt;&gt;"确认",0,IF(OR('幕间计算'!A309=0,D108="",E108=""),"补全记录",IF(AND(I108&lt;&gt;"",NOT(ISNUMBER(I108))),"点数无效",IF(AND(I108&lt;&gt;"",NOT(ISNUMBER(F108))),"填写前值",IF(AND(L108&lt;&gt;"",OR(NOT(ISNUMBER(M108)),M108&lt;=0,M108&gt;99)),"填写代价",IF(AND(L108="",M108&lt;&gt;""),"选择关系",IF(AND(E108="无数值变化",N(I108)&lt;&gt;0),"选择目标",IF(I108="",0,MAX(-F108,MIN(I108,IF(LEFT(E108,3)="技能：",99,IF(COUNTIF('幕间计算'!$H$2:$H$7,E108)&gt;0,18,IF(COUNTIF('幕间计算'!$N$2:$N$8,E108)&gt;0,'幕间计算'!BK308,IF(E108="体力",CEILING(('幕间计算'!BF308+'幕间计算'!BG308)/2,1),IF(E108="毅力",'幕间计算'!BJ308,IF(E108="理智",IF(OR(D108="按部就班",D108="远离喧嚣",D108="接受心理治疗",D108="重建人生动力"),MIN(99-'幕间计算'!BL308,'幕间计算'!BJ308*5),99-'幕间计算'!BL308),99))))))-F108))))))))))</x:f>
        <x:v>0</x:v>
      </x:c>
      <x:c r="L108" s="687"/>
      <x:c r="M108" s="689"/>
      <x:c r="N108" s="702"/>
    </x:row>
    <x:row r="109" ht="29" customHeight="1">
      <x:c r="A109" s="699" t="n">
        <x:v>101</x:v>
      </x:c>
      <x:c r="B109" s="688"/>
      <x:c r="C109" s="700"/>
      <x:c r="D109" s="687"/>
      <x:c r="E109" s="687"/>
      <x:c r="F109" s="689"/>
      <x:c r="G109" s="688"/>
      <x:c r="H109" s="688"/>
      <x:c r="I109" s="689"/>
      <x:c r="J109" s="688"/>
      <x:c r="K109" s="701">
        <x:f>IF(J109&lt;&gt;"确认",0,IF(OR('幕间计算'!A310=0,D109="",E109=""),"补全记录",IF(AND(I109&lt;&gt;"",NOT(ISNUMBER(I109))),"点数无效",IF(AND(I109&lt;&gt;"",NOT(ISNUMBER(F109))),"填写前值",IF(AND(L109&lt;&gt;"",OR(NOT(ISNUMBER(M109)),M109&lt;=0,M109&gt;99)),"填写代价",IF(AND(L109="",M109&lt;&gt;""),"选择关系",IF(AND(E109="无数值变化",N(I109)&lt;&gt;0),"选择目标",IF(I109="",0,MAX(-F109,MIN(I109,IF(LEFT(E109,3)="技能：",99,IF(COUNTIF('幕间计算'!$H$2:$H$7,E109)&gt;0,18,IF(COUNTIF('幕间计算'!$N$2:$N$8,E109)&gt;0,'幕间计算'!BK309,IF(E109="体力",CEILING(('幕间计算'!BF309+'幕间计算'!BG309)/2,1),IF(E109="毅力",'幕间计算'!BJ309,IF(E109="理智",IF(OR(D109="按部就班",D109="远离喧嚣",D109="接受心理治疗",D109="重建人生动力"),MIN(99-'幕间计算'!BL309,'幕间计算'!BJ309*5),99-'幕间计算'!BL309),99))))))-F109))))))))))</x:f>
        <x:v>0</x:v>
      </x:c>
      <x:c r="L109" s="687"/>
      <x:c r="M109" s="689"/>
      <x:c r="N109" s="702"/>
    </x:row>
    <x:row r="110" ht="29" customHeight="1">
      <x:c r="A110" s="699" t="n">
        <x:v>102</x:v>
      </x:c>
      <x:c r="B110" s="688"/>
      <x:c r="C110" s="700"/>
      <x:c r="D110" s="687"/>
      <x:c r="E110" s="687"/>
      <x:c r="F110" s="689"/>
      <x:c r="G110" s="688"/>
      <x:c r="H110" s="688"/>
      <x:c r="I110" s="689"/>
      <x:c r="J110" s="688"/>
      <x:c r="K110" s="701">
        <x:f>IF(J110&lt;&gt;"确认",0,IF(OR('幕间计算'!A311=0,D110="",E110=""),"补全记录",IF(AND(I110&lt;&gt;"",NOT(ISNUMBER(I110))),"点数无效",IF(AND(I110&lt;&gt;"",NOT(ISNUMBER(F110))),"填写前值",IF(AND(L110&lt;&gt;"",OR(NOT(ISNUMBER(M110)),M110&lt;=0,M110&gt;99)),"填写代价",IF(AND(L110="",M110&lt;&gt;""),"选择关系",IF(AND(E110="无数值变化",N(I110)&lt;&gt;0),"选择目标",IF(I110="",0,MAX(-F110,MIN(I110,IF(LEFT(E110,3)="技能：",99,IF(COUNTIF('幕间计算'!$H$2:$H$7,E110)&gt;0,18,IF(COUNTIF('幕间计算'!$N$2:$N$8,E110)&gt;0,'幕间计算'!BK310,IF(E110="体力",CEILING(('幕间计算'!BF310+'幕间计算'!BG310)/2,1),IF(E110="毅力",'幕间计算'!BJ310,IF(E110="理智",IF(OR(D110="按部就班",D110="远离喧嚣",D110="接受心理治疗",D110="重建人生动力"),MIN(99-'幕间计算'!BL310,'幕间计算'!BJ310*5),99-'幕间计算'!BL310),99))))))-F110))))))))))</x:f>
        <x:v>0</x:v>
      </x:c>
      <x:c r="L110" s="687"/>
      <x:c r="M110" s="689"/>
      <x:c r="N110" s="702"/>
    </x:row>
    <x:row r="111" ht="29" customHeight="1">
      <x:c r="A111" s="699" t="n">
        <x:v>103</x:v>
      </x:c>
      <x:c r="B111" s="688"/>
      <x:c r="C111" s="700"/>
      <x:c r="D111" s="687"/>
      <x:c r="E111" s="687"/>
      <x:c r="F111" s="689"/>
      <x:c r="G111" s="688"/>
      <x:c r="H111" s="688"/>
      <x:c r="I111" s="689"/>
      <x:c r="J111" s="688"/>
      <x:c r="K111" s="701">
        <x:f>IF(J111&lt;&gt;"确认",0,IF(OR('幕间计算'!A312=0,D111="",E111=""),"补全记录",IF(AND(I111&lt;&gt;"",NOT(ISNUMBER(I111))),"点数无效",IF(AND(I111&lt;&gt;"",NOT(ISNUMBER(F111))),"填写前值",IF(AND(L111&lt;&gt;"",OR(NOT(ISNUMBER(M111)),M111&lt;=0,M111&gt;99)),"填写代价",IF(AND(L111="",M111&lt;&gt;""),"选择关系",IF(AND(E111="无数值变化",N(I111)&lt;&gt;0),"选择目标",IF(I111="",0,MAX(-F111,MIN(I111,IF(LEFT(E111,3)="技能：",99,IF(COUNTIF('幕间计算'!$H$2:$H$7,E111)&gt;0,18,IF(COUNTIF('幕间计算'!$N$2:$N$8,E111)&gt;0,'幕间计算'!BK311,IF(E111="体力",CEILING(('幕间计算'!BF311+'幕间计算'!BG311)/2,1),IF(E111="毅力",'幕间计算'!BJ311,IF(E111="理智",IF(OR(D111="按部就班",D111="远离喧嚣",D111="接受心理治疗",D111="重建人生动力"),MIN(99-'幕间计算'!BL311,'幕间计算'!BJ311*5),99-'幕间计算'!BL311),99))))))-F111))))))))))</x:f>
        <x:v>0</x:v>
      </x:c>
      <x:c r="L111" s="687"/>
      <x:c r="M111" s="689"/>
      <x:c r="N111" s="702"/>
    </x:row>
    <x:row r="112" ht="29" customHeight="1">
      <x:c r="A112" s="699" t="n">
        <x:v>104</x:v>
      </x:c>
      <x:c r="B112" s="688"/>
      <x:c r="C112" s="700"/>
      <x:c r="D112" s="687"/>
      <x:c r="E112" s="687"/>
      <x:c r="F112" s="689"/>
      <x:c r="G112" s="688"/>
      <x:c r="H112" s="688"/>
      <x:c r="I112" s="689"/>
      <x:c r="J112" s="688"/>
      <x:c r="K112" s="701">
        <x:f>IF(J112&lt;&gt;"确认",0,IF(OR('幕间计算'!A313=0,D112="",E112=""),"补全记录",IF(AND(I112&lt;&gt;"",NOT(ISNUMBER(I112))),"点数无效",IF(AND(I112&lt;&gt;"",NOT(ISNUMBER(F112))),"填写前值",IF(AND(L112&lt;&gt;"",OR(NOT(ISNUMBER(M112)),M112&lt;=0,M112&gt;99)),"填写代价",IF(AND(L112="",M112&lt;&gt;""),"选择关系",IF(AND(E112="无数值变化",N(I112)&lt;&gt;0),"选择目标",IF(I112="",0,MAX(-F112,MIN(I112,IF(LEFT(E112,3)="技能：",99,IF(COUNTIF('幕间计算'!$H$2:$H$7,E112)&gt;0,18,IF(COUNTIF('幕间计算'!$N$2:$N$8,E112)&gt;0,'幕间计算'!BK312,IF(E112="体力",CEILING(('幕间计算'!BF312+'幕间计算'!BG312)/2,1),IF(E112="毅力",'幕间计算'!BJ312,IF(E112="理智",IF(OR(D112="按部就班",D112="远离喧嚣",D112="接受心理治疗",D112="重建人生动力"),MIN(99-'幕间计算'!BL312,'幕间计算'!BJ312*5),99-'幕间计算'!BL312),99))))))-F112))))))))))</x:f>
        <x:v>0</x:v>
      </x:c>
      <x:c r="L112" s="687"/>
      <x:c r="M112" s="689"/>
      <x:c r="N112" s="702"/>
    </x:row>
    <x:row r="113" ht="29" customHeight="1">
      <x:c r="A113" s="699" t="n">
        <x:v>105</x:v>
      </x:c>
      <x:c r="B113" s="688"/>
      <x:c r="C113" s="700"/>
      <x:c r="D113" s="687"/>
      <x:c r="E113" s="687"/>
      <x:c r="F113" s="689"/>
      <x:c r="G113" s="688"/>
      <x:c r="H113" s="688"/>
      <x:c r="I113" s="689"/>
      <x:c r="J113" s="688"/>
      <x:c r="K113" s="701">
        <x:f>IF(J113&lt;&gt;"确认",0,IF(OR('幕间计算'!A314=0,D113="",E113=""),"补全记录",IF(AND(I113&lt;&gt;"",NOT(ISNUMBER(I113))),"点数无效",IF(AND(I113&lt;&gt;"",NOT(ISNUMBER(F113))),"填写前值",IF(AND(L113&lt;&gt;"",OR(NOT(ISNUMBER(M113)),M113&lt;=0,M113&gt;99)),"填写代价",IF(AND(L113="",M113&lt;&gt;""),"选择关系",IF(AND(E113="无数值变化",N(I113)&lt;&gt;0),"选择目标",IF(I113="",0,MAX(-F113,MIN(I113,IF(LEFT(E113,3)="技能：",99,IF(COUNTIF('幕间计算'!$H$2:$H$7,E113)&gt;0,18,IF(COUNTIF('幕间计算'!$N$2:$N$8,E113)&gt;0,'幕间计算'!BK313,IF(E113="体力",CEILING(('幕间计算'!BF313+'幕间计算'!BG313)/2,1),IF(E113="毅力",'幕间计算'!BJ313,IF(E113="理智",IF(OR(D113="按部就班",D113="远离喧嚣",D113="接受心理治疗",D113="重建人生动力"),MIN(99-'幕间计算'!BL313,'幕间计算'!BJ313*5),99-'幕间计算'!BL313),99))))))-F113))))))))))</x:f>
        <x:v>0</x:v>
      </x:c>
      <x:c r="L113" s="687"/>
      <x:c r="M113" s="689"/>
      <x:c r="N113" s="702"/>
    </x:row>
    <x:row r="114" ht="29" customHeight="1">
      <x:c r="A114" s="699" t="n">
        <x:v>106</x:v>
      </x:c>
      <x:c r="B114" s="688"/>
      <x:c r="C114" s="700"/>
      <x:c r="D114" s="687"/>
      <x:c r="E114" s="687"/>
      <x:c r="F114" s="689"/>
      <x:c r="G114" s="688"/>
      <x:c r="H114" s="688"/>
      <x:c r="I114" s="689"/>
      <x:c r="J114" s="688"/>
      <x:c r="K114" s="701">
        <x:f>IF(J114&lt;&gt;"确认",0,IF(OR('幕间计算'!A315=0,D114="",E114=""),"补全记录",IF(AND(I114&lt;&gt;"",NOT(ISNUMBER(I114))),"点数无效",IF(AND(I114&lt;&gt;"",NOT(ISNUMBER(F114))),"填写前值",IF(AND(L114&lt;&gt;"",OR(NOT(ISNUMBER(M114)),M114&lt;=0,M114&gt;99)),"填写代价",IF(AND(L114="",M114&lt;&gt;""),"选择关系",IF(AND(E114="无数值变化",N(I114)&lt;&gt;0),"选择目标",IF(I114="",0,MAX(-F114,MIN(I114,IF(LEFT(E114,3)="技能：",99,IF(COUNTIF('幕间计算'!$H$2:$H$7,E114)&gt;0,18,IF(COUNTIF('幕间计算'!$N$2:$N$8,E114)&gt;0,'幕间计算'!BK314,IF(E114="体力",CEILING(('幕间计算'!BF314+'幕间计算'!BG314)/2,1),IF(E114="毅力",'幕间计算'!BJ314,IF(E114="理智",IF(OR(D114="按部就班",D114="远离喧嚣",D114="接受心理治疗",D114="重建人生动力"),MIN(99-'幕间计算'!BL314,'幕间计算'!BJ314*5),99-'幕间计算'!BL314),99))))))-F114))))))))))</x:f>
        <x:v>0</x:v>
      </x:c>
      <x:c r="L114" s="687"/>
      <x:c r="M114" s="689"/>
      <x:c r="N114" s="702"/>
    </x:row>
    <x:row r="115" ht="29" customHeight="1">
      <x:c r="A115" s="699" t="n">
        <x:v>107</x:v>
      </x:c>
      <x:c r="B115" s="688"/>
      <x:c r="C115" s="700"/>
      <x:c r="D115" s="687"/>
      <x:c r="E115" s="687"/>
      <x:c r="F115" s="689"/>
      <x:c r="G115" s="688"/>
      <x:c r="H115" s="688"/>
      <x:c r="I115" s="689"/>
      <x:c r="J115" s="688"/>
      <x:c r="K115" s="701">
        <x:f>IF(J115&lt;&gt;"确认",0,IF(OR('幕间计算'!A316=0,D115="",E115=""),"补全记录",IF(AND(I115&lt;&gt;"",NOT(ISNUMBER(I115))),"点数无效",IF(AND(I115&lt;&gt;"",NOT(ISNUMBER(F115))),"填写前值",IF(AND(L115&lt;&gt;"",OR(NOT(ISNUMBER(M115)),M115&lt;=0,M115&gt;99)),"填写代价",IF(AND(L115="",M115&lt;&gt;""),"选择关系",IF(AND(E115="无数值变化",N(I115)&lt;&gt;0),"选择目标",IF(I115="",0,MAX(-F115,MIN(I115,IF(LEFT(E115,3)="技能：",99,IF(COUNTIF('幕间计算'!$H$2:$H$7,E115)&gt;0,18,IF(COUNTIF('幕间计算'!$N$2:$N$8,E115)&gt;0,'幕间计算'!BK315,IF(E115="体力",CEILING(('幕间计算'!BF315+'幕间计算'!BG315)/2,1),IF(E115="毅力",'幕间计算'!BJ315,IF(E115="理智",IF(OR(D115="按部就班",D115="远离喧嚣",D115="接受心理治疗",D115="重建人生动力"),MIN(99-'幕间计算'!BL315,'幕间计算'!BJ315*5),99-'幕间计算'!BL315),99))))))-F115))))))))))</x:f>
        <x:v>0</x:v>
      </x:c>
      <x:c r="L115" s="687"/>
      <x:c r="M115" s="689"/>
      <x:c r="N115" s="702"/>
    </x:row>
    <x:row r="116" ht="29" customHeight="1">
      <x:c r="A116" s="699" t="n">
        <x:v>108</x:v>
      </x:c>
      <x:c r="B116" s="688"/>
      <x:c r="C116" s="700"/>
      <x:c r="D116" s="687"/>
      <x:c r="E116" s="687"/>
      <x:c r="F116" s="689"/>
      <x:c r="G116" s="688"/>
      <x:c r="H116" s="688"/>
      <x:c r="I116" s="689"/>
      <x:c r="J116" s="688"/>
      <x:c r="K116" s="701">
        <x:f>IF(J116&lt;&gt;"确认",0,IF(OR('幕间计算'!A317=0,D116="",E116=""),"补全记录",IF(AND(I116&lt;&gt;"",NOT(ISNUMBER(I116))),"点数无效",IF(AND(I116&lt;&gt;"",NOT(ISNUMBER(F116))),"填写前值",IF(AND(L116&lt;&gt;"",OR(NOT(ISNUMBER(M116)),M116&lt;=0,M116&gt;99)),"填写代价",IF(AND(L116="",M116&lt;&gt;""),"选择关系",IF(AND(E116="无数值变化",N(I116)&lt;&gt;0),"选择目标",IF(I116="",0,MAX(-F116,MIN(I116,IF(LEFT(E116,3)="技能：",99,IF(COUNTIF('幕间计算'!$H$2:$H$7,E116)&gt;0,18,IF(COUNTIF('幕间计算'!$N$2:$N$8,E116)&gt;0,'幕间计算'!BK316,IF(E116="体力",CEILING(('幕间计算'!BF316+'幕间计算'!BG316)/2,1),IF(E116="毅力",'幕间计算'!BJ316,IF(E116="理智",IF(OR(D116="按部就班",D116="远离喧嚣",D116="接受心理治疗",D116="重建人生动力"),MIN(99-'幕间计算'!BL316,'幕间计算'!BJ316*5),99-'幕间计算'!BL316),99))))))-F116))))))))))</x:f>
        <x:v>0</x:v>
      </x:c>
      <x:c r="L116" s="687"/>
      <x:c r="M116" s="689"/>
      <x:c r="N116" s="702"/>
    </x:row>
    <x:row r="117" ht="29" customHeight="1">
      <x:c r="A117" s="699" t="n">
        <x:v>109</x:v>
      </x:c>
      <x:c r="B117" s="688"/>
      <x:c r="C117" s="700"/>
      <x:c r="D117" s="687"/>
      <x:c r="E117" s="687"/>
      <x:c r="F117" s="689"/>
      <x:c r="G117" s="688"/>
      <x:c r="H117" s="688"/>
      <x:c r="I117" s="689"/>
      <x:c r="J117" s="688"/>
      <x:c r="K117" s="701">
        <x:f>IF(J117&lt;&gt;"确认",0,IF(OR('幕间计算'!A318=0,D117="",E117=""),"补全记录",IF(AND(I117&lt;&gt;"",NOT(ISNUMBER(I117))),"点数无效",IF(AND(I117&lt;&gt;"",NOT(ISNUMBER(F117))),"填写前值",IF(AND(L117&lt;&gt;"",OR(NOT(ISNUMBER(M117)),M117&lt;=0,M117&gt;99)),"填写代价",IF(AND(L117="",M117&lt;&gt;""),"选择关系",IF(AND(E117="无数值变化",N(I117)&lt;&gt;0),"选择目标",IF(I117="",0,MAX(-F117,MIN(I117,IF(LEFT(E117,3)="技能：",99,IF(COUNTIF('幕间计算'!$H$2:$H$7,E117)&gt;0,18,IF(COUNTIF('幕间计算'!$N$2:$N$8,E117)&gt;0,'幕间计算'!BK317,IF(E117="体力",CEILING(('幕间计算'!BF317+'幕间计算'!BG317)/2,1),IF(E117="毅力",'幕间计算'!BJ317,IF(E117="理智",IF(OR(D117="按部就班",D117="远离喧嚣",D117="接受心理治疗",D117="重建人生动力"),MIN(99-'幕间计算'!BL317,'幕间计算'!BJ317*5),99-'幕间计算'!BL317),99))))))-F117))))))))))</x:f>
        <x:v>0</x:v>
      </x:c>
      <x:c r="L117" s="687"/>
      <x:c r="M117" s="689"/>
      <x:c r="N117" s="702"/>
    </x:row>
    <x:row r="118" ht="29" customHeight="1">
      <x:c r="A118" s="699" t="n">
        <x:v>110</x:v>
      </x:c>
      <x:c r="B118" s="688"/>
      <x:c r="C118" s="700"/>
      <x:c r="D118" s="687"/>
      <x:c r="E118" s="687"/>
      <x:c r="F118" s="689"/>
      <x:c r="G118" s="688"/>
      <x:c r="H118" s="688"/>
      <x:c r="I118" s="689"/>
      <x:c r="J118" s="688"/>
      <x:c r="K118" s="701">
        <x:f>IF(J118&lt;&gt;"确认",0,IF(OR('幕间计算'!A319=0,D118="",E118=""),"补全记录",IF(AND(I118&lt;&gt;"",NOT(ISNUMBER(I118))),"点数无效",IF(AND(I118&lt;&gt;"",NOT(ISNUMBER(F118))),"填写前值",IF(AND(L118&lt;&gt;"",OR(NOT(ISNUMBER(M118)),M118&lt;=0,M118&gt;99)),"填写代价",IF(AND(L118="",M118&lt;&gt;""),"选择关系",IF(AND(E118="无数值变化",N(I118)&lt;&gt;0),"选择目标",IF(I118="",0,MAX(-F118,MIN(I118,IF(LEFT(E118,3)="技能：",99,IF(COUNTIF('幕间计算'!$H$2:$H$7,E118)&gt;0,18,IF(COUNTIF('幕间计算'!$N$2:$N$8,E118)&gt;0,'幕间计算'!BK318,IF(E118="体力",CEILING(('幕间计算'!BF318+'幕间计算'!BG318)/2,1),IF(E118="毅力",'幕间计算'!BJ318,IF(E118="理智",IF(OR(D118="按部就班",D118="远离喧嚣",D118="接受心理治疗",D118="重建人生动力"),MIN(99-'幕间计算'!BL318,'幕间计算'!BJ318*5),99-'幕间计算'!BL318),99))))))-F118))))))))))</x:f>
        <x:v>0</x:v>
      </x:c>
      <x:c r="L118" s="687"/>
      <x:c r="M118" s="689"/>
      <x:c r="N118" s="702"/>
    </x:row>
    <x:row r="119" ht="29" customHeight="1">
      <x:c r="A119" s="699" t="n">
        <x:v>111</x:v>
      </x:c>
      <x:c r="B119" s="688"/>
      <x:c r="C119" s="700"/>
      <x:c r="D119" s="687"/>
      <x:c r="E119" s="687"/>
      <x:c r="F119" s="689"/>
      <x:c r="G119" s="688"/>
      <x:c r="H119" s="688"/>
      <x:c r="I119" s="689"/>
      <x:c r="J119" s="688"/>
      <x:c r="K119" s="701">
        <x:f>IF(J119&lt;&gt;"确认",0,IF(OR('幕间计算'!A320=0,D119="",E119=""),"补全记录",IF(AND(I119&lt;&gt;"",NOT(ISNUMBER(I119))),"点数无效",IF(AND(I119&lt;&gt;"",NOT(ISNUMBER(F119))),"填写前值",IF(AND(L119&lt;&gt;"",OR(NOT(ISNUMBER(M119)),M119&lt;=0,M119&gt;99)),"填写代价",IF(AND(L119="",M119&lt;&gt;""),"选择关系",IF(AND(E119="无数值变化",N(I119)&lt;&gt;0),"选择目标",IF(I119="",0,MAX(-F119,MIN(I119,IF(LEFT(E119,3)="技能：",99,IF(COUNTIF('幕间计算'!$H$2:$H$7,E119)&gt;0,18,IF(COUNTIF('幕间计算'!$N$2:$N$8,E119)&gt;0,'幕间计算'!BK319,IF(E119="体力",CEILING(('幕间计算'!BF319+'幕间计算'!BG319)/2,1),IF(E119="毅力",'幕间计算'!BJ319,IF(E119="理智",IF(OR(D119="按部就班",D119="远离喧嚣",D119="接受心理治疗",D119="重建人生动力"),MIN(99-'幕间计算'!BL319,'幕间计算'!BJ319*5),99-'幕间计算'!BL319),99))))))-F119))))))))))</x:f>
        <x:v>0</x:v>
      </x:c>
      <x:c r="L119" s="687"/>
      <x:c r="M119" s="689"/>
      <x:c r="N119" s="702"/>
    </x:row>
    <x:row r="120" ht="29" customHeight="1">
      <x:c r="A120" s="699" t="n">
        <x:v>112</x:v>
      </x:c>
      <x:c r="B120" s="688"/>
      <x:c r="C120" s="700"/>
      <x:c r="D120" s="687"/>
      <x:c r="E120" s="687"/>
      <x:c r="F120" s="689"/>
      <x:c r="G120" s="688"/>
      <x:c r="H120" s="688"/>
      <x:c r="I120" s="689"/>
      <x:c r="J120" s="688"/>
      <x:c r="K120" s="701">
        <x:f>IF(J120&lt;&gt;"确认",0,IF(OR('幕间计算'!A321=0,D120="",E120=""),"补全记录",IF(AND(I120&lt;&gt;"",NOT(ISNUMBER(I120))),"点数无效",IF(AND(I120&lt;&gt;"",NOT(ISNUMBER(F120))),"填写前值",IF(AND(L120&lt;&gt;"",OR(NOT(ISNUMBER(M120)),M120&lt;=0,M120&gt;99)),"填写代价",IF(AND(L120="",M120&lt;&gt;""),"选择关系",IF(AND(E120="无数值变化",N(I120)&lt;&gt;0),"选择目标",IF(I120="",0,MAX(-F120,MIN(I120,IF(LEFT(E120,3)="技能：",99,IF(COUNTIF('幕间计算'!$H$2:$H$7,E120)&gt;0,18,IF(COUNTIF('幕间计算'!$N$2:$N$8,E120)&gt;0,'幕间计算'!BK320,IF(E120="体力",CEILING(('幕间计算'!BF320+'幕间计算'!BG320)/2,1),IF(E120="毅力",'幕间计算'!BJ320,IF(E120="理智",IF(OR(D120="按部就班",D120="远离喧嚣",D120="接受心理治疗",D120="重建人生动力"),MIN(99-'幕间计算'!BL320,'幕间计算'!BJ320*5),99-'幕间计算'!BL320),99))))))-F120))))))))))</x:f>
        <x:v>0</x:v>
      </x:c>
      <x:c r="L120" s="687"/>
      <x:c r="M120" s="689"/>
      <x:c r="N120" s="702"/>
    </x:row>
    <x:row r="121" ht="29" customHeight="1">
      <x:c r="A121" s="699" t="n">
        <x:v>113</x:v>
      </x:c>
      <x:c r="B121" s="688"/>
      <x:c r="C121" s="700"/>
      <x:c r="D121" s="687"/>
      <x:c r="E121" s="687"/>
      <x:c r="F121" s="689"/>
      <x:c r="G121" s="688"/>
      <x:c r="H121" s="688"/>
      <x:c r="I121" s="689"/>
      <x:c r="J121" s="688"/>
      <x:c r="K121" s="701">
        <x:f>IF(J121&lt;&gt;"确认",0,IF(OR('幕间计算'!A322=0,D121="",E121=""),"补全记录",IF(AND(I121&lt;&gt;"",NOT(ISNUMBER(I121))),"点数无效",IF(AND(I121&lt;&gt;"",NOT(ISNUMBER(F121))),"填写前值",IF(AND(L121&lt;&gt;"",OR(NOT(ISNUMBER(M121)),M121&lt;=0,M121&gt;99)),"填写代价",IF(AND(L121="",M121&lt;&gt;""),"选择关系",IF(AND(E121="无数值变化",N(I121)&lt;&gt;0),"选择目标",IF(I121="",0,MAX(-F121,MIN(I121,IF(LEFT(E121,3)="技能：",99,IF(COUNTIF('幕间计算'!$H$2:$H$7,E121)&gt;0,18,IF(COUNTIF('幕间计算'!$N$2:$N$8,E121)&gt;0,'幕间计算'!BK321,IF(E121="体力",CEILING(('幕间计算'!BF321+'幕间计算'!BG321)/2,1),IF(E121="毅力",'幕间计算'!BJ321,IF(E121="理智",IF(OR(D121="按部就班",D121="远离喧嚣",D121="接受心理治疗",D121="重建人生动力"),MIN(99-'幕间计算'!BL321,'幕间计算'!BJ321*5),99-'幕间计算'!BL321),99))))))-F121))))))))))</x:f>
        <x:v>0</x:v>
      </x:c>
      <x:c r="L121" s="687"/>
      <x:c r="M121" s="689"/>
      <x:c r="N121" s="702"/>
    </x:row>
    <x:row r="122" ht="29" customHeight="1">
      <x:c r="A122" s="699" t="n">
        <x:v>114</x:v>
      </x:c>
      <x:c r="B122" s="688"/>
      <x:c r="C122" s="700"/>
      <x:c r="D122" s="687"/>
      <x:c r="E122" s="687"/>
      <x:c r="F122" s="689"/>
      <x:c r="G122" s="688"/>
      <x:c r="H122" s="688"/>
      <x:c r="I122" s="689"/>
      <x:c r="J122" s="688"/>
      <x:c r="K122" s="701">
        <x:f>IF(J122&lt;&gt;"确认",0,IF(OR('幕间计算'!A323=0,D122="",E122=""),"补全记录",IF(AND(I122&lt;&gt;"",NOT(ISNUMBER(I122))),"点数无效",IF(AND(I122&lt;&gt;"",NOT(ISNUMBER(F122))),"填写前值",IF(AND(L122&lt;&gt;"",OR(NOT(ISNUMBER(M122)),M122&lt;=0,M122&gt;99)),"填写代价",IF(AND(L122="",M122&lt;&gt;""),"选择关系",IF(AND(E122="无数值变化",N(I122)&lt;&gt;0),"选择目标",IF(I122="",0,MAX(-F122,MIN(I122,IF(LEFT(E122,3)="技能：",99,IF(COUNTIF('幕间计算'!$H$2:$H$7,E122)&gt;0,18,IF(COUNTIF('幕间计算'!$N$2:$N$8,E122)&gt;0,'幕间计算'!BK322,IF(E122="体力",CEILING(('幕间计算'!BF322+'幕间计算'!BG322)/2,1),IF(E122="毅力",'幕间计算'!BJ322,IF(E122="理智",IF(OR(D122="按部就班",D122="远离喧嚣",D122="接受心理治疗",D122="重建人生动力"),MIN(99-'幕间计算'!BL322,'幕间计算'!BJ322*5),99-'幕间计算'!BL322),99))))))-F122))))))))))</x:f>
        <x:v>0</x:v>
      </x:c>
      <x:c r="L122" s="687"/>
      <x:c r="M122" s="689"/>
      <x:c r="N122" s="702"/>
    </x:row>
    <x:row r="123" ht="29" customHeight="1">
      <x:c r="A123" s="699" t="n">
        <x:v>115</x:v>
      </x:c>
      <x:c r="B123" s="688"/>
      <x:c r="C123" s="700"/>
      <x:c r="D123" s="687"/>
      <x:c r="E123" s="687"/>
      <x:c r="F123" s="689"/>
      <x:c r="G123" s="688"/>
      <x:c r="H123" s="688"/>
      <x:c r="I123" s="689"/>
      <x:c r="J123" s="688"/>
      <x:c r="K123" s="701">
        <x:f>IF(J123&lt;&gt;"确认",0,IF(OR('幕间计算'!A324=0,D123="",E123=""),"补全记录",IF(AND(I123&lt;&gt;"",NOT(ISNUMBER(I123))),"点数无效",IF(AND(I123&lt;&gt;"",NOT(ISNUMBER(F123))),"填写前值",IF(AND(L123&lt;&gt;"",OR(NOT(ISNUMBER(M123)),M123&lt;=0,M123&gt;99)),"填写代价",IF(AND(L123="",M123&lt;&gt;""),"选择关系",IF(AND(E123="无数值变化",N(I123)&lt;&gt;0),"选择目标",IF(I123="",0,MAX(-F123,MIN(I123,IF(LEFT(E123,3)="技能：",99,IF(COUNTIF('幕间计算'!$H$2:$H$7,E123)&gt;0,18,IF(COUNTIF('幕间计算'!$N$2:$N$8,E123)&gt;0,'幕间计算'!BK323,IF(E123="体力",CEILING(('幕间计算'!BF323+'幕间计算'!BG323)/2,1),IF(E123="毅力",'幕间计算'!BJ323,IF(E123="理智",IF(OR(D123="按部就班",D123="远离喧嚣",D123="接受心理治疗",D123="重建人生动力"),MIN(99-'幕间计算'!BL323,'幕间计算'!BJ323*5),99-'幕间计算'!BL323),99))))))-F123))))))))))</x:f>
        <x:v>0</x:v>
      </x:c>
      <x:c r="L123" s="687"/>
      <x:c r="M123" s="689"/>
      <x:c r="N123" s="702"/>
    </x:row>
    <x:row r="124" ht="29" customHeight="1">
      <x:c r="A124" s="699" t="n">
        <x:v>116</x:v>
      </x:c>
      <x:c r="B124" s="688"/>
      <x:c r="C124" s="700"/>
      <x:c r="D124" s="687"/>
      <x:c r="E124" s="687"/>
      <x:c r="F124" s="689"/>
      <x:c r="G124" s="688"/>
      <x:c r="H124" s="688"/>
      <x:c r="I124" s="689"/>
      <x:c r="J124" s="688"/>
      <x:c r="K124" s="701">
        <x:f>IF(J124&lt;&gt;"确认",0,IF(OR('幕间计算'!A325=0,D124="",E124=""),"补全记录",IF(AND(I124&lt;&gt;"",NOT(ISNUMBER(I124))),"点数无效",IF(AND(I124&lt;&gt;"",NOT(ISNUMBER(F124))),"填写前值",IF(AND(L124&lt;&gt;"",OR(NOT(ISNUMBER(M124)),M124&lt;=0,M124&gt;99)),"填写代价",IF(AND(L124="",M124&lt;&gt;""),"选择关系",IF(AND(E124="无数值变化",N(I124)&lt;&gt;0),"选择目标",IF(I124="",0,MAX(-F124,MIN(I124,IF(LEFT(E124,3)="技能：",99,IF(COUNTIF('幕间计算'!$H$2:$H$7,E124)&gt;0,18,IF(COUNTIF('幕间计算'!$N$2:$N$8,E124)&gt;0,'幕间计算'!BK324,IF(E124="体力",CEILING(('幕间计算'!BF324+'幕间计算'!BG324)/2,1),IF(E124="毅力",'幕间计算'!BJ324,IF(E124="理智",IF(OR(D124="按部就班",D124="远离喧嚣",D124="接受心理治疗",D124="重建人生动力"),MIN(99-'幕间计算'!BL324,'幕间计算'!BJ324*5),99-'幕间计算'!BL324),99))))))-F124))))))))))</x:f>
        <x:v>0</x:v>
      </x:c>
      <x:c r="L124" s="687"/>
      <x:c r="M124" s="689"/>
      <x:c r="N124" s="702"/>
    </x:row>
    <x:row r="125" ht="29" customHeight="1">
      <x:c r="A125" s="699" t="n">
        <x:v>117</x:v>
      </x:c>
      <x:c r="B125" s="688"/>
      <x:c r="C125" s="700"/>
      <x:c r="D125" s="687"/>
      <x:c r="E125" s="687"/>
      <x:c r="F125" s="689"/>
      <x:c r="G125" s="688"/>
      <x:c r="H125" s="688"/>
      <x:c r="I125" s="689"/>
      <x:c r="J125" s="688"/>
      <x:c r="K125" s="701">
        <x:f>IF(J125&lt;&gt;"确认",0,IF(OR('幕间计算'!A326=0,D125="",E125=""),"补全记录",IF(AND(I125&lt;&gt;"",NOT(ISNUMBER(I125))),"点数无效",IF(AND(I125&lt;&gt;"",NOT(ISNUMBER(F125))),"填写前值",IF(AND(L125&lt;&gt;"",OR(NOT(ISNUMBER(M125)),M125&lt;=0,M125&gt;99)),"填写代价",IF(AND(L125="",M125&lt;&gt;""),"选择关系",IF(AND(E125="无数值变化",N(I125)&lt;&gt;0),"选择目标",IF(I125="",0,MAX(-F125,MIN(I125,IF(LEFT(E125,3)="技能：",99,IF(COUNTIF('幕间计算'!$H$2:$H$7,E125)&gt;0,18,IF(COUNTIF('幕间计算'!$N$2:$N$8,E125)&gt;0,'幕间计算'!BK325,IF(E125="体力",CEILING(('幕间计算'!BF325+'幕间计算'!BG325)/2,1),IF(E125="毅力",'幕间计算'!BJ325,IF(E125="理智",IF(OR(D125="按部就班",D125="远离喧嚣",D125="接受心理治疗",D125="重建人生动力"),MIN(99-'幕间计算'!BL325,'幕间计算'!BJ325*5),99-'幕间计算'!BL325),99))))))-F125))))))))))</x:f>
        <x:v>0</x:v>
      </x:c>
      <x:c r="L125" s="687"/>
      <x:c r="M125" s="689"/>
      <x:c r="N125" s="702"/>
    </x:row>
    <x:row r="126" ht="29" customHeight="1">
      <x:c r="A126" s="699" t="n">
        <x:v>118</x:v>
      </x:c>
      <x:c r="B126" s="688"/>
      <x:c r="C126" s="700"/>
      <x:c r="D126" s="687"/>
      <x:c r="E126" s="687"/>
      <x:c r="F126" s="689"/>
      <x:c r="G126" s="688"/>
      <x:c r="H126" s="688"/>
      <x:c r="I126" s="689"/>
      <x:c r="J126" s="688"/>
      <x:c r="K126" s="701">
        <x:f>IF(J126&lt;&gt;"确认",0,IF(OR('幕间计算'!A327=0,D126="",E126=""),"补全记录",IF(AND(I126&lt;&gt;"",NOT(ISNUMBER(I126))),"点数无效",IF(AND(I126&lt;&gt;"",NOT(ISNUMBER(F126))),"填写前值",IF(AND(L126&lt;&gt;"",OR(NOT(ISNUMBER(M126)),M126&lt;=0,M126&gt;99)),"填写代价",IF(AND(L126="",M126&lt;&gt;""),"选择关系",IF(AND(E126="无数值变化",N(I126)&lt;&gt;0),"选择目标",IF(I126="",0,MAX(-F126,MIN(I126,IF(LEFT(E126,3)="技能：",99,IF(COUNTIF('幕间计算'!$H$2:$H$7,E126)&gt;0,18,IF(COUNTIF('幕间计算'!$N$2:$N$8,E126)&gt;0,'幕间计算'!BK326,IF(E126="体力",CEILING(('幕间计算'!BF326+'幕间计算'!BG326)/2,1),IF(E126="毅力",'幕间计算'!BJ326,IF(E126="理智",IF(OR(D126="按部就班",D126="远离喧嚣",D126="接受心理治疗",D126="重建人生动力"),MIN(99-'幕间计算'!BL326,'幕间计算'!BJ326*5),99-'幕间计算'!BL326),99))))))-F126))))))))))</x:f>
        <x:v>0</x:v>
      </x:c>
      <x:c r="L126" s="687"/>
      <x:c r="M126" s="689"/>
      <x:c r="N126" s="702"/>
    </x:row>
    <x:row r="127" ht="29" customHeight="1">
      <x:c r="A127" s="699" t="n">
        <x:v>119</x:v>
      </x:c>
      <x:c r="B127" s="688"/>
      <x:c r="C127" s="700"/>
      <x:c r="D127" s="687"/>
      <x:c r="E127" s="687"/>
      <x:c r="F127" s="689"/>
      <x:c r="G127" s="688"/>
      <x:c r="H127" s="688"/>
      <x:c r="I127" s="689"/>
      <x:c r="J127" s="688"/>
      <x:c r="K127" s="701">
        <x:f>IF(J127&lt;&gt;"确认",0,IF(OR('幕间计算'!A328=0,D127="",E127=""),"补全记录",IF(AND(I127&lt;&gt;"",NOT(ISNUMBER(I127))),"点数无效",IF(AND(I127&lt;&gt;"",NOT(ISNUMBER(F127))),"填写前值",IF(AND(L127&lt;&gt;"",OR(NOT(ISNUMBER(M127)),M127&lt;=0,M127&gt;99)),"填写代价",IF(AND(L127="",M127&lt;&gt;""),"选择关系",IF(AND(E127="无数值变化",N(I127)&lt;&gt;0),"选择目标",IF(I127="",0,MAX(-F127,MIN(I127,IF(LEFT(E127,3)="技能：",99,IF(COUNTIF('幕间计算'!$H$2:$H$7,E127)&gt;0,18,IF(COUNTIF('幕间计算'!$N$2:$N$8,E127)&gt;0,'幕间计算'!BK327,IF(E127="体力",CEILING(('幕间计算'!BF327+'幕间计算'!BG327)/2,1),IF(E127="毅力",'幕间计算'!BJ327,IF(E127="理智",IF(OR(D127="按部就班",D127="远离喧嚣",D127="接受心理治疗",D127="重建人生动力"),MIN(99-'幕间计算'!BL327,'幕间计算'!BJ327*5),99-'幕间计算'!BL327),99))))))-F127))))))))))</x:f>
        <x:v>0</x:v>
      </x:c>
      <x:c r="L127" s="687"/>
      <x:c r="M127" s="689"/>
      <x:c r="N127" s="702"/>
    </x:row>
    <x:row r="128" ht="29" customHeight="1">
      <x:c r="A128" s="699" t="n">
        <x:v>120</x:v>
      </x:c>
      <x:c r="B128" s="688"/>
      <x:c r="C128" s="700"/>
      <x:c r="D128" s="687"/>
      <x:c r="E128" s="687"/>
      <x:c r="F128" s="689"/>
      <x:c r="G128" s="688"/>
      <x:c r="H128" s="688"/>
      <x:c r="I128" s="689"/>
      <x:c r="J128" s="688"/>
      <x:c r="K128" s="701">
        <x:f>IF(J128&lt;&gt;"确认",0,IF(OR('幕间计算'!A329=0,D128="",E128=""),"补全记录",IF(AND(I128&lt;&gt;"",NOT(ISNUMBER(I128))),"点数无效",IF(AND(I128&lt;&gt;"",NOT(ISNUMBER(F128))),"填写前值",IF(AND(L128&lt;&gt;"",OR(NOT(ISNUMBER(M128)),M128&lt;=0,M128&gt;99)),"填写代价",IF(AND(L128="",M128&lt;&gt;""),"选择关系",IF(AND(E128="无数值变化",N(I128)&lt;&gt;0),"选择目标",IF(I128="",0,MAX(-F128,MIN(I128,IF(LEFT(E128,3)="技能：",99,IF(COUNTIF('幕间计算'!$H$2:$H$7,E128)&gt;0,18,IF(COUNTIF('幕间计算'!$N$2:$N$8,E128)&gt;0,'幕间计算'!BK328,IF(E128="体力",CEILING(('幕间计算'!BF328+'幕间计算'!BG328)/2,1),IF(E128="毅力",'幕间计算'!BJ328,IF(E128="理智",IF(OR(D128="按部就班",D128="远离喧嚣",D128="接受心理治疗",D128="重建人生动力"),MIN(99-'幕间计算'!BL328,'幕间计算'!BJ328*5),99-'幕间计算'!BL328),99))))))-F128))))))))))</x:f>
        <x:v>0</x:v>
      </x:c>
      <x:c r="L128" s="687"/>
      <x:c r="M128" s="689"/>
      <x:c r="N128" s="702"/>
    </x:row>
    <x:row r="129" ht="29" customHeight="1">
      <x:c r="A129" s="699" t="n">
        <x:v>121</x:v>
      </x:c>
      <x:c r="B129" s="688"/>
      <x:c r="C129" s="700"/>
      <x:c r="D129" s="687"/>
      <x:c r="E129" s="687"/>
      <x:c r="F129" s="689"/>
      <x:c r="G129" s="688"/>
      <x:c r="H129" s="688"/>
      <x:c r="I129" s="689"/>
      <x:c r="J129" s="688"/>
      <x:c r="K129" s="701">
        <x:f>IF(J129&lt;&gt;"确认",0,IF(OR('幕间计算'!A330=0,D129="",E129=""),"补全记录",IF(AND(I129&lt;&gt;"",NOT(ISNUMBER(I129))),"点数无效",IF(AND(I129&lt;&gt;"",NOT(ISNUMBER(F129))),"填写前值",IF(AND(L129&lt;&gt;"",OR(NOT(ISNUMBER(M129)),M129&lt;=0,M129&gt;99)),"填写代价",IF(AND(L129="",M129&lt;&gt;""),"选择关系",IF(AND(E129="无数值变化",N(I129)&lt;&gt;0),"选择目标",IF(I129="",0,MAX(-F129,MIN(I129,IF(LEFT(E129,3)="技能：",99,IF(COUNTIF('幕间计算'!$H$2:$H$7,E129)&gt;0,18,IF(COUNTIF('幕间计算'!$N$2:$N$8,E129)&gt;0,'幕间计算'!BK329,IF(E129="体力",CEILING(('幕间计算'!BF329+'幕间计算'!BG329)/2,1),IF(E129="毅力",'幕间计算'!BJ329,IF(E129="理智",IF(OR(D129="按部就班",D129="远离喧嚣",D129="接受心理治疗",D129="重建人生动力"),MIN(99-'幕间计算'!BL329,'幕间计算'!BJ329*5),99-'幕间计算'!BL329),99))))))-F129))))))))))</x:f>
        <x:v>0</x:v>
      </x:c>
      <x:c r="L129" s="687"/>
      <x:c r="M129" s="689"/>
      <x:c r="N129" s="702"/>
    </x:row>
    <x:row r="130" ht="29" customHeight="1">
      <x:c r="A130" s="699" t="n">
        <x:v>122</x:v>
      </x:c>
      <x:c r="B130" s="688"/>
      <x:c r="C130" s="700"/>
      <x:c r="D130" s="687"/>
      <x:c r="E130" s="687"/>
      <x:c r="F130" s="689"/>
      <x:c r="G130" s="688"/>
      <x:c r="H130" s="688"/>
      <x:c r="I130" s="689"/>
      <x:c r="J130" s="688"/>
      <x:c r="K130" s="701">
        <x:f>IF(J130&lt;&gt;"确认",0,IF(OR('幕间计算'!A331=0,D130="",E130=""),"补全记录",IF(AND(I130&lt;&gt;"",NOT(ISNUMBER(I130))),"点数无效",IF(AND(I130&lt;&gt;"",NOT(ISNUMBER(F130))),"填写前值",IF(AND(L130&lt;&gt;"",OR(NOT(ISNUMBER(M130)),M130&lt;=0,M130&gt;99)),"填写代价",IF(AND(L130="",M130&lt;&gt;""),"选择关系",IF(AND(E130="无数值变化",N(I130)&lt;&gt;0),"选择目标",IF(I130="",0,MAX(-F130,MIN(I130,IF(LEFT(E130,3)="技能：",99,IF(COUNTIF('幕间计算'!$H$2:$H$7,E130)&gt;0,18,IF(COUNTIF('幕间计算'!$N$2:$N$8,E130)&gt;0,'幕间计算'!BK330,IF(E130="体力",CEILING(('幕间计算'!BF330+'幕间计算'!BG330)/2,1),IF(E130="毅力",'幕间计算'!BJ330,IF(E130="理智",IF(OR(D130="按部就班",D130="远离喧嚣",D130="接受心理治疗",D130="重建人生动力"),MIN(99-'幕间计算'!BL330,'幕间计算'!BJ330*5),99-'幕间计算'!BL330),99))))))-F130))))))))))</x:f>
        <x:v>0</x:v>
      </x:c>
      <x:c r="L130" s="687"/>
      <x:c r="M130" s="689"/>
      <x:c r="N130" s="702"/>
    </x:row>
    <x:row r="131" ht="29" customHeight="1">
      <x:c r="A131" s="699" t="n">
        <x:v>123</x:v>
      </x:c>
      <x:c r="B131" s="688"/>
      <x:c r="C131" s="700"/>
      <x:c r="D131" s="687"/>
      <x:c r="E131" s="687"/>
      <x:c r="F131" s="689"/>
      <x:c r="G131" s="688"/>
      <x:c r="H131" s="688"/>
      <x:c r="I131" s="689"/>
      <x:c r="J131" s="688"/>
      <x:c r="K131" s="701">
        <x:f>IF(J131&lt;&gt;"确认",0,IF(OR('幕间计算'!A332=0,D131="",E131=""),"补全记录",IF(AND(I131&lt;&gt;"",NOT(ISNUMBER(I131))),"点数无效",IF(AND(I131&lt;&gt;"",NOT(ISNUMBER(F131))),"填写前值",IF(AND(L131&lt;&gt;"",OR(NOT(ISNUMBER(M131)),M131&lt;=0,M131&gt;99)),"填写代价",IF(AND(L131="",M131&lt;&gt;""),"选择关系",IF(AND(E131="无数值变化",N(I131)&lt;&gt;0),"选择目标",IF(I131="",0,MAX(-F131,MIN(I131,IF(LEFT(E131,3)="技能：",99,IF(COUNTIF('幕间计算'!$H$2:$H$7,E131)&gt;0,18,IF(COUNTIF('幕间计算'!$N$2:$N$8,E131)&gt;0,'幕间计算'!BK331,IF(E131="体力",CEILING(('幕间计算'!BF331+'幕间计算'!BG331)/2,1),IF(E131="毅力",'幕间计算'!BJ331,IF(E131="理智",IF(OR(D131="按部就班",D131="远离喧嚣",D131="接受心理治疗",D131="重建人生动力"),MIN(99-'幕间计算'!BL331,'幕间计算'!BJ331*5),99-'幕间计算'!BL331),99))))))-F131))))))))))</x:f>
        <x:v>0</x:v>
      </x:c>
      <x:c r="L131" s="687"/>
      <x:c r="M131" s="689"/>
      <x:c r="N131" s="702"/>
    </x:row>
    <x:row r="132" ht="29" customHeight="1">
      <x:c r="A132" s="699" t="n">
        <x:v>124</x:v>
      </x:c>
      <x:c r="B132" s="688"/>
      <x:c r="C132" s="700"/>
      <x:c r="D132" s="687"/>
      <x:c r="E132" s="687"/>
      <x:c r="F132" s="689"/>
      <x:c r="G132" s="688"/>
      <x:c r="H132" s="688"/>
      <x:c r="I132" s="689"/>
      <x:c r="J132" s="688"/>
      <x:c r="K132" s="701">
        <x:f>IF(J132&lt;&gt;"确认",0,IF(OR('幕间计算'!A333=0,D132="",E132=""),"补全记录",IF(AND(I132&lt;&gt;"",NOT(ISNUMBER(I132))),"点数无效",IF(AND(I132&lt;&gt;"",NOT(ISNUMBER(F132))),"填写前值",IF(AND(L132&lt;&gt;"",OR(NOT(ISNUMBER(M132)),M132&lt;=0,M132&gt;99)),"填写代价",IF(AND(L132="",M132&lt;&gt;""),"选择关系",IF(AND(E132="无数值变化",N(I132)&lt;&gt;0),"选择目标",IF(I132="",0,MAX(-F132,MIN(I132,IF(LEFT(E132,3)="技能：",99,IF(COUNTIF('幕间计算'!$H$2:$H$7,E132)&gt;0,18,IF(COUNTIF('幕间计算'!$N$2:$N$8,E132)&gt;0,'幕间计算'!BK332,IF(E132="体力",CEILING(('幕间计算'!BF332+'幕间计算'!BG332)/2,1),IF(E132="毅力",'幕间计算'!BJ332,IF(E132="理智",IF(OR(D132="按部就班",D132="远离喧嚣",D132="接受心理治疗",D132="重建人生动力"),MIN(99-'幕间计算'!BL332,'幕间计算'!BJ332*5),99-'幕间计算'!BL332),99))))))-F132))))))))))</x:f>
        <x:v>0</x:v>
      </x:c>
      <x:c r="L132" s="687"/>
      <x:c r="M132" s="689"/>
      <x:c r="N132" s="702"/>
    </x:row>
    <x:row r="133" ht="29" customHeight="1">
      <x:c r="A133" s="699" t="n">
        <x:v>125</x:v>
      </x:c>
      <x:c r="B133" s="688"/>
      <x:c r="C133" s="700"/>
      <x:c r="D133" s="687"/>
      <x:c r="E133" s="687"/>
      <x:c r="F133" s="689"/>
      <x:c r="G133" s="688"/>
      <x:c r="H133" s="688"/>
      <x:c r="I133" s="689"/>
      <x:c r="J133" s="688"/>
      <x:c r="K133" s="701">
        <x:f>IF(J133&lt;&gt;"确认",0,IF(OR('幕间计算'!A334=0,D133="",E133=""),"补全记录",IF(AND(I133&lt;&gt;"",NOT(ISNUMBER(I133))),"点数无效",IF(AND(I133&lt;&gt;"",NOT(ISNUMBER(F133))),"填写前值",IF(AND(L133&lt;&gt;"",OR(NOT(ISNUMBER(M133)),M133&lt;=0,M133&gt;99)),"填写代价",IF(AND(L133="",M133&lt;&gt;""),"选择关系",IF(AND(E133="无数值变化",N(I133)&lt;&gt;0),"选择目标",IF(I133="",0,MAX(-F133,MIN(I133,IF(LEFT(E133,3)="技能：",99,IF(COUNTIF('幕间计算'!$H$2:$H$7,E133)&gt;0,18,IF(COUNTIF('幕间计算'!$N$2:$N$8,E133)&gt;0,'幕间计算'!BK333,IF(E133="体力",CEILING(('幕间计算'!BF333+'幕间计算'!BG333)/2,1),IF(E133="毅力",'幕间计算'!BJ333,IF(E133="理智",IF(OR(D133="按部就班",D133="远离喧嚣",D133="接受心理治疗",D133="重建人生动力"),MIN(99-'幕间计算'!BL333,'幕间计算'!BJ333*5),99-'幕间计算'!BL333),99))))))-F133))))))))))</x:f>
        <x:v>0</x:v>
      </x:c>
      <x:c r="L133" s="687"/>
      <x:c r="M133" s="689"/>
      <x:c r="N133" s="702"/>
    </x:row>
    <x:row r="134" ht="29" customHeight="1">
      <x:c r="A134" s="699" t="n">
        <x:v>126</x:v>
      </x:c>
      <x:c r="B134" s="688"/>
      <x:c r="C134" s="700"/>
      <x:c r="D134" s="687"/>
      <x:c r="E134" s="687"/>
      <x:c r="F134" s="689"/>
      <x:c r="G134" s="688"/>
      <x:c r="H134" s="688"/>
      <x:c r="I134" s="689"/>
      <x:c r="J134" s="688"/>
      <x:c r="K134" s="701">
        <x:f>IF(J134&lt;&gt;"确认",0,IF(OR('幕间计算'!A335=0,D134="",E134=""),"补全记录",IF(AND(I134&lt;&gt;"",NOT(ISNUMBER(I134))),"点数无效",IF(AND(I134&lt;&gt;"",NOT(ISNUMBER(F134))),"填写前值",IF(AND(L134&lt;&gt;"",OR(NOT(ISNUMBER(M134)),M134&lt;=0,M134&gt;99)),"填写代价",IF(AND(L134="",M134&lt;&gt;""),"选择关系",IF(AND(E134="无数值变化",N(I134)&lt;&gt;0),"选择目标",IF(I134="",0,MAX(-F134,MIN(I134,IF(LEFT(E134,3)="技能：",99,IF(COUNTIF('幕间计算'!$H$2:$H$7,E134)&gt;0,18,IF(COUNTIF('幕间计算'!$N$2:$N$8,E134)&gt;0,'幕间计算'!BK334,IF(E134="体力",CEILING(('幕间计算'!BF334+'幕间计算'!BG334)/2,1),IF(E134="毅力",'幕间计算'!BJ334,IF(E134="理智",IF(OR(D134="按部就班",D134="远离喧嚣",D134="接受心理治疗",D134="重建人生动力"),MIN(99-'幕间计算'!BL334,'幕间计算'!BJ334*5),99-'幕间计算'!BL334),99))))))-F134))))))))))</x:f>
        <x:v>0</x:v>
      </x:c>
      <x:c r="L134" s="687"/>
      <x:c r="M134" s="689"/>
      <x:c r="N134" s="702"/>
    </x:row>
    <x:row r="135" ht="29" customHeight="1">
      <x:c r="A135" s="699" t="n">
        <x:v>127</x:v>
      </x:c>
      <x:c r="B135" s="688"/>
      <x:c r="C135" s="700"/>
      <x:c r="D135" s="687"/>
      <x:c r="E135" s="687"/>
      <x:c r="F135" s="689"/>
      <x:c r="G135" s="688"/>
      <x:c r="H135" s="688"/>
      <x:c r="I135" s="689"/>
      <x:c r="J135" s="688"/>
      <x:c r="K135" s="701">
        <x:f>IF(J135&lt;&gt;"确认",0,IF(OR('幕间计算'!A336=0,D135="",E135=""),"补全记录",IF(AND(I135&lt;&gt;"",NOT(ISNUMBER(I135))),"点数无效",IF(AND(I135&lt;&gt;"",NOT(ISNUMBER(F135))),"填写前值",IF(AND(L135&lt;&gt;"",OR(NOT(ISNUMBER(M135)),M135&lt;=0,M135&gt;99)),"填写代价",IF(AND(L135="",M135&lt;&gt;""),"选择关系",IF(AND(E135="无数值变化",N(I135)&lt;&gt;0),"选择目标",IF(I135="",0,MAX(-F135,MIN(I135,IF(LEFT(E135,3)="技能：",99,IF(COUNTIF('幕间计算'!$H$2:$H$7,E135)&gt;0,18,IF(COUNTIF('幕间计算'!$N$2:$N$8,E135)&gt;0,'幕间计算'!BK335,IF(E135="体力",CEILING(('幕间计算'!BF335+'幕间计算'!BG335)/2,1),IF(E135="毅力",'幕间计算'!BJ335,IF(E135="理智",IF(OR(D135="按部就班",D135="远离喧嚣",D135="接受心理治疗",D135="重建人生动力"),MIN(99-'幕间计算'!BL335,'幕间计算'!BJ335*5),99-'幕间计算'!BL335),99))))))-F135))))))))))</x:f>
        <x:v>0</x:v>
      </x:c>
      <x:c r="L135" s="687"/>
      <x:c r="M135" s="689"/>
      <x:c r="N135" s="702"/>
    </x:row>
    <x:row r="136" ht="29" customHeight="1">
      <x:c r="A136" s="699" t="n">
        <x:v>128</x:v>
      </x:c>
      <x:c r="B136" s="688"/>
      <x:c r="C136" s="700"/>
      <x:c r="D136" s="687"/>
      <x:c r="E136" s="687"/>
      <x:c r="F136" s="689"/>
      <x:c r="G136" s="688"/>
      <x:c r="H136" s="688"/>
      <x:c r="I136" s="689"/>
      <x:c r="J136" s="688"/>
      <x:c r="K136" s="701">
        <x:f>IF(J136&lt;&gt;"确认",0,IF(OR('幕间计算'!A337=0,D136="",E136=""),"补全记录",IF(AND(I136&lt;&gt;"",NOT(ISNUMBER(I136))),"点数无效",IF(AND(I136&lt;&gt;"",NOT(ISNUMBER(F136))),"填写前值",IF(AND(L136&lt;&gt;"",OR(NOT(ISNUMBER(M136)),M136&lt;=0,M136&gt;99)),"填写代价",IF(AND(L136="",M136&lt;&gt;""),"选择关系",IF(AND(E136="无数值变化",N(I136)&lt;&gt;0),"选择目标",IF(I136="",0,MAX(-F136,MIN(I136,IF(LEFT(E136,3)="技能：",99,IF(COUNTIF('幕间计算'!$H$2:$H$7,E136)&gt;0,18,IF(COUNTIF('幕间计算'!$N$2:$N$8,E136)&gt;0,'幕间计算'!BK336,IF(E136="体力",CEILING(('幕间计算'!BF336+'幕间计算'!BG336)/2,1),IF(E136="毅力",'幕间计算'!BJ336,IF(E136="理智",IF(OR(D136="按部就班",D136="远离喧嚣",D136="接受心理治疗",D136="重建人生动力"),MIN(99-'幕间计算'!BL336,'幕间计算'!BJ336*5),99-'幕间计算'!BL336),99))))))-F136))))))))))</x:f>
        <x:v>0</x:v>
      </x:c>
      <x:c r="L136" s="687"/>
      <x:c r="M136" s="689"/>
      <x:c r="N136" s="702"/>
    </x:row>
    <x:row r="137" ht="29" customHeight="1">
      <x:c r="A137" s="699" t="n">
        <x:v>129</x:v>
      </x:c>
      <x:c r="B137" s="688"/>
      <x:c r="C137" s="700"/>
      <x:c r="D137" s="687"/>
      <x:c r="E137" s="687"/>
      <x:c r="F137" s="689"/>
      <x:c r="G137" s="688"/>
      <x:c r="H137" s="688"/>
      <x:c r="I137" s="689"/>
      <x:c r="J137" s="688"/>
      <x:c r="K137" s="701">
        <x:f>IF(J137&lt;&gt;"确认",0,IF(OR('幕间计算'!A338=0,D137="",E137=""),"补全记录",IF(AND(I137&lt;&gt;"",NOT(ISNUMBER(I137))),"点数无效",IF(AND(I137&lt;&gt;"",NOT(ISNUMBER(F137))),"填写前值",IF(AND(L137&lt;&gt;"",OR(NOT(ISNUMBER(M137)),M137&lt;=0,M137&gt;99)),"填写代价",IF(AND(L137="",M137&lt;&gt;""),"选择关系",IF(AND(E137="无数值变化",N(I137)&lt;&gt;0),"选择目标",IF(I137="",0,MAX(-F137,MIN(I137,IF(LEFT(E137,3)="技能：",99,IF(COUNTIF('幕间计算'!$H$2:$H$7,E137)&gt;0,18,IF(COUNTIF('幕间计算'!$N$2:$N$8,E137)&gt;0,'幕间计算'!BK337,IF(E137="体力",CEILING(('幕间计算'!BF337+'幕间计算'!BG337)/2,1),IF(E137="毅力",'幕间计算'!BJ337,IF(E137="理智",IF(OR(D137="按部就班",D137="远离喧嚣",D137="接受心理治疗",D137="重建人生动力"),MIN(99-'幕间计算'!BL337,'幕间计算'!BJ337*5),99-'幕间计算'!BL337),99))))))-F137))))))))))</x:f>
        <x:v>0</x:v>
      </x:c>
      <x:c r="L137" s="687"/>
      <x:c r="M137" s="689"/>
      <x:c r="N137" s="702"/>
    </x:row>
    <x:row r="138" ht="29" customHeight="1">
      <x:c r="A138" s="699" t="n">
        <x:v>130</x:v>
      </x:c>
      <x:c r="B138" s="688"/>
      <x:c r="C138" s="700"/>
      <x:c r="D138" s="687"/>
      <x:c r="E138" s="687"/>
      <x:c r="F138" s="689"/>
      <x:c r="G138" s="688"/>
      <x:c r="H138" s="688"/>
      <x:c r="I138" s="689"/>
      <x:c r="J138" s="688"/>
      <x:c r="K138" s="701">
        <x:f>IF(J138&lt;&gt;"确认",0,IF(OR('幕间计算'!A339=0,D138="",E138=""),"补全记录",IF(AND(I138&lt;&gt;"",NOT(ISNUMBER(I138))),"点数无效",IF(AND(I138&lt;&gt;"",NOT(ISNUMBER(F138))),"填写前值",IF(AND(L138&lt;&gt;"",OR(NOT(ISNUMBER(M138)),M138&lt;=0,M138&gt;99)),"填写代价",IF(AND(L138="",M138&lt;&gt;""),"选择关系",IF(AND(E138="无数值变化",N(I138)&lt;&gt;0),"选择目标",IF(I138="",0,MAX(-F138,MIN(I138,IF(LEFT(E138,3)="技能：",99,IF(COUNTIF('幕间计算'!$H$2:$H$7,E138)&gt;0,18,IF(COUNTIF('幕间计算'!$N$2:$N$8,E138)&gt;0,'幕间计算'!BK338,IF(E138="体力",CEILING(('幕间计算'!BF338+'幕间计算'!BG338)/2,1),IF(E138="毅力",'幕间计算'!BJ338,IF(E138="理智",IF(OR(D138="按部就班",D138="远离喧嚣",D138="接受心理治疗",D138="重建人生动力"),MIN(99-'幕间计算'!BL338,'幕间计算'!BJ338*5),99-'幕间计算'!BL338),99))))))-F138))))))))))</x:f>
        <x:v>0</x:v>
      </x:c>
      <x:c r="L138" s="687"/>
      <x:c r="M138" s="689"/>
      <x:c r="N138" s="702"/>
    </x:row>
    <x:row r="139" ht="29" customHeight="1">
      <x:c r="A139" s="699" t="n">
        <x:v>131</x:v>
      </x:c>
      <x:c r="B139" s="688"/>
      <x:c r="C139" s="700"/>
      <x:c r="D139" s="687"/>
      <x:c r="E139" s="687"/>
      <x:c r="F139" s="689"/>
      <x:c r="G139" s="688"/>
      <x:c r="H139" s="688"/>
      <x:c r="I139" s="689"/>
      <x:c r="J139" s="688"/>
      <x:c r="K139" s="701">
        <x:f>IF(J139&lt;&gt;"确认",0,IF(OR('幕间计算'!A340=0,D139="",E139=""),"补全记录",IF(AND(I139&lt;&gt;"",NOT(ISNUMBER(I139))),"点数无效",IF(AND(I139&lt;&gt;"",NOT(ISNUMBER(F139))),"填写前值",IF(AND(L139&lt;&gt;"",OR(NOT(ISNUMBER(M139)),M139&lt;=0,M139&gt;99)),"填写代价",IF(AND(L139="",M139&lt;&gt;""),"选择关系",IF(AND(E139="无数值变化",N(I139)&lt;&gt;0),"选择目标",IF(I139="",0,MAX(-F139,MIN(I139,IF(LEFT(E139,3)="技能：",99,IF(COUNTIF('幕间计算'!$H$2:$H$7,E139)&gt;0,18,IF(COUNTIF('幕间计算'!$N$2:$N$8,E139)&gt;0,'幕间计算'!BK339,IF(E139="体力",CEILING(('幕间计算'!BF339+'幕间计算'!BG339)/2,1),IF(E139="毅力",'幕间计算'!BJ339,IF(E139="理智",IF(OR(D139="按部就班",D139="远离喧嚣",D139="接受心理治疗",D139="重建人生动力"),MIN(99-'幕间计算'!BL339,'幕间计算'!BJ339*5),99-'幕间计算'!BL339),99))))))-F139))))))))))</x:f>
        <x:v>0</x:v>
      </x:c>
      <x:c r="L139" s="687"/>
      <x:c r="M139" s="689"/>
      <x:c r="N139" s="702"/>
    </x:row>
    <x:row r="140" ht="29" customHeight="1">
      <x:c r="A140" s="699" t="n">
        <x:v>132</x:v>
      </x:c>
      <x:c r="B140" s="688"/>
      <x:c r="C140" s="700"/>
      <x:c r="D140" s="687"/>
      <x:c r="E140" s="687"/>
      <x:c r="F140" s="689"/>
      <x:c r="G140" s="688"/>
      <x:c r="H140" s="688"/>
      <x:c r="I140" s="689"/>
      <x:c r="J140" s="688"/>
      <x:c r="K140" s="701">
        <x:f>IF(J140&lt;&gt;"确认",0,IF(OR('幕间计算'!A341=0,D140="",E140=""),"补全记录",IF(AND(I140&lt;&gt;"",NOT(ISNUMBER(I140))),"点数无效",IF(AND(I140&lt;&gt;"",NOT(ISNUMBER(F140))),"填写前值",IF(AND(L140&lt;&gt;"",OR(NOT(ISNUMBER(M140)),M140&lt;=0,M140&gt;99)),"填写代价",IF(AND(L140="",M140&lt;&gt;""),"选择关系",IF(AND(E140="无数值变化",N(I140)&lt;&gt;0),"选择目标",IF(I140="",0,MAX(-F140,MIN(I140,IF(LEFT(E140,3)="技能：",99,IF(COUNTIF('幕间计算'!$H$2:$H$7,E140)&gt;0,18,IF(COUNTIF('幕间计算'!$N$2:$N$8,E140)&gt;0,'幕间计算'!BK340,IF(E140="体力",CEILING(('幕间计算'!BF340+'幕间计算'!BG340)/2,1),IF(E140="毅力",'幕间计算'!BJ340,IF(E140="理智",IF(OR(D140="按部就班",D140="远离喧嚣",D140="接受心理治疗",D140="重建人生动力"),MIN(99-'幕间计算'!BL340,'幕间计算'!BJ340*5),99-'幕间计算'!BL340),99))))))-F140))))))))))</x:f>
        <x:v>0</x:v>
      </x:c>
      <x:c r="L140" s="687"/>
      <x:c r="M140" s="689"/>
      <x:c r="N140" s="702"/>
    </x:row>
    <x:row r="141" ht="29" customHeight="1">
      <x:c r="A141" s="699" t="n">
        <x:v>133</x:v>
      </x:c>
      <x:c r="B141" s="688"/>
      <x:c r="C141" s="700"/>
      <x:c r="D141" s="687"/>
      <x:c r="E141" s="687"/>
      <x:c r="F141" s="689"/>
      <x:c r="G141" s="688"/>
      <x:c r="H141" s="688"/>
      <x:c r="I141" s="689"/>
      <x:c r="J141" s="688"/>
      <x:c r="K141" s="701">
        <x:f>IF(J141&lt;&gt;"确认",0,IF(OR('幕间计算'!A342=0,D141="",E141=""),"补全记录",IF(AND(I141&lt;&gt;"",NOT(ISNUMBER(I141))),"点数无效",IF(AND(I141&lt;&gt;"",NOT(ISNUMBER(F141))),"填写前值",IF(AND(L141&lt;&gt;"",OR(NOT(ISNUMBER(M141)),M141&lt;=0,M141&gt;99)),"填写代价",IF(AND(L141="",M141&lt;&gt;""),"选择关系",IF(AND(E141="无数值变化",N(I141)&lt;&gt;0),"选择目标",IF(I141="",0,MAX(-F141,MIN(I141,IF(LEFT(E141,3)="技能：",99,IF(COUNTIF('幕间计算'!$H$2:$H$7,E141)&gt;0,18,IF(COUNTIF('幕间计算'!$N$2:$N$8,E141)&gt;0,'幕间计算'!BK341,IF(E141="体力",CEILING(('幕间计算'!BF341+'幕间计算'!BG341)/2,1),IF(E141="毅力",'幕间计算'!BJ341,IF(E141="理智",IF(OR(D141="按部就班",D141="远离喧嚣",D141="接受心理治疗",D141="重建人生动力"),MIN(99-'幕间计算'!BL341,'幕间计算'!BJ341*5),99-'幕间计算'!BL341),99))))))-F141))))))))))</x:f>
        <x:v>0</x:v>
      </x:c>
      <x:c r="L141" s="687"/>
      <x:c r="M141" s="689"/>
      <x:c r="N141" s="702"/>
    </x:row>
    <x:row r="142" ht="29" customHeight="1">
      <x:c r="A142" s="699" t="n">
        <x:v>134</x:v>
      </x:c>
      <x:c r="B142" s="688"/>
      <x:c r="C142" s="700"/>
      <x:c r="D142" s="687"/>
      <x:c r="E142" s="687"/>
      <x:c r="F142" s="689"/>
      <x:c r="G142" s="688"/>
      <x:c r="H142" s="688"/>
      <x:c r="I142" s="689"/>
      <x:c r="J142" s="688"/>
      <x:c r="K142" s="701">
        <x:f>IF(J142&lt;&gt;"确认",0,IF(OR('幕间计算'!A343=0,D142="",E142=""),"补全记录",IF(AND(I142&lt;&gt;"",NOT(ISNUMBER(I142))),"点数无效",IF(AND(I142&lt;&gt;"",NOT(ISNUMBER(F142))),"填写前值",IF(AND(L142&lt;&gt;"",OR(NOT(ISNUMBER(M142)),M142&lt;=0,M142&gt;99)),"填写代价",IF(AND(L142="",M142&lt;&gt;""),"选择关系",IF(AND(E142="无数值变化",N(I142)&lt;&gt;0),"选择目标",IF(I142="",0,MAX(-F142,MIN(I142,IF(LEFT(E142,3)="技能：",99,IF(COUNTIF('幕间计算'!$H$2:$H$7,E142)&gt;0,18,IF(COUNTIF('幕间计算'!$N$2:$N$8,E142)&gt;0,'幕间计算'!BK342,IF(E142="体力",CEILING(('幕间计算'!BF342+'幕间计算'!BG342)/2,1),IF(E142="毅力",'幕间计算'!BJ342,IF(E142="理智",IF(OR(D142="按部就班",D142="远离喧嚣",D142="接受心理治疗",D142="重建人生动力"),MIN(99-'幕间计算'!BL342,'幕间计算'!BJ342*5),99-'幕间计算'!BL342),99))))))-F142))))))))))</x:f>
        <x:v>0</x:v>
      </x:c>
      <x:c r="L142" s="687"/>
      <x:c r="M142" s="689"/>
      <x:c r="N142" s="702"/>
    </x:row>
    <x:row r="143" ht="29" customHeight="1">
      <x:c r="A143" s="699" t="n">
        <x:v>135</x:v>
      </x:c>
      <x:c r="B143" s="688"/>
      <x:c r="C143" s="700"/>
      <x:c r="D143" s="687"/>
      <x:c r="E143" s="687"/>
      <x:c r="F143" s="689"/>
      <x:c r="G143" s="688"/>
      <x:c r="H143" s="688"/>
      <x:c r="I143" s="689"/>
      <x:c r="J143" s="688"/>
      <x:c r="K143" s="701">
        <x:f>IF(J143&lt;&gt;"确认",0,IF(OR('幕间计算'!A344=0,D143="",E143=""),"补全记录",IF(AND(I143&lt;&gt;"",NOT(ISNUMBER(I143))),"点数无效",IF(AND(I143&lt;&gt;"",NOT(ISNUMBER(F143))),"填写前值",IF(AND(L143&lt;&gt;"",OR(NOT(ISNUMBER(M143)),M143&lt;=0,M143&gt;99)),"填写代价",IF(AND(L143="",M143&lt;&gt;""),"选择关系",IF(AND(E143="无数值变化",N(I143)&lt;&gt;0),"选择目标",IF(I143="",0,MAX(-F143,MIN(I143,IF(LEFT(E143,3)="技能：",99,IF(COUNTIF('幕间计算'!$H$2:$H$7,E143)&gt;0,18,IF(COUNTIF('幕间计算'!$N$2:$N$8,E143)&gt;0,'幕间计算'!BK343,IF(E143="体力",CEILING(('幕间计算'!BF343+'幕间计算'!BG343)/2,1),IF(E143="毅力",'幕间计算'!BJ343,IF(E143="理智",IF(OR(D143="按部就班",D143="远离喧嚣",D143="接受心理治疗",D143="重建人生动力"),MIN(99-'幕间计算'!BL343,'幕间计算'!BJ343*5),99-'幕间计算'!BL343),99))))))-F143))))))))))</x:f>
        <x:v>0</x:v>
      </x:c>
      <x:c r="L143" s="687"/>
      <x:c r="M143" s="689"/>
      <x:c r="N143" s="702"/>
    </x:row>
    <x:row r="144" ht="29" customHeight="1">
      <x:c r="A144" s="699" t="n">
        <x:v>136</x:v>
      </x:c>
      <x:c r="B144" s="688"/>
      <x:c r="C144" s="700"/>
      <x:c r="D144" s="687"/>
      <x:c r="E144" s="687"/>
      <x:c r="F144" s="689"/>
      <x:c r="G144" s="688"/>
      <x:c r="H144" s="688"/>
      <x:c r="I144" s="689"/>
      <x:c r="J144" s="688"/>
      <x:c r="K144" s="701">
        <x:f>IF(J144&lt;&gt;"确认",0,IF(OR('幕间计算'!A345=0,D144="",E144=""),"补全记录",IF(AND(I144&lt;&gt;"",NOT(ISNUMBER(I144))),"点数无效",IF(AND(I144&lt;&gt;"",NOT(ISNUMBER(F144))),"填写前值",IF(AND(L144&lt;&gt;"",OR(NOT(ISNUMBER(M144)),M144&lt;=0,M144&gt;99)),"填写代价",IF(AND(L144="",M144&lt;&gt;""),"选择关系",IF(AND(E144="无数值变化",N(I144)&lt;&gt;0),"选择目标",IF(I144="",0,MAX(-F144,MIN(I144,IF(LEFT(E144,3)="技能：",99,IF(COUNTIF('幕间计算'!$H$2:$H$7,E144)&gt;0,18,IF(COUNTIF('幕间计算'!$N$2:$N$8,E144)&gt;0,'幕间计算'!BK344,IF(E144="体力",CEILING(('幕间计算'!BF344+'幕间计算'!BG344)/2,1),IF(E144="毅力",'幕间计算'!BJ344,IF(E144="理智",IF(OR(D144="按部就班",D144="远离喧嚣",D144="接受心理治疗",D144="重建人生动力"),MIN(99-'幕间计算'!BL344,'幕间计算'!BJ344*5),99-'幕间计算'!BL344),99))))))-F144))))))))))</x:f>
        <x:v>0</x:v>
      </x:c>
      <x:c r="L144" s="687"/>
      <x:c r="M144" s="689"/>
      <x:c r="N144" s="702"/>
    </x:row>
    <x:row r="145" ht="29" customHeight="1">
      <x:c r="A145" s="699" t="n">
        <x:v>137</x:v>
      </x:c>
      <x:c r="B145" s="688"/>
      <x:c r="C145" s="700"/>
      <x:c r="D145" s="687"/>
      <x:c r="E145" s="687"/>
      <x:c r="F145" s="689"/>
      <x:c r="G145" s="688"/>
      <x:c r="H145" s="688"/>
      <x:c r="I145" s="689"/>
      <x:c r="J145" s="688"/>
      <x:c r="K145" s="701">
        <x:f>IF(J145&lt;&gt;"确认",0,IF(OR('幕间计算'!A346=0,D145="",E145=""),"补全记录",IF(AND(I145&lt;&gt;"",NOT(ISNUMBER(I145))),"点数无效",IF(AND(I145&lt;&gt;"",NOT(ISNUMBER(F145))),"填写前值",IF(AND(L145&lt;&gt;"",OR(NOT(ISNUMBER(M145)),M145&lt;=0,M145&gt;99)),"填写代价",IF(AND(L145="",M145&lt;&gt;""),"选择关系",IF(AND(E145="无数值变化",N(I145)&lt;&gt;0),"选择目标",IF(I145="",0,MAX(-F145,MIN(I145,IF(LEFT(E145,3)="技能：",99,IF(COUNTIF('幕间计算'!$H$2:$H$7,E145)&gt;0,18,IF(COUNTIF('幕间计算'!$N$2:$N$8,E145)&gt;0,'幕间计算'!BK345,IF(E145="体力",CEILING(('幕间计算'!BF345+'幕间计算'!BG345)/2,1),IF(E145="毅力",'幕间计算'!BJ345,IF(E145="理智",IF(OR(D145="按部就班",D145="远离喧嚣",D145="接受心理治疗",D145="重建人生动力"),MIN(99-'幕间计算'!BL345,'幕间计算'!BJ345*5),99-'幕间计算'!BL345),99))))))-F145))))))))))</x:f>
        <x:v>0</x:v>
      </x:c>
      <x:c r="L145" s="687"/>
      <x:c r="M145" s="689"/>
      <x:c r="N145" s="702"/>
    </x:row>
    <x:row r="146" ht="29" customHeight="1">
      <x:c r="A146" s="699" t="n">
        <x:v>138</x:v>
      </x:c>
      <x:c r="B146" s="688"/>
      <x:c r="C146" s="700"/>
      <x:c r="D146" s="687"/>
      <x:c r="E146" s="687"/>
      <x:c r="F146" s="689"/>
      <x:c r="G146" s="688"/>
      <x:c r="H146" s="688"/>
      <x:c r="I146" s="689"/>
      <x:c r="J146" s="688"/>
      <x:c r="K146" s="701">
        <x:f>IF(J146&lt;&gt;"确认",0,IF(OR('幕间计算'!A347=0,D146="",E146=""),"补全记录",IF(AND(I146&lt;&gt;"",NOT(ISNUMBER(I146))),"点数无效",IF(AND(I146&lt;&gt;"",NOT(ISNUMBER(F146))),"填写前值",IF(AND(L146&lt;&gt;"",OR(NOT(ISNUMBER(M146)),M146&lt;=0,M146&gt;99)),"填写代价",IF(AND(L146="",M146&lt;&gt;""),"选择关系",IF(AND(E146="无数值变化",N(I146)&lt;&gt;0),"选择目标",IF(I146="",0,MAX(-F146,MIN(I146,IF(LEFT(E146,3)="技能：",99,IF(COUNTIF('幕间计算'!$H$2:$H$7,E146)&gt;0,18,IF(COUNTIF('幕间计算'!$N$2:$N$8,E146)&gt;0,'幕间计算'!BK346,IF(E146="体力",CEILING(('幕间计算'!BF346+'幕间计算'!BG346)/2,1),IF(E146="毅力",'幕间计算'!BJ346,IF(E146="理智",IF(OR(D146="按部就班",D146="远离喧嚣",D146="接受心理治疗",D146="重建人生动力"),MIN(99-'幕间计算'!BL346,'幕间计算'!BJ346*5),99-'幕间计算'!BL346),99))))))-F146))))))))))</x:f>
        <x:v>0</x:v>
      </x:c>
      <x:c r="L146" s="687"/>
      <x:c r="M146" s="689"/>
      <x:c r="N146" s="702"/>
    </x:row>
    <x:row r="147" ht="29" customHeight="1">
      <x:c r="A147" s="699" t="n">
        <x:v>139</x:v>
      </x:c>
      <x:c r="B147" s="688"/>
      <x:c r="C147" s="700"/>
      <x:c r="D147" s="687"/>
      <x:c r="E147" s="687"/>
      <x:c r="F147" s="689"/>
      <x:c r="G147" s="688"/>
      <x:c r="H147" s="688"/>
      <x:c r="I147" s="689"/>
      <x:c r="J147" s="688"/>
      <x:c r="K147" s="701">
        <x:f>IF(J147&lt;&gt;"确认",0,IF(OR('幕间计算'!A348=0,D147="",E147=""),"补全记录",IF(AND(I147&lt;&gt;"",NOT(ISNUMBER(I147))),"点数无效",IF(AND(I147&lt;&gt;"",NOT(ISNUMBER(F147))),"填写前值",IF(AND(L147&lt;&gt;"",OR(NOT(ISNUMBER(M147)),M147&lt;=0,M147&gt;99)),"填写代价",IF(AND(L147="",M147&lt;&gt;""),"选择关系",IF(AND(E147="无数值变化",N(I147)&lt;&gt;0),"选择目标",IF(I147="",0,MAX(-F147,MIN(I147,IF(LEFT(E147,3)="技能：",99,IF(COUNTIF('幕间计算'!$H$2:$H$7,E147)&gt;0,18,IF(COUNTIF('幕间计算'!$N$2:$N$8,E147)&gt;0,'幕间计算'!BK347,IF(E147="体力",CEILING(('幕间计算'!BF347+'幕间计算'!BG347)/2,1),IF(E147="毅力",'幕间计算'!BJ347,IF(E147="理智",IF(OR(D147="按部就班",D147="远离喧嚣",D147="接受心理治疗",D147="重建人生动力"),MIN(99-'幕间计算'!BL347,'幕间计算'!BJ347*5),99-'幕间计算'!BL347),99))))))-F147))))))))))</x:f>
        <x:v>0</x:v>
      </x:c>
      <x:c r="L147" s="687"/>
      <x:c r="M147" s="689"/>
      <x:c r="N147" s="702"/>
    </x:row>
    <x:row r="148" ht="29" customHeight="1">
      <x:c r="A148" s="699" t="n">
        <x:v>140</x:v>
      </x:c>
      <x:c r="B148" s="688"/>
      <x:c r="C148" s="700"/>
      <x:c r="D148" s="687"/>
      <x:c r="E148" s="687"/>
      <x:c r="F148" s="689"/>
      <x:c r="G148" s="688"/>
      <x:c r="H148" s="688"/>
      <x:c r="I148" s="689"/>
      <x:c r="J148" s="688"/>
      <x:c r="K148" s="701">
        <x:f>IF(J148&lt;&gt;"确认",0,IF(OR('幕间计算'!A349=0,D148="",E148=""),"补全记录",IF(AND(I148&lt;&gt;"",NOT(ISNUMBER(I148))),"点数无效",IF(AND(I148&lt;&gt;"",NOT(ISNUMBER(F148))),"填写前值",IF(AND(L148&lt;&gt;"",OR(NOT(ISNUMBER(M148)),M148&lt;=0,M148&gt;99)),"填写代价",IF(AND(L148="",M148&lt;&gt;""),"选择关系",IF(AND(E148="无数值变化",N(I148)&lt;&gt;0),"选择目标",IF(I148="",0,MAX(-F148,MIN(I148,IF(LEFT(E148,3)="技能：",99,IF(COUNTIF('幕间计算'!$H$2:$H$7,E148)&gt;0,18,IF(COUNTIF('幕间计算'!$N$2:$N$8,E148)&gt;0,'幕间计算'!BK348,IF(E148="体力",CEILING(('幕间计算'!BF348+'幕间计算'!BG348)/2,1),IF(E148="毅力",'幕间计算'!BJ348,IF(E148="理智",IF(OR(D148="按部就班",D148="远离喧嚣",D148="接受心理治疗",D148="重建人生动力"),MIN(99-'幕间计算'!BL348,'幕间计算'!BJ348*5),99-'幕间计算'!BL348),99))))))-F148))))))))))</x:f>
        <x:v>0</x:v>
      </x:c>
      <x:c r="L148" s="687"/>
      <x:c r="M148" s="689"/>
      <x:c r="N148" s="702"/>
    </x:row>
    <x:row r="149" ht="29" customHeight="1">
      <x:c r="A149" s="699" t="n">
        <x:v>141</x:v>
      </x:c>
      <x:c r="B149" s="688"/>
      <x:c r="C149" s="700"/>
      <x:c r="D149" s="687"/>
      <x:c r="E149" s="687"/>
      <x:c r="F149" s="689"/>
      <x:c r="G149" s="688"/>
      <x:c r="H149" s="688"/>
      <x:c r="I149" s="689"/>
      <x:c r="J149" s="688"/>
      <x:c r="K149" s="701">
        <x:f>IF(J149&lt;&gt;"确认",0,IF(OR('幕间计算'!A350=0,D149="",E149=""),"补全记录",IF(AND(I149&lt;&gt;"",NOT(ISNUMBER(I149))),"点数无效",IF(AND(I149&lt;&gt;"",NOT(ISNUMBER(F149))),"填写前值",IF(AND(L149&lt;&gt;"",OR(NOT(ISNUMBER(M149)),M149&lt;=0,M149&gt;99)),"填写代价",IF(AND(L149="",M149&lt;&gt;""),"选择关系",IF(AND(E149="无数值变化",N(I149)&lt;&gt;0),"选择目标",IF(I149="",0,MAX(-F149,MIN(I149,IF(LEFT(E149,3)="技能：",99,IF(COUNTIF('幕间计算'!$H$2:$H$7,E149)&gt;0,18,IF(COUNTIF('幕间计算'!$N$2:$N$8,E149)&gt;0,'幕间计算'!BK349,IF(E149="体力",CEILING(('幕间计算'!BF349+'幕间计算'!BG349)/2,1),IF(E149="毅力",'幕间计算'!BJ349,IF(E149="理智",IF(OR(D149="按部就班",D149="远离喧嚣",D149="接受心理治疗",D149="重建人生动力"),MIN(99-'幕间计算'!BL349,'幕间计算'!BJ349*5),99-'幕间计算'!BL349),99))))))-F149))))))))))</x:f>
        <x:v>0</x:v>
      </x:c>
      <x:c r="L149" s="687"/>
      <x:c r="M149" s="689"/>
      <x:c r="N149" s="702"/>
    </x:row>
    <x:row r="150" ht="29" customHeight="1">
      <x:c r="A150" s="699" t="n">
        <x:v>142</x:v>
      </x:c>
      <x:c r="B150" s="688"/>
      <x:c r="C150" s="700"/>
      <x:c r="D150" s="687"/>
      <x:c r="E150" s="687"/>
      <x:c r="F150" s="689"/>
      <x:c r="G150" s="688"/>
      <x:c r="H150" s="688"/>
      <x:c r="I150" s="689"/>
      <x:c r="J150" s="688"/>
      <x:c r="K150" s="701">
        <x:f>IF(J150&lt;&gt;"确认",0,IF(OR('幕间计算'!A351=0,D150="",E150=""),"补全记录",IF(AND(I150&lt;&gt;"",NOT(ISNUMBER(I150))),"点数无效",IF(AND(I150&lt;&gt;"",NOT(ISNUMBER(F150))),"填写前值",IF(AND(L150&lt;&gt;"",OR(NOT(ISNUMBER(M150)),M150&lt;=0,M150&gt;99)),"填写代价",IF(AND(L150="",M150&lt;&gt;""),"选择关系",IF(AND(E150="无数值变化",N(I150)&lt;&gt;0),"选择目标",IF(I150="",0,MAX(-F150,MIN(I150,IF(LEFT(E150,3)="技能：",99,IF(COUNTIF('幕间计算'!$H$2:$H$7,E150)&gt;0,18,IF(COUNTIF('幕间计算'!$N$2:$N$8,E150)&gt;0,'幕间计算'!BK350,IF(E150="体力",CEILING(('幕间计算'!BF350+'幕间计算'!BG350)/2,1),IF(E150="毅力",'幕间计算'!BJ350,IF(E150="理智",IF(OR(D150="按部就班",D150="远离喧嚣",D150="接受心理治疗",D150="重建人生动力"),MIN(99-'幕间计算'!BL350,'幕间计算'!BJ350*5),99-'幕间计算'!BL350),99))))))-F150))))))))))</x:f>
        <x:v>0</x:v>
      </x:c>
      <x:c r="L150" s="687"/>
      <x:c r="M150" s="689"/>
      <x:c r="N150" s="702"/>
    </x:row>
    <x:row r="151" ht="29" customHeight="1">
      <x:c r="A151" s="699" t="n">
        <x:v>143</x:v>
      </x:c>
      <x:c r="B151" s="688"/>
      <x:c r="C151" s="700"/>
      <x:c r="D151" s="687"/>
      <x:c r="E151" s="687"/>
      <x:c r="F151" s="689"/>
      <x:c r="G151" s="688"/>
      <x:c r="H151" s="688"/>
      <x:c r="I151" s="689"/>
      <x:c r="J151" s="688"/>
      <x:c r="K151" s="701">
        <x:f>IF(J151&lt;&gt;"确认",0,IF(OR('幕间计算'!A352=0,D151="",E151=""),"补全记录",IF(AND(I151&lt;&gt;"",NOT(ISNUMBER(I151))),"点数无效",IF(AND(I151&lt;&gt;"",NOT(ISNUMBER(F151))),"填写前值",IF(AND(L151&lt;&gt;"",OR(NOT(ISNUMBER(M151)),M151&lt;=0,M151&gt;99)),"填写代价",IF(AND(L151="",M151&lt;&gt;""),"选择关系",IF(AND(E151="无数值变化",N(I151)&lt;&gt;0),"选择目标",IF(I151="",0,MAX(-F151,MIN(I151,IF(LEFT(E151,3)="技能：",99,IF(COUNTIF('幕间计算'!$H$2:$H$7,E151)&gt;0,18,IF(COUNTIF('幕间计算'!$N$2:$N$8,E151)&gt;0,'幕间计算'!BK351,IF(E151="体力",CEILING(('幕间计算'!BF351+'幕间计算'!BG351)/2,1),IF(E151="毅力",'幕间计算'!BJ351,IF(E151="理智",IF(OR(D151="按部就班",D151="远离喧嚣",D151="接受心理治疗",D151="重建人生动力"),MIN(99-'幕间计算'!BL351,'幕间计算'!BJ351*5),99-'幕间计算'!BL351),99))))))-F151))))))))))</x:f>
        <x:v>0</x:v>
      </x:c>
      <x:c r="L151" s="687"/>
      <x:c r="M151" s="689"/>
      <x:c r="N151" s="702"/>
    </x:row>
    <x:row r="152" ht="29" customHeight="1">
      <x:c r="A152" s="699" t="n">
        <x:v>144</x:v>
      </x:c>
      <x:c r="B152" s="688"/>
      <x:c r="C152" s="700"/>
      <x:c r="D152" s="687"/>
      <x:c r="E152" s="687"/>
      <x:c r="F152" s="689"/>
      <x:c r="G152" s="688"/>
      <x:c r="H152" s="688"/>
      <x:c r="I152" s="689"/>
      <x:c r="J152" s="688"/>
      <x:c r="K152" s="701">
        <x:f>IF(J152&lt;&gt;"确认",0,IF(OR('幕间计算'!A353=0,D152="",E152=""),"补全记录",IF(AND(I152&lt;&gt;"",NOT(ISNUMBER(I152))),"点数无效",IF(AND(I152&lt;&gt;"",NOT(ISNUMBER(F152))),"填写前值",IF(AND(L152&lt;&gt;"",OR(NOT(ISNUMBER(M152)),M152&lt;=0,M152&gt;99)),"填写代价",IF(AND(L152="",M152&lt;&gt;""),"选择关系",IF(AND(E152="无数值变化",N(I152)&lt;&gt;0),"选择目标",IF(I152="",0,MAX(-F152,MIN(I152,IF(LEFT(E152,3)="技能：",99,IF(COUNTIF('幕间计算'!$H$2:$H$7,E152)&gt;0,18,IF(COUNTIF('幕间计算'!$N$2:$N$8,E152)&gt;0,'幕间计算'!BK352,IF(E152="体力",CEILING(('幕间计算'!BF352+'幕间计算'!BG352)/2,1),IF(E152="毅力",'幕间计算'!BJ352,IF(E152="理智",IF(OR(D152="按部就班",D152="远离喧嚣",D152="接受心理治疗",D152="重建人生动力"),MIN(99-'幕间计算'!BL352,'幕间计算'!BJ352*5),99-'幕间计算'!BL352),99))))))-F152))))))))))</x:f>
        <x:v>0</x:v>
      </x:c>
      <x:c r="L152" s="687"/>
      <x:c r="M152" s="689"/>
      <x:c r="N152" s="702"/>
    </x:row>
    <x:row r="153" ht="29" customHeight="1">
      <x:c r="A153" s="699" t="n">
        <x:v>145</x:v>
      </x:c>
      <x:c r="B153" s="688"/>
      <x:c r="C153" s="700"/>
      <x:c r="D153" s="687"/>
      <x:c r="E153" s="687"/>
      <x:c r="F153" s="689"/>
      <x:c r="G153" s="688"/>
      <x:c r="H153" s="688"/>
      <x:c r="I153" s="689"/>
      <x:c r="J153" s="688"/>
      <x:c r="K153" s="701">
        <x:f>IF(J153&lt;&gt;"确认",0,IF(OR('幕间计算'!A354=0,D153="",E153=""),"补全记录",IF(AND(I153&lt;&gt;"",NOT(ISNUMBER(I153))),"点数无效",IF(AND(I153&lt;&gt;"",NOT(ISNUMBER(F153))),"填写前值",IF(AND(L153&lt;&gt;"",OR(NOT(ISNUMBER(M153)),M153&lt;=0,M153&gt;99)),"填写代价",IF(AND(L153="",M153&lt;&gt;""),"选择关系",IF(AND(E153="无数值变化",N(I153)&lt;&gt;0),"选择目标",IF(I153="",0,MAX(-F153,MIN(I153,IF(LEFT(E153,3)="技能：",99,IF(COUNTIF('幕间计算'!$H$2:$H$7,E153)&gt;0,18,IF(COUNTIF('幕间计算'!$N$2:$N$8,E153)&gt;0,'幕间计算'!BK353,IF(E153="体力",CEILING(('幕间计算'!BF353+'幕间计算'!BG353)/2,1),IF(E153="毅力",'幕间计算'!BJ353,IF(E153="理智",IF(OR(D153="按部就班",D153="远离喧嚣",D153="接受心理治疗",D153="重建人生动力"),MIN(99-'幕间计算'!BL353,'幕间计算'!BJ353*5),99-'幕间计算'!BL353),99))))))-F153))))))))))</x:f>
        <x:v>0</x:v>
      </x:c>
      <x:c r="L153" s="687"/>
      <x:c r="M153" s="689"/>
      <x:c r="N153" s="702"/>
    </x:row>
    <x:row r="154" ht="29" customHeight="1">
      <x:c r="A154" s="699" t="n">
        <x:v>146</x:v>
      </x:c>
      <x:c r="B154" s="688"/>
      <x:c r="C154" s="700"/>
      <x:c r="D154" s="687"/>
      <x:c r="E154" s="687"/>
      <x:c r="F154" s="689"/>
      <x:c r="G154" s="688"/>
      <x:c r="H154" s="688"/>
      <x:c r="I154" s="689"/>
      <x:c r="J154" s="688"/>
      <x:c r="K154" s="701">
        <x:f>IF(J154&lt;&gt;"确认",0,IF(OR('幕间计算'!A355=0,D154="",E154=""),"补全记录",IF(AND(I154&lt;&gt;"",NOT(ISNUMBER(I154))),"点数无效",IF(AND(I154&lt;&gt;"",NOT(ISNUMBER(F154))),"填写前值",IF(AND(L154&lt;&gt;"",OR(NOT(ISNUMBER(M154)),M154&lt;=0,M154&gt;99)),"填写代价",IF(AND(L154="",M154&lt;&gt;""),"选择关系",IF(AND(E154="无数值变化",N(I154)&lt;&gt;0),"选择目标",IF(I154="",0,MAX(-F154,MIN(I154,IF(LEFT(E154,3)="技能：",99,IF(COUNTIF('幕间计算'!$H$2:$H$7,E154)&gt;0,18,IF(COUNTIF('幕间计算'!$N$2:$N$8,E154)&gt;0,'幕间计算'!BK354,IF(E154="体力",CEILING(('幕间计算'!BF354+'幕间计算'!BG354)/2,1),IF(E154="毅力",'幕间计算'!BJ354,IF(E154="理智",IF(OR(D154="按部就班",D154="远离喧嚣",D154="接受心理治疗",D154="重建人生动力"),MIN(99-'幕间计算'!BL354,'幕间计算'!BJ354*5),99-'幕间计算'!BL354),99))))))-F154))))))))))</x:f>
        <x:v>0</x:v>
      </x:c>
      <x:c r="L154" s="687"/>
      <x:c r="M154" s="689"/>
      <x:c r="N154" s="702"/>
    </x:row>
    <x:row r="155" ht="29" customHeight="1">
      <x:c r="A155" s="699" t="n">
        <x:v>147</x:v>
      </x:c>
      <x:c r="B155" s="688"/>
      <x:c r="C155" s="700"/>
      <x:c r="D155" s="687"/>
      <x:c r="E155" s="687"/>
      <x:c r="F155" s="689"/>
      <x:c r="G155" s="688"/>
      <x:c r="H155" s="688"/>
      <x:c r="I155" s="689"/>
      <x:c r="J155" s="688"/>
      <x:c r="K155" s="701">
        <x:f>IF(J155&lt;&gt;"确认",0,IF(OR('幕间计算'!A356=0,D155="",E155=""),"补全记录",IF(AND(I155&lt;&gt;"",NOT(ISNUMBER(I155))),"点数无效",IF(AND(I155&lt;&gt;"",NOT(ISNUMBER(F155))),"填写前值",IF(AND(L155&lt;&gt;"",OR(NOT(ISNUMBER(M155)),M155&lt;=0,M155&gt;99)),"填写代价",IF(AND(L155="",M155&lt;&gt;""),"选择关系",IF(AND(E155="无数值变化",N(I155)&lt;&gt;0),"选择目标",IF(I155="",0,MAX(-F155,MIN(I155,IF(LEFT(E155,3)="技能：",99,IF(COUNTIF('幕间计算'!$H$2:$H$7,E155)&gt;0,18,IF(COUNTIF('幕间计算'!$N$2:$N$8,E155)&gt;0,'幕间计算'!BK355,IF(E155="体力",CEILING(('幕间计算'!BF355+'幕间计算'!BG355)/2,1),IF(E155="毅力",'幕间计算'!BJ355,IF(E155="理智",IF(OR(D155="按部就班",D155="远离喧嚣",D155="接受心理治疗",D155="重建人生动力"),MIN(99-'幕间计算'!BL355,'幕间计算'!BJ355*5),99-'幕间计算'!BL355),99))))))-F155))))))))))</x:f>
        <x:v>0</x:v>
      </x:c>
      <x:c r="L155" s="687"/>
      <x:c r="M155" s="689"/>
      <x:c r="N155" s="702"/>
    </x:row>
    <x:row r="156" ht="29" customHeight="1">
      <x:c r="A156" s="699" t="n">
        <x:v>148</x:v>
      </x:c>
      <x:c r="B156" s="688"/>
      <x:c r="C156" s="700"/>
      <x:c r="D156" s="687"/>
      <x:c r="E156" s="687"/>
      <x:c r="F156" s="689"/>
      <x:c r="G156" s="688"/>
      <x:c r="H156" s="688"/>
      <x:c r="I156" s="689"/>
      <x:c r="J156" s="688"/>
      <x:c r="K156" s="701">
        <x:f>IF(J156&lt;&gt;"确认",0,IF(OR('幕间计算'!A357=0,D156="",E156=""),"补全记录",IF(AND(I156&lt;&gt;"",NOT(ISNUMBER(I156))),"点数无效",IF(AND(I156&lt;&gt;"",NOT(ISNUMBER(F156))),"填写前值",IF(AND(L156&lt;&gt;"",OR(NOT(ISNUMBER(M156)),M156&lt;=0,M156&gt;99)),"填写代价",IF(AND(L156="",M156&lt;&gt;""),"选择关系",IF(AND(E156="无数值变化",N(I156)&lt;&gt;0),"选择目标",IF(I156="",0,MAX(-F156,MIN(I156,IF(LEFT(E156,3)="技能：",99,IF(COUNTIF('幕间计算'!$H$2:$H$7,E156)&gt;0,18,IF(COUNTIF('幕间计算'!$N$2:$N$8,E156)&gt;0,'幕间计算'!BK356,IF(E156="体力",CEILING(('幕间计算'!BF356+'幕间计算'!BG356)/2,1),IF(E156="毅力",'幕间计算'!BJ356,IF(E156="理智",IF(OR(D156="按部就班",D156="远离喧嚣",D156="接受心理治疗",D156="重建人生动力"),MIN(99-'幕间计算'!BL356,'幕间计算'!BJ356*5),99-'幕间计算'!BL356),99))))))-F156))))))))))</x:f>
        <x:v>0</x:v>
      </x:c>
      <x:c r="L156" s="687"/>
      <x:c r="M156" s="689"/>
      <x:c r="N156" s="702"/>
    </x:row>
    <x:row r="157" ht="29" customHeight="1">
      <x:c r="A157" s="699" t="n">
        <x:v>149</x:v>
      </x:c>
      <x:c r="B157" s="688"/>
      <x:c r="C157" s="700"/>
      <x:c r="D157" s="687"/>
      <x:c r="E157" s="687"/>
      <x:c r="F157" s="689"/>
      <x:c r="G157" s="688"/>
      <x:c r="H157" s="688"/>
      <x:c r="I157" s="689"/>
      <x:c r="J157" s="688"/>
      <x:c r="K157" s="701">
        <x:f>IF(J157&lt;&gt;"确认",0,IF(OR('幕间计算'!A358=0,D157="",E157=""),"补全记录",IF(AND(I157&lt;&gt;"",NOT(ISNUMBER(I157))),"点数无效",IF(AND(I157&lt;&gt;"",NOT(ISNUMBER(F157))),"填写前值",IF(AND(L157&lt;&gt;"",OR(NOT(ISNUMBER(M157)),M157&lt;=0,M157&gt;99)),"填写代价",IF(AND(L157="",M157&lt;&gt;""),"选择关系",IF(AND(E157="无数值变化",N(I157)&lt;&gt;0),"选择目标",IF(I157="",0,MAX(-F157,MIN(I157,IF(LEFT(E157,3)="技能：",99,IF(COUNTIF('幕间计算'!$H$2:$H$7,E157)&gt;0,18,IF(COUNTIF('幕间计算'!$N$2:$N$8,E157)&gt;0,'幕间计算'!BK357,IF(E157="体力",CEILING(('幕间计算'!BF357+'幕间计算'!BG357)/2,1),IF(E157="毅力",'幕间计算'!BJ357,IF(E157="理智",IF(OR(D157="按部就班",D157="远离喧嚣",D157="接受心理治疗",D157="重建人生动力"),MIN(99-'幕间计算'!BL357,'幕间计算'!BJ357*5),99-'幕间计算'!BL357),99))))))-F157))))))))))</x:f>
        <x:v>0</x:v>
      </x:c>
      <x:c r="L157" s="687"/>
      <x:c r="M157" s="689"/>
      <x:c r="N157" s="702"/>
    </x:row>
    <x:row r="158" ht="29" customHeight="1">
      <x:c r="A158" s="699" t="n">
        <x:v>150</x:v>
      </x:c>
      <x:c r="B158" s="688"/>
      <x:c r="C158" s="700"/>
      <x:c r="D158" s="687"/>
      <x:c r="E158" s="687"/>
      <x:c r="F158" s="689"/>
      <x:c r="G158" s="688"/>
      <x:c r="H158" s="688"/>
      <x:c r="I158" s="689"/>
      <x:c r="J158" s="688"/>
      <x:c r="K158" s="701">
        <x:f>IF(J158&lt;&gt;"确认",0,IF(OR('幕间计算'!A359=0,D158="",E158=""),"补全记录",IF(AND(I158&lt;&gt;"",NOT(ISNUMBER(I158))),"点数无效",IF(AND(I158&lt;&gt;"",NOT(ISNUMBER(F158))),"填写前值",IF(AND(L158&lt;&gt;"",OR(NOT(ISNUMBER(M158)),M158&lt;=0,M158&gt;99)),"填写代价",IF(AND(L158="",M158&lt;&gt;""),"选择关系",IF(AND(E158="无数值变化",N(I158)&lt;&gt;0),"选择目标",IF(I158="",0,MAX(-F158,MIN(I158,IF(LEFT(E158,3)="技能：",99,IF(COUNTIF('幕间计算'!$H$2:$H$7,E158)&gt;0,18,IF(COUNTIF('幕间计算'!$N$2:$N$8,E158)&gt;0,'幕间计算'!BK358,IF(E158="体力",CEILING(('幕间计算'!BF358+'幕间计算'!BG358)/2,1),IF(E158="毅力",'幕间计算'!BJ358,IF(E158="理智",IF(OR(D158="按部就班",D158="远离喧嚣",D158="接受心理治疗",D158="重建人生动力"),MIN(99-'幕间计算'!BL358,'幕间计算'!BJ358*5),99-'幕间计算'!BL358),99))))))-F158))))))))))</x:f>
        <x:v>0</x:v>
      </x:c>
      <x:c r="L158" s="687"/>
      <x:c r="M158" s="689"/>
      <x:c r="N158" s="702"/>
    </x:row>
    <x:row r="159" ht="29" customHeight="1">
      <x:c r="A159" s="699" t="n">
        <x:v>151</x:v>
      </x:c>
      <x:c r="B159" s="688"/>
      <x:c r="C159" s="700"/>
      <x:c r="D159" s="687"/>
      <x:c r="E159" s="687"/>
      <x:c r="F159" s="689"/>
      <x:c r="G159" s="688"/>
      <x:c r="H159" s="688"/>
      <x:c r="I159" s="689"/>
      <x:c r="J159" s="688"/>
      <x:c r="K159" s="701">
        <x:f>IF(J159&lt;&gt;"确认",0,IF(OR('幕间计算'!A360=0,D159="",E159=""),"补全记录",IF(AND(I159&lt;&gt;"",NOT(ISNUMBER(I159))),"点数无效",IF(AND(I159&lt;&gt;"",NOT(ISNUMBER(F159))),"填写前值",IF(AND(L159&lt;&gt;"",OR(NOT(ISNUMBER(M159)),M159&lt;=0,M159&gt;99)),"填写代价",IF(AND(L159="",M159&lt;&gt;""),"选择关系",IF(AND(E159="无数值变化",N(I159)&lt;&gt;0),"选择目标",IF(I159="",0,MAX(-F159,MIN(I159,IF(LEFT(E159,3)="技能：",99,IF(COUNTIF('幕间计算'!$H$2:$H$7,E159)&gt;0,18,IF(COUNTIF('幕间计算'!$N$2:$N$8,E159)&gt;0,'幕间计算'!BK359,IF(E159="体力",CEILING(('幕间计算'!BF359+'幕间计算'!BG359)/2,1),IF(E159="毅力",'幕间计算'!BJ359,IF(E159="理智",IF(OR(D159="按部就班",D159="远离喧嚣",D159="接受心理治疗",D159="重建人生动力"),MIN(99-'幕间计算'!BL359,'幕间计算'!BJ359*5),99-'幕间计算'!BL359),99))))))-F159))))))))))</x:f>
        <x:v>0</x:v>
      </x:c>
      <x:c r="L159" s="687"/>
      <x:c r="M159" s="689"/>
      <x:c r="N159" s="702"/>
    </x:row>
    <x:row r="160" ht="29" customHeight="1">
      <x:c r="A160" s="699" t="n">
        <x:v>152</x:v>
      </x:c>
      <x:c r="B160" s="688"/>
      <x:c r="C160" s="700"/>
      <x:c r="D160" s="687"/>
      <x:c r="E160" s="687"/>
      <x:c r="F160" s="689"/>
      <x:c r="G160" s="688"/>
      <x:c r="H160" s="688"/>
      <x:c r="I160" s="689"/>
      <x:c r="J160" s="688"/>
      <x:c r="K160" s="701">
        <x:f>IF(J160&lt;&gt;"确认",0,IF(OR('幕间计算'!A361=0,D160="",E160=""),"补全记录",IF(AND(I160&lt;&gt;"",NOT(ISNUMBER(I160))),"点数无效",IF(AND(I160&lt;&gt;"",NOT(ISNUMBER(F160))),"填写前值",IF(AND(L160&lt;&gt;"",OR(NOT(ISNUMBER(M160)),M160&lt;=0,M160&gt;99)),"填写代价",IF(AND(L160="",M160&lt;&gt;""),"选择关系",IF(AND(E160="无数值变化",N(I160)&lt;&gt;0),"选择目标",IF(I160="",0,MAX(-F160,MIN(I160,IF(LEFT(E160,3)="技能：",99,IF(COUNTIF('幕间计算'!$H$2:$H$7,E160)&gt;0,18,IF(COUNTIF('幕间计算'!$N$2:$N$8,E160)&gt;0,'幕间计算'!BK360,IF(E160="体力",CEILING(('幕间计算'!BF360+'幕间计算'!BG360)/2,1),IF(E160="毅力",'幕间计算'!BJ360,IF(E160="理智",IF(OR(D160="按部就班",D160="远离喧嚣",D160="接受心理治疗",D160="重建人生动力"),MIN(99-'幕间计算'!BL360,'幕间计算'!BJ360*5),99-'幕间计算'!BL360),99))))))-F160))))))))))</x:f>
        <x:v>0</x:v>
      </x:c>
      <x:c r="L160" s="687"/>
      <x:c r="M160" s="689"/>
      <x:c r="N160" s="702"/>
    </x:row>
    <x:row r="161" ht="29" customHeight="1">
      <x:c r="A161" s="699" t="n">
        <x:v>153</x:v>
      </x:c>
      <x:c r="B161" s="688"/>
      <x:c r="C161" s="700"/>
      <x:c r="D161" s="687"/>
      <x:c r="E161" s="687"/>
      <x:c r="F161" s="689"/>
      <x:c r="G161" s="688"/>
      <x:c r="H161" s="688"/>
      <x:c r="I161" s="689"/>
      <x:c r="J161" s="688"/>
      <x:c r="K161" s="701">
        <x:f>IF(J161&lt;&gt;"确认",0,IF(OR('幕间计算'!A362=0,D161="",E161=""),"补全记录",IF(AND(I161&lt;&gt;"",NOT(ISNUMBER(I161))),"点数无效",IF(AND(I161&lt;&gt;"",NOT(ISNUMBER(F161))),"填写前值",IF(AND(L161&lt;&gt;"",OR(NOT(ISNUMBER(M161)),M161&lt;=0,M161&gt;99)),"填写代价",IF(AND(L161="",M161&lt;&gt;""),"选择关系",IF(AND(E161="无数值变化",N(I161)&lt;&gt;0),"选择目标",IF(I161="",0,MAX(-F161,MIN(I161,IF(LEFT(E161,3)="技能：",99,IF(COUNTIF('幕间计算'!$H$2:$H$7,E161)&gt;0,18,IF(COUNTIF('幕间计算'!$N$2:$N$8,E161)&gt;0,'幕间计算'!BK361,IF(E161="体力",CEILING(('幕间计算'!BF361+'幕间计算'!BG361)/2,1),IF(E161="毅力",'幕间计算'!BJ361,IF(E161="理智",IF(OR(D161="按部就班",D161="远离喧嚣",D161="接受心理治疗",D161="重建人生动力"),MIN(99-'幕间计算'!BL361,'幕间计算'!BJ361*5),99-'幕间计算'!BL361),99))))))-F161))))))))))</x:f>
        <x:v>0</x:v>
      </x:c>
      <x:c r="L161" s="687"/>
      <x:c r="M161" s="689"/>
      <x:c r="N161" s="702"/>
    </x:row>
    <x:row r="162" ht="29" customHeight="1">
      <x:c r="A162" s="699" t="n">
        <x:v>154</x:v>
      </x:c>
      <x:c r="B162" s="688"/>
      <x:c r="C162" s="700"/>
      <x:c r="D162" s="687"/>
      <x:c r="E162" s="687"/>
      <x:c r="F162" s="689"/>
      <x:c r="G162" s="688"/>
      <x:c r="H162" s="688"/>
      <x:c r="I162" s="689"/>
      <x:c r="J162" s="688"/>
      <x:c r="K162" s="701">
        <x:f>IF(J162&lt;&gt;"确认",0,IF(OR('幕间计算'!A363=0,D162="",E162=""),"补全记录",IF(AND(I162&lt;&gt;"",NOT(ISNUMBER(I162))),"点数无效",IF(AND(I162&lt;&gt;"",NOT(ISNUMBER(F162))),"填写前值",IF(AND(L162&lt;&gt;"",OR(NOT(ISNUMBER(M162)),M162&lt;=0,M162&gt;99)),"填写代价",IF(AND(L162="",M162&lt;&gt;""),"选择关系",IF(AND(E162="无数值变化",N(I162)&lt;&gt;0),"选择目标",IF(I162="",0,MAX(-F162,MIN(I162,IF(LEFT(E162,3)="技能：",99,IF(COUNTIF('幕间计算'!$H$2:$H$7,E162)&gt;0,18,IF(COUNTIF('幕间计算'!$N$2:$N$8,E162)&gt;0,'幕间计算'!BK362,IF(E162="体力",CEILING(('幕间计算'!BF362+'幕间计算'!BG362)/2,1),IF(E162="毅力",'幕间计算'!BJ362,IF(E162="理智",IF(OR(D162="按部就班",D162="远离喧嚣",D162="接受心理治疗",D162="重建人生动力"),MIN(99-'幕间计算'!BL362,'幕间计算'!BJ362*5),99-'幕间计算'!BL362),99))))))-F162))))))))))</x:f>
        <x:v>0</x:v>
      </x:c>
      <x:c r="L162" s="687"/>
      <x:c r="M162" s="689"/>
      <x:c r="N162" s="702"/>
    </x:row>
    <x:row r="163" ht="29" customHeight="1">
      <x:c r="A163" s="699" t="n">
        <x:v>155</x:v>
      </x:c>
      <x:c r="B163" s="688"/>
      <x:c r="C163" s="700"/>
      <x:c r="D163" s="687"/>
      <x:c r="E163" s="687"/>
      <x:c r="F163" s="689"/>
      <x:c r="G163" s="688"/>
      <x:c r="H163" s="688"/>
      <x:c r="I163" s="689"/>
      <x:c r="J163" s="688"/>
      <x:c r="K163" s="701">
        <x:f>IF(J163&lt;&gt;"确认",0,IF(OR('幕间计算'!A364=0,D163="",E163=""),"补全记录",IF(AND(I163&lt;&gt;"",NOT(ISNUMBER(I163))),"点数无效",IF(AND(I163&lt;&gt;"",NOT(ISNUMBER(F163))),"填写前值",IF(AND(L163&lt;&gt;"",OR(NOT(ISNUMBER(M163)),M163&lt;=0,M163&gt;99)),"填写代价",IF(AND(L163="",M163&lt;&gt;""),"选择关系",IF(AND(E163="无数值变化",N(I163)&lt;&gt;0),"选择目标",IF(I163="",0,MAX(-F163,MIN(I163,IF(LEFT(E163,3)="技能：",99,IF(COUNTIF('幕间计算'!$H$2:$H$7,E163)&gt;0,18,IF(COUNTIF('幕间计算'!$N$2:$N$8,E163)&gt;0,'幕间计算'!BK363,IF(E163="体力",CEILING(('幕间计算'!BF363+'幕间计算'!BG363)/2,1),IF(E163="毅力",'幕间计算'!BJ363,IF(E163="理智",IF(OR(D163="按部就班",D163="远离喧嚣",D163="接受心理治疗",D163="重建人生动力"),MIN(99-'幕间计算'!BL363,'幕间计算'!BJ363*5),99-'幕间计算'!BL363),99))))))-F163))))))))))</x:f>
        <x:v>0</x:v>
      </x:c>
      <x:c r="L163" s="687"/>
      <x:c r="M163" s="689"/>
      <x:c r="N163" s="702"/>
    </x:row>
    <x:row r="164" ht="29" customHeight="1">
      <x:c r="A164" s="699" t="n">
        <x:v>156</x:v>
      </x:c>
      <x:c r="B164" s="688"/>
      <x:c r="C164" s="700"/>
      <x:c r="D164" s="687"/>
      <x:c r="E164" s="687"/>
      <x:c r="F164" s="689"/>
      <x:c r="G164" s="688"/>
      <x:c r="H164" s="688"/>
      <x:c r="I164" s="689"/>
      <x:c r="J164" s="688"/>
      <x:c r="K164" s="701">
        <x:f>IF(J164&lt;&gt;"确认",0,IF(OR('幕间计算'!A365=0,D164="",E164=""),"补全记录",IF(AND(I164&lt;&gt;"",NOT(ISNUMBER(I164))),"点数无效",IF(AND(I164&lt;&gt;"",NOT(ISNUMBER(F164))),"填写前值",IF(AND(L164&lt;&gt;"",OR(NOT(ISNUMBER(M164)),M164&lt;=0,M164&gt;99)),"填写代价",IF(AND(L164="",M164&lt;&gt;""),"选择关系",IF(AND(E164="无数值变化",N(I164)&lt;&gt;0),"选择目标",IF(I164="",0,MAX(-F164,MIN(I164,IF(LEFT(E164,3)="技能：",99,IF(COUNTIF('幕间计算'!$H$2:$H$7,E164)&gt;0,18,IF(COUNTIF('幕间计算'!$N$2:$N$8,E164)&gt;0,'幕间计算'!BK364,IF(E164="体力",CEILING(('幕间计算'!BF364+'幕间计算'!BG364)/2,1),IF(E164="毅力",'幕间计算'!BJ364,IF(E164="理智",IF(OR(D164="按部就班",D164="远离喧嚣",D164="接受心理治疗",D164="重建人生动力"),MIN(99-'幕间计算'!BL364,'幕间计算'!BJ364*5),99-'幕间计算'!BL364),99))))))-F164))))))))))</x:f>
        <x:v>0</x:v>
      </x:c>
      <x:c r="L164" s="687"/>
      <x:c r="M164" s="689"/>
      <x:c r="N164" s="702"/>
    </x:row>
    <x:row r="165" ht="29" customHeight="1">
      <x:c r="A165" s="699" t="n">
        <x:v>157</x:v>
      </x:c>
      <x:c r="B165" s="688"/>
      <x:c r="C165" s="700"/>
      <x:c r="D165" s="687"/>
      <x:c r="E165" s="687"/>
      <x:c r="F165" s="689"/>
      <x:c r="G165" s="688"/>
      <x:c r="H165" s="688"/>
      <x:c r="I165" s="689"/>
      <x:c r="J165" s="688"/>
      <x:c r="K165" s="701">
        <x:f>IF(J165&lt;&gt;"确认",0,IF(OR('幕间计算'!A366=0,D165="",E165=""),"补全记录",IF(AND(I165&lt;&gt;"",NOT(ISNUMBER(I165))),"点数无效",IF(AND(I165&lt;&gt;"",NOT(ISNUMBER(F165))),"填写前值",IF(AND(L165&lt;&gt;"",OR(NOT(ISNUMBER(M165)),M165&lt;=0,M165&gt;99)),"填写代价",IF(AND(L165="",M165&lt;&gt;""),"选择关系",IF(AND(E165="无数值变化",N(I165)&lt;&gt;0),"选择目标",IF(I165="",0,MAX(-F165,MIN(I165,IF(LEFT(E165,3)="技能：",99,IF(COUNTIF('幕间计算'!$H$2:$H$7,E165)&gt;0,18,IF(COUNTIF('幕间计算'!$N$2:$N$8,E165)&gt;0,'幕间计算'!BK365,IF(E165="体力",CEILING(('幕间计算'!BF365+'幕间计算'!BG365)/2,1),IF(E165="毅力",'幕间计算'!BJ365,IF(E165="理智",IF(OR(D165="按部就班",D165="远离喧嚣",D165="接受心理治疗",D165="重建人生动力"),MIN(99-'幕间计算'!BL365,'幕间计算'!BJ365*5),99-'幕间计算'!BL365),99))))))-F165))))))))))</x:f>
        <x:v>0</x:v>
      </x:c>
      <x:c r="L165" s="687"/>
      <x:c r="M165" s="689"/>
      <x:c r="N165" s="702"/>
    </x:row>
    <x:row r="166" ht="29" customHeight="1">
      <x:c r="A166" s="699" t="n">
        <x:v>158</x:v>
      </x:c>
      <x:c r="B166" s="688"/>
      <x:c r="C166" s="700"/>
      <x:c r="D166" s="687"/>
      <x:c r="E166" s="687"/>
      <x:c r="F166" s="689"/>
      <x:c r="G166" s="688"/>
      <x:c r="H166" s="688"/>
      <x:c r="I166" s="689"/>
      <x:c r="J166" s="688"/>
      <x:c r="K166" s="701">
        <x:f>IF(J166&lt;&gt;"确认",0,IF(OR('幕间计算'!A367=0,D166="",E166=""),"补全记录",IF(AND(I166&lt;&gt;"",NOT(ISNUMBER(I166))),"点数无效",IF(AND(I166&lt;&gt;"",NOT(ISNUMBER(F166))),"填写前值",IF(AND(L166&lt;&gt;"",OR(NOT(ISNUMBER(M166)),M166&lt;=0,M166&gt;99)),"填写代价",IF(AND(L166="",M166&lt;&gt;""),"选择关系",IF(AND(E166="无数值变化",N(I166)&lt;&gt;0),"选择目标",IF(I166="",0,MAX(-F166,MIN(I166,IF(LEFT(E166,3)="技能：",99,IF(COUNTIF('幕间计算'!$H$2:$H$7,E166)&gt;0,18,IF(COUNTIF('幕间计算'!$N$2:$N$8,E166)&gt;0,'幕间计算'!BK366,IF(E166="体力",CEILING(('幕间计算'!BF366+'幕间计算'!BG366)/2,1),IF(E166="毅力",'幕间计算'!BJ366,IF(E166="理智",IF(OR(D166="按部就班",D166="远离喧嚣",D166="接受心理治疗",D166="重建人生动力"),MIN(99-'幕间计算'!BL366,'幕间计算'!BJ366*5),99-'幕间计算'!BL366),99))))))-F166))))))))))</x:f>
        <x:v>0</x:v>
      </x:c>
      <x:c r="L166" s="687"/>
      <x:c r="M166" s="689"/>
      <x:c r="N166" s="702"/>
    </x:row>
    <x:row r="167" ht="29" customHeight="1">
      <x:c r="A167" s="699" t="n">
        <x:v>159</x:v>
      </x:c>
      <x:c r="B167" s="688"/>
      <x:c r="C167" s="700"/>
      <x:c r="D167" s="687"/>
      <x:c r="E167" s="687"/>
      <x:c r="F167" s="689"/>
      <x:c r="G167" s="688"/>
      <x:c r="H167" s="688"/>
      <x:c r="I167" s="689"/>
      <x:c r="J167" s="688"/>
      <x:c r="K167" s="701">
        <x:f>IF(J167&lt;&gt;"确认",0,IF(OR('幕间计算'!A368=0,D167="",E167=""),"补全记录",IF(AND(I167&lt;&gt;"",NOT(ISNUMBER(I167))),"点数无效",IF(AND(I167&lt;&gt;"",NOT(ISNUMBER(F167))),"填写前值",IF(AND(L167&lt;&gt;"",OR(NOT(ISNUMBER(M167)),M167&lt;=0,M167&gt;99)),"填写代价",IF(AND(L167="",M167&lt;&gt;""),"选择关系",IF(AND(E167="无数值变化",N(I167)&lt;&gt;0),"选择目标",IF(I167="",0,MAX(-F167,MIN(I167,IF(LEFT(E167,3)="技能：",99,IF(COUNTIF('幕间计算'!$H$2:$H$7,E167)&gt;0,18,IF(COUNTIF('幕间计算'!$N$2:$N$8,E167)&gt;0,'幕间计算'!BK367,IF(E167="体力",CEILING(('幕间计算'!BF367+'幕间计算'!BG367)/2,1),IF(E167="毅力",'幕间计算'!BJ367,IF(E167="理智",IF(OR(D167="按部就班",D167="远离喧嚣",D167="接受心理治疗",D167="重建人生动力"),MIN(99-'幕间计算'!BL367,'幕间计算'!BJ367*5),99-'幕间计算'!BL367),99))))))-F167))))))))))</x:f>
        <x:v>0</x:v>
      </x:c>
      <x:c r="L167" s="687"/>
      <x:c r="M167" s="689"/>
      <x:c r="N167" s="702"/>
    </x:row>
    <x:row r="168" ht="29" customHeight="1">
      <x:c r="A168" s="699" t="n">
        <x:v>160</x:v>
      </x:c>
      <x:c r="B168" s="688"/>
      <x:c r="C168" s="700"/>
      <x:c r="D168" s="687"/>
      <x:c r="E168" s="687"/>
      <x:c r="F168" s="689"/>
      <x:c r="G168" s="688"/>
      <x:c r="H168" s="688"/>
      <x:c r="I168" s="689"/>
      <x:c r="J168" s="688"/>
      <x:c r="K168" s="701">
        <x:f>IF(J168&lt;&gt;"确认",0,IF(OR('幕间计算'!A369=0,D168="",E168=""),"补全记录",IF(AND(I168&lt;&gt;"",NOT(ISNUMBER(I168))),"点数无效",IF(AND(I168&lt;&gt;"",NOT(ISNUMBER(F168))),"填写前值",IF(AND(L168&lt;&gt;"",OR(NOT(ISNUMBER(M168)),M168&lt;=0,M168&gt;99)),"填写代价",IF(AND(L168="",M168&lt;&gt;""),"选择关系",IF(AND(E168="无数值变化",N(I168)&lt;&gt;0),"选择目标",IF(I168="",0,MAX(-F168,MIN(I168,IF(LEFT(E168,3)="技能：",99,IF(COUNTIF('幕间计算'!$H$2:$H$7,E168)&gt;0,18,IF(COUNTIF('幕间计算'!$N$2:$N$8,E168)&gt;0,'幕间计算'!BK368,IF(E168="体力",CEILING(('幕间计算'!BF368+'幕间计算'!BG368)/2,1),IF(E168="毅力",'幕间计算'!BJ368,IF(E168="理智",IF(OR(D168="按部就班",D168="远离喧嚣",D168="接受心理治疗",D168="重建人生动力"),MIN(99-'幕间计算'!BL368,'幕间计算'!BJ368*5),99-'幕间计算'!BL368),99))))))-F168))))))))))</x:f>
        <x:v>0</x:v>
      </x:c>
      <x:c r="L168" s="687"/>
      <x:c r="M168" s="689"/>
      <x:c r="N168" s="702"/>
    </x:row>
    <x:row r="169" ht="29" customHeight="1">
      <x:c r="A169" s="699" t="n">
        <x:v>161</x:v>
      </x:c>
      <x:c r="B169" s="688"/>
      <x:c r="C169" s="700"/>
      <x:c r="D169" s="687"/>
      <x:c r="E169" s="687"/>
      <x:c r="F169" s="689"/>
      <x:c r="G169" s="688"/>
      <x:c r="H169" s="688"/>
      <x:c r="I169" s="689"/>
      <x:c r="J169" s="688"/>
      <x:c r="K169" s="701">
        <x:f>IF(J169&lt;&gt;"确认",0,IF(OR('幕间计算'!A370=0,D169="",E169=""),"补全记录",IF(AND(I169&lt;&gt;"",NOT(ISNUMBER(I169))),"点数无效",IF(AND(I169&lt;&gt;"",NOT(ISNUMBER(F169))),"填写前值",IF(AND(L169&lt;&gt;"",OR(NOT(ISNUMBER(M169)),M169&lt;=0,M169&gt;99)),"填写代价",IF(AND(L169="",M169&lt;&gt;""),"选择关系",IF(AND(E169="无数值变化",N(I169)&lt;&gt;0),"选择目标",IF(I169="",0,MAX(-F169,MIN(I169,IF(LEFT(E169,3)="技能：",99,IF(COUNTIF('幕间计算'!$H$2:$H$7,E169)&gt;0,18,IF(COUNTIF('幕间计算'!$N$2:$N$8,E169)&gt;0,'幕间计算'!BK369,IF(E169="体力",CEILING(('幕间计算'!BF369+'幕间计算'!BG369)/2,1),IF(E169="毅力",'幕间计算'!BJ369,IF(E169="理智",IF(OR(D169="按部就班",D169="远离喧嚣",D169="接受心理治疗",D169="重建人生动力"),MIN(99-'幕间计算'!BL369,'幕间计算'!BJ369*5),99-'幕间计算'!BL369),99))))))-F169))))))))))</x:f>
        <x:v>0</x:v>
      </x:c>
      <x:c r="L169" s="687"/>
      <x:c r="M169" s="689"/>
      <x:c r="N169" s="702"/>
    </x:row>
    <x:row r="170" ht="29" customHeight="1">
      <x:c r="A170" s="699" t="n">
        <x:v>162</x:v>
      </x:c>
      <x:c r="B170" s="688"/>
      <x:c r="C170" s="700"/>
      <x:c r="D170" s="687"/>
      <x:c r="E170" s="687"/>
      <x:c r="F170" s="689"/>
      <x:c r="G170" s="688"/>
      <x:c r="H170" s="688"/>
      <x:c r="I170" s="689"/>
      <x:c r="J170" s="688"/>
      <x:c r="K170" s="701">
        <x:f>IF(J170&lt;&gt;"确认",0,IF(OR('幕间计算'!A371=0,D170="",E170=""),"补全记录",IF(AND(I170&lt;&gt;"",NOT(ISNUMBER(I170))),"点数无效",IF(AND(I170&lt;&gt;"",NOT(ISNUMBER(F170))),"填写前值",IF(AND(L170&lt;&gt;"",OR(NOT(ISNUMBER(M170)),M170&lt;=0,M170&gt;99)),"填写代价",IF(AND(L170="",M170&lt;&gt;""),"选择关系",IF(AND(E170="无数值变化",N(I170)&lt;&gt;0),"选择目标",IF(I170="",0,MAX(-F170,MIN(I170,IF(LEFT(E170,3)="技能：",99,IF(COUNTIF('幕间计算'!$H$2:$H$7,E170)&gt;0,18,IF(COUNTIF('幕间计算'!$N$2:$N$8,E170)&gt;0,'幕间计算'!BK370,IF(E170="体力",CEILING(('幕间计算'!BF370+'幕间计算'!BG370)/2,1),IF(E170="毅力",'幕间计算'!BJ370,IF(E170="理智",IF(OR(D170="按部就班",D170="远离喧嚣",D170="接受心理治疗",D170="重建人生动力"),MIN(99-'幕间计算'!BL370,'幕间计算'!BJ370*5),99-'幕间计算'!BL370),99))))))-F170))))))))))</x:f>
        <x:v>0</x:v>
      </x:c>
      <x:c r="L170" s="687"/>
      <x:c r="M170" s="689"/>
      <x:c r="N170" s="702"/>
    </x:row>
    <x:row r="171" ht="29" customHeight="1">
      <x:c r="A171" s="699" t="n">
        <x:v>163</x:v>
      </x:c>
      <x:c r="B171" s="688"/>
      <x:c r="C171" s="700"/>
      <x:c r="D171" s="687"/>
      <x:c r="E171" s="687"/>
      <x:c r="F171" s="689"/>
      <x:c r="G171" s="688"/>
      <x:c r="H171" s="688"/>
      <x:c r="I171" s="689"/>
      <x:c r="J171" s="688"/>
      <x:c r="K171" s="701">
        <x:f>IF(J171&lt;&gt;"确认",0,IF(OR('幕间计算'!A372=0,D171="",E171=""),"补全记录",IF(AND(I171&lt;&gt;"",NOT(ISNUMBER(I171))),"点数无效",IF(AND(I171&lt;&gt;"",NOT(ISNUMBER(F171))),"填写前值",IF(AND(L171&lt;&gt;"",OR(NOT(ISNUMBER(M171)),M171&lt;=0,M171&gt;99)),"填写代价",IF(AND(L171="",M171&lt;&gt;""),"选择关系",IF(AND(E171="无数值变化",N(I171)&lt;&gt;0),"选择目标",IF(I171="",0,MAX(-F171,MIN(I171,IF(LEFT(E171,3)="技能：",99,IF(COUNTIF('幕间计算'!$H$2:$H$7,E171)&gt;0,18,IF(COUNTIF('幕间计算'!$N$2:$N$8,E171)&gt;0,'幕间计算'!BK371,IF(E171="体力",CEILING(('幕间计算'!BF371+'幕间计算'!BG371)/2,1),IF(E171="毅力",'幕间计算'!BJ371,IF(E171="理智",IF(OR(D171="按部就班",D171="远离喧嚣",D171="接受心理治疗",D171="重建人生动力"),MIN(99-'幕间计算'!BL371,'幕间计算'!BJ371*5),99-'幕间计算'!BL371),99))))))-F171))))))))))</x:f>
        <x:v>0</x:v>
      </x:c>
      <x:c r="L171" s="687"/>
      <x:c r="M171" s="689"/>
      <x:c r="N171" s="702"/>
    </x:row>
    <x:row r="172" ht="29" customHeight="1">
      <x:c r="A172" s="699" t="n">
        <x:v>164</x:v>
      </x:c>
      <x:c r="B172" s="688"/>
      <x:c r="C172" s="700"/>
      <x:c r="D172" s="687"/>
      <x:c r="E172" s="687"/>
      <x:c r="F172" s="689"/>
      <x:c r="G172" s="688"/>
      <x:c r="H172" s="688"/>
      <x:c r="I172" s="689"/>
      <x:c r="J172" s="688"/>
      <x:c r="K172" s="701">
        <x:f>IF(J172&lt;&gt;"确认",0,IF(OR('幕间计算'!A373=0,D172="",E172=""),"补全记录",IF(AND(I172&lt;&gt;"",NOT(ISNUMBER(I172))),"点数无效",IF(AND(I172&lt;&gt;"",NOT(ISNUMBER(F172))),"填写前值",IF(AND(L172&lt;&gt;"",OR(NOT(ISNUMBER(M172)),M172&lt;=0,M172&gt;99)),"填写代价",IF(AND(L172="",M172&lt;&gt;""),"选择关系",IF(AND(E172="无数值变化",N(I172)&lt;&gt;0),"选择目标",IF(I172="",0,MAX(-F172,MIN(I172,IF(LEFT(E172,3)="技能：",99,IF(COUNTIF('幕间计算'!$H$2:$H$7,E172)&gt;0,18,IF(COUNTIF('幕间计算'!$N$2:$N$8,E172)&gt;0,'幕间计算'!BK372,IF(E172="体力",CEILING(('幕间计算'!BF372+'幕间计算'!BG372)/2,1),IF(E172="毅力",'幕间计算'!BJ372,IF(E172="理智",IF(OR(D172="按部就班",D172="远离喧嚣",D172="接受心理治疗",D172="重建人生动力"),MIN(99-'幕间计算'!BL372,'幕间计算'!BJ372*5),99-'幕间计算'!BL372),99))))))-F172))))))))))</x:f>
        <x:v>0</x:v>
      </x:c>
      <x:c r="L172" s="687"/>
      <x:c r="M172" s="689"/>
      <x:c r="N172" s="702"/>
    </x:row>
    <x:row r="173" ht="29" customHeight="1">
      <x:c r="A173" s="699" t="n">
        <x:v>165</x:v>
      </x:c>
      <x:c r="B173" s="688"/>
      <x:c r="C173" s="700"/>
      <x:c r="D173" s="687"/>
      <x:c r="E173" s="687"/>
      <x:c r="F173" s="689"/>
      <x:c r="G173" s="688"/>
      <x:c r="H173" s="688"/>
      <x:c r="I173" s="689"/>
      <x:c r="J173" s="688"/>
      <x:c r="K173" s="701">
        <x:f>IF(J173&lt;&gt;"确认",0,IF(OR('幕间计算'!A374=0,D173="",E173=""),"补全记录",IF(AND(I173&lt;&gt;"",NOT(ISNUMBER(I173))),"点数无效",IF(AND(I173&lt;&gt;"",NOT(ISNUMBER(F173))),"填写前值",IF(AND(L173&lt;&gt;"",OR(NOT(ISNUMBER(M173)),M173&lt;=0,M173&gt;99)),"填写代价",IF(AND(L173="",M173&lt;&gt;""),"选择关系",IF(AND(E173="无数值变化",N(I173)&lt;&gt;0),"选择目标",IF(I173="",0,MAX(-F173,MIN(I173,IF(LEFT(E173,3)="技能：",99,IF(COUNTIF('幕间计算'!$H$2:$H$7,E173)&gt;0,18,IF(COUNTIF('幕间计算'!$N$2:$N$8,E173)&gt;0,'幕间计算'!BK373,IF(E173="体力",CEILING(('幕间计算'!BF373+'幕间计算'!BG373)/2,1),IF(E173="毅力",'幕间计算'!BJ373,IF(E173="理智",IF(OR(D173="按部就班",D173="远离喧嚣",D173="接受心理治疗",D173="重建人生动力"),MIN(99-'幕间计算'!BL373,'幕间计算'!BJ373*5),99-'幕间计算'!BL373),99))))))-F173))))))))))</x:f>
        <x:v>0</x:v>
      </x:c>
      <x:c r="L173" s="687"/>
      <x:c r="M173" s="689"/>
      <x:c r="N173" s="702"/>
    </x:row>
    <x:row r="174" ht="29" customHeight="1">
      <x:c r="A174" s="699" t="n">
        <x:v>166</x:v>
      </x:c>
      <x:c r="B174" s="688"/>
      <x:c r="C174" s="700"/>
      <x:c r="D174" s="687"/>
      <x:c r="E174" s="687"/>
      <x:c r="F174" s="689"/>
      <x:c r="G174" s="688"/>
      <x:c r="H174" s="688"/>
      <x:c r="I174" s="689"/>
      <x:c r="J174" s="688"/>
      <x:c r="K174" s="701">
        <x:f>IF(J174&lt;&gt;"确认",0,IF(OR('幕间计算'!A375=0,D174="",E174=""),"补全记录",IF(AND(I174&lt;&gt;"",NOT(ISNUMBER(I174))),"点数无效",IF(AND(I174&lt;&gt;"",NOT(ISNUMBER(F174))),"填写前值",IF(AND(L174&lt;&gt;"",OR(NOT(ISNUMBER(M174)),M174&lt;=0,M174&gt;99)),"填写代价",IF(AND(L174="",M174&lt;&gt;""),"选择关系",IF(AND(E174="无数值变化",N(I174)&lt;&gt;0),"选择目标",IF(I174="",0,MAX(-F174,MIN(I174,IF(LEFT(E174,3)="技能：",99,IF(COUNTIF('幕间计算'!$H$2:$H$7,E174)&gt;0,18,IF(COUNTIF('幕间计算'!$N$2:$N$8,E174)&gt;0,'幕间计算'!BK374,IF(E174="体力",CEILING(('幕间计算'!BF374+'幕间计算'!BG374)/2,1),IF(E174="毅力",'幕间计算'!BJ374,IF(E174="理智",IF(OR(D174="按部就班",D174="远离喧嚣",D174="接受心理治疗",D174="重建人生动力"),MIN(99-'幕间计算'!BL374,'幕间计算'!BJ374*5),99-'幕间计算'!BL374),99))))))-F174))))))))))</x:f>
        <x:v>0</x:v>
      </x:c>
      <x:c r="L174" s="687"/>
      <x:c r="M174" s="689"/>
      <x:c r="N174" s="702"/>
    </x:row>
    <x:row r="175" ht="29" customHeight="1">
      <x:c r="A175" s="699" t="n">
        <x:v>167</x:v>
      </x:c>
      <x:c r="B175" s="688"/>
      <x:c r="C175" s="700"/>
      <x:c r="D175" s="687"/>
      <x:c r="E175" s="687"/>
      <x:c r="F175" s="689"/>
      <x:c r="G175" s="688"/>
      <x:c r="H175" s="688"/>
      <x:c r="I175" s="689"/>
      <x:c r="J175" s="688"/>
      <x:c r="K175" s="701">
        <x:f>IF(J175&lt;&gt;"确认",0,IF(OR('幕间计算'!A376=0,D175="",E175=""),"补全记录",IF(AND(I175&lt;&gt;"",NOT(ISNUMBER(I175))),"点数无效",IF(AND(I175&lt;&gt;"",NOT(ISNUMBER(F175))),"填写前值",IF(AND(L175&lt;&gt;"",OR(NOT(ISNUMBER(M175)),M175&lt;=0,M175&gt;99)),"填写代价",IF(AND(L175="",M175&lt;&gt;""),"选择关系",IF(AND(E175="无数值变化",N(I175)&lt;&gt;0),"选择目标",IF(I175="",0,MAX(-F175,MIN(I175,IF(LEFT(E175,3)="技能：",99,IF(COUNTIF('幕间计算'!$H$2:$H$7,E175)&gt;0,18,IF(COUNTIF('幕间计算'!$N$2:$N$8,E175)&gt;0,'幕间计算'!BK375,IF(E175="体力",CEILING(('幕间计算'!BF375+'幕间计算'!BG375)/2,1),IF(E175="毅力",'幕间计算'!BJ375,IF(E175="理智",IF(OR(D175="按部就班",D175="远离喧嚣",D175="接受心理治疗",D175="重建人生动力"),MIN(99-'幕间计算'!BL375,'幕间计算'!BJ375*5),99-'幕间计算'!BL375),99))))))-F175))))))))))</x:f>
        <x:v>0</x:v>
      </x:c>
      <x:c r="L175" s="687"/>
      <x:c r="M175" s="689"/>
      <x:c r="N175" s="702"/>
    </x:row>
    <x:row r="176" ht="29" customHeight="1">
      <x:c r="A176" s="699" t="n">
        <x:v>168</x:v>
      </x:c>
      <x:c r="B176" s="688"/>
      <x:c r="C176" s="700"/>
      <x:c r="D176" s="687"/>
      <x:c r="E176" s="687"/>
      <x:c r="F176" s="689"/>
      <x:c r="G176" s="688"/>
      <x:c r="H176" s="688"/>
      <x:c r="I176" s="689"/>
      <x:c r="J176" s="688"/>
      <x:c r="K176" s="701">
        <x:f>IF(J176&lt;&gt;"确认",0,IF(OR('幕间计算'!A377=0,D176="",E176=""),"补全记录",IF(AND(I176&lt;&gt;"",NOT(ISNUMBER(I176))),"点数无效",IF(AND(I176&lt;&gt;"",NOT(ISNUMBER(F176))),"填写前值",IF(AND(L176&lt;&gt;"",OR(NOT(ISNUMBER(M176)),M176&lt;=0,M176&gt;99)),"填写代价",IF(AND(L176="",M176&lt;&gt;""),"选择关系",IF(AND(E176="无数值变化",N(I176)&lt;&gt;0),"选择目标",IF(I176="",0,MAX(-F176,MIN(I176,IF(LEFT(E176,3)="技能：",99,IF(COUNTIF('幕间计算'!$H$2:$H$7,E176)&gt;0,18,IF(COUNTIF('幕间计算'!$N$2:$N$8,E176)&gt;0,'幕间计算'!BK376,IF(E176="体力",CEILING(('幕间计算'!BF376+'幕间计算'!BG376)/2,1),IF(E176="毅力",'幕间计算'!BJ376,IF(E176="理智",IF(OR(D176="按部就班",D176="远离喧嚣",D176="接受心理治疗",D176="重建人生动力"),MIN(99-'幕间计算'!BL376,'幕间计算'!BJ376*5),99-'幕间计算'!BL376),99))))))-F176))))))))))</x:f>
        <x:v>0</x:v>
      </x:c>
      <x:c r="L176" s="687"/>
      <x:c r="M176" s="689"/>
      <x:c r="N176" s="702"/>
    </x:row>
    <x:row r="177" ht="29" customHeight="1">
      <x:c r="A177" s="699" t="n">
        <x:v>169</x:v>
      </x:c>
      <x:c r="B177" s="688"/>
      <x:c r="C177" s="700"/>
      <x:c r="D177" s="687"/>
      <x:c r="E177" s="687"/>
      <x:c r="F177" s="689"/>
      <x:c r="G177" s="688"/>
      <x:c r="H177" s="688"/>
      <x:c r="I177" s="689"/>
      <x:c r="J177" s="688"/>
      <x:c r="K177" s="701">
        <x:f>IF(J177&lt;&gt;"确认",0,IF(OR('幕间计算'!A378=0,D177="",E177=""),"补全记录",IF(AND(I177&lt;&gt;"",NOT(ISNUMBER(I177))),"点数无效",IF(AND(I177&lt;&gt;"",NOT(ISNUMBER(F177))),"填写前值",IF(AND(L177&lt;&gt;"",OR(NOT(ISNUMBER(M177)),M177&lt;=0,M177&gt;99)),"填写代价",IF(AND(L177="",M177&lt;&gt;""),"选择关系",IF(AND(E177="无数值变化",N(I177)&lt;&gt;0),"选择目标",IF(I177="",0,MAX(-F177,MIN(I177,IF(LEFT(E177,3)="技能：",99,IF(COUNTIF('幕间计算'!$H$2:$H$7,E177)&gt;0,18,IF(COUNTIF('幕间计算'!$N$2:$N$8,E177)&gt;0,'幕间计算'!BK377,IF(E177="体力",CEILING(('幕间计算'!BF377+'幕间计算'!BG377)/2,1),IF(E177="毅力",'幕间计算'!BJ377,IF(E177="理智",IF(OR(D177="按部就班",D177="远离喧嚣",D177="接受心理治疗",D177="重建人生动力"),MIN(99-'幕间计算'!BL377,'幕间计算'!BJ377*5),99-'幕间计算'!BL377),99))))))-F177))))))))))</x:f>
        <x:v>0</x:v>
      </x:c>
      <x:c r="L177" s="687"/>
      <x:c r="M177" s="689"/>
      <x:c r="N177" s="702"/>
    </x:row>
    <x:row r="178" ht="29" customHeight="1">
      <x:c r="A178" s="699" t="n">
        <x:v>170</x:v>
      </x:c>
      <x:c r="B178" s="688"/>
      <x:c r="C178" s="700"/>
      <x:c r="D178" s="687"/>
      <x:c r="E178" s="687"/>
      <x:c r="F178" s="689"/>
      <x:c r="G178" s="688"/>
      <x:c r="H178" s="688"/>
      <x:c r="I178" s="689"/>
      <x:c r="J178" s="688"/>
      <x:c r="K178" s="701">
        <x:f>IF(J178&lt;&gt;"确认",0,IF(OR('幕间计算'!A379=0,D178="",E178=""),"补全记录",IF(AND(I178&lt;&gt;"",NOT(ISNUMBER(I178))),"点数无效",IF(AND(I178&lt;&gt;"",NOT(ISNUMBER(F178))),"填写前值",IF(AND(L178&lt;&gt;"",OR(NOT(ISNUMBER(M178)),M178&lt;=0,M178&gt;99)),"填写代价",IF(AND(L178="",M178&lt;&gt;""),"选择关系",IF(AND(E178="无数值变化",N(I178)&lt;&gt;0),"选择目标",IF(I178="",0,MAX(-F178,MIN(I178,IF(LEFT(E178,3)="技能：",99,IF(COUNTIF('幕间计算'!$H$2:$H$7,E178)&gt;0,18,IF(COUNTIF('幕间计算'!$N$2:$N$8,E178)&gt;0,'幕间计算'!BK378,IF(E178="体力",CEILING(('幕间计算'!BF378+'幕间计算'!BG378)/2,1),IF(E178="毅力",'幕间计算'!BJ378,IF(E178="理智",IF(OR(D178="按部就班",D178="远离喧嚣",D178="接受心理治疗",D178="重建人生动力"),MIN(99-'幕间计算'!BL378,'幕间计算'!BJ378*5),99-'幕间计算'!BL378),99))))))-F178))))))))))</x:f>
        <x:v>0</x:v>
      </x:c>
      <x:c r="L178" s="687"/>
      <x:c r="M178" s="689"/>
      <x:c r="N178" s="702"/>
    </x:row>
    <x:row r="179" ht="29" customHeight="1">
      <x:c r="A179" s="699" t="n">
        <x:v>171</x:v>
      </x:c>
      <x:c r="B179" s="688"/>
      <x:c r="C179" s="700"/>
      <x:c r="D179" s="687"/>
      <x:c r="E179" s="687"/>
      <x:c r="F179" s="689"/>
      <x:c r="G179" s="688"/>
      <x:c r="H179" s="688"/>
      <x:c r="I179" s="689"/>
      <x:c r="J179" s="688"/>
      <x:c r="K179" s="701">
        <x:f>IF(J179&lt;&gt;"确认",0,IF(OR('幕间计算'!A380=0,D179="",E179=""),"补全记录",IF(AND(I179&lt;&gt;"",NOT(ISNUMBER(I179))),"点数无效",IF(AND(I179&lt;&gt;"",NOT(ISNUMBER(F179))),"填写前值",IF(AND(L179&lt;&gt;"",OR(NOT(ISNUMBER(M179)),M179&lt;=0,M179&gt;99)),"填写代价",IF(AND(L179="",M179&lt;&gt;""),"选择关系",IF(AND(E179="无数值变化",N(I179)&lt;&gt;0),"选择目标",IF(I179="",0,MAX(-F179,MIN(I179,IF(LEFT(E179,3)="技能：",99,IF(COUNTIF('幕间计算'!$H$2:$H$7,E179)&gt;0,18,IF(COUNTIF('幕间计算'!$N$2:$N$8,E179)&gt;0,'幕间计算'!BK379,IF(E179="体力",CEILING(('幕间计算'!BF379+'幕间计算'!BG379)/2,1),IF(E179="毅力",'幕间计算'!BJ379,IF(E179="理智",IF(OR(D179="按部就班",D179="远离喧嚣",D179="接受心理治疗",D179="重建人生动力"),MIN(99-'幕间计算'!BL379,'幕间计算'!BJ379*5),99-'幕间计算'!BL379),99))))))-F179))))))))))</x:f>
        <x:v>0</x:v>
      </x:c>
      <x:c r="L179" s="687"/>
      <x:c r="M179" s="689"/>
      <x:c r="N179" s="702"/>
    </x:row>
    <x:row r="180" ht="29" customHeight="1">
      <x:c r="A180" s="699" t="n">
        <x:v>172</x:v>
      </x:c>
      <x:c r="B180" s="688"/>
      <x:c r="C180" s="700"/>
      <x:c r="D180" s="687"/>
      <x:c r="E180" s="687"/>
      <x:c r="F180" s="689"/>
      <x:c r="G180" s="688"/>
      <x:c r="H180" s="688"/>
      <x:c r="I180" s="689"/>
      <x:c r="J180" s="688"/>
      <x:c r="K180" s="701">
        <x:f>IF(J180&lt;&gt;"确认",0,IF(OR('幕间计算'!A381=0,D180="",E180=""),"补全记录",IF(AND(I180&lt;&gt;"",NOT(ISNUMBER(I180))),"点数无效",IF(AND(I180&lt;&gt;"",NOT(ISNUMBER(F180))),"填写前值",IF(AND(L180&lt;&gt;"",OR(NOT(ISNUMBER(M180)),M180&lt;=0,M180&gt;99)),"填写代价",IF(AND(L180="",M180&lt;&gt;""),"选择关系",IF(AND(E180="无数值变化",N(I180)&lt;&gt;0),"选择目标",IF(I180="",0,MAX(-F180,MIN(I180,IF(LEFT(E180,3)="技能：",99,IF(COUNTIF('幕间计算'!$H$2:$H$7,E180)&gt;0,18,IF(COUNTIF('幕间计算'!$N$2:$N$8,E180)&gt;0,'幕间计算'!BK380,IF(E180="体力",CEILING(('幕间计算'!BF380+'幕间计算'!BG380)/2,1),IF(E180="毅力",'幕间计算'!BJ380,IF(E180="理智",IF(OR(D180="按部就班",D180="远离喧嚣",D180="接受心理治疗",D180="重建人生动力"),MIN(99-'幕间计算'!BL380,'幕间计算'!BJ380*5),99-'幕间计算'!BL380),99))))))-F180))))))))))</x:f>
        <x:v>0</x:v>
      </x:c>
      <x:c r="L180" s="687"/>
      <x:c r="M180" s="689"/>
      <x:c r="N180" s="702"/>
    </x:row>
    <x:row r="181" ht="29" customHeight="1">
      <x:c r="A181" s="699" t="n">
        <x:v>173</x:v>
      </x:c>
      <x:c r="B181" s="688"/>
      <x:c r="C181" s="700"/>
      <x:c r="D181" s="687"/>
      <x:c r="E181" s="687"/>
      <x:c r="F181" s="689"/>
      <x:c r="G181" s="688"/>
      <x:c r="H181" s="688"/>
      <x:c r="I181" s="689"/>
      <x:c r="J181" s="688"/>
      <x:c r="K181" s="701">
        <x:f>IF(J181&lt;&gt;"确认",0,IF(OR('幕间计算'!A382=0,D181="",E181=""),"补全记录",IF(AND(I181&lt;&gt;"",NOT(ISNUMBER(I181))),"点数无效",IF(AND(I181&lt;&gt;"",NOT(ISNUMBER(F181))),"填写前值",IF(AND(L181&lt;&gt;"",OR(NOT(ISNUMBER(M181)),M181&lt;=0,M181&gt;99)),"填写代价",IF(AND(L181="",M181&lt;&gt;""),"选择关系",IF(AND(E181="无数值变化",N(I181)&lt;&gt;0),"选择目标",IF(I181="",0,MAX(-F181,MIN(I181,IF(LEFT(E181,3)="技能：",99,IF(COUNTIF('幕间计算'!$H$2:$H$7,E181)&gt;0,18,IF(COUNTIF('幕间计算'!$N$2:$N$8,E181)&gt;0,'幕间计算'!BK381,IF(E181="体力",CEILING(('幕间计算'!BF381+'幕间计算'!BG381)/2,1),IF(E181="毅力",'幕间计算'!BJ381,IF(E181="理智",IF(OR(D181="按部就班",D181="远离喧嚣",D181="接受心理治疗",D181="重建人生动力"),MIN(99-'幕间计算'!BL381,'幕间计算'!BJ381*5),99-'幕间计算'!BL381),99))))))-F181))))))))))</x:f>
        <x:v>0</x:v>
      </x:c>
      <x:c r="L181" s="687"/>
      <x:c r="M181" s="689"/>
      <x:c r="N181" s="702"/>
    </x:row>
    <x:row r="182" ht="29" customHeight="1">
      <x:c r="A182" s="699" t="n">
        <x:v>174</x:v>
      </x:c>
      <x:c r="B182" s="688"/>
      <x:c r="C182" s="700"/>
      <x:c r="D182" s="687"/>
      <x:c r="E182" s="687"/>
      <x:c r="F182" s="689"/>
      <x:c r="G182" s="688"/>
      <x:c r="H182" s="688"/>
      <x:c r="I182" s="689"/>
      <x:c r="J182" s="688"/>
      <x:c r="K182" s="701">
        <x:f>IF(J182&lt;&gt;"确认",0,IF(OR('幕间计算'!A383=0,D182="",E182=""),"补全记录",IF(AND(I182&lt;&gt;"",NOT(ISNUMBER(I182))),"点数无效",IF(AND(I182&lt;&gt;"",NOT(ISNUMBER(F182))),"填写前值",IF(AND(L182&lt;&gt;"",OR(NOT(ISNUMBER(M182)),M182&lt;=0,M182&gt;99)),"填写代价",IF(AND(L182="",M182&lt;&gt;""),"选择关系",IF(AND(E182="无数值变化",N(I182)&lt;&gt;0),"选择目标",IF(I182="",0,MAX(-F182,MIN(I182,IF(LEFT(E182,3)="技能：",99,IF(COUNTIF('幕间计算'!$H$2:$H$7,E182)&gt;0,18,IF(COUNTIF('幕间计算'!$N$2:$N$8,E182)&gt;0,'幕间计算'!BK382,IF(E182="体力",CEILING(('幕间计算'!BF382+'幕间计算'!BG382)/2,1),IF(E182="毅力",'幕间计算'!BJ382,IF(E182="理智",IF(OR(D182="按部就班",D182="远离喧嚣",D182="接受心理治疗",D182="重建人生动力"),MIN(99-'幕间计算'!BL382,'幕间计算'!BJ382*5),99-'幕间计算'!BL382),99))))))-F182))))))))))</x:f>
        <x:v>0</x:v>
      </x:c>
      <x:c r="L182" s="687"/>
      <x:c r="M182" s="689"/>
      <x:c r="N182" s="702"/>
    </x:row>
    <x:row r="183" ht="29" customHeight="1">
      <x:c r="A183" s="699" t="n">
        <x:v>175</x:v>
      </x:c>
      <x:c r="B183" s="688"/>
      <x:c r="C183" s="700"/>
      <x:c r="D183" s="687"/>
      <x:c r="E183" s="687"/>
      <x:c r="F183" s="689"/>
      <x:c r="G183" s="688"/>
      <x:c r="H183" s="688"/>
      <x:c r="I183" s="689"/>
      <x:c r="J183" s="688"/>
      <x:c r="K183" s="701">
        <x:f>IF(J183&lt;&gt;"确认",0,IF(OR('幕间计算'!A384=0,D183="",E183=""),"补全记录",IF(AND(I183&lt;&gt;"",NOT(ISNUMBER(I183))),"点数无效",IF(AND(I183&lt;&gt;"",NOT(ISNUMBER(F183))),"填写前值",IF(AND(L183&lt;&gt;"",OR(NOT(ISNUMBER(M183)),M183&lt;=0,M183&gt;99)),"填写代价",IF(AND(L183="",M183&lt;&gt;""),"选择关系",IF(AND(E183="无数值变化",N(I183)&lt;&gt;0),"选择目标",IF(I183="",0,MAX(-F183,MIN(I183,IF(LEFT(E183,3)="技能：",99,IF(COUNTIF('幕间计算'!$H$2:$H$7,E183)&gt;0,18,IF(COUNTIF('幕间计算'!$N$2:$N$8,E183)&gt;0,'幕间计算'!BK383,IF(E183="体力",CEILING(('幕间计算'!BF383+'幕间计算'!BG383)/2,1),IF(E183="毅力",'幕间计算'!BJ383,IF(E183="理智",IF(OR(D183="按部就班",D183="远离喧嚣",D183="接受心理治疗",D183="重建人生动力"),MIN(99-'幕间计算'!BL383,'幕间计算'!BJ383*5),99-'幕间计算'!BL383),99))))))-F183))))))))))</x:f>
        <x:v>0</x:v>
      </x:c>
      <x:c r="L183" s="687"/>
      <x:c r="M183" s="689"/>
      <x:c r="N183" s="702"/>
    </x:row>
    <x:row r="184" ht="29" customHeight="1">
      <x:c r="A184" s="699" t="n">
        <x:v>176</x:v>
      </x:c>
      <x:c r="B184" s="688"/>
      <x:c r="C184" s="700"/>
      <x:c r="D184" s="687"/>
      <x:c r="E184" s="687"/>
      <x:c r="F184" s="689"/>
      <x:c r="G184" s="688"/>
      <x:c r="H184" s="688"/>
      <x:c r="I184" s="689"/>
      <x:c r="J184" s="688"/>
      <x:c r="K184" s="701">
        <x:f>IF(J184&lt;&gt;"确认",0,IF(OR('幕间计算'!A385=0,D184="",E184=""),"补全记录",IF(AND(I184&lt;&gt;"",NOT(ISNUMBER(I184))),"点数无效",IF(AND(I184&lt;&gt;"",NOT(ISNUMBER(F184))),"填写前值",IF(AND(L184&lt;&gt;"",OR(NOT(ISNUMBER(M184)),M184&lt;=0,M184&gt;99)),"填写代价",IF(AND(L184="",M184&lt;&gt;""),"选择关系",IF(AND(E184="无数值变化",N(I184)&lt;&gt;0),"选择目标",IF(I184="",0,MAX(-F184,MIN(I184,IF(LEFT(E184,3)="技能：",99,IF(COUNTIF('幕间计算'!$H$2:$H$7,E184)&gt;0,18,IF(COUNTIF('幕间计算'!$N$2:$N$8,E184)&gt;0,'幕间计算'!BK384,IF(E184="体力",CEILING(('幕间计算'!BF384+'幕间计算'!BG384)/2,1),IF(E184="毅力",'幕间计算'!BJ384,IF(E184="理智",IF(OR(D184="按部就班",D184="远离喧嚣",D184="接受心理治疗",D184="重建人生动力"),MIN(99-'幕间计算'!BL384,'幕间计算'!BJ384*5),99-'幕间计算'!BL384),99))))))-F184))))))))))</x:f>
        <x:v>0</x:v>
      </x:c>
      <x:c r="L184" s="687"/>
      <x:c r="M184" s="689"/>
      <x:c r="N184" s="702"/>
    </x:row>
    <x:row r="185" ht="29" customHeight="1">
      <x:c r="A185" s="699" t="n">
        <x:v>177</x:v>
      </x:c>
      <x:c r="B185" s="688"/>
      <x:c r="C185" s="700"/>
      <x:c r="D185" s="687"/>
      <x:c r="E185" s="687"/>
      <x:c r="F185" s="689"/>
      <x:c r="G185" s="688"/>
      <x:c r="H185" s="688"/>
      <x:c r="I185" s="689"/>
      <x:c r="J185" s="688"/>
      <x:c r="K185" s="701">
        <x:f>IF(J185&lt;&gt;"确认",0,IF(OR('幕间计算'!A386=0,D185="",E185=""),"补全记录",IF(AND(I185&lt;&gt;"",NOT(ISNUMBER(I185))),"点数无效",IF(AND(I185&lt;&gt;"",NOT(ISNUMBER(F185))),"填写前值",IF(AND(L185&lt;&gt;"",OR(NOT(ISNUMBER(M185)),M185&lt;=0,M185&gt;99)),"填写代价",IF(AND(L185="",M185&lt;&gt;""),"选择关系",IF(AND(E185="无数值变化",N(I185)&lt;&gt;0),"选择目标",IF(I185="",0,MAX(-F185,MIN(I185,IF(LEFT(E185,3)="技能：",99,IF(COUNTIF('幕间计算'!$H$2:$H$7,E185)&gt;0,18,IF(COUNTIF('幕间计算'!$N$2:$N$8,E185)&gt;0,'幕间计算'!BK385,IF(E185="体力",CEILING(('幕间计算'!BF385+'幕间计算'!BG385)/2,1),IF(E185="毅力",'幕间计算'!BJ385,IF(E185="理智",IF(OR(D185="按部就班",D185="远离喧嚣",D185="接受心理治疗",D185="重建人生动力"),MIN(99-'幕间计算'!BL385,'幕间计算'!BJ385*5),99-'幕间计算'!BL385),99))))))-F185))))))))))</x:f>
        <x:v>0</x:v>
      </x:c>
      <x:c r="L185" s="687"/>
      <x:c r="M185" s="689"/>
      <x:c r="N185" s="702"/>
    </x:row>
    <x:row r="186" ht="29" customHeight="1">
      <x:c r="A186" s="699" t="n">
        <x:v>178</x:v>
      </x:c>
      <x:c r="B186" s="688"/>
      <x:c r="C186" s="700"/>
      <x:c r="D186" s="687"/>
      <x:c r="E186" s="687"/>
      <x:c r="F186" s="689"/>
      <x:c r="G186" s="688"/>
      <x:c r="H186" s="688"/>
      <x:c r="I186" s="689"/>
      <x:c r="J186" s="688"/>
      <x:c r="K186" s="701">
        <x:f>IF(J186&lt;&gt;"确认",0,IF(OR('幕间计算'!A387=0,D186="",E186=""),"补全记录",IF(AND(I186&lt;&gt;"",NOT(ISNUMBER(I186))),"点数无效",IF(AND(I186&lt;&gt;"",NOT(ISNUMBER(F186))),"填写前值",IF(AND(L186&lt;&gt;"",OR(NOT(ISNUMBER(M186)),M186&lt;=0,M186&gt;99)),"填写代价",IF(AND(L186="",M186&lt;&gt;""),"选择关系",IF(AND(E186="无数值变化",N(I186)&lt;&gt;0),"选择目标",IF(I186="",0,MAX(-F186,MIN(I186,IF(LEFT(E186,3)="技能：",99,IF(COUNTIF('幕间计算'!$H$2:$H$7,E186)&gt;0,18,IF(COUNTIF('幕间计算'!$N$2:$N$8,E186)&gt;0,'幕间计算'!BK386,IF(E186="体力",CEILING(('幕间计算'!BF386+'幕间计算'!BG386)/2,1),IF(E186="毅力",'幕间计算'!BJ386,IF(E186="理智",IF(OR(D186="按部就班",D186="远离喧嚣",D186="接受心理治疗",D186="重建人生动力"),MIN(99-'幕间计算'!BL386,'幕间计算'!BJ386*5),99-'幕间计算'!BL386),99))))))-F186))))))))))</x:f>
        <x:v>0</x:v>
      </x:c>
      <x:c r="L186" s="687"/>
      <x:c r="M186" s="689"/>
      <x:c r="N186" s="702"/>
    </x:row>
    <x:row r="187" ht="29" customHeight="1">
      <x:c r="A187" s="699" t="n">
        <x:v>179</x:v>
      </x:c>
      <x:c r="B187" s="688"/>
      <x:c r="C187" s="700"/>
      <x:c r="D187" s="687"/>
      <x:c r="E187" s="687"/>
      <x:c r="F187" s="689"/>
      <x:c r="G187" s="688"/>
      <x:c r="H187" s="688"/>
      <x:c r="I187" s="689"/>
      <x:c r="J187" s="688"/>
      <x:c r="K187" s="701">
        <x:f>IF(J187&lt;&gt;"确认",0,IF(OR('幕间计算'!A388=0,D187="",E187=""),"补全记录",IF(AND(I187&lt;&gt;"",NOT(ISNUMBER(I187))),"点数无效",IF(AND(I187&lt;&gt;"",NOT(ISNUMBER(F187))),"填写前值",IF(AND(L187&lt;&gt;"",OR(NOT(ISNUMBER(M187)),M187&lt;=0,M187&gt;99)),"填写代价",IF(AND(L187="",M187&lt;&gt;""),"选择关系",IF(AND(E187="无数值变化",N(I187)&lt;&gt;0),"选择目标",IF(I187="",0,MAX(-F187,MIN(I187,IF(LEFT(E187,3)="技能：",99,IF(COUNTIF('幕间计算'!$H$2:$H$7,E187)&gt;0,18,IF(COUNTIF('幕间计算'!$N$2:$N$8,E187)&gt;0,'幕间计算'!BK387,IF(E187="体力",CEILING(('幕间计算'!BF387+'幕间计算'!BG387)/2,1),IF(E187="毅力",'幕间计算'!BJ387,IF(E187="理智",IF(OR(D187="按部就班",D187="远离喧嚣",D187="接受心理治疗",D187="重建人生动力"),MIN(99-'幕间计算'!BL387,'幕间计算'!BJ387*5),99-'幕间计算'!BL387),99))))))-F187))))))))))</x:f>
        <x:v>0</x:v>
      </x:c>
      <x:c r="L187" s="687"/>
      <x:c r="M187" s="689"/>
      <x:c r="N187" s="702"/>
    </x:row>
    <x:row r="188" ht="29" customHeight="1">
      <x:c r="A188" s="699" t="n">
        <x:v>180</x:v>
      </x:c>
      <x:c r="B188" s="688"/>
      <x:c r="C188" s="700"/>
      <x:c r="D188" s="687"/>
      <x:c r="E188" s="687"/>
      <x:c r="F188" s="689"/>
      <x:c r="G188" s="688"/>
      <x:c r="H188" s="688"/>
      <x:c r="I188" s="689"/>
      <x:c r="J188" s="688"/>
      <x:c r="K188" s="701">
        <x:f>IF(J188&lt;&gt;"确认",0,IF(OR('幕间计算'!A389=0,D188="",E188=""),"补全记录",IF(AND(I188&lt;&gt;"",NOT(ISNUMBER(I188))),"点数无效",IF(AND(I188&lt;&gt;"",NOT(ISNUMBER(F188))),"填写前值",IF(AND(L188&lt;&gt;"",OR(NOT(ISNUMBER(M188)),M188&lt;=0,M188&gt;99)),"填写代价",IF(AND(L188="",M188&lt;&gt;""),"选择关系",IF(AND(E188="无数值变化",N(I188)&lt;&gt;0),"选择目标",IF(I188="",0,MAX(-F188,MIN(I188,IF(LEFT(E188,3)="技能：",99,IF(COUNTIF('幕间计算'!$H$2:$H$7,E188)&gt;0,18,IF(COUNTIF('幕间计算'!$N$2:$N$8,E188)&gt;0,'幕间计算'!BK388,IF(E188="体力",CEILING(('幕间计算'!BF388+'幕间计算'!BG388)/2,1),IF(E188="毅力",'幕间计算'!BJ388,IF(E188="理智",IF(OR(D188="按部就班",D188="远离喧嚣",D188="接受心理治疗",D188="重建人生动力"),MIN(99-'幕间计算'!BL388,'幕间计算'!BJ388*5),99-'幕间计算'!BL388),99))))))-F188))))))))))</x:f>
        <x:v>0</x:v>
      </x:c>
      <x:c r="L188" s="687"/>
      <x:c r="M188" s="689"/>
      <x:c r="N188" s="702"/>
    </x:row>
    <x:row r="189" ht="29" customHeight="1">
      <x:c r="A189" s="699" t="n">
        <x:v>181</x:v>
      </x:c>
      <x:c r="B189" s="688"/>
      <x:c r="C189" s="700"/>
      <x:c r="D189" s="687"/>
      <x:c r="E189" s="687"/>
      <x:c r="F189" s="689"/>
      <x:c r="G189" s="688"/>
      <x:c r="H189" s="688"/>
      <x:c r="I189" s="689"/>
      <x:c r="J189" s="688"/>
      <x:c r="K189" s="701">
        <x:f>IF(J189&lt;&gt;"确认",0,IF(OR('幕间计算'!A390=0,D189="",E189=""),"补全记录",IF(AND(I189&lt;&gt;"",NOT(ISNUMBER(I189))),"点数无效",IF(AND(I189&lt;&gt;"",NOT(ISNUMBER(F189))),"填写前值",IF(AND(L189&lt;&gt;"",OR(NOT(ISNUMBER(M189)),M189&lt;=0,M189&gt;99)),"填写代价",IF(AND(L189="",M189&lt;&gt;""),"选择关系",IF(AND(E189="无数值变化",N(I189)&lt;&gt;0),"选择目标",IF(I189="",0,MAX(-F189,MIN(I189,IF(LEFT(E189,3)="技能：",99,IF(COUNTIF('幕间计算'!$H$2:$H$7,E189)&gt;0,18,IF(COUNTIF('幕间计算'!$N$2:$N$8,E189)&gt;0,'幕间计算'!BK389,IF(E189="体力",CEILING(('幕间计算'!BF389+'幕间计算'!BG389)/2,1),IF(E189="毅力",'幕间计算'!BJ389,IF(E189="理智",IF(OR(D189="按部就班",D189="远离喧嚣",D189="接受心理治疗",D189="重建人生动力"),MIN(99-'幕间计算'!BL389,'幕间计算'!BJ389*5),99-'幕间计算'!BL389),99))))))-F189))))))))))</x:f>
        <x:v>0</x:v>
      </x:c>
      <x:c r="L189" s="687"/>
      <x:c r="M189" s="689"/>
      <x:c r="N189" s="702"/>
    </x:row>
    <x:row r="190" ht="29" customHeight="1">
      <x:c r="A190" s="699" t="n">
        <x:v>182</x:v>
      </x:c>
      <x:c r="B190" s="688"/>
      <x:c r="C190" s="700"/>
      <x:c r="D190" s="687"/>
      <x:c r="E190" s="687"/>
      <x:c r="F190" s="689"/>
      <x:c r="G190" s="688"/>
      <x:c r="H190" s="688"/>
      <x:c r="I190" s="689"/>
      <x:c r="J190" s="688"/>
      <x:c r="K190" s="701">
        <x:f>IF(J190&lt;&gt;"确认",0,IF(OR('幕间计算'!A391=0,D190="",E190=""),"补全记录",IF(AND(I190&lt;&gt;"",NOT(ISNUMBER(I190))),"点数无效",IF(AND(I190&lt;&gt;"",NOT(ISNUMBER(F190))),"填写前值",IF(AND(L190&lt;&gt;"",OR(NOT(ISNUMBER(M190)),M190&lt;=0,M190&gt;99)),"填写代价",IF(AND(L190="",M190&lt;&gt;""),"选择关系",IF(AND(E190="无数值变化",N(I190)&lt;&gt;0),"选择目标",IF(I190="",0,MAX(-F190,MIN(I190,IF(LEFT(E190,3)="技能：",99,IF(COUNTIF('幕间计算'!$H$2:$H$7,E190)&gt;0,18,IF(COUNTIF('幕间计算'!$N$2:$N$8,E190)&gt;0,'幕间计算'!BK390,IF(E190="体力",CEILING(('幕间计算'!BF390+'幕间计算'!BG390)/2,1),IF(E190="毅力",'幕间计算'!BJ390,IF(E190="理智",IF(OR(D190="按部就班",D190="远离喧嚣",D190="接受心理治疗",D190="重建人生动力"),MIN(99-'幕间计算'!BL390,'幕间计算'!BJ390*5),99-'幕间计算'!BL390),99))))))-F190))))))))))</x:f>
        <x:v>0</x:v>
      </x:c>
      <x:c r="L190" s="687"/>
      <x:c r="M190" s="689"/>
      <x:c r="N190" s="702"/>
    </x:row>
    <x:row r="191" ht="29" customHeight="1">
      <x:c r="A191" s="699" t="n">
        <x:v>183</x:v>
      </x:c>
      <x:c r="B191" s="688"/>
      <x:c r="C191" s="700"/>
      <x:c r="D191" s="687"/>
      <x:c r="E191" s="687"/>
      <x:c r="F191" s="689"/>
      <x:c r="G191" s="688"/>
      <x:c r="H191" s="688"/>
      <x:c r="I191" s="689"/>
      <x:c r="J191" s="688"/>
      <x:c r="K191" s="701">
        <x:f>IF(J191&lt;&gt;"确认",0,IF(OR('幕间计算'!A392=0,D191="",E191=""),"补全记录",IF(AND(I191&lt;&gt;"",NOT(ISNUMBER(I191))),"点数无效",IF(AND(I191&lt;&gt;"",NOT(ISNUMBER(F191))),"填写前值",IF(AND(L191&lt;&gt;"",OR(NOT(ISNUMBER(M191)),M191&lt;=0,M191&gt;99)),"填写代价",IF(AND(L191="",M191&lt;&gt;""),"选择关系",IF(AND(E191="无数值变化",N(I191)&lt;&gt;0),"选择目标",IF(I191="",0,MAX(-F191,MIN(I191,IF(LEFT(E191,3)="技能：",99,IF(COUNTIF('幕间计算'!$H$2:$H$7,E191)&gt;0,18,IF(COUNTIF('幕间计算'!$N$2:$N$8,E191)&gt;0,'幕间计算'!BK391,IF(E191="体力",CEILING(('幕间计算'!BF391+'幕间计算'!BG391)/2,1),IF(E191="毅力",'幕间计算'!BJ391,IF(E191="理智",IF(OR(D191="按部就班",D191="远离喧嚣",D191="接受心理治疗",D191="重建人生动力"),MIN(99-'幕间计算'!BL391,'幕间计算'!BJ391*5),99-'幕间计算'!BL391),99))))))-F191))))))))))</x:f>
        <x:v>0</x:v>
      </x:c>
      <x:c r="L191" s="687"/>
      <x:c r="M191" s="689"/>
      <x:c r="N191" s="702"/>
    </x:row>
    <x:row r="192" ht="29" customHeight="1">
      <x:c r="A192" s="699" t="n">
        <x:v>184</x:v>
      </x:c>
      <x:c r="B192" s="688"/>
      <x:c r="C192" s="700"/>
      <x:c r="D192" s="687"/>
      <x:c r="E192" s="687"/>
      <x:c r="F192" s="689"/>
      <x:c r="G192" s="688"/>
      <x:c r="H192" s="688"/>
      <x:c r="I192" s="689"/>
      <x:c r="J192" s="688"/>
      <x:c r="K192" s="701">
        <x:f>IF(J192&lt;&gt;"确认",0,IF(OR('幕间计算'!A393=0,D192="",E192=""),"补全记录",IF(AND(I192&lt;&gt;"",NOT(ISNUMBER(I192))),"点数无效",IF(AND(I192&lt;&gt;"",NOT(ISNUMBER(F192))),"填写前值",IF(AND(L192&lt;&gt;"",OR(NOT(ISNUMBER(M192)),M192&lt;=0,M192&gt;99)),"填写代价",IF(AND(L192="",M192&lt;&gt;""),"选择关系",IF(AND(E192="无数值变化",N(I192)&lt;&gt;0),"选择目标",IF(I192="",0,MAX(-F192,MIN(I192,IF(LEFT(E192,3)="技能：",99,IF(COUNTIF('幕间计算'!$H$2:$H$7,E192)&gt;0,18,IF(COUNTIF('幕间计算'!$N$2:$N$8,E192)&gt;0,'幕间计算'!BK392,IF(E192="体力",CEILING(('幕间计算'!BF392+'幕间计算'!BG392)/2,1),IF(E192="毅力",'幕间计算'!BJ392,IF(E192="理智",IF(OR(D192="按部就班",D192="远离喧嚣",D192="接受心理治疗",D192="重建人生动力"),MIN(99-'幕间计算'!BL392,'幕间计算'!BJ392*5),99-'幕间计算'!BL392),99))))))-F192))))))))))</x:f>
        <x:v>0</x:v>
      </x:c>
      <x:c r="L192" s="687"/>
      <x:c r="M192" s="689"/>
      <x:c r="N192" s="702"/>
    </x:row>
    <x:row r="193" ht="29" customHeight="1">
      <x:c r="A193" s="699" t="n">
        <x:v>185</x:v>
      </x:c>
      <x:c r="B193" s="688"/>
      <x:c r="C193" s="700"/>
      <x:c r="D193" s="687"/>
      <x:c r="E193" s="687"/>
      <x:c r="F193" s="689"/>
      <x:c r="G193" s="688"/>
      <x:c r="H193" s="688"/>
      <x:c r="I193" s="689"/>
      <x:c r="J193" s="688"/>
      <x:c r="K193" s="701">
        <x:f>IF(J193&lt;&gt;"确认",0,IF(OR('幕间计算'!A394=0,D193="",E193=""),"补全记录",IF(AND(I193&lt;&gt;"",NOT(ISNUMBER(I193))),"点数无效",IF(AND(I193&lt;&gt;"",NOT(ISNUMBER(F193))),"填写前值",IF(AND(L193&lt;&gt;"",OR(NOT(ISNUMBER(M193)),M193&lt;=0,M193&gt;99)),"填写代价",IF(AND(L193="",M193&lt;&gt;""),"选择关系",IF(AND(E193="无数值变化",N(I193)&lt;&gt;0),"选择目标",IF(I193="",0,MAX(-F193,MIN(I193,IF(LEFT(E193,3)="技能：",99,IF(COUNTIF('幕间计算'!$H$2:$H$7,E193)&gt;0,18,IF(COUNTIF('幕间计算'!$N$2:$N$8,E193)&gt;0,'幕间计算'!BK393,IF(E193="体力",CEILING(('幕间计算'!BF393+'幕间计算'!BG393)/2,1),IF(E193="毅力",'幕间计算'!BJ393,IF(E193="理智",IF(OR(D193="按部就班",D193="远离喧嚣",D193="接受心理治疗",D193="重建人生动力"),MIN(99-'幕间计算'!BL393,'幕间计算'!BJ393*5),99-'幕间计算'!BL393),99))))))-F193))))))))))</x:f>
        <x:v>0</x:v>
      </x:c>
      <x:c r="L193" s="687"/>
      <x:c r="M193" s="689"/>
      <x:c r="N193" s="702"/>
    </x:row>
    <x:row r="194" ht="29" customHeight="1">
      <x:c r="A194" s="699" t="n">
        <x:v>186</x:v>
      </x:c>
      <x:c r="B194" s="688"/>
      <x:c r="C194" s="700"/>
      <x:c r="D194" s="687"/>
      <x:c r="E194" s="687"/>
      <x:c r="F194" s="689"/>
      <x:c r="G194" s="688"/>
      <x:c r="H194" s="688"/>
      <x:c r="I194" s="689"/>
      <x:c r="J194" s="688"/>
      <x:c r="K194" s="701">
        <x:f>IF(J194&lt;&gt;"确认",0,IF(OR('幕间计算'!A395=0,D194="",E194=""),"补全记录",IF(AND(I194&lt;&gt;"",NOT(ISNUMBER(I194))),"点数无效",IF(AND(I194&lt;&gt;"",NOT(ISNUMBER(F194))),"填写前值",IF(AND(L194&lt;&gt;"",OR(NOT(ISNUMBER(M194)),M194&lt;=0,M194&gt;99)),"填写代价",IF(AND(L194="",M194&lt;&gt;""),"选择关系",IF(AND(E194="无数值变化",N(I194)&lt;&gt;0),"选择目标",IF(I194="",0,MAX(-F194,MIN(I194,IF(LEFT(E194,3)="技能：",99,IF(COUNTIF('幕间计算'!$H$2:$H$7,E194)&gt;0,18,IF(COUNTIF('幕间计算'!$N$2:$N$8,E194)&gt;0,'幕间计算'!BK394,IF(E194="体力",CEILING(('幕间计算'!BF394+'幕间计算'!BG394)/2,1),IF(E194="毅力",'幕间计算'!BJ394,IF(E194="理智",IF(OR(D194="按部就班",D194="远离喧嚣",D194="接受心理治疗",D194="重建人生动力"),MIN(99-'幕间计算'!BL394,'幕间计算'!BJ394*5),99-'幕间计算'!BL394),99))))))-F194))))))))))</x:f>
        <x:v>0</x:v>
      </x:c>
      <x:c r="L194" s="687"/>
      <x:c r="M194" s="689"/>
      <x:c r="N194" s="702"/>
    </x:row>
    <x:row r="195" ht="29" customHeight="1">
      <x:c r="A195" s="699" t="n">
        <x:v>187</x:v>
      </x:c>
      <x:c r="B195" s="688"/>
      <x:c r="C195" s="700"/>
      <x:c r="D195" s="687"/>
      <x:c r="E195" s="687"/>
      <x:c r="F195" s="689"/>
      <x:c r="G195" s="688"/>
      <x:c r="H195" s="688"/>
      <x:c r="I195" s="689"/>
      <x:c r="J195" s="688"/>
      <x:c r="K195" s="701">
        <x:f>IF(J195&lt;&gt;"确认",0,IF(OR('幕间计算'!A396=0,D195="",E195=""),"补全记录",IF(AND(I195&lt;&gt;"",NOT(ISNUMBER(I195))),"点数无效",IF(AND(I195&lt;&gt;"",NOT(ISNUMBER(F195))),"填写前值",IF(AND(L195&lt;&gt;"",OR(NOT(ISNUMBER(M195)),M195&lt;=0,M195&gt;99)),"填写代价",IF(AND(L195="",M195&lt;&gt;""),"选择关系",IF(AND(E195="无数值变化",N(I195)&lt;&gt;0),"选择目标",IF(I195="",0,MAX(-F195,MIN(I195,IF(LEFT(E195,3)="技能：",99,IF(COUNTIF('幕间计算'!$H$2:$H$7,E195)&gt;0,18,IF(COUNTIF('幕间计算'!$N$2:$N$8,E195)&gt;0,'幕间计算'!BK395,IF(E195="体力",CEILING(('幕间计算'!BF395+'幕间计算'!BG395)/2,1),IF(E195="毅力",'幕间计算'!BJ395,IF(E195="理智",IF(OR(D195="按部就班",D195="远离喧嚣",D195="接受心理治疗",D195="重建人生动力"),MIN(99-'幕间计算'!BL395,'幕间计算'!BJ395*5),99-'幕间计算'!BL395),99))))))-F195))))))))))</x:f>
        <x:v>0</x:v>
      </x:c>
      <x:c r="L195" s="687"/>
      <x:c r="M195" s="689"/>
      <x:c r="N195" s="702"/>
    </x:row>
    <x:row r="196" ht="29" customHeight="1">
      <x:c r="A196" s="699" t="n">
        <x:v>188</x:v>
      </x:c>
      <x:c r="B196" s="688"/>
      <x:c r="C196" s="700"/>
      <x:c r="D196" s="687"/>
      <x:c r="E196" s="687"/>
      <x:c r="F196" s="689"/>
      <x:c r="G196" s="688"/>
      <x:c r="H196" s="688"/>
      <x:c r="I196" s="689"/>
      <x:c r="J196" s="688"/>
      <x:c r="K196" s="701">
        <x:f>IF(J196&lt;&gt;"确认",0,IF(OR('幕间计算'!A397=0,D196="",E196=""),"补全记录",IF(AND(I196&lt;&gt;"",NOT(ISNUMBER(I196))),"点数无效",IF(AND(I196&lt;&gt;"",NOT(ISNUMBER(F196))),"填写前值",IF(AND(L196&lt;&gt;"",OR(NOT(ISNUMBER(M196)),M196&lt;=0,M196&gt;99)),"填写代价",IF(AND(L196="",M196&lt;&gt;""),"选择关系",IF(AND(E196="无数值变化",N(I196)&lt;&gt;0),"选择目标",IF(I196="",0,MAX(-F196,MIN(I196,IF(LEFT(E196,3)="技能：",99,IF(COUNTIF('幕间计算'!$H$2:$H$7,E196)&gt;0,18,IF(COUNTIF('幕间计算'!$N$2:$N$8,E196)&gt;0,'幕间计算'!BK396,IF(E196="体力",CEILING(('幕间计算'!BF396+'幕间计算'!BG396)/2,1),IF(E196="毅力",'幕间计算'!BJ396,IF(E196="理智",IF(OR(D196="按部就班",D196="远离喧嚣",D196="接受心理治疗",D196="重建人生动力"),MIN(99-'幕间计算'!BL396,'幕间计算'!BJ396*5),99-'幕间计算'!BL396),99))))))-F196))))))))))</x:f>
        <x:v>0</x:v>
      </x:c>
      <x:c r="L196" s="687"/>
      <x:c r="M196" s="689"/>
      <x:c r="N196" s="702"/>
    </x:row>
    <x:row r="197" ht="29" customHeight="1">
      <x:c r="A197" s="699" t="n">
        <x:v>189</x:v>
      </x:c>
      <x:c r="B197" s="688"/>
      <x:c r="C197" s="700"/>
      <x:c r="D197" s="687"/>
      <x:c r="E197" s="687"/>
      <x:c r="F197" s="689"/>
      <x:c r="G197" s="688"/>
      <x:c r="H197" s="688"/>
      <x:c r="I197" s="689"/>
      <x:c r="J197" s="688"/>
      <x:c r="K197" s="701">
        <x:f>IF(J197&lt;&gt;"确认",0,IF(OR('幕间计算'!A398=0,D197="",E197=""),"补全记录",IF(AND(I197&lt;&gt;"",NOT(ISNUMBER(I197))),"点数无效",IF(AND(I197&lt;&gt;"",NOT(ISNUMBER(F197))),"填写前值",IF(AND(L197&lt;&gt;"",OR(NOT(ISNUMBER(M197)),M197&lt;=0,M197&gt;99)),"填写代价",IF(AND(L197="",M197&lt;&gt;""),"选择关系",IF(AND(E197="无数值变化",N(I197)&lt;&gt;0),"选择目标",IF(I197="",0,MAX(-F197,MIN(I197,IF(LEFT(E197,3)="技能：",99,IF(COUNTIF('幕间计算'!$H$2:$H$7,E197)&gt;0,18,IF(COUNTIF('幕间计算'!$N$2:$N$8,E197)&gt;0,'幕间计算'!BK397,IF(E197="体力",CEILING(('幕间计算'!BF397+'幕间计算'!BG397)/2,1),IF(E197="毅力",'幕间计算'!BJ397,IF(E197="理智",IF(OR(D197="按部就班",D197="远离喧嚣",D197="接受心理治疗",D197="重建人生动力"),MIN(99-'幕间计算'!BL397,'幕间计算'!BJ397*5),99-'幕间计算'!BL397),99))))))-F197))))))))))</x:f>
        <x:v>0</x:v>
      </x:c>
      <x:c r="L197" s="687"/>
      <x:c r="M197" s="689"/>
      <x:c r="N197" s="702"/>
    </x:row>
    <x:row r="198" ht="29" customHeight="1">
      <x:c r="A198" s="699" t="n">
        <x:v>190</x:v>
      </x:c>
      <x:c r="B198" s="688"/>
      <x:c r="C198" s="700"/>
      <x:c r="D198" s="687"/>
      <x:c r="E198" s="687"/>
      <x:c r="F198" s="689"/>
      <x:c r="G198" s="688"/>
      <x:c r="H198" s="688"/>
      <x:c r="I198" s="689"/>
      <x:c r="J198" s="688"/>
      <x:c r="K198" s="701">
        <x:f>IF(J198&lt;&gt;"确认",0,IF(OR('幕间计算'!A399=0,D198="",E198=""),"补全记录",IF(AND(I198&lt;&gt;"",NOT(ISNUMBER(I198))),"点数无效",IF(AND(I198&lt;&gt;"",NOT(ISNUMBER(F198))),"填写前值",IF(AND(L198&lt;&gt;"",OR(NOT(ISNUMBER(M198)),M198&lt;=0,M198&gt;99)),"填写代价",IF(AND(L198="",M198&lt;&gt;""),"选择关系",IF(AND(E198="无数值变化",N(I198)&lt;&gt;0),"选择目标",IF(I198="",0,MAX(-F198,MIN(I198,IF(LEFT(E198,3)="技能：",99,IF(COUNTIF('幕间计算'!$H$2:$H$7,E198)&gt;0,18,IF(COUNTIF('幕间计算'!$N$2:$N$8,E198)&gt;0,'幕间计算'!BK398,IF(E198="体力",CEILING(('幕间计算'!BF398+'幕间计算'!BG398)/2,1),IF(E198="毅力",'幕间计算'!BJ398,IF(E198="理智",IF(OR(D198="按部就班",D198="远离喧嚣",D198="接受心理治疗",D198="重建人生动力"),MIN(99-'幕间计算'!BL398,'幕间计算'!BJ398*5),99-'幕间计算'!BL398),99))))))-F198))))))))))</x:f>
        <x:v>0</x:v>
      </x:c>
      <x:c r="L198" s="687"/>
      <x:c r="M198" s="689"/>
      <x:c r="N198" s="702"/>
    </x:row>
    <x:row r="199" ht="29" customHeight="1">
      <x:c r="A199" s="699" t="n">
        <x:v>191</x:v>
      </x:c>
      <x:c r="B199" s="688"/>
      <x:c r="C199" s="700"/>
      <x:c r="D199" s="687"/>
      <x:c r="E199" s="687"/>
      <x:c r="F199" s="689"/>
      <x:c r="G199" s="688"/>
      <x:c r="H199" s="688"/>
      <x:c r="I199" s="689"/>
      <x:c r="J199" s="688"/>
      <x:c r="K199" s="701">
        <x:f>IF(J199&lt;&gt;"确认",0,IF(OR('幕间计算'!A400=0,D199="",E199=""),"补全记录",IF(AND(I199&lt;&gt;"",NOT(ISNUMBER(I199))),"点数无效",IF(AND(I199&lt;&gt;"",NOT(ISNUMBER(F199))),"填写前值",IF(AND(L199&lt;&gt;"",OR(NOT(ISNUMBER(M199)),M199&lt;=0,M199&gt;99)),"填写代价",IF(AND(L199="",M199&lt;&gt;""),"选择关系",IF(AND(E199="无数值变化",N(I199)&lt;&gt;0),"选择目标",IF(I199="",0,MAX(-F199,MIN(I199,IF(LEFT(E199,3)="技能：",99,IF(COUNTIF('幕间计算'!$H$2:$H$7,E199)&gt;0,18,IF(COUNTIF('幕间计算'!$N$2:$N$8,E199)&gt;0,'幕间计算'!BK399,IF(E199="体力",CEILING(('幕间计算'!BF399+'幕间计算'!BG399)/2,1),IF(E199="毅力",'幕间计算'!BJ399,IF(E199="理智",IF(OR(D199="按部就班",D199="远离喧嚣",D199="接受心理治疗",D199="重建人生动力"),MIN(99-'幕间计算'!BL399,'幕间计算'!BJ399*5),99-'幕间计算'!BL399),99))))))-F199))))))))))</x:f>
        <x:v>0</x:v>
      </x:c>
      <x:c r="L199" s="687"/>
      <x:c r="M199" s="689"/>
      <x:c r="N199" s="702"/>
    </x:row>
    <x:row r="200" ht="29" customHeight="1">
      <x:c r="A200" s="699" t="n">
        <x:v>192</x:v>
      </x:c>
      <x:c r="B200" s="688"/>
      <x:c r="C200" s="700"/>
      <x:c r="D200" s="687"/>
      <x:c r="E200" s="687"/>
      <x:c r="F200" s="689"/>
      <x:c r="G200" s="688"/>
      <x:c r="H200" s="688"/>
      <x:c r="I200" s="689"/>
      <x:c r="J200" s="688"/>
      <x:c r="K200" s="701">
        <x:f>IF(J200&lt;&gt;"确认",0,IF(OR('幕间计算'!A401=0,D200="",E200=""),"补全记录",IF(AND(I200&lt;&gt;"",NOT(ISNUMBER(I200))),"点数无效",IF(AND(I200&lt;&gt;"",NOT(ISNUMBER(F200))),"填写前值",IF(AND(L200&lt;&gt;"",OR(NOT(ISNUMBER(M200)),M200&lt;=0,M200&gt;99)),"填写代价",IF(AND(L200="",M200&lt;&gt;""),"选择关系",IF(AND(E200="无数值变化",N(I200)&lt;&gt;0),"选择目标",IF(I200="",0,MAX(-F200,MIN(I200,IF(LEFT(E200,3)="技能：",99,IF(COUNTIF('幕间计算'!$H$2:$H$7,E200)&gt;0,18,IF(COUNTIF('幕间计算'!$N$2:$N$8,E200)&gt;0,'幕间计算'!BK400,IF(E200="体力",CEILING(('幕间计算'!BF400+'幕间计算'!BG400)/2,1),IF(E200="毅力",'幕间计算'!BJ400,IF(E200="理智",IF(OR(D200="按部就班",D200="远离喧嚣",D200="接受心理治疗",D200="重建人生动力"),MIN(99-'幕间计算'!BL400,'幕间计算'!BJ400*5),99-'幕间计算'!BL400),99))))))-F200))))))))))</x:f>
        <x:v>0</x:v>
      </x:c>
      <x:c r="L200" s="687"/>
      <x:c r="M200" s="689"/>
      <x:c r="N200" s="702"/>
    </x:row>
    <x:row r="201" ht="29" customHeight="1">
      <x:c r="A201" s="699" t="n">
        <x:v>193</x:v>
      </x:c>
      <x:c r="B201" s="688"/>
      <x:c r="C201" s="700"/>
      <x:c r="D201" s="687"/>
      <x:c r="E201" s="687"/>
      <x:c r="F201" s="689"/>
      <x:c r="G201" s="688"/>
      <x:c r="H201" s="688"/>
      <x:c r="I201" s="689"/>
      <x:c r="J201" s="688"/>
      <x:c r="K201" s="701">
        <x:f>IF(J201&lt;&gt;"确认",0,IF(OR('幕间计算'!A402=0,D201="",E201=""),"补全记录",IF(AND(I201&lt;&gt;"",NOT(ISNUMBER(I201))),"点数无效",IF(AND(I201&lt;&gt;"",NOT(ISNUMBER(F201))),"填写前值",IF(AND(L201&lt;&gt;"",OR(NOT(ISNUMBER(M201)),M201&lt;=0,M201&gt;99)),"填写代价",IF(AND(L201="",M201&lt;&gt;""),"选择关系",IF(AND(E201="无数值变化",N(I201)&lt;&gt;0),"选择目标",IF(I201="",0,MAX(-F201,MIN(I201,IF(LEFT(E201,3)="技能：",99,IF(COUNTIF('幕间计算'!$H$2:$H$7,E201)&gt;0,18,IF(COUNTIF('幕间计算'!$N$2:$N$8,E201)&gt;0,'幕间计算'!BK401,IF(E201="体力",CEILING(('幕间计算'!BF401+'幕间计算'!BG401)/2,1),IF(E201="毅力",'幕间计算'!BJ401,IF(E201="理智",IF(OR(D201="按部就班",D201="远离喧嚣",D201="接受心理治疗",D201="重建人生动力"),MIN(99-'幕间计算'!BL401,'幕间计算'!BJ401*5),99-'幕间计算'!BL401),99))))))-F201))))))))))</x:f>
        <x:v>0</x:v>
      </x:c>
      <x:c r="L201" s="687"/>
      <x:c r="M201" s="689"/>
      <x:c r="N201" s="702"/>
    </x:row>
    <x:row r="202" ht="29" customHeight="1">
      <x:c r="A202" s="699" t="n">
        <x:v>194</x:v>
      </x:c>
      <x:c r="B202" s="688"/>
      <x:c r="C202" s="700"/>
      <x:c r="D202" s="687"/>
      <x:c r="E202" s="687"/>
      <x:c r="F202" s="689"/>
      <x:c r="G202" s="688"/>
      <x:c r="H202" s="688"/>
      <x:c r="I202" s="689"/>
      <x:c r="J202" s="688"/>
      <x:c r="K202" s="701">
        <x:f>IF(J202&lt;&gt;"确认",0,IF(OR('幕间计算'!A403=0,D202="",E202=""),"补全记录",IF(AND(I202&lt;&gt;"",NOT(ISNUMBER(I202))),"点数无效",IF(AND(I202&lt;&gt;"",NOT(ISNUMBER(F202))),"填写前值",IF(AND(L202&lt;&gt;"",OR(NOT(ISNUMBER(M202)),M202&lt;=0,M202&gt;99)),"填写代价",IF(AND(L202="",M202&lt;&gt;""),"选择关系",IF(AND(E202="无数值变化",N(I202)&lt;&gt;0),"选择目标",IF(I202="",0,MAX(-F202,MIN(I202,IF(LEFT(E202,3)="技能：",99,IF(COUNTIF('幕间计算'!$H$2:$H$7,E202)&gt;0,18,IF(COUNTIF('幕间计算'!$N$2:$N$8,E202)&gt;0,'幕间计算'!BK402,IF(E202="体力",CEILING(('幕间计算'!BF402+'幕间计算'!BG402)/2,1),IF(E202="毅力",'幕间计算'!BJ402,IF(E202="理智",IF(OR(D202="按部就班",D202="远离喧嚣",D202="接受心理治疗",D202="重建人生动力"),MIN(99-'幕间计算'!BL402,'幕间计算'!BJ402*5),99-'幕间计算'!BL402),99))))))-F202))))))))))</x:f>
        <x:v>0</x:v>
      </x:c>
      <x:c r="L202" s="687"/>
      <x:c r="M202" s="689"/>
      <x:c r="N202" s="702"/>
    </x:row>
    <x:row r="203" ht="29" customHeight="1">
      <x:c r="A203" s="699" t="n">
        <x:v>195</x:v>
      </x:c>
      <x:c r="B203" s="688"/>
      <x:c r="C203" s="700"/>
      <x:c r="D203" s="687"/>
      <x:c r="E203" s="687"/>
      <x:c r="F203" s="689"/>
      <x:c r="G203" s="688"/>
      <x:c r="H203" s="688"/>
      <x:c r="I203" s="689"/>
      <x:c r="J203" s="688"/>
      <x:c r="K203" s="701">
        <x:f>IF(J203&lt;&gt;"确认",0,IF(OR('幕间计算'!A404=0,D203="",E203=""),"补全记录",IF(AND(I203&lt;&gt;"",NOT(ISNUMBER(I203))),"点数无效",IF(AND(I203&lt;&gt;"",NOT(ISNUMBER(F203))),"填写前值",IF(AND(L203&lt;&gt;"",OR(NOT(ISNUMBER(M203)),M203&lt;=0,M203&gt;99)),"填写代价",IF(AND(L203="",M203&lt;&gt;""),"选择关系",IF(AND(E203="无数值变化",N(I203)&lt;&gt;0),"选择目标",IF(I203="",0,MAX(-F203,MIN(I203,IF(LEFT(E203,3)="技能：",99,IF(COUNTIF('幕间计算'!$H$2:$H$7,E203)&gt;0,18,IF(COUNTIF('幕间计算'!$N$2:$N$8,E203)&gt;0,'幕间计算'!BK403,IF(E203="体力",CEILING(('幕间计算'!BF403+'幕间计算'!BG403)/2,1),IF(E203="毅力",'幕间计算'!BJ403,IF(E203="理智",IF(OR(D203="按部就班",D203="远离喧嚣",D203="接受心理治疗",D203="重建人生动力"),MIN(99-'幕间计算'!BL403,'幕间计算'!BJ403*5),99-'幕间计算'!BL403),99))))))-F203))))))))))</x:f>
        <x:v>0</x:v>
      </x:c>
      <x:c r="L203" s="687"/>
      <x:c r="M203" s="689"/>
      <x:c r="N203" s="702"/>
    </x:row>
    <x:row r="204" ht="29" customHeight="1">
      <x:c r="A204" s="699" t="n">
        <x:v>196</x:v>
      </x:c>
      <x:c r="B204" s="688"/>
      <x:c r="C204" s="700"/>
      <x:c r="D204" s="687"/>
      <x:c r="E204" s="687"/>
      <x:c r="F204" s="689"/>
      <x:c r="G204" s="688"/>
      <x:c r="H204" s="688"/>
      <x:c r="I204" s="689"/>
      <x:c r="J204" s="688"/>
      <x:c r="K204" s="701">
        <x:f>IF(J204&lt;&gt;"确认",0,IF(OR('幕间计算'!A405=0,D204="",E204=""),"补全记录",IF(AND(I204&lt;&gt;"",NOT(ISNUMBER(I204))),"点数无效",IF(AND(I204&lt;&gt;"",NOT(ISNUMBER(F204))),"填写前值",IF(AND(L204&lt;&gt;"",OR(NOT(ISNUMBER(M204)),M204&lt;=0,M204&gt;99)),"填写代价",IF(AND(L204="",M204&lt;&gt;""),"选择关系",IF(AND(E204="无数值变化",N(I204)&lt;&gt;0),"选择目标",IF(I204="",0,MAX(-F204,MIN(I204,IF(LEFT(E204,3)="技能：",99,IF(COUNTIF('幕间计算'!$H$2:$H$7,E204)&gt;0,18,IF(COUNTIF('幕间计算'!$N$2:$N$8,E204)&gt;0,'幕间计算'!BK404,IF(E204="体力",CEILING(('幕间计算'!BF404+'幕间计算'!BG404)/2,1),IF(E204="毅力",'幕间计算'!BJ404,IF(E204="理智",IF(OR(D204="按部就班",D204="远离喧嚣",D204="接受心理治疗",D204="重建人生动力"),MIN(99-'幕间计算'!BL404,'幕间计算'!BJ404*5),99-'幕间计算'!BL404),99))))))-F204))))))))))</x:f>
        <x:v>0</x:v>
      </x:c>
      <x:c r="L204" s="687"/>
      <x:c r="M204" s="689"/>
      <x:c r="N204" s="702"/>
    </x:row>
    <x:row r="205" ht="29" customHeight="1">
      <x:c r="A205" s="699" t="n">
        <x:v>197</x:v>
      </x:c>
      <x:c r="B205" s="688"/>
      <x:c r="C205" s="700"/>
      <x:c r="D205" s="687"/>
      <x:c r="E205" s="687"/>
      <x:c r="F205" s="689"/>
      <x:c r="G205" s="688"/>
      <x:c r="H205" s="688"/>
      <x:c r="I205" s="689"/>
      <x:c r="J205" s="688"/>
      <x:c r="K205" s="701">
        <x:f>IF(J205&lt;&gt;"确认",0,IF(OR('幕间计算'!A406=0,D205="",E205=""),"补全记录",IF(AND(I205&lt;&gt;"",NOT(ISNUMBER(I205))),"点数无效",IF(AND(I205&lt;&gt;"",NOT(ISNUMBER(F205))),"填写前值",IF(AND(L205&lt;&gt;"",OR(NOT(ISNUMBER(M205)),M205&lt;=0,M205&gt;99)),"填写代价",IF(AND(L205="",M205&lt;&gt;""),"选择关系",IF(AND(E205="无数值变化",N(I205)&lt;&gt;0),"选择目标",IF(I205="",0,MAX(-F205,MIN(I205,IF(LEFT(E205,3)="技能：",99,IF(COUNTIF('幕间计算'!$H$2:$H$7,E205)&gt;0,18,IF(COUNTIF('幕间计算'!$N$2:$N$8,E205)&gt;0,'幕间计算'!BK405,IF(E205="体力",CEILING(('幕间计算'!BF405+'幕间计算'!BG405)/2,1),IF(E205="毅力",'幕间计算'!BJ405,IF(E205="理智",IF(OR(D205="按部就班",D205="远离喧嚣",D205="接受心理治疗",D205="重建人生动力"),MIN(99-'幕间计算'!BL405,'幕间计算'!BJ405*5),99-'幕间计算'!BL405),99))))))-F205))))))))))</x:f>
        <x:v>0</x:v>
      </x:c>
      <x:c r="L205" s="687"/>
      <x:c r="M205" s="689"/>
      <x:c r="N205" s="702"/>
    </x:row>
    <x:row r="206" ht="29" customHeight="1">
      <x:c r="A206" s="699" t="n">
        <x:v>198</x:v>
      </x:c>
      <x:c r="B206" s="688"/>
      <x:c r="C206" s="700"/>
      <x:c r="D206" s="687"/>
      <x:c r="E206" s="687"/>
      <x:c r="F206" s="689"/>
      <x:c r="G206" s="688"/>
      <x:c r="H206" s="688"/>
      <x:c r="I206" s="689"/>
      <x:c r="J206" s="688"/>
      <x:c r="K206" s="701">
        <x:f>IF(J206&lt;&gt;"确认",0,IF(OR('幕间计算'!A407=0,D206="",E206=""),"补全记录",IF(AND(I206&lt;&gt;"",NOT(ISNUMBER(I206))),"点数无效",IF(AND(I206&lt;&gt;"",NOT(ISNUMBER(F206))),"填写前值",IF(AND(L206&lt;&gt;"",OR(NOT(ISNUMBER(M206)),M206&lt;=0,M206&gt;99)),"填写代价",IF(AND(L206="",M206&lt;&gt;""),"选择关系",IF(AND(E206="无数值变化",N(I206)&lt;&gt;0),"选择目标",IF(I206="",0,MAX(-F206,MIN(I206,IF(LEFT(E206,3)="技能：",99,IF(COUNTIF('幕间计算'!$H$2:$H$7,E206)&gt;0,18,IF(COUNTIF('幕间计算'!$N$2:$N$8,E206)&gt;0,'幕间计算'!BK406,IF(E206="体力",CEILING(('幕间计算'!BF406+'幕间计算'!BG406)/2,1),IF(E206="毅力",'幕间计算'!BJ406,IF(E206="理智",IF(OR(D206="按部就班",D206="远离喧嚣",D206="接受心理治疗",D206="重建人生动力"),MIN(99-'幕间计算'!BL406,'幕间计算'!BJ406*5),99-'幕间计算'!BL406),99))))))-F206))))))))))</x:f>
        <x:v>0</x:v>
      </x:c>
      <x:c r="L206" s="687"/>
      <x:c r="M206" s="689"/>
      <x:c r="N206" s="702"/>
    </x:row>
    <x:row r="207" ht="29" customHeight="1">
      <x:c r="A207" s="699" t="n">
        <x:v>199</x:v>
      </x:c>
      <x:c r="B207" s="688"/>
      <x:c r="C207" s="700"/>
      <x:c r="D207" s="687"/>
      <x:c r="E207" s="687"/>
      <x:c r="F207" s="689"/>
      <x:c r="G207" s="688"/>
      <x:c r="H207" s="688"/>
      <x:c r="I207" s="689"/>
      <x:c r="J207" s="688"/>
      <x:c r="K207" s="701">
        <x:f>IF(J207&lt;&gt;"确认",0,IF(OR('幕间计算'!A408=0,D207="",E207=""),"补全记录",IF(AND(I207&lt;&gt;"",NOT(ISNUMBER(I207))),"点数无效",IF(AND(I207&lt;&gt;"",NOT(ISNUMBER(F207))),"填写前值",IF(AND(L207&lt;&gt;"",OR(NOT(ISNUMBER(M207)),M207&lt;=0,M207&gt;99)),"填写代价",IF(AND(L207="",M207&lt;&gt;""),"选择关系",IF(AND(E207="无数值变化",N(I207)&lt;&gt;0),"选择目标",IF(I207="",0,MAX(-F207,MIN(I207,IF(LEFT(E207,3)="技能：",99,IF(COUNTIF('幕间计算'!$H$2:$H$7,E207)&gt;0,18,IF(COUNTIF('幕间计算'!$N$2:$N$8,E207)&gt;0,'幕间计算'!BK407,IF(E207="体力",CEILING(('幕间计算'!BF407+'幕间计算'!BG407)/2,1),IF(E207="毅力",'幕间计算'!BJ407,IF(E207="理智",IF(OR(D207="按部就班",D207="远离喧嚣",D207="接受心理治疗",D207="重建人生动力"),MIN(99-'幕间计算'!BL407,'幕间计算'!BJ407*5),99-'幕间计算'!BL407),99))))))-F207))))))))))</x:f>
        <x:v>0</x:v>
      </x:c>
      <x:c r="L207" s="687"/>
      <x:c r="M207" s="689"/>
      <x:c r="N207" s="702"/>
    </x:row>
    <x:row r="208" ht="29" customHeight="1">
      <x:c r="A208" s="699" t="n">
        <x:v>200</x:v>
      </x:c>
      <x:c r="B208" s="688"/>
      <x:c r="C208" s="700"/>
      <x:c r="D208" s="687"/>
      <x:c r="E208" s="687"/>
      <x:c r="F208" s="689"/>
      <x:c r="G208" s="688"/>
      <x:c r="H208" s="688"/>
      <x:c r="I208" s="689"/>
      <x:c r="J208" s="688"/>
      <x:c r="K208" s="701">
        <x:f>IF(J208&lt;&gt;"确认",0,IF(OR('幕间计算'!A409=0,D208="",E208=""),"补全记录",IF(AND(I208&lt;&gt;"",NOT(ISNUMBER(I208))),"点数无效",IF(AND(I208&lt;&gt;"",NOT(ISNUMBER(F208))),"填写前值",IF(AND(L208&lt;&gt;"",OR(NOT(ISNUMBER(M208)),M208&lt;=0,M208&gt;99)),"填写代价",IF(AND(L208="",M208&lt;&gt;""),"选择关系",IF(AND(E208="无数值变化",N(I208)&lt;&gt;0),"选择目标",IF(I208="",0,MAX(-F208,MIN(I208,IF(LEFT(E208,3)="技能：",99,IF(COUNTIF('幕间计算'!$H$2:$H$7,E208)&gt;0,18,IF(COUNTIF('幕间计算'!$N$2:$N$8,E208)&gt;0,'幕间计算'!BK408,IF(E208="体力",CEILING(('幕间计算'!BF408+'幕间计算'!BG408)/2,1),IF(E208="毅力",'幕间计算'!BJ408,IF(E208="理智",IF(OR(D208="按部就班",D208="远离喧嚣",D208="接受心理治疗",D208="重建人生动力"),MIN(99-'幕间计算'!BL408,'幕间计算'!BJ408*5),99-'幕间计算'!BL408),99))))))-F208))))))))))</x:f>
        <x:v>0</x:v>
      </x:c>
      <x:c r="L208" s="687"/>
      <x:c r="M208" s="689"/>
      <x:c r="N208" s="702"/>
    </x:row>
    <x:row r="209" ht="10" customHeight="1">
      <x:c r="A209" s="668"/>
      <x:c r="B209" s="668"/>
      <x:c r="C209" s="668"/>
      <x:c r="D209" s="668"/>
      <x:c r="E209" s="668"/>
      <x:c r="F209" s="668"/>
      <x:c r="G209" s="668"/>
      <x:c r="H209" s="668"/>
      <x:c r="I209" s="668"/>
      <x:c r="J209" s="668"/>
      <x:c r="K209" s="668"/>
      <x:c r="L209" s="668"/>
      <x:c r="M209" s="668"/>
      <x:c r="N209" s="668"/>
    </x:row>
    <x:row r="210" ht="28" customHeight="1">
      <x:c r="A210" s="692" t="str">
        <x:v>技能成长结算</x:v>
      </x:c>
      <x:c r="B210" s="692" t="str">
        <x:v>技能成长结算</x:v>
      </x:c>
      <x:c r="C210" s="692" t="str">
        <x:v>技能成长结算</x:v>
      </x:c>
      <x:c r="D210" s="692" t="str">
        <x:v>技能成长结算</x:v>
      </x:c>
      <x:c r="E210" s="692" t="str">
        <x:v>技能成长结算</x:v>
      </x:c>
      <x:c r="F210" s="692" t="str">
        <x:v>技能成长结算</x:v>
      </x:c>
      <x:c r="G210" s="692" t="str">
        <x:v>技能成长结算</x:v>
      </x:c>
      <x:c r="H210" s="692" t="str">
        <x:v>技能成长结算</x:v>
      </x:c>
      <x:c r="I210" s="692" t="str">
        <x:v>技能成长结算</x:v>
      </x:c>
      <x:c r="J210" s="692" t="str">
        <x:v>技能成长结算</x:v>
      </x:c>
      <x:c r="K210" s="692" t="str">
        <x:v>技能成长结算</x:v>
      </x:c>
      <x:c r="L210" s="692" t="str">
        <x:v>技能成长结算</x:v>
      </x:c>
      <x:c r="M210" s="692" t="str">
        <x:v>技能成长结算</x:v>
      </x:c>
      <x:c r="N210" s="692" t="str">
        <x:v>技能成长结算</x:v>
      </x:c>
    </x:row>
    <x:row r="211" ht="27" customHeight="1">
      <x:c r="A211" s="682" t="str">
        <x:v>选择失败技能，填写结算前值、实掷1～4点并确认；每模组每项技能只结算一次。</x:v>
      </x:c>
      <x:c r="B211" s="682" t="str">
        <x:v>选择失败技能，填写结算前值、实掷1～4点并确认；每模组每项技能只结算一次。</x:v>
      </x:c>
      <x:c r="C211" s="682" t="str">
        <x:v>选择失败技能，填写结算前值、实掷1～4点并确认；每模组每项技能只结算一次。</x:v>
      </x:c>
      <x:c r="D211" s="682" t="str">
        <x:v>选择失败技能，填写结算前值、实掷1～4点并确认；每模组每项技能只结算一次。</x:v>
      </x:c>
      <x:c r="E211" s="682" t="str">
        <x:v>选择失败技能，填写结算前值、实掷1～4点并确认；每模组每项技能只结算一次。</x:v>
      </x:c>
      <x:c r="F211" s="682" t="str">
        <x:v>选择失败技能，填写结算前值、实掷1～4点并确认；每模组每项技能只结算一次。</x:v>
      </x:c>
      <x:c r="G211" s="682" t="str">
        <x:v>选择失败技能，填写结算前值、实掷1～4点并确认；每模组每项技能只结算一次。</x:v>
      </x:c>
      <x:c r="H211" s="682" t="str">
        <x:v>选择失败技能，填写结算前值、实掷1～4点并确认；每模组每项技能只结算一次。</x:v>
      </x:c>
      <x:c r="I211" s="682" t="str">
        <x:v>选择失败技能，填写结算前值、实掷1～4点并确认；每模组每项技能只结算一次。</x:v>
      </x:c>
      <x:c r="J211" s="682" t="str">
        <x:v>选择失败技能，填写结算前值、实掷1～4点并确认；每模组每项技能只结算一次。</x:v>
      </x:c>
      <x:c r="K211" s="682" t="str">
        <x:v>选择失败技能，填写结算前值、实掷1～4点并确认；每模组每项技能只结算一次。</x:v>
      </x:c>
      <x:c r="L211" s="682" t="str">
        <x:v>选择失败技能，填写结算前值、实掷1～4点并确认；每模组每项技能只结算一次。</x:v>
      </x:c>
      <x:c r="M211" s="682" t="str">
        <x:v>选择失败技能，填写结算前值、实掷1～4点并确认；每模组每项技能只结算一次。</x:v>
      </x:c>
      <x:c r="N211" s="682" t="str">
        <x:v>选择失败技能，填写结算前值、实掷1～4点并确认；每模组每项技能只结算一次。</x:v>
      </x:c>
    </x:row>
    <x:row r="212" ht="27" customHeight="1">
      <x:c r="A212" s="695" t="inlineStr">
        <x:is>
          <x:t>模组</x:t>
        </x:is>
      </x:c>
      <x:c r="B212" s="703" t="str">
        <x:f>B3</x:f>
        <x:v>01</x:v>
      </x:c>
      <x:c r="C212" s="695" t="inlineStr">
        <x:is>
          <x:t>标记技能</x:t>
        </x:is>
      </x:c>
      <x:c r="D212" s="703">
        <x:f>COUNTIFS('幕间计算'!$A$210:$A$409,IFERROR(VALUE(B3),0),'幕间计算'!$E$210:$E$409,"&lt;999999")</x:f>
        <x:v>0</x:v>
      </x:c>
      <x:c r="E212" s="695" t="inlineStr">
        <x:is>
          <x:t>已结算</x:t>
        </x:is>
      </x:c>
      <x:c r="F212" s="703">
        <x:f>COUNTIFS('幕间计算'!$A$500:$A$739,IFERROR(VALUE(B3),0),'幕间计算'!$C$500:$C$739,1)</x:f>
        <x:v>0</x:v>
      </x:c>
      <x:c r="G212" s="695" t="inlineStr">
        <x:is>
          <x:t>成长点数</x:t>
        </x:is>
      </x:c>
      <x:c r="H212" s="703">
        <x:f>SUMIF('幕间计算'!$A$500:$A$739,IFERROR(VALUE(B3),0),G215:G454)</x:f>
        <x:v>0</x:v>
      </x:c>
      <x:c r="I212" s="695" t="inlineStr">
        <x:is>
          <x:t>待结算</x:t>
        </x:is>
      </x:c>
      <x:c r="J212" s="703">
        <x:f>MAX(0,D212-F212)</x:f>
        <x:v>0</x:v>
      </x:c>
      <x:c r="K212" s="703"/>
      <x:c r="L212" s="703"/>
      <x:c r="M212" s="703"/>
      <x:c r="N212" s="703"/>
    </x:row>
    <x:row r="213" ht="8" customHeight="1">
      <x:c r="A213" s="668"/>
      <x:c r="B213" s="668"/>
      <x:c r="C213" s="668"/>
      <x:c r="D213" s="668"/>
      <x:c r="E213" s="668"/>
      <x:c r="F213" s="668"/>
      <x:c r="G213" s="668"/>
      <x:c r="H213" s="668"/>
      <x:c r="I213" s="668"/>
      <x:c r="J213" s="668"/>
      <x:c r="K213" s="668"/>
      <x:c r="L213" s="668"/>
      <x:c r="M213" s="668"/>
      <x:c r="N213" s="668"/>
    </x:row>
    <x:row r="214" ht="30" customHeight="1">
      <x:c r="A214" s="695" t="str">
        <x:v>序号</x:v>
      </x:c>
      <x:c r="B214" s="695" t="str">
        <x:v>模组</x:v>
      </x:c>
      <x:c r="C214" s="695" t="str">
        <x:v>技能</x:v>
      </x:c>
      <x:c r="D214" s="695" t="str">
        <x:v>失败次数</x:v>
      </x:c>
      <x:c r="E214" s="695" t="str">
        <x:v>1D4</x:v>
      </x:c>
      <x:c r="F214" s="695" t="str">
        <x:v>确认</x:v>
      </x:c>
      <x:c r="G214" s="695" t="str">
        <x:v>已计成长</x:v>
      </x:c>
      <x:c r="H214" s="695" t="str">
        <x:v>状态</x:v>
      </x:c>
      <x:c r="I214" s="695" t="str">
        <x:v>结算前值</x:v>
      </x:c>
      <x:c r="J214" s="695" t="str">
        <x:v>结算后值</x:v>
      </x:c>
      <x:c r="K214" s="695" t="str">
        <x:v>结算记录</x:v>
      </x:c>
      <x:c r="L214" s="695"/>
      <x:c r="M214" s="695"/>
      <x:c r="N214" s="695"/>
    </x:row>
    <x:row r="215" ht="29" customHeight="1">
      <x:c r="A215" s="699" t="n">
        <x:v>1</x:v>
      </x:c>
      <x:c r="B215" s="688"/>
      <x:c r="C215" s="687"/>
      <x:c r="D215" s="701" t="str">
        <x:f>IF(C215="","",COUNTIFS('幕间计算'!$A$210:$A$409,'幕间计算'!A500,'幕间计算'!$B$210:$B$409,1,$E$9:$E$208,C215))</x:f>
        <x:v/>
      </x:c>
      <x:c r="E215" s="689"/>
      <x:c r="F215" s="688"/>
      <x:c r="G215" s="701">
        <x:f>IF('幕间计算'!C500=1,MAX(0,MIN(E215,99-I215)),0)</x:f>
        <x:v>0</x:v>
      </x:c>
      <x:c r="H215" s="699" t="str">
        <x:f>IF(C215="","",IF(F215="作废","已作废",IF(D215=0,"无有效标记",IF(F215&lt;&gt;"确认","待确认",IF(NOT(ISNUMBER(I215)),"填写前值",IF('幕间计算'!B500=0,"检查数值",IF('幕间计算'!C500=0,"已结算",IF(G215=0,"已达99","已计入"))))))))</x:f>
        <x:v/>
      </x:c>
      <x:c r="I215" s="689"/>
      <x:c r="J215" s="701" t="str">
        <x:f>IF(I215="","",I215+G215)</x:f>
        <x:v/>
      </x:c>
      <x:c r="K215" s="702"/>
      <x:c r="L215" s="702"/>
      <x:c r="M215" s="702"/>
      <x:c r="N215" s="702"/>
    </x:row>
    <x:row r="216" ht="29" customHeight="1">
      <x:c r="A216" s="699" t="n">
        <x:v>2</x:v>
      </x:c>
      <x:c r="B216" s="688"/>
      <x:c r="C216" s="687"/>
      <x:c r="D216" s="701" t="str">
        <x:f>IF(C216="","",COUNTIFS('幕间计算'!$A$210:$A$409,'幕间计算'!A501,'幕间计算'!$B$210:$B$409,1,$E$9:$E$208,C216))</x:f>
        <x:v/>
      </x:c>
      <x:c r="E216" s="689"/>
      <x:c r="F216" s="688"/>
      <x:c r="G216" s="701">
        <x:f>IF('幕间计算'!C501=1,MAX(0,MIN(E216,99-I216)),0)</x:f>
        <x:v>0</x:v>
      </x:c>
      <x:c r="H216" s="699" t="str">
        <x:f>IF(C216="","",IF(F216="作废","已作废",IF(D216=0,"无有效标记",IF(F216&lt;&gt;"确认","待确认",IF(NOT(ISNUMBER(I216)),"填写前值",IF('幕间计算'!B501=0,"检查数值",IF('幕间计算'!C501=0,"已结算",IF(G216=0,"已达99","已计入"))))))))</x:f>
        <x:v/>
      </x:c>
      <x:c r="I216" s="689"/>
      <x:c r="J216" s="701" t="str">
        <x:f>IF(I216="","",I216+G216)</x:f>
        <x:v/>
      </x:c>
      <x:c r="K216" s="702"/>
      <x:c r="L216" s="702"/>
      <x:c r="M216" s="702"/>
      <x:c r="N216" s="702"/>
    </x:row>
    <x:row r="217" ht="29" customHeight="1">
      <x:c r="A217" s="699" t="n">
        <x:v>3</x:v>
      </x:c>
      <x:c r="B217" s="688"/>
      <x:c r="C217" s="687"/>
      <x:c r="D217" s="701" t="str">
        <x:f>IF(C217="","",COUNTIFS('幕间计算'!$A$210:$A$409,'幕间计算'!A502,'幕间计算'!$B$210:$B$409,1,$E$9:$E$208,C217))</x:f>
        <x:v/>
      </x:c>
      <x:c r="E217" s="689"/>
      <x:c r="F217" s="688"/>
      <x:c r="G217" s="701">
        <x:f>IF('幕间计算'!C502=1,MAX(0,MIN(E217,99-I217)),0)</x:f>
        <x:v>0</x:v>
      </x:c>
      <x:c r="H217" s="699" t="str">
        <x:f>IF(C217="","",IF(F217="作废","已作废",IF(D217=0,"无有效标记",IF(F217&lt;&gt;"确认","待确认",IF(NOT(ISNUMBER(I217)),"填写前值",IF('幕间计算'!B502=0,"检查数值",IF('幕间计算'!C502=0,"已结算",IF(G217=0,"已达99","已计入"))))))))</x:f>
        <x:v/>
      </x:c>
      <x:c r="I217" s="689"/>
      <x:c r="J217" s="701" t="str">
        <x:f>IF(I217="","",I217+G217)</x:f>
        <x:v/>
      </x:c>
      <x:c r="K217" s="702"/>
      <x:c r="L217" s="702"/>
      <x:c r="M217" s="702"/>
      <x:c r="N217" s="702"/>
    </x:row>
    <x:row r="218" ht="29" customHeight="1">
      <x:c r="A218" s="699" t="n">
        <x:v>4</x:v>
      </x:c>
      <x:c r="B218" s="688"/>
      <x:c r="C218" s="687"/>
      <x:c r="D218" s="701" t="str">
        <x:f>IF(C218="","",COUNTIFS('幕间计算'!$A$210:$A$409,'幕间计算'!A503,'幕间计算'!$B$210:$B$409,1,$E$9:$E$208,C218))</x:f>
        <x:v/>
      </x:c>
      <x:c r="E218" s="689"/>
      <x:c r="F218" s="688"/>
      <x:c r="G218" s="701">
        <x:f>IF('幕间计算'!C503=1,MAX(0,MIN(E218,99-I218)),0)</x:f>
        <x:v>0</x:v>
      </x:c>
      <x:c r="H218" s="699" t="str">
        <x:f>IF(C218="","",IF(F218="作废","已作废",IF(D218=0,"无有效标记",IF(F218&lt;&gt;"确认","待确认",IF(NOT(ISNUMBER(I218)),"填写前值",IF('幕间计算'!B503=0,"检查数值",IF('幕间计算'!C503=0,"已结算",IF(G218=0,"已达99","已计入"))))))))</x:f>
        <x:v/>
      </x:c>
      <x:c r="I218" s="689"/>
      <x:c r="J218" s="701" t="str">
        <x:f>IF(I218="","",I218+G218)</x:f>
        <x:v/>
      </x:c>
      <x:c r="K218" s="702"/>
      <x:c r="L218" s="702"/>
      <x:c r="M218" s="702"/>
      <x:c r="N218" s="702"/>
    </x:row>
    <x:row r="219" ht="29" customHeight="1">
      <x:c r="A219" s="699" t="n">
        <x:v>5</x:v>
      </x:c>
      <x:c r="B219" s="688"/>
      <x:c r="C219" s="687"/>
      <x:c r="D219" s="701" t="str">
        <x:f>IF(C219="","",COUNTIFS('幕间计算'!$A$210:$A$409,'幕间计算'!A504,'幕间计算'!$B$210:$B$409,1,$E$9:$E$208,C219))</x:f>
        <x:v/>
      </x:c>
      <x:c r="E219" s="689"/>
      <x:c r="F219" s="688"/>
      <x:c r="G219" s="701">
        <x:f>IF('幕间计算'!C504=1,MAX(0,MIN(E219,99-I219)),0)</x:f>
        <x:v>0</x:v>
      </x:c>
      <x:c r="H219" s="699" t="str">
        <x:f>IF(C219="","",IF(F219="作废","已作废",IF(D219=0,"无有效标记",IF(F219&lt;&gt;"确认","待确认",IF(NOT(ISNUMBER(I219)),"填写前值",IF('幕间计算'!B504=0,"检查数值",IF('幕间计算'!C504=0,"已结算",IF(G219=0,"已达99","已计入"))))))))</x:f>
        <x:v/>
      </x:c>
      <x:c r="I219" s="689"/>
      <x:c r="J219" s="701" t="str">
        <x:f>IF(I219="","",I219+G219)</x:f>
        <x:v/>
      </x:c>
      <x:c r="K219" s="702"/>
      <x:c r="L219" s="702"/>
      <x:c r="M219" s="702"/>
      <x:c r="N219" s="702"/>
    </x:row>
    <x:row r="220" ht="29" customHeight="1">
      <x:c r="A220" s="699" t="n">
        <x:v>6</x:v>
      </x:c>
      <x:c r="B220" s="688"/>
      <x:c r="C220" s="687"/>
      <x:c r="D220" s="701" t="str">
        <x:f>IF(C220="","",COUNTIFS('幕间计算'!$A$210:$A$409,'幕间计算'!A505,'幕间计算'!$B$210:$B$409,1,$E$9:$E$208,C220))</x:f>
        <x:v/>
      </x:c>
      <x:c r="E220" s="689"/>
      <x:c r="F220" s="688"/>
      <x:c r="G220" s="701">
        <x:f>IF('幕间计算'!C505=1,MAX(0,MIN(E220,99-I220)),0)</x:f>
        <x:v>0</x:v>
      </x:c>
      <x:c r="H220" s="699" t="str">
        <x:f>IF(C220="","",IF(F220="作废","已作废",IF(D220=0,"无有效标记",IF(F220&lt;&gt;"确认","待确认",IF(NOT(ISNUMBER(I220)),"填写前值",IF('幕间计算'!B505=0,"检查数值",IF('幕间计算'!C505=0,"已结算",IF(G220=0,"已达99","已计入"))))))))</x:f>
        <x:v/>
      </x:c>
      <x:c r="I220" s="689"/>
      <x:c r="J220" s="701" t="str">
        <x:f>IF(I220="","",I220+G220)</x:f>
        <x:v/>
      </x:c>
      <x:c r="K220" s="702"/>
      <x:c r="L220" s="702"/>
      <x:c r="M220" s="702"/>
      <x:c r="N220" s="702"/>
    </x:row>
    <x:row r="221" ht="29" customHeight="1">
      <x:c r="A221" s="699" t="n">
        <x:v>7</x:v>
      </x:c>
      <x:c r="B221" s="688"/>
      <x:c r="C221" s="687"/>
      <x:c r="D221" s="701" t="str">
        <x:f>IF(C221="","",COUNTIFS('幕间计算'!$A$210:$A$409,'幕间计算'!A506,'幕间计算'!$B$210:$B$409,1,$E$9:$E$208,C221))</x:f>
        <x:v/>
      </x:c>
      <x:c r="E221" s="689"/>
      <x:c r="F221" s="688"/>
      <x:c r="G221" s="701">
        <x:f>IF('幕间计算'!C506=1,MAX(0,MIN(E221,99-I221)),0)</x:f>
        <x:v>0</x:v>
      </x:c>
      <x:c r="H221" s="699" t="str">
        <x:f>IF(C221="","",IF(F221="作废","已作废",IF(D221=0,"无有效标记",IF(F221&lt;&gt;"确认","待确认",IF(NOT(ISNUMBER(I221)),"填写前值",IF('幕间计算'!B506=0,"检查数值",IF('幕间计算'!C506=0,"已结算",IF(G221=0,"已达99","已计入"))))))))</x:f>
        <x:v/>
      </x:c>
      <x:c r="I221" s="689"/>
      <x:c r="J221" s="701" t="str">
        <x:f>IF(I221="","",I221+G221)</x:f>
        <x:v/>
      </x:c>
      <x:c r="K221" s="702"/>
      <x:c r="L221" s="702"/>
      <x:c r="M221" s="702"/>
      <x:c r="N221" s="702"/>
    </x:row>
    <x:row r="222" ht="29" customHeight="1">
      <x:c r="A222" s="699" t="n">
        <x:v>8</x:v>
      </x:c>
      <x:c r="B222" s="688"/>
      <x:c r="C222" s="687"/>
      <x:c r="D222" s="701" t="str">
        <x:f>IF(C222="","",COUNTIFS('幕间计算'!$A$210:$A$409,'幕间计算'!A507,'幕间计算'!$B$210:$B$409,1,$E$9:$E$208,C222))</x:f>
        <x:v/>
      </x:c>
      <x:c r="E222" s="689"/>
      <x:c r="F222" s="688"/>
      <x:c r="G222" s="701">
        <x:f>IF('幕间计算'!C507=1,MAX(0,MIN(E222,99-I222)),0)</x:f>
        <x:v>0</x:v>
      </x:c>
      <x:c r="H222" s="699" t="str">
        <x:f>IF(C222="","",IF(F222="作废","已作废",IF(D222=0,"无有效标记",IF(F222&lt;&gt;"确认","待确认",IF(NOT(ISNUMBER(I222)),"填写前值",IF('幕间计算'!B507=0,"检查数值",IF('幕间计算'!C507=0,"已结算",IF(G222=0,"已达99","已计入"))))))))</x:f>
        <x:v/>
      </x:c>
      <x:c r="I222" s="689"/>
      <x:c r="J222" s="701" t="str">
        <x:f>IF(I222="","",I222+G222)</x:f>
        <x:v/>
      </x:c>
      <x:c r="K222" s="702"/>
      <x:c r="L222" s="702"/>
      <x:c r="M222" s="702"/>
      <x:c r="N222" s="702"/>
    </x:row>
    <x:row r="223" ht="29" customHeight="1">
      <x:c r="A223" s="699" t="n">
        <x:v>9</x:v>
      </x:c>
      <x:c r="B223" s="688"/>
      <x:c r="C223" s="687"/>
      <x:c r="D223" s="701" t="str">
        <x:f>IF(C223="","",COUNTIFS('幕间计算'!$A$210:$A$409,'幕间计算'!A508,'幕间计算'!$B$210:$B$409,1,$E$9:$E$208,C223))</x:f>
        <x:v/>
      </x:c>
      <x:c r="E223" s="689"/>
      <x:c r="F223" s="688"/>
      <x:c r="G223" s="701">
        <x:f>IF('幕间计算'!C508=1,MAX(0,MIN(E223,99-I223)),0)</x:f>
        <x:v>0</x:v>
      </x:c>
      <x:c r="H223" s="699" t="str">
        <x:f>IF(C223="","",IF(F223="作废","已作废",IF(D223=0,"无有效标记",IF(F223&lt;&gt;"确认","待确认",IF(NOT(ISNUMBER(I223)),"填写前值",IF('幕间计算'!B508=0,"检查数值",IF('幕间计算'!C508=0,"已结算",IF(G223=0,"已达99","已计入"))))))))</x:f>
        <x:v/>
      </x:c>
      <x:c r="I223" s="689"/>
      <x:c r="J223" s="701" t="str">
        <x:f>IF(I223="","",I223+G223)</x:f>
        <x:v/>
      </x:c>
      <x:c r="K223" s="702"/>
      <x:c r="L223" s="702"/>
      <x:c r="M223" s="702"/>
      <x:c r="N223" s="702"/>
    </x:row>
    <x:row r="224" ht="29" customHeight="1">
      <x:c r="A224" s="699" t="n">
        <x:v>10</x:v>
      </x:c>
      <x:c r="B224" s="688"/>
      <x:c r="C224" s="687"/>
      <x:c r="D224" s="701" t="str">
        <x:f>IF(C224="","",COUNTIFS('幕间计算'!$A$210:$A$409,'幕间计算'!A509,'幕间计算'!$B$210:$B$409,1,$E$9:$E$208,C224))</x:f>
        <x:v/>
      </x:c>
      <x:c r="E224" s="689"/>
      <x:c r="F224" s="688"/>
      <x:c r="G224" s="701">
        <x:f>IF('幕间计算'!C509=1,MAX(0,MIN(E224,99-I224)),0)</x:f>
        <x:v>0</x:v>
      </x:c>
      <x:c r="H224" s="699" t="str">
        <x:f>IF(C224="","",IF(F224="作废","已作废",IF(D224=0,"无有效标记",IF(F224&lt;&gt;"确认","待确认",IF(NOT(ISNUMBER(I224)),"填写前值",IF('幕间计算'!B509=0,"检查数值",IF('幕间计算'!C509=0,"已结算",IF(G224=0,"已达99","已计入"))))))))</x:f>
        <x:v/>
      </x:c>
      <x:c r="I224" s="689"/>
      <x:c r="J224" s="701" t="str">
        <x:f>IF(I224="","",I224+G224)</x:f>
        <x:v/>
      </x:c>
      <x:c r="K224" s="702"/>
      <x:c r="L224" s="702"/>
      <x:c r="M224" s="702"/>
      <x:c r="N224" s="702"/>
    </x:row>
    <x:row r="225" ht="29" customHeight="1">
      <x:c r="A225" s="699" t="n">
        <x:v>11</x:v>
      </x:c>
      <x:c r="B225" s="688"/>
      <x:c r="C225" s="687"/>
      <x:c r="D225" s="701" t="str">
        <x:f>IF(C225="","",COUNTIFS('幕间计算'!$A$210:$A$409,'幕间计算'!A510,'幕间计算'!$B$210:$B$409,1,$E$9:$E$208,C225))</x:f>
        <x:v/>
      </x:c>
      <x:c r="E225" s="689"/>
      <x:c r="F225" s="688"/>
      <x:c r="G225" s="701">
        <x:f>IF('幕间计算'!C510=1,MAX(0,MIN(E225,99-I225)),0)</x:f>
        <x:v>0</x:v>
      </x:c>
      <x:c r="H225" s="699" t="str">
        <x:f>IF(C225="","",IF(F225="作废","已作废",IF(D225=0,"无有效标记",IF(F225&lt;&gt;"确认","待确认",IF(NOT(ISNUMBER(I225)),"填写前值",IF('幕间计算'!B510=0,"检查数值",IF('幕间计算'!C510=0,"已结算",IF(G225=0,"已达99","已计入"))))))))</x:f>
        <x:v/>
      </x:c>
      <x:c r="I225" s="689"/>
      <x:c r="J225" s="701" t="str">
        <x:f>IF(I225="","",I225+G225)</x:f>
        <x:v/>
      </x:c>
      <x:c r="K225" s="702"/>
      <x:c r="L225" s="702"/>
      <x:c r="M225" s="702"/>
      <x:c r="N225" s="702"/>
    </x:row>
    <x:row r="226" ht="29" customHeight="1">
      <x:c r="A226" s="699" t="n">
        <x:v>12</x:v>
      </x:c>
      <x:c r="B226" s="688"/>
      <x:c r="C226" s="687"/>
      <x:c r="D226" s="701" t="str">
        <x:f>IF(C226="","",COUNTIFS('幕间计算'!$A$210:$A$409,'幕间计算'!A511,'幕间计算'!$B$210:$B$409,1,$E$9:$E$208,C226))</x:f>
        <x:v/>
      </x:c>
      <x:c r="E226" s="689"/>
      <x:c r="F226" s="688"/>
      <x:c r="G226" s="701">
        <x:f>IF('幕间计算'!C511=1,MAX(0,MIN(E226,99-I226)),0)</x:f>
        <x:v>0</x:v>
      </x:c>
      <x:c r="H226" s="699" t="str">
        <x:f>IF(C226="","",IF(F226="作废","已作废",IF(D226=0,"无有效标记",IF(F226&lt;&gt;"确认","待确认",IF(NOT(ISNUMBER(I226)),"填写前值",IF('幕间计算'!B511=0,"检查数值",IF('幕间计算'!C511=0,"已结算",IF(G226=0,"已达99","已计入"))))))))</x:f>
        <x:v/>
      </x:c>
      <x:c r="I226" s="689"/>
      <x:c r="J226" s="701" t="str">
        <x:f>IF(I226="","",I226+G226)</x:f>
        <x:v/>
      </x:c>
      <x:c r="K226" s="702"/>
      <x:c r="L226" s="702"/>
      <x:c r="M226" s="702"/>
      <x:c r="N226" s="702"/>
    </x:row>
    <x:row r="227" ht="29" customHeight="1">
      <x:c r="A227" s="699" t="n">
        <x:v>13</x:v>
      </x:c>
      <x:c r="B227" s="688"/>
      <x:c r="C227" s="687"/>
      <x:c r="D227" s="701" t="str">
        <x:f>IF(C227="","",COUNTIFS('幕间计算'!$A$210:$A$409,'幕间计算'!A512,'幕间计算'!$B$210:$B$409,1,$E$9:$E$208,C227))</x:f>
        <x:v/>
      </x:c>
      <x:c r="E227" s="689"/>
      <x:c r="F227" s="688"/>
      <x:c r="G227" s="701">
        <x:f>IF('幕间计算'!C512=1,MAX(0,MIN(E227,99-I227)),0)</x:f>
        <x:v>0</x:v>
      </x:c>
      <x:c r="H227" s="699" t="str">
        <x:f>IF(C227="","",IF(F227="作废","已作废",IF(D227=0,"无有效标记",IF(F227&lt;&gt;"确认","待确认",IF(NOT(ISNUMBER(I227)),"填写前值",IF('幕间计算'!B512=0,"检查数值",IF('幕间计算'!C512=0,"已结算",IF(G227=0,"已达99","已计入"))))))))</x:f>
        <x:v/>
      </x:c>
      <x:c r="I227" s="689"/>
      <x:c r="J227" s="701" t="str">
        <x:f>IF(I227="","",I227+G227)</x:f>
        <x:v/>
      </x:c>
      <x:c r="K227" s="702"/>
      <x:c r="L227" s="702"/>
      <x:c r="M227" s="702"/>
      <x:c r="N227" s="702"/>
    </x:row>
    <x:row r="228" ht="29" customHeight="1">
      <x:c r="A228" s="699" t="n">
        <x:v>14</x:v>
      </x:c>
      <x:c r="B228" s="688"/>
      <x:c r="C228" s="687"/>
      <x:c r="D228" s="701" t="str">
        <x:f>IF(C228="","",COUNTIFS('幕间计算'!$A$210:$A$409,'幕间计算'!A513,'幕间计算'!$B$210:$B$409,1,$E$9:$E$208,C228))</x:f>
        <x:v/>
      </x:c>
      <x:c r="E228" s="689"/>
      <x:c r="F228" s="688"/>
      <x:c r="G228" s="701">
        <x:f>IF('幕间计算'!C513=1,MAX(0,MIN(E228,99-I228)),0)</x:f>
        <x:v>0</x:v>
      </x:c>
      <x:c r="H228" s="699" t="str">
        <x:f>IF(C228="","",IF(F228="作废","已作废",IF(D228=0,"无有效标记",IF(F228&lt;&gt;"确认","待确认",IF(NOT(ISNUMBER(I228)),"填写前值",IF('幕间计算'!B513=0,"检查数值",IF('幕间计算'!C513=0,"已结算",IF(G228=0,"已达99","已计入"))))))))</x:f>
        <x:v/>
      </x:c>
      <x:c r="I228" s="689"/>
      <x:c r="J228" s="701" t="str">
        <x:f>IF(I228="","",I228+G228)</x:f>
        <x:v/>
      </x:c>
      <x:c r="K228" s="702"/>
      <x:c r="L228" s="702"/>
      <x:c r="M228" s="702"/>
      <x:c r="N228" s="702"/>
    </x:row>
    <x:row r="229" ht="29" customHeight="1">
      <x:c r="A229" s="699" t="n">
        <x:v>15</x:v>
      </x:c>
      <x:c r="B229" s="688"/>
      <x:c r="C229" s="687"/>
      <x:c r="D229" s="701" t="str">
        <x:f>IF(C229="","",COUNTIFS('幕间计算'!$A$210:$A$409,'幕间计算'!A514,'幕间计算'!$B$210:$B$409,1,$E$9:$E$208,C229))</x:f>
        <x:v/>
      </x:c>
      <x:c r="E229" s="689"/>
      <x:c r="F229" s="688"/>
      <x:c r="G229" s="701">
        <x:f>IF('幕间计算'!C514=1,MAX(0,MIN(E229,99-I229)),0)</x:f>
        <x:v>0</x:v>
      </x:c>
      <x:c r="H229" s="699" t="str">
        <x:f>IF(C229="","",IF(F229="作废","已作废",IF(D229=0,"无有效标记",IF(F229&lt;&gt;"确认","待确认",IF(NOT(ISNUMBER(I229)),"填写前值",IF('幕间计算'!B514=0,"检查数值",IF('幕间计算'!C514=0,"已结算",IF(G229=0,"已达99","已计入"))))))))</x:f>
        <x:v/>
      </x:c>
      <x:c r="I229" s="689"/>
      <x:c r="J229" s="701" t="str">
        <x:f>IF(I229="","",I229+G229)</x:f>
        <x:v/>
      </x:c>
      <x:c r="K229" s="702"/>
      <x:c r="L229" s="702"/>
      <x:c r="M229" s="702"/>
      <x:c r="N229" s="702"/>
    </x:row>
    <x:row r="230" ht="29" customHeight="1">
      <x:c r="A230" s="699" t="n">
        <x:v>16</x:v>
      </x:c>
      <x:c r="B230" s="688"/>
      <x:c r="C230" s="687"/>
      <x:c r="D230" s="701" t="str">
        <x:f>IF(C230="","",COUNTIFS('幕间计算'!$A$210:$A$409,'幕间计算'!A515,'幕间计算'!$B$210:$B$409,1,$E$9:$E$208,C230))</x:f>
        <x:v/>
      </x:c>
      <x:c r="E230" s="689"/>
      <x:c r="F230" s="688"/>
      <x:c r="G230" s="701">
        <x:f>IF('幕间计算'!C515=1,MAX(0,MIN(E230,99-I230)),0)</x:f>
        <x:v>0</x:v>
      </x:c>
      <x:c r="H230" s="699" t="str">
        <x:f>IF(C230="","",IF(F230="作废","已作废",IF(D230=0,"无有效标记",IF(F230&lt;&gt;"确认","待确认",IF(NOT(ISNUMBER(I230)),"填写前值",IF('幕间计算'!B515=0,"检查数值",IF('幕间计算'!C515=0,"已结算",IF(G230=0,"已达99","已计入"))))))))</x:f>
        <x:v/>
      </x:c>
      <x:c r="I230" s="689"/>
      <x:c r="J230" s="701" t="str">
        <x:f>IF(I230="","",I230+G230)</x:f>
        <x:v/>
      </x:c>
      <x:c r="K230" s="702"/>
      <x:c r="L230" s="702"/>
      <x:c r="M230" s="702"/>
      <x:c r="N230" s="702"/>
    </x:row>
    <x:row r="231" ht="29" customHeight="1">
      <x:c r="A231" s="699" t="n">
        <x:v>17</x:v>
      </x:c>
      <x:c r="B231" s="688"/>
      <x:c r="C231" s="687"/>
      <x:c r="D231" s="701" t="str">
        <x:f>IF(C231="","",COUNTIFS('幕间计算'!$A$210:$A$409,'幕间计算'!A516,'幕间计算'!$B$210:$B$409,1,$E$9:$E$208,C231))</x:f>
        <x:v/>
      </x:c>
      <x:c r="E231" s="689"/>
      <x:c r="F231" s="688"/>
      <x:c r="G231" s="701">
        <x:f>IF('幕间计算'!C516=1,MAX(0,MIN(E231,99-I231)),0)</x:f>
        <x:v>0</x:v>
      </x:c>
      <x:c r="H231" s="699" t="str">
        <x:f>IF(C231="","",IF(F231="作废","已作废",IF(D231=0,"无有效标记",IF(F231&lt;&gt;"确认","待确认",IF(NOT(ISNUMBER(I231)),"填写前值",IF('幕间计算'!B516=0,"检查数值",IF('幕间计算'!C516=0,"已结算",IF(G231=0,"已达99","已计入"))))))))</x:f>
        <x:v/>
      </x:c>
      <x:c r="I231" s="689"/>
      <x:c r="J231" s="701" t="str">
        <x:f>IF(I231="","",I231+G231)</x:f>
        <x:v/>
      </x:c>
      <x:c r="K231" s="702"/>
      <x:c r="L231" s="702"/>
      <x:c r="M231" s="702"/>
      <x:c r="N231" s="702"/>
    </x:row>
    <x:row r="232" ht="29" customHeight="1">
      <x:c r="A232" s="699" t="n">
        <x:v>18</x:v>
      </x:c>
      <x:c r="B232" s="688"/>
      <x:c r="C232" s="687"/>
      <x:c r="D232" s="701" t="str">
        <x:f>IF(C232="","",COUNTIFS('幕间计算'!$A$210:$A$409,'幕间计算'!A517,'幕间计算'!$B$210:$B$409,1,$E$9:$E$208,C232))</x:f>
        <x:v/>
      </x:c>
      <x:c r="E232" s="689"/>
      <x:c r="F232" s="688"/>
      <x:c r="G232" s="701">
        <x:f>IF('幕间计算'!C517=1,MAX(0,MIN(E232,99-I232)),0)</x:f>
        <x:v>0</x:v>
      </x:c>
      <x:c r="H232" s="699" t="str">
        <x:f>IF(C232="","",IF(F232="作废","已作废",IF(D232=0,"无有效标记",IF(F232&lt;&gt;"确认","待确认",IF(NOT(ISNUMBER(I232)),"填写前值",IF('幕间计算'!B517=0,"检查数值",IF('幕间计算'!C517=0,"已结算",IF(G232=0,"已达99","已计入"))))))))</x:f>
        <x:v/>
      </x:c>
      <x:c r="I232" s="689"/>
      <x:c r="J232" s="701" t="str">
        <x:f>IF(I232="","",I232+G232)</x:f>
        <x:v/>
      </x:c>
      <x:c r="K232" s="702"/>
      <x:c r="L232" s="702"/>
      <x:c r="M232" s="702"/>
      <x:c r="N232" s="702"/>
    </x:row>
    <x:row r="233" ht="29" customHeight="1">
      <x:c r="A233" s="699" t="n">
        <x:v>19</x:v>
      </x:c>
      <x:c r="B233" s="688"/>
      <x:c r="C233" s="687"/>
      <x:c r="D233" s="701" t="str">
        <x:f>IF(C233="","",COUNTIFS('幕间计算'!$A$210:$A$409,'幕间计算'!A518,'幕间计算'!$B$210:$B$409,1,$E$9:$E$208,C233))</x:f>
        <x:v/>
      </x:c>
      <x:c r="E233" s="689"/>
      <x:c r="F233" s="688"/>
      <x:c r="G233" s="701">
        <x:f>IF('幕间计算'!C518=1,MAX(0,MIN(E233,99-I233)),0)</x:f>
        <x:v>0</x:v>
      </x:c>
      <x:c r="H233" s="699" t="str">
        <x:f>IF(C233="","",IF(F233="作废","已作废",IF(D233=0,"无有效标记",IF(F233&lt;&gt;"确认","待确认",IF(NOT(ISNUMBER(I233)),"填写前值",IF('幕间计算'!B518=0,"检查数值",IF('幕间计算'!C518=0,"已结算",IF(G233=0,"已达99","已计入"))))))))</x:f>
        <x:v/>
      </x:c>
      <x:c r="I233" s="689"/>
      <x:c r="J233" s="701" t="str">
        <x:f>IF(I233="","",I233+G233)</x:f>
        <x:v/>
      </x:c>
      <x:c r="K233" s="702"/>
      <x:c r="L233" s="702"/>
      <x:c r="M233" s="702"/>
      <x:c r="N233" s="702"/>
    </x:row>
    <x:row r="234" ht="29" customHeight="1">
      <x:c r="A234" s="699" t="n">
        <x:v>20</x:v>
      </x:c>
      <x:c r="B234" s="688"/>
      <x:c r="C234" s="687"/>
      <x:c r="D234" s="701" t="str">
        <x:f>IF(C234="","",COUNTIFS('幕间计算'!$A$210:$A$409,'幕间计算'!A519,'幕间计算'!$B$210:$B$409,1,$E$9:$E$208,C234))</x:f>
        <x:v/>
      </x:c>
      <x:c r="E234" s="689"/>
      <x:c r="F234" s="688"/>
      <x:c r="G234" s="701">
        <x:f>IF('幕间计算'!C519=1,MAX(0,MIN(E234,99-I234)),0)</x:f>
        <x:v>0</x:v>
      </x:c>
      <x:c r="H234" s="699" t="str">
        <x:f>IF(C234="","",IF(F234="作废","已作废",IF(D234=0,"无有效标记",IF(F234&lt;&gt;"确认","待确认",IF(NOT(ISNUMBER(I234)),"填写前值",IF('幕间计算'!B519=0,"检查数值",IF('幕间计算'!C519=0,"已结算",IF(G234=0,"已达99","已计入"))))))))</x:f>
        <x:v/>
      </x:c>
      <x:c r="I234" s="689"/>
      <x:c r="J234" s="701" t="str">
        <x:f>IF(I234="","",I234+G234)</x:f>
        <x:v/>
      </x:c>
      <x:c r="K234" s="702"/>
      <x:c r="L234" s="702"/>
      <x:c r="M234" s="702"/>
      <x:c r="N234" s="702"/>
    </x:row>
    <x:row r="235" ht="29" customHeight="1">
      <x:c r="A235" s="699" t="n">
        <x:v>21</x:v>
      </x:c>
      <x:c r="B235" s="688"/>
      <x:c r="C235" s="687"/>
      <x:c r="D235" s="701" t="str">
        <x:f>IF(C235="","",COUNTIFS('幕间计算'!$A$210:$A$409,'幕间计算'!A520,'幕间计算'!$B$210:$B$409,1,$E$9:$E$208,C235))</x:f>
        <x:v/>
      </x:c>
      <x:c r="E235" s="689"/>
      <x:c r="F235" s="688"/>
      <x:c r="G235" s="701">
        <x:f>IF('幕间计算'!C520=1,MAX(0,MIN(E235,99-I235)),0)</x:f>
        <x:v>0</x:v>
      </x:c>
      <x:c r="H235" s="699" t="str">
        <x:f>IF(C235="","",IF(F235="作废","已作废",IF(D235=0,"无有效标记",IF(F235&lt;&gt;"确认","待确认",IF(NOT(ISNUMBER(I235)),"填写前值",IF('幕间计算'!B520=0,"检查数值",IF('幕间计算'!C520=0,"已结算",IF(G235=0,"已达99","已计入"))))))))</x:f>
        <x:v/>
      </x:c>
      <x:c r="I235" s="689"/>
      <x:c r="J235" s="701" t="str">
        <x:f>IF(I235="","",I235+G235)</x:f>
        <x:v/>
      </x:c>
      <x:c r="K235" s="702"/>
      <x:c r="L235" s="702"/>
      <x:c r="M235" s="702"/>
      <x:c r="N235" s="702"/>
    </x:row>
    <x:row r="236" ht="29" customHeight="1">
      <x:c r="A236" s="699" t="n">
        <x:v>22</x:v>
      </x:c>
      <x:c r="B236" s="688"/>
      <x:c r="C236" s="687"/>
      <x:c r="D236" s="701" t="str">
        <x:f>IF(C236="","",COUNTIFS('幕间计算'!$A$210:$A$409,'幕间计算'!A521,'幕间计算'!$B$210:$B$409,1,$E$9:$E$208,C236))</x:f>
        <x:v/>
      </x:c>
      <x:c r="E236" s="689"/>
      <x:c r="F236" s="688"/>
      <x:c r="G236" s="701">
        <x:f>IF('幕间计算'!C521=1,MAX(0,MIN(E236,99-I236)),0)</x:f>
        <x:v>0</x:v>
      </x:c>
      <x:c r="H236" s="699" t="str">
        <x:f>IF(C236="","",IF(F236="作废","已作废",IF(D236=0,"无有效标记",IF(F236&lt;&gt;"确认","待确认",IF(NOT(ISNUMBER(I236)),"填写前值",IF('幕间计算'!B521=0,"检查数值",IF('幕间计算'!C521=0,"已结算",IF(G236=0,"已达99","已计入"))))))))</x:f>
        <x:v/>
      </x:c>
      <x:c r="I236" s="689"/>
      <x:c r="J236" s="701" t="str">
        <x:f>IF(I236="","",I236+G236)</x:f>
        <x:v/>
      </x:c>
      <x:c r="K236" s="702"/>
      <x:c r="L236" s="702"/>
      <x:c r="M236" s="702"/>
      <x:c r="N236" s="702"/>
    </x:row>
    <x:row r="237" ht="29" customHeight="1">
      <x:c r="A237" s="699" t="n">
        <x:v>23</x:v>
      </x:c>
      <x:c r="B237" s="688"/>
      <x:c r="C237" s="687"/>
      <x:c r="D237" s="701" t="str">
        <x:f>IF(C237="","",COUNTIFS('幕间计算'!$A$210:$A$409,'幕间计算'!A522,'幕间计算'!$B$210:$B$409,1,$E$9:$E$208,C237))</x:f>
        <x:v/>
      </x:c>
      <x:c r="E237" s="689"/>
      <x:c r="F237" s="688"/>
      <x:c r="G237" s="701">
        <x:f>IF('幕间计算'!C522=1,MAX(0,MIN(E237,99-I237)),0)</x:f>
        <x:v>0</x:v>
      </x:c>
      <x:c r="H237" s="699" t="str">
        <x:f>IF(C237="","",IF(F237="作废","已作废",IF(D237=0,"无有效标记",IF(F237&lt;&gt;"确认","待确认",IF(NOT(ISNUMBER(I237)),"填写前值",IF('幕间计算'!B522=0,"检查数值",IF('幕间计算'!C522=0,"已结算",IF(G237=0,"已达99","已计入"))))))))</x:f>
        <x:v/>
      </x:c>
      <x:c r="I237" s="689"/>
      <x:c r="J237" s="701" t="str">
        <x:f>IF(I237="","",I237+G237)</x:f>
        <x:v/>
      </x:c>
      <x:c r="K237" s="702"/>
      <x:c r="L237" s="702"/>
      <x:c r="M237" s="702"/>
      <x:c r="N237" s="702"/>
    </x:row>
    <x:row r="238" ht="29" customHeight="1">
      <x:c r="A238" s="699" t="n">
        <x:v>24</x:v>
      </x:c>
      <x:c r="B238" s="688"/>
      <x:c r="C238" s="687"/>
      <x:c r="D238" s="701" t="str">
        <x:f>IF(C238="","",COUNTIFS('幕间计算'!$A$210:$A$409,'幕间计算'!A523,'幕间计算'!$B$210:$B$409,1,$E$9:$E$208,C238))</x:f>
        <x:v/>
      </x:c>
      <x:c r="E238" s="689"/>
      <x:c r="F238" s="688"/>
      <x:c r="G238" s="701">
        <x:f>IF('幕间计算'!C523=1,MAX(0,MIN(E238,99-I238)),0)</x:f>
        <x:v>0</x:v>
      </x:c>
      <x:c r="H238" s="699" t="str">
        <x:f>IF(C238="","",IF(F238="作废","已作废",IF(D238=0,"无有效标记",IF(F238&lt;&gt;"确认","待确认",IF(NOT(ISNUMBER(I238)),"填写前值",IF('幕间计算'!B523=0,"检查数值",IF('幕间计算'!C523=0,"已结算",IF(G238=0,"已达99","已计入"))))))))</x:f>
        <x:v/>
      </x:c>
      <x:c r="I238" s="689"/>
      <x:c r="J238" s="701" t="str">
        <x:f>IF(I238="","",I238+G238)</x:f>
        <x:v/>
      </x:c>
      <x:c r="K238" s="702"/>
      <x:c r="L238" s="702"/>
      <x:c r="M238" s="702"/>
      <x:c r="N238" s="702"/>
    </x:row>
    <x:row r="239" ht="29" customHeight="1">
      <x:c r="A239" s="699" t="n">
        <x:v>25</x:v>
      </x:c>
      <x:c r="B239" s="688"/>
      <x:c r="C239" s="687"/>
      <x:c r="D239" s="701" t="str">
        <x:f>IF(C239="","",COUNTIFS('幕间计算'!$A$210:$A$409,'幕间计算'!A524,'幕间计算'!$B$210:$B$409,1,$E$9:$E$208,C239))</x:f>
        <x:v/>
      </x:c>
      <x:c r="E239" s="689"/>
      <x:c r="F239" s="688"/>
      <x:c r="G239" s="701">
        <x:f>IF('幕间计算'!C524=1,MAX(0,MIN(E239,99-I239)),0)</x:f>
        <x:v>0</x:v>
      </x:c>
      <x:c r="H239" s="699" t="str">
        <x:f>IF(C239="","",IF(F239="作废","已作废",IF(D239=0,"无有效标记",IF(F239&lt;&gt;"确认","待确认",IF(NOT(ISNUMBER(I239)),"填写前值",IF('幕间计算'!B524=0,"检查数值",IF('幕间计算'!C524=0,"已结算",IF(G239=0,"已达99","已计入"))))))))</x:f>
        <x:v/>
      </x:c>
      <x:c r="I239" s="689"/>
      <x:c r="J239" s="701" t="str">
        <x:f>IF(I239="","",I239+G239)</x:f>
        <x:v/>
      </x:c>
      <x:c r="K239" s="702"/>
      <x:c r="L239" s="702"/>
      <x:c r="M239" s="702"/>
      <x:c r="N239" s="702"/>
    </x:row>
    <x:row r="240" ht="29" customHeight="1">
      <x:c r="A240" s="699" t="n">
        <x:v>26</x:v>
      </x:c>
      <x:c r="B240" s="688"/>
      <x:c r="C240" s="687"/>
      <x:c r="D240" s="701" t="str">
        <x:f>IF(C240="","",COUNTIFS('幕间计算'!$A$210:$A$409,'幕间计算'!A525,'幕间计算'!$B$210:$B$409,1,$E$9:$E$208,C240))</x:f>
        <x:v/>
      </x:c>
      <x:c r="E240" s="689"/>
      <x:c r="F240" s="688"/>
      <x:c r="G240" s="701">
        <x:f>IF('幕间计算'!C525=1,MAX(0,MIN(E240,99-I240)),0)</x:f>
        <x:v>0</x:v>
      </x:c>
      <x:c r="H240" s="699" t="str">
        <x:f>IF(C240="","",IF(F240="作废","已作废",IF(D240=0,"无有效标记",IF(F240&lt;&gt;"确认","待确认",IF(NOT(ISNUMBER(I240)),"填写前值",IF('幕间计算'!B525=0,"检查数值",IF('幕间计算'!C525=0,"已结算",IF(G240=0,"已达99","已计入"))))))))</x:f>
        <x:v/>
      </x:c>
      <x:c r="I240" s="689"/>
      <x:c r="J240" s="701" t="str">
        <x:f>IF(I240="","",I240+G240)</x:f>
        <x:v/>
      </x:c>
      <x:c r="K240" s="702"/>
      <x:c r="L240" s="702"/>
      <x:c r="M240" s="702"/>
      <x:c r="N240" s="702"/>
    </x:row>
    <x:row r="241" ht="29" customHeight="1">
      <x:c r="A241" s="699" t="n">
        <x:v>27</x:v>
      </x:c>
      <x:c r="B241" s="688"/>
      <x:c r="C241" s="687"/>
      <x:c r="D241" s="701" t="str">
        <x:f>IF(C241="","",COUNTIFS('幕间计算'!$A$210:$A$409,'幕间计算'!A526,'幕间计算'!$B$210:$B$409,1,$E$9:$E$208,C241))</x:f>
        <x:v/>
      </x:c>
      <x:c r="E241" s="689"/>
      <x:c r="F241" s="688"/>
      <x:c r="G241" s="701">
        <x:f>IF('幕间计算'!C526=1,MAX(0,MIN(E241,99-I241)),0)</x:f>
        <x:v>0</x:v>
      </x:c>
      <x:c r="H241" s="699" t="str">
        <x:f>IF(C241="","",IF(F241="作废","已作废",IF(D241=0,"无有效标记",IF(F241&lt;&gt;"确认","待确认",IF(NOT(ISNUMBER(I241)),"填写前值",IF('幕间计算'!B526=0,"检查数值",IF('幕间计算'!C526=0,"已结算",IF(G241=0,"已达99","已计入"))))))))</x:f>
        <x:v/>
      </x:c>
      <x:c r="I241" s="689"/>
      <x:c r="J241" s="701" t="str">
        <x:f>IF(I241="","",I241+G241)</x:f>
        <x:v/>
      </x:c>
      <x:c r="K241" s="702"/>
      <x:c r="L241" s="702"/>
      <x:c r="M241" s="702"/>
      <x:c r="N241" s="702"/>
    </x:row>
    <x:row r="242" ht="29" customHeight="1">
      <x:c r="A242" s="699" t="n">
        <x:v>28</x:v>
      </x:c>
      <x:c r="B242" s="688"/>
      <x:c r="C242" s="687"/>
      <x:c r="D242" s="701" t="str">
        <x:f>IF(C242="","",COUNTIFS('幕间计算'!$A$210:$A$409,'幕间计算'!A527,'幕间计算'!$B$210:$B$409,1,$E$9:$E$208,C242))</x:f>
        <x:v/>
      </x:c>
      <x:c r="E242" s="689"/>
      <x:c r="F242" s="688"/>
      <x:c r="G242" s="701">
        <x:f>IF('幕间计算'!C527=1,MAX(0,MIN(E242,99-I242)),0)</x:f>
        <x:v>0</x:v>
      </x:c>
      <x:c r="H242" s="699" t="str">
        <x:f>IF(C242="","",IF(F242="作废","已作废",IF(D242=0,"无有效标记",IF(F242&lt;&gt;"确认","待确认",IF(NOT(ISNUMBER(I242)),"填写前值",IF('幕间计算'!B527=0,"检查数值",IF('幕间计算'!C527=0,"已结算",IF(G242=0,"已达99","已计入"))))))))</x:f>
        <x:v/>
      </x:c>
      <x:c r="I242" s="689"/>
      <x:c r="J242" s="701" t="str">
        <x:f>IF(I242="","",I242+G242)</x:f>
        <x:v/>
      </x:c>
      <x:c r="K242" s="702"/>
      <x:c r="L242" s="702"/>
      <x:c r="M242" s="702"/>
      <x:c r="N242" s="702"/>
    </x:row>
    <x:row r="243" ht="29" customHeight="1">
      <x:c r="A243" s="699" t="n">
        <x:v>29</x:v>
      </x:c>
      <x:c r="B243" s="688"/>
      <x:c r="C243" s="687"/>
      <x:c r="D243" s="701" t="str">
        <x:f>IF(C243="","",COUNTIFS('幕间计算'!$A$210:$A$409,'幕间计算'!A528,'幕间计算'!$B$210:$B$409,1,$E$9:$E$208,C243))</x:f>
        <x:v/>
      </x:c>
      <x:c r="E243" s="689"/>
      <x:c r="F243" s="688"/>
      <x:c r="G243" s="701">
        <x:f>IF('幕间计算'!C528=1,MAX(0,MIN(E243,99-I243)),0)</x:f>
        <x:v>0</x:v>
      </x:c>
      <x:c r="H243" s="699" t="str">
        <x:f>IF(C243="","",IF(F243="作废","已作废",IF(D243=0,"无有效标记",IF(F243&lt;&gt;"确认","待确认",IF(NOT(ISNUMBER(I243)),"填写前值",IF('幕间计算'!B528=0,"检查数值",IF('幕间计算'!C528=0,"已结算",IF(G243=0,"已达99","已计入"))))))))</x:f>
        <x:v/>
      </x:c>
      <x:c r="I243" s="689"/>
      <x:c r="J243" s="701" t="str">
        <x:f>IF(I243="","",I243+G243)</x:f>
        <x:v/>
      </x:c>
      <x:c r="K243" s="702"/>
      <x:c r="L243" s="702"/>
      <x:c r="M243" s="702"/>
      <x:c r="N243" s="702"/>
    </x:row>
    <x:row r="244" ht="29" customHeight="1">
      <x:c r="A244" s="699" t="n">
        <x:v>30</x:v>
      </x:c>
      <x:c r="B244" s="688"/>
      <x:c r="C244" s="687"/>
      <x:c r="D244" s="701" t="str">
        <x:f>IF(C244="","",COUNTIFS('幕间计算'!$A$210:$A$409,'幕间计算'!A529,'幕间计算'!$B$210:$B$409,1,$E$9:$E$208,C244))</x:f>
        <x:v/>
      </x:c>
      <x:c r="E244" s="689"/>
      <x:c r="F244" s="688"/>
      <x:c r="G244" s="701">
        <x:f>IF('幕间计算'!C529=1,MAX(0,MIN(E244,99-I244)),0)</x:f>
        <x:v>0</x:v>
      </x:c>
      <x:c r="H244" s="699" t="str">
        <x:f>IF(C244="","",IF(F244="作废","已作废",IF(D244=0,"无有效标记",IF(F244&lt;&gt;"确认","待确认",IF(NOT(ISNUMBER(I244)),"填写前值",IF('幕间计算'!B529=0,"检查数值",IF('幕间计算'!C529=0,"已结算",IF(G244=0,"已达99","已计入"))))))))</x:f>
        <x:v/>
      </x:c>
      <x:c r="I244" s="689"/>
      <x:c r="J244" s="701" t="str">
        <x:f>IF(I244="","",I244+G244)</x:f>
        <x:v/>
      </x:c>
      <x:c r="K244" s="702"/>
      <x:c r="L244" s="702"/>
      <x:c r="M244" s="702"/>
      <x:c r="N244" s="702"/>
    </x:row>
    <x:row r="245" ht="29" customHeight="1">
      <x:c r="A245" s="699" t="n">
        <x:v>31</x:v>
      </x:c>
      <x:c r="B245" s="688"/>
      <x:c r="C245" s="687"/>
      <x:c r="D245" s="701" t="str">
        <x:f>IF(C245="","",COUNTIFS('幕间计算'!$A$210:$A$409,'幕间计算'!A530,'幕间计算'!$B$210:$B$409,1,$E$9:$E$208,C245))</x:f>
        <x:v/>
      </x:c>
      <x:c r="E245" s="689"/>
      <x:c r="F245" s="688"/>
      <x:c r="G245" s="701">
        <x:f>IF('幕间计算'!C530=1,MAX(0,MIN(E245,99-I245)),0)</x:f>
        <x:v>0</x:v>
      </x:c>
      <x:c r="H245" s="699" t="str">
        <x:f>IF(C245="","",IF(F245="作废","已作废",IF(D245=0,"无有效标记",IF(F245&lt;&gt;"确认","待确认",IF(NOT(ISNUMBER(I245)),"填写前值",IF('幕间计算'!B530=0,"检查数值",IF('幕间计算'!C530=0,"已结算",IF(G245=0,"已达99","已计入"))))))))</x:f>
        <x:v/>
      </x:c>
      <x:c r="I245" s="689"/>
      <x:c r="J245" s="701" t="str">
        <x:f>IF(I245="","",I245+G245)</x:f>
        <x:v/>
      </x:c>
      <x:c r="K245" s="702"/>
      <x:c r="L245" s="702"/>
      <x:c r="M245" s="702"/>
      <x:c r="N245" s="702"/>
    </x:row>
    <x:row r="246" ht="29" customHeight="1">
      <x:c r="A246" s="699" t="n">
        <x:v>32</x:v>
      </x:c>
      <x:c r="B246" s="688"/>
      <x:c r="C246" s="687"/>
      <x:c r="D246" s="701" t="str">
        <x:f>IF(C246="","",COUNTIFS('幕间计算'!$A$210:$A$409,'幕间计算'!A531,'幕间计算'!$B$210:$B$409,1,$E$9:$E$208,C246))</x:f>
        <x:v/>
      </x:c>
      <x:c r="E246" s="689"/>
      <x:c r="F246" s="688"/>
      <x:c r="G246" s="701">
        <x:f>IF('幕间计算'!C531=1,MAX(0,MIN(E246,99-I246)),0)</x:f>
        <x:v>0</x:v>
      </x:c>
      <x:c r="H246" s="699" t="str">
        <x:f>IF(C246="","",IF(F246="作废","已作废",IF(D246=0,"无有效标记",IF(F246&lt;&gt;"确认","待确认",IF(NOT(ISNUMBER(I246)),"填写前值",IF('幕间计算'!B531=0,"检查数值",IF('幕间计算'!C531=0,"已结算",IF(G246=0,"已达99","已计入"))))))))</x:f>
        <x:v/>
      </x:c>
      <x:c r="I246" s="689"/>
      <x:c r="J246" s="701" t="str">
        <x:f>IF(I246="","",I246+G246)</x:f>
        <x:v/>
      </x:c>
      <x:c r="K246" s="702"/>
      <x:c r="L246" s="702"/>
      <x:c r="M246" s="702"/>
      <x:c r="N246" s="702"/>
    </x:row>
    <x:row r="247" ht="29" customHeight="1">
      <x:c r="A247" s="699" t="n">
        <x:v>33</x:v>
      </x:c>
      <x:c r="B247" s="688"/>
      <x:c r="C247" s="687"/>
      <x:c r="D247" s="701" t="str">
        <x:f>IF(C247="","",COUNTIFS('幕间计算'!$A$210:$A$409,'幕间计算'!A532,'幕间计算'!$B$210:$B$409,1,$E$9:$E$208,C247))</x:f>
        <x:v/>
      </x:c>
      <x:c r="E247" s="689"/>
      <x:c r="F247" s="688"/>
      <x:c r="G247" s="701">
        <x:f>IF('幕间计算'!C532=1,MAX(0,MIN(E247,99-I247)),0)</x:f>
        <x:v>0</x:v>
      </x:c>
      <x:c r="H247" s="699" t="str">
        <x:f>IF(C247="","",IF(F247="作废","已作废",IF(D247=0,"无有效标记",IF(F247&lt;&gt;"确认","待确认",IF(NOT(ISNUMBER(I247)),"填写前值",IF('幕间计算'!B532=0,"检查数值",IF('幕间计算'!C532=0,"已结算",IF(G247=0,"已达99","已计入"))))))))</x:f>
        <x:v/>
      </x:c>
      <x:c r="I247" s="689"/>
      <x:c r="J247" s="701" t="str">
        <x:f>IF(I247="","",I247+G247)</x:f>
        <x:v/>
      </x:c>
      <x:c r="K247" s="702"/>
      <x:c r="L247" s="702"/>
      <x:c r="M247" s="702"/>
      <x:c r="N247" s="702"/>
    </x:row>
    <x:row r="248" ht="29" customHeight="1">
      <x:c r="A248" s="699" t="n">
        <x:v>34</x:v>
      </x:c>
      <x:c r="B248" s="688"/>
      <x:c r="C248" s="687"/>
      <x:c r="D248" s="701" t="str">
        <x:f>IF(C248="","",COUNTIFS('幕间计算'!$A$210:$A$409,'幕间计算'!A533,'幕间计算'!$B$210:$B$409,1,$E$9:$E$208,C248))</x:f>
        <x:v/>
      </x:c>
      <x:c r="E248" s="689"/>
      <x:c r="F248" s="688"/>
      <x:c r="G248" s="701">
        <x:f>IF('幕间计算'!C533=1,MAX(0,MIN(E248,99-I248)),0)</x:f>
        <x:v>0</x:v>
      </x:c>
      <x:c r="H248" s="699" t="str">
        <x:f>IF(C248="","",IF(F248="作废","已作废",IF(D248=0,"无有效标记",IF(F248&lt;&gt;"确认","待确认",IF(NOT(ISNUMBER(I248)),"填写前值",IF('幕间计算'!B533=0,"检查数值",IF('幕间计算'!C533=0,"已结算",IF(G248=0,"已达99","已计入"))))))))</x:f>
        <x:v/>
      </x:c>
      <x:c r="I248" s="689"/>
      <x:c r="J248" s="701" t="str">
        <x:f>IF(I248="","",I248+G248)</x:f>
        <x:v/>
      </x:c>
      <x:c r="K248" s="702"/>
      <x:c r="L248" s="702"/>
      <x:c r="M248" s="702"/>
      <x:c r="N248" s="702"/>
    </x:row>
    <x:row r="249" ht="29" customHeight="1">
      <x:c r="A249" s="699" t="n">
        <x:v>35</x:v>
      </x:c>
      <x:c r="B249" s="688"/>
      <x:c r="C249" s="687"/>
      <x:c r="D249" s="701" t="str">
        <x:f>IF(C249="","",COUNTIFS('幕间计算'!$A$210:$A$409,'幕间计算'!A534,'幕间计算'!$B$210:$B$409,1,$E$9:$E$208,C249))</x:f>
        <x:v/>
      </x:c>
      <x:c r="E249" s="689"/>
      <x:c r="F249" s="688"/>
      <x:c r="G249" s="701">
        <x:f>IF('幕间计算'!C534=1,MAX(0,MIN(E249,99-I249)),0)</x:f>
        <x:v>0</x:v>
      </x:c>
      <x:c r="H249" s="699" t="str">
        <x:f>IF(C249="","",IF(F249="作废","已作废",IF(D249=0,"无有效标记",IF(F249&lt;&gt;"确认","待确认",IF(NOT(ISNUMBER(I249)),"填写前值",IF('幕间计算'!B534=0,"检查数值",IF('幕间计算'!C534=0,"已结算",IF(G249=0,"已达99","已计入"))))))))</x:f>
        <x:v/>
      </x:c>
      <x:c r="I249" s="689"/>
      <x:c r="J249" s="701" t="str">
        <x:f>IF(I249="","",I249+G249)</x:f>
        <x:v/>
      </x:c>
      <x:c r="K249" s="702"/>
      <x:c r="L249" s="702"/>
      <x:c r="M249" s="702"/>
      <x:c r="N249" s="702"/>
    </x:row>
    <x:row r="250" ht="29" customHeight="1">
      <x:c r="A250" s="699" t="n">
        <x:v>36</x:v>
      </x:c>
      <x:c r="B250" s="688"/>
      <x:c r="C250" s="687"/>
      <x:c r="D250" s="701" t="str">
        <x:f>IF(C250="","",COUNTIFS('幕间计算'!$A$210:$A$409,'幕间计算'!A535,'幕间计算'!$B$210:$B$409,1,$E$9:$E$208,C250))</x:f>
        <x:v/>
      </x:c>
      <x:c r="E250" s="689"/>
      <x:c r="F250" s="688"/>
      <x:c r="G250" s="701">
        <x:f>IF('幕间计算'!C535=1,MAX(0,MIN(E250,99-I250)),0)</x:f>
        <x:v>0</x:v>
      </x:c>
      <x:c r="H250" s="699" t="str">
        <x:f>IF(C250="","",IF(F250="作废","已作废",IF(D250=0,"无有效标记",IF(F250&lt;&gt;"确认","待确认",IF(NOT(ISNUMBER(I250)),"填写前值",IF('幕间计算'!B535=0,"检查数值",IF('幕间计算'!C535=0,"已结算",IF(G250=0,"已达99","已计入"))))))))</x:f>
        <x:v/>
      </x:c>
      <x:c r="I250" s="689"/>
      <x:c r="J250" s="701" t="str">
        <x:f>IF(I250="","",I250+G250)</x:f>
        <x:v/>
      </x:c>
      <x:c r="K250" s="702"/>
      <x:c r="L250" s="702"/>
      <x:c r="M250" s="702"/>
      <x:c r="N250" s="702"/>
    </x:row>
    <x:row r="251" ht="29" customHeight="1">
      <x:c r="A251" s="699" t="n">
        <x:v>37</x:v>
      </x:c>
      <x:c r="B251" s="688"/>
      <x:c r="C251" s="687"/>
      <x:c r="D251" s="701" t="str">
        <x:f>IF(C251="","",COUNTIFS('幕间计算'!$A$210:$A$409,'幕间计算'!A536,'幕间计算'!$B$210:$B$409,1,$E$9:$E$208,C251))</x:f>
        <x:v/>
      </x:c>
      <x:c r="E251" s="689"/>
      <x:c r="F251" s="688"/>
      <x:c r="G251" s="701">
        <x:f>IF('幕间计算'!C536=1,MAX(0,MIN(E251,99-I251)),0)</x:f>
        <x:v>0</x:v>
      </x:c>
      <x:c r="H251" s="699" t="str">
        <x:f>IF(C251="","",IF(F251="作废","已作废",IF(D251=0,"无有效标记",IF(F251&lt;&gt;"确认","待确认",IF(NOT(ISNUMBER(I251)),"填写前值",IF('幕间计算'!B536=0,"检查数值",IF('幕间计算'!C536=0,"已结算",IF(G251=0,"已达99","已计入"))))))))</x:f>
        <x:v/>
      </x:c>
      <x:c r="I251" s="689"/>
      <x:c r="J251" s="701" t="str">
        <x:f>IF(I251="","",I251+G251)</x:f>
        <x:v/>
      </x:c>
      <x:c r="K251" s="702"/>
      <x:c r="L251" s="702"/>
      <x:c r="M251" s="702"/>
      <x:c r="N251" s="702"/>
    </x:row>
    <x:row r="252" ht="29" customHeight="1">
      <x:c r="A252" s="699" t="n">
        <x:v>38</x:v>
      </x:c>
      <x:c r="B252" s="688"/>
      <x:c r="C252" s="687"/>
      <x:c r="D252" s="701" t="str">
        <x:f>IF(C252="","",COUNTIFS('幕间计算'!$A$210:$A$409,'幕间计算'!A537,'幕间计算'!$B$210:$B$409,1,$E$9:$E$208,C252))</x:f>
        <x:v/>
      </x:c>
      <x:c r="E252" s="689"/>
      <x:c r="F252" s="688"/>
      <x:c r="G252" s="701">
        <x:f>IF('幕间计算'!C537=1,MAX(0,MIN(E252,99-I252)),0)</x:f>
        <x:v>0</x:v>
      </x:c>
      <x:c r="H252" s="699" t="str">
        <x:f>IF(C252="","",IF(F252="作废","已作废",IF(D252=0,"无有效标记",IF(F252&lt;&gt;"确认","待确认",IF(NOT(ISNUMBER(I252)),"填写前值",IF('幕间计算'!B537=0,"检查数值",IF('幕间计算'!C537=0,"已结算",IF(G252=0,"已达99","已计入"))))))))</x:f>
        <x:v/>
      </x:c>
      <x:c r="I252" s="689"/>
      <x:c r="J252" s="701" t="str">
        <x:f>IF(I252="","",I252+G252)</x:f>
        <x:v/>
      </x:c>
      <x:c r="K252" s="702"/>
      <x:c r="L252" s="702"/>
      <x:c r="M252" s="702"/>
      <x:c r="N252" s="702"/>
    </x:row>
    <x:row r="253" ht="29" customHeight="1">
      <x:c r="A253" s="699" t="n">
        <x:v>39</x:v>
      </x:c>
      <x:c r="B253" s="688"/>
      <x:c r="C253" s="687"/>
      <x:c r="D253" s="701" t="str">
        <x:f>IF(C253="","",COUNTIFS('幕间计算'!$A$210:$A$409,'幕间计算'!A538,'幕间计算'!$B$210:$B$409,1,$E$9:$E$208,C253))</x:f>
        <x:v/>
      </x:c>
      <x:c r="E253" s="689"/>
      <x:c r="F253" s="688"/>
      <x:c r="G253" s="701">
        <x:f>IF('幕间计算'!C538=1,MAX(0,MIN(E253,99-I253)),0)</x:f>
        <x:v>0</x:v>
      </x:c>
      <x:c r="H253" s="699" t="str">
        <x:f>IF(C253="","",IF(F253="作废","已作废",IF(D253=0,"无有效标记",IF(F253&lt;&gt;"确认","待确认",IF(NOT(ISNUMBER(I253)),"填写前值",IF('幕间计算'!B538=0,"检查数值",IF('幕间计算'!C538=0,"已结算",IF(G253=0,"已达99","已计入"))))))))</x:f>
        <x:v/>
      </x:c>
      <x:c r="I253" s="689"/>
      <x:c r="J253" s="701" t="str">
        <x:f>IF(I253="","",I253+G253)</x:f>
        <x:v/>
      </x:c>
      <x:c r="K253" s="702"/>
      <x:c r="L253" s="702"/>
      <x:c r="M253" s="702"/>
      <x:c r="N253" s="702"/>
    </x:row>
    <x:row r="254" ht="29" customHeight="1">
      <x:c r="A254" s="699" t="n">
        <x:v>40</x:v>
      </x:c>
      <x:c r="B254" s="688"/>
      <x:c r="C254" s="687"/>
      <x:c r="D254" s="701" t="str">
        <x:f>IF(C254="","",COUNTIFS('幕间计算'!$A$210:$A$409,'幕间计算'!A539,'幕间计算'!$B$210:$B$409,1,$E$9:$E$208,C254))</x:f>
        <x:v/>
      </x:c>
      <x:c r="E254" s="689"/>
      <x:c r="F254" s="688"/>
      <x:c r="G254" s="701">
        <x:f>IF('幕间计算'!C539=1,MAX(0,MIN(E254,99-I254)),0)</x:f>
        <x:v>0</x:v>
      </x:c>
      <x:c r="H254" s="699" t="str">
        <x:f>IF(C254="","",IF(F254="作废","已作废",IF(D254=0,"无有效标记",IF(F254&lt;&gt;"确认","待确认",IF(NOT(ISNUMBER(I254)),"填写前值",IF('幕间计算'!B539=0,"检查数值",IF('幕间计算'!C539=0,"已结算",IF(G254=0,"已达99","已计入"))))))))</x:f>
        <x:v/>
      </x:c>
      <x:c r="I254" s="689"/>
      <x:c r="J254" s="701" t="str">
        <x:f>IF(I254="","",I254+G254)</x:f>
        <x:v/>
      </x:c>
      <x:c r="K254" s="702"/>
      <x:c r="L254" s="702"/>
      <x:c r="M254" s="702"/>
      <x:c r="N254" s="702"/>
    </x:row>
    <x:row r="255" ht="29" customHeight="1">
      <x:c r="A255" s="699" t="n">
        <x:v>41</x:v>
      </x:c>
      <x:c r="B255" s="688"/>
      <x:c r="C255" s="687"/>
      <x:c r="D255" s="701" t="str">
        <x:f>IF(C255="","",COUNTIFS('幕间计算'!$A$210:$A$409,'幕间计算'!A540,'幕间计算'!$B$210:$B$409,1,$E$9:$E$208,C255))</x:f>
        <x:v/>
      </x:c>
      <x:c r="E255" s="689"/>
      <x:c r="F255" s="688"/>
      <x:c r="G255" s="701">
        <x:f>IF('幕间计算'!C540=1,MAX(0,MIN(E255,99-I255)),0)</x:f>
        <x:v>0</x:v>
      </x:c>
      <x:c r="H255" s="699" t="str">
        <x:f>IF(C255="","",IF(F255="作废","已作废",IF(D255=0,"无有效标记",IF(F255&lt;&gt;"确认","待确认",IF(NOT(ISNUMBER(I255)),"填写前值",IF('幕间计算'!B540=0,"检查数值",IF('幕间计算'!C540=0,"已结算",IF(G255=0,"已达99","已计入"))))))))</x:f>
        <x:v/>
      </x:c>
      <x:c r="I255" s="689"/>
      <x:c r="J255" s="701" t="str">
        <x:f>IF(I255="","",I255+G255)</x:f>
        <x:v/>
      </x:c>
      <x:c r="K255" s="702"/>
      <x:c r="L255" s="702"/>
      <x:c r="M255" s="702"/>
      <x:c r="N255" s="702"/>
    </x:row>
    <x:row r="256" ht="29" customHeight="1">
      <x:c r="A256" s="699" t="n">
        <x:v>42</x:v>
      </x:c>
      <x:c r="B256" s="688"/>
      <x:c r="C256" s="687"/>
      <x:c r="D256" s="701" t="str">
        <x:f>IF(C256="","",COUNTIFS('幕间计算'!$A$210:$A$409,'幕间计算'!A541,'幕间计算'!$B$210:$B$409,1,$E$9:$E$208,C256))</x:f>
        <x:v/>
      </x:c>
      <x:c r="E256" s="689"/>
      <x:c r="F256" s="688"/>
      <x:c r="G256" s="701">
        <x:f>IF('幕间计算'!C541=1,MAX(0,MIN(E256,99-I256)),0)</x:f>
        <x:v>0</x:v>
      </x:c>
      <x:c r="H256" s="699" t="str">
        <x:f>IF(C256="","",IF(F256="作废","已作废",IF(D256=0,"无有效标记",IF(F256&lt;&gt;"确认","待确认",IF(NOT(ISNUMBER(I256)),"填写前值",IF('幕间计算'!B541=0,"检查数值",IF('幕间计算'!C541=0,"已结算",IF(G256=0,"已达99","已计入"))))))))</x:f>
        <x:v/>
      </x:c>
      <x:c r="I256" s="689"/>
      <x:c r="J256" s="701" t="str">
        <x:f>IF(I256="","",I256+G256)</x:f>
        <x:v/>
      </x:c>
      <x:c r="K256" s="702"/>
      <x:c r="L256" s="702"/>
      <x:c r="M256" s="702"/>
      <x:c r="N256" s="702"/>
    </x:row>
    <x:row r="257" ht="29" customHeight="1">
      <x:c r="A257" s="699" t="n">
        <x:v>43</x:v>
      </x:c>
      <x:c r="B257" s="688"/>
      <x:c r="C257" s="687"/>
      <x:c r="D257" s="701" t="str">
        <x:f>IF(C257="","",COUNTIFS('幕间计算'!$A$210:$A$409,'幕间计算'!A542,'幕间计算'!$B$210:$B$409,1,$E$9:$E$208,C257))</x:f>
        <x:v/>
      </x:c>
      <x:c r="E257" s="689"/>
      <x:c r="F257" s="688"/>
      <x:c r="G257" s="701">
        <x:f>IF('幕间计算'!C542=1,MAX(0,MIN(E257,99-I257)),0)</x:f>
        <x:v>0</x:v>
      </x:c>
      <x:c r="H257" s="699" t="str">
        <x:f>IF(C257="","",IF(F257="作废","已作废",IF(D257=0,"无有效标记",IF(F257&lt;&gt;"确认","待确认",IF(NOT(ISNUMBER(I257)),"填写前值",IF('幕间计算'!B542=0,"检查数值",IF('幕间计算'!C542=0,"已结算",IF(G257=0,"已达99","已计入"))))))))</x:f>
        <x:v/>
      </x:c>
      <x:c r="I257" s="689"/>
      <x:c r="J257" s="701" t="str">
        <x:f>IF(I257="","",I257+G257)</x:f>
        <x:v/>
      </x:c>
      <x:c r="K257" s="702"/>
      <x:c r="L257" s="702"/>
      <x:c r="M257" s="702"/>
      <x:c r="N257" s="702"/>
    </x:row>
    <x:row r="258" ht="29" customHeight="1">
      <x:c r="A258" s="699" t="n">
        <x:v>44</x:v>
      </x:c>
      <x:c r="B258" s="688"/>
      <x:c r="C258" s="687"/>
      <x:c r="D258" s="701" t="str">
        <x:f>IF(C258="","",COUNTIFS('幕间计算'!$A$210:$A$409,'幕间计算'!A543,'幕间计算'!$B$210:$B$409,1,$E$9:$E$208,C258))</x:f>
        <x:v/>
      </x:c>
      <x:c r="E258" s="689"/>
      <x:c r="F258" s="688"/>
      <x:c r="G258" s="701">
        <x:f>IF('幕间计算'!C543=1,MAX(0,MIN(E258,99-I258)),0)</x:f>
        <x:v>0</x:v>
      </x:c>
      <x:c r="H258" s="699" t="str">
        <x:f>IF(C258="","",IF(F258="作废","已作废",IF(D258=0,"无有效标记",IF(F258&lt;&gt;"确认","待确认",IF(NOT(ISNUMBER(I258)),"填写前值",IF('幕间计算'!B543=0,"检查数值",IF('幕间计算'!C543=0,"已结算",IF(G258=0,"已达99","已计入"))))))))</x:f>
        <x:v/>
      </x:c>
      <x:c r="I258" s="689"/>
      <x:c r="J258" s="701" t="str">
        <x:f>IF(I258="","",I258+G258)</x:f>
        <x:v/>
      </x:c>
      <x:c r="K258" s="702"/>
      <x:c r="L258" s="702"/>
      <x:c r="M258" s="702"/>
      <x:c r="N258" s="702"/>
    </x:row>
    <x:row r="259" ht="29" customHeight="1">
      <x:c r="A259" s="699" t="n">
        <x:v>45</x:v>
      </x:c>
      <x:c r="B259" s="688"/>
      <x:c r="C259" s="687"/>
      <x:c r="D259" s="701" t="str">
        <x:f>IF(C259="","",COUNTIFS('幕间计算'!$A$210:$A$409,'幕间计算'!A544,'幕间计算'!$B$210:$B$409,1,$E$9:$E$208,C259))</x:f>
        <x:v/>
      </x:c>
      <x:c r="E259" s="689"/>
      <x:c r="F259" s="688"/>
      <x:c r="G259" s="701">
        <x:f>IF('幕间计算'!C544=1,MAX(0,MIN(E259,99-I259)),0)</x:f>
        <x:v>0</x:v>
      </x:c>
      <x:c r="H259" s="699" t="str">
        <x:f>IF(C259="","",IF(F259="作废","已作废",IF(D259=0,"无有效标记",IF(F259&lt;&gt;"确认","待确认",IF(NOT(ISNUMBER(I259)),"填写前值",IF('幕间计算'!B544=0,"检查数值",IF('幕间计算'!C544=0,"已结算",IF(G259=0,"已达99","已计入"))))))))</x:f>
        <x:v/>
      </x:c>
      <x:c r="I259" s="689"/>
      <x:c r="J259" s="701" t="str">
        <x:f>IF(I259="","",I259+G259)</x:f>
        <x:v/>
      </x:c>
      <x:c r="K259" s="702"/>
      <x:c r="L259" s="702"/>
      <x:c r="M259" s="702"/>
      <x:c r="N259" s="702"/>
    </x:row>
    <x:row r="260" ht="29" customHeight="1">
      <x:c r="A260" s="699" t="n">
        <x:v>46</x:v>
      </x:c>
      <x:c r="B260" s="688"/>
      <x:c r="C260" s="687"/>
      <x:c r="D260" s="701" t="str">
        <x:f>IF(C260="","",COUNTIFS('幕间计算'!$A$210:$A$409,'幕间计算'!A545,'幕间计算'!$B$210:$B$409,1,$E$9:$E$208,C260))</x:f>
        <x:v/>
      </x:c>
      <x:c r="E260" s="689"/>
      <x:c r="F260" s="688"/>
      <x:c r="G260" s="701">
        <x:f>IF('幕间计算'!C545=1,MAX(0,MIN(E260,99-I260)),0)</x:f>
        <x:v>0</x:v>
      </x:c>
      <x:c r="H260" s="699" t="str">
        <x:f>IF(C260="","",IF(F260="作废","已作废",IF(D260=0,"无有效标记",IF(F260&lt;&gt;"确认","待确认",IF(NOT(ISNUMBER(I260)),"填写前值",IF('幕间计算'!B545=0,"检查数值",IF('幕间计算'!C545=0,"已结算",IF(G260=0,"已达99","已计入"))))))))</x:f>
        <x:v/>
      </x:c>
      <x:c r="I260" s="689"/>
      <x:c r="J260" s="701" t="str">
        <x:f>IF(I260="","",I260+G260)</x:f>
        <x:v/>
      </x:c>
      <x:c r="K260" s="702"/>
      <x:c r="L260" s="702"/>
      <x:c r="M260" s="702"/>
      <x:c r="N260" s="702"/>
    </x:row>
    <x:row r="261" ht="29" customHeight="1">
      <x:c r="A261" s="699" t="n">
        <x:v>47</x:v>
      </x:c>
      <x:c r="B261" s="688"/>
      <x:c r="C261" s="687"/>
      <x:c r="D261" s="701" t="str">
        <x:f>IF(C261="","",COUNTIFS('幕间计算'!$A$210:$A$409,'幕间计算'!A546,'幕间计算'!$B$210:$B$409,1,$E$9:$E$208,C261))</x:f>
        <x:v/>
      </x:c>
      <x:c r="E261" s="689"/>
      <x:c r="F261" s="688"/>
      <x:c r="G261" s="701">
        <x:f>IF('幕间计算'!C546=1,MAX(0,MIN(E261,99-I261)),0)</x:f>
        <x:v>0</x:v>
      </x:c>
      <x:c r="H261" s="699" t="str">
        <x:f>IF(C261="","",IF(F261="作废","已作废",IF(D261=0,"无有效标记",IF(F261&lt;&gt;"确认","待确认",IF(NOT(ISNUMBER(I261)),"填写前值",IF('幕间计算'!B546=0,"检查数值",IF('幕间计算'!C546=0,"已结算",IF(G261=0,"已达99","已计入"))))))))</x:f>
        <x:v/>
      </x:c>
      <x:c r="I261" s="689"/>
      <x:c r="J261" s="701" t="str">
        <x:f>IF(I261="","",I261+G261)</x:f>
        <x:v/>
      </x:c>
      <x:c r="K261" s="702"/>
      <x:c r="L261" s="702"/>
      <x:c r="M261" s="702"/>
      <x:c r="N261" s="702"/>
    </x:row>
    <x:row r="262" ht="29" customHeight="1">
      <x:c r="A262" s="699" t="n">
        <x:v>48</x:v>
      </x:c>
      <x:c r="B262" s="688"/>
      <x:c r="C262" s="687"/>
      <x:c r="D262" s="701" t="str">
        <x:f>IF(C262="","",COUNTIFS('幕间计算'!$A$210:$A$409,'幕间计算'!A547,'幕间计算'!$B$210:$B$409,1,$E$9:$E$208,C262))</x:f>
        <x:v/>
      </x:c>
      <x:c r="E262" s="689"/>
      <x:c r="F262" s="688"/>
      <x:c r="G262" s="701">
        <x:f>IF('幕间计算'!C547=1,MAX(0,MIN(E262,99-I262)),0)</x:f>
        <x:v>0</x:v>
      </x:c>
      <x:c r="H262" s="699" t="str">
        <x:f>IF(C262="","",IF(F262="作废","已作废",IF(D262=0,"无有效标记",IF(F262&lt;&gt;"确认","待确认",IF(NOT(ISNUMBER(I262)),"填写前值",IF('幕间计算'!B547=0,"检查数值",IF('幕间计算'!C547=0,"已结算",IF(G262=0,"已达99","已计入"))))))))</x:f>
        <x:v/>
      </x:c>
      <x:c r="I262" s="689"/>
      <x:c r="J262" s="701" t="str">
        <x:f>IF(I262="","",I262+G262)</x:f>
        <x:v/>
      </x:c>
      <x:c r="K262" s="702"/>
      <x:c r="L262" s="702"/>
      <x:c r="M262" s="702"/>
      <x:c r="N262" s="702"/>
    </x:row>
    <x:row r="263" ht="29" customHeight="1">
      <x:c r="A263" s="699" t="n">
        <x:v>49</x:v>
      </x:c>
      <x:c r="B263" s="688"/>
      <x:c r="C263" s="687"/>
      <x:c r="D263" s="701" t="str">
        <x:f>IF(C263="","",COUNTIFS('幕间计算'!$A$210:$A$409,'幕间计算'!A548,'幕间计算'!$B$210:$B$409,1,$E$9:$E$208,C263))</x:f>
        <x:v/>
      </x:c>
      <x:c r="E263" s="689"/>
      <x:c r="F263" s="688"/>
      <x:c r="G263" s="701">
        <x:f>IF('幕间计算'!C548=1,MAX(0,MIN(E263,99-I263)),0)</x:f>
        <x:v>0</x:v>
      </x:c>
      <x:c r="H263" s="699" t="str">
        <x:f>IF(C263="","",IF(F263="作废","已作废",IF(D263=0,"无有效标记",IF(F263&lt;&gt;"确认","待确认",IF(NOT(ISNUMBER(I263)),"填写前值",IF('幕间计算'!B548=0,"检查数值",IF('幕间计算'!C548=0,"已结算",IF(G263=0,"已达99","已计入"))))))))</x:f>
        <x:v/>
      </x:c>
      <x:c r="I263" s="689"/>
      <x:c r="J263" s="701" t="str">
        <x:f>IF(I263="","",I263+G263)</x:f>
        <x:v/>
      </x:c>
      <x:c r="K263" s="702"/>
      <x:c r="L263" s="702"/>
      <x:c r="M263" s="702"/>
      <x:c r="N263" s="702"/>
    </x:row>
    <x:row r="264" ht="29" customHeight="1">
      <x:c r="A264" s="699" t="n">
        <x:v>50</x:v>
      </x:c>
      <x:c r="B264" s="688"/>
      <x:c r="C264" s="687"/>
      <x:c r="D264" s="701" t="str">
        <x:f>IF(C264="","",COUNTIFS('幕间计算'!$A$210:$A$409,'幕间计算'!A549,'幕间计算'!$B$210:$B$409,1,$E$9:$E$208,C264))</x:f>
        <x:v/>
      </x:c>
      <x:c r="E264" s="689"/>
      <x:c r="F264" s="688"/>
      <x:c r="G264" s="701">
        <x:f>IF('幕间计算'!C549=1,MAX(0,MIN(E264,99-I264)),0)</x:f>
        <x:v>0</x:v>
      </x:c>
      <x:c r="H264" s="699" t="str">
        <x:f>IF(C264="","",IF(F264="作废","已作废",IF(D264=0,"无有效标记",IF(F264&lt;&gt;"确认","待确认",IF(NOT(ISNUMBER(I264)),"填写前值",IF('幕间计算'!B549=0,"检查数值",IF('幕间计算'!C549=0,"已结算",IF(G264=0,"已达99","已计入"))))))))</x:f>
        <x:v/>
      </x:c>
      <x:c r="I264" s="689"/>
      <x:c r="J264" s="701" t="str">
        <x:f>IF(I264="","",I264+G264)</x:f>
        <x:v/>
      </x:c>
      <x:c r="K264" s="702"/>
      <x:c r="L264" s="702"/>
      <x:c r="M264" s="702"/>
      <x:c r="N264" s="702"/>
    </x:row>
    <x:row r="265" ht="29" customHeight="1">
      <x:c r="A265" s="699" t="n">
        <x:v>51</x:v>
      </x:c>
      <x:c r="B265" s="688"/>
      <x:c r="C265" s="687"/>
      <x:c r="D265" s="701" t="str">
        <x:f>IF(C265="","",COUNTIFS('幕间计算'!$A$210:$A$409,'幕间计算'!A550,'幕间计算'!$B$210:$B$409,1,$E$9:$E$208,C265))</x:f>
        <x:v/>
      </x:c>
      <x:c r="E265" s="689"/>
      <x:c r="F265" s="688"/>
      <x:c r="G265" s="701">
        <x:f>IF('幕间计算'!C550=1,MAX(0,MIN(E265,99-I265)),0)</x:f>
        <x:v>0</x:v>
      </x:c>
      <x:c r="H265" s="699" t="str">
        <x:f>IF(C265="","",IF(F265="作废","已作废",IF(D265=0,"无有效标记",IF(F265&lt;&gt;"确认","待确认",IF(NOT(ISNUMBER(I265)),"填写前值",IF('幕间计算'!B550=0,"检查数值",IF('幕间计算'!C550=0,"已结算",IF(G265=0,"已达99","已计入"))))))))</x:f>
        <x:v/>
      </x:c>
      <x:c r="I265" s="689"/>
      <x:c r="J265" s="701" t="str">
        <x:f>IF(I265="","",I265+G265)</x:f>
        <x:v/>
      </x:c>
      <x:c r="K265" s="702"/>
      <x:c r="L265" s="702"/>
      <x:c r="M265" s="702"/>
      <x:c r="N265" s="702"/>
    </x:row>
    <x:row r="266" ht="29" customHeight="1">
      <x:c r="A266" s="699" t="n">
        <x:v>52</x:v>
      </x:c>
      <x:c r="B266" s="688"/>
      <x:c r="C266" s="687"/>
      <x:c r="D266" s="701" t="str">
        <x:f>IF(C266="","",COUNTIFS('幕间计算'!$A$210:$A$409,'幕间计算'!A551,'幕间计算'!$B$210:$B$409,1,$E$9:$E$208,C266))</x:f>
        <x:v/>
      </x:c>
      <x:c r="E266" s="689"/>
      <x:c r="F266" s="688"/>
      <x:c r="G266" s="701">
        <x:f>IF('幕间计算'!C551=1,MAX(0,MIN(E266,99-I266)),0)</x:f>
        <x:v>0</x:v>
      </x:c>
      <x:c r="H266" s="699" t="str">
        <x:f>IF(C266="","",IF(F266="作废","已作废",IF(D266=0,"无有效标记",IF(F266&lt;&gt;"确认","待确认",IF(NOT(ISNUMBER(I266)),"填写前值",IF('幕间计算'!B551=0,"检查数值",IF('幕间计算'!C551=0,"已结算",IF(G266=0,"已达99","已计入"))))))))</x:f>
        <x:v/>
      </x:c>
      <x:c r="I266" s="689"/>
      <x:c r="J266" s="701" t="str">
        <x:f>IF(I266="","",I266+G266)</x:f>
        <x:v/>
      </x:c>
      <x:c r="K266" s="702"/>
      <x:c r="L266" s="702"/>
      <x:c r="M266" s="702"/>
      <x:c r="N266" s="702"/>
    </x:row>
    <x:row r="267" ht="29" customHeight="1">
      <x:c r="A267" s="699" t="n">
        <x:v>53</x:v>
      </x:c>
      <x:c r="B267" s="688"/>
      <x:c r="C267" s="687"/>
      <x:c r="D267" s="701" t="str">
        <x:f>IF(C267="","",COUNTIFS('幕间计算'!$A$210:$A$409,'幕间计算'!A552,'幕间计算'!$B$210:$B$409,1,$E$9:$E$208,C267))</x:f>
        <x:v/>
      </x:c>
      <x:c r="E267" s="689"/>
      <x:c r="F267" s="688"/>
      <x:c r="G267" s="701">
        <x:f>IF('幕间计算'!C552=1,MAX(0,MIN(E267,99-I267)),0)</x:f>
        <x:v>0</x:v>
      </x:c>
      <x:c r="H267" s="699" t="str">
        <x:f>IF(C267="","",IF(F267="作废","已作废",IF(D267=0,"无有效标记",IF(F267&lt;&gt;"确认","待确认",IF(NOT(ISNUMBER(I267)),"填写前值",IF('幕间计算'!B552=0,"检查数值",IF('幕间计算'!C552=0,"已结算",IF(G267=0,"已达99","已计入"))))))))</x:f>
        <x:v/>
      </x:c>
      <x:c r="I267" s="689"/>
      <x:c r="J267" s="701" t="str">
        <x:f>IF(I267="","",I267+G267)</x:f>
        <x:v/>
      </x:c>
      <x:c r="K267" s="702"/>
      <x:c r="L267" s="702"/>
      <x:c r="M267" s="702"/>
      <x:c r="N267" s="702"/>
    </x:row>
    <x:row r="268" ht="29" customHeight="1">
      <x:c r="A268" s="699" t="n">
        <x:v>54</x:v>
      </x:c>
      <x:c r="B268" s="688"/>
      <x:c r="C268" s="687"/>
      <x:c r="D268" s="701" t="str">
        <x:f>IF(C268="","",COUNTIFS('幕间计算'!$A$210:$A$409,'幕间计算'!A553,'幕间计算'!$B$210:$B$409,1,$E$9:$E$208,C268))</x:f>
        <x:v/>
      </x:c>
      <x:c r="E268" s="689"/>
      <x:c r="F268" s="688"/>
      <x:c r="G268" s="701">
        <x:f>IF('幕间计算'!C553=1,MAX(0,MIN(E268,99-I268)),0)</x:f>
        <x:v>0</x:v>
      </x:c>
      <x:c r="H268" s="699" t="str">
        <x:f>IF(C268="","",IF(F268="作废","已作废",IF(D268=0,"无有效标记",IF(F268&lt;&gt;"确认","待确认",IF(NOT(ISNUMBER(I268)),"填写前值",IF('幕间计算'!B553=0,"检查数值",IF('幕间计算'!C553=0,"已结算",IF(G268=0,"已达99","已计入"))))))))</x:f>
        <x:v/>
      </x:c>
      <x:c r="I268" s="689"/>
      <x:c r="J268" s="701" t="str">
        <x:f>IF(I268="","",I268+G268)</x:f>
        <x:v/>
      </x:c>
      <x:c r="K268" s="702"/>
      <x:c r="L268" s="702"/>
      <x:c r="M268" s="702"/>
      <x:c r="N268" s="702"/>
    </x:row>
    <x:row r="269" ht="29" customHeight="1">
      <x:c r="A269" s="699" t="n">
        <x:v>55</x:v>
      </x:c>
      <x:c r="B269" s="688"/>
      <x:c r="C269" s="687"/>
      <x:c r="D269" s="701" t="str">
        <x:f>IF(C269="","",COUNTIFS('幕间计算'!$A$210:$A$409,'幕间计算'!A554,'幕间计算'!$B$210:$B$409,1,$E$9:$E$208,C269))</x:f>
        <x:v/>
      </x:c>
      <x:c r="E269" s="689"/>
      <x:c r="F269" s="688"/>
      <x:c r="G269" s="701">
        <x:f>IF('幕间计算'!C554=1,MAX(0,MIN(E269,99-I269)),0)</x:f>
        <x:v>0</x:v>
      </x:c>
      <x:c r="H269" s="699" t="str">
        <x:f>IF(C269="","",IF(F269="作废","已作废",IF(D269=0,"无有效标记",IF(F269&lt;&gt;"确认","待确认",IF(NOT(ISNUMBER(I269)),"填写前值",IF('幕间计算'!B554=0,"检查数值",IF('幕间计算'!C554=0,"已结算",IF(G269=0,"已达99","已计入"))))))))</x:f>
        <x:v/>
      </x:c>
      <x:c r="I269" s="689"/>
      <x:c r="J269" s="701" t="str">
        <x:f>IF(I269="","",I269+G269)</x:f>
        <x:v/>
      </x:c>
      <x:c r="K269" s="702"/>
      <x:c r="L269" s="702"/>
      <x:c r="M269" s="702"/>
      <x:c r="N269" s="702"/>
    </x:row>
    <x:row r="270" ht="29" customHeight="1">
      <x:c r="A270" s="699" t="n">
        <x:v>56</x:v>
      </x:c>
      <x:c r="B270" s="688"/>
      <x:c r="C270" s="687"/>
      <x:c r="D270" s="701" t="str">
        <x:f>IF(C270="","",COUNTIFS('幕间计算'!$A$210:$A$409,'幕间计算'!A555,'幕间计算'!$B$210:$B$409,1,$E$9:$E$208,C270))</x:f>
        <x:v/>
      </x:c>
      <x:c r="E270" s="689"/>
      <x:c r="F270" s="688"/>
      <x:c r="G270" s="701">
        <x:f>IF('幕间计算'!C555=1,MAX(0,MIN(E270,99-I270)),0)</x:f>
        <x:v>0</x:v>
      </x:c>
      <x:c r="H270" s="699" t="str">
        <x:f>IF(C270="","",IF(F270="作废","已作废",IF(D270=0,"无有效标记",IF(F270&lt;&gt;"确认","待确认",IF(NOT(ISNUMBER(I270)),"填写前值",IF('幕间计算'!B555=0,"检查数值",IF('幕间计算'!C555=0,"已结算",IF(G270=0,"已达99","已计入"))))))))</x:f>
        <x:v/>
      </x:c>
      <x:c r="I270" s="689"/>
      <x:c r="J270" s="701" t="str">
        <x:f>IF(I270="","",I270+G270)</x:f>
        <x:v/>
      </x:c>
      <x:c r="K270" s="702"/>
      <x:c r="L270" s="702"/>
      <x:c r="M270" s="702"/>
      <x:c r="N270" s="702"/>
    </x:row>
    <x:row r="271" ht="29" customHeight="1">
      <x:c r="A271" s="699" t="n">
        <x:v>57</x:v>
      </x:c>
      <x:c r="B271" s="688"/>
      <x:c r="C271" s="687"/>
      <x:c r="D271" s="701" t="str">
        <x:f>IF(C271="","",COUNTIFS('幕间计算'!$A$210:$A$409,'幕间计算'!A556,'幕间计算'!$B$210:$B$409,1,$E$9:$E$208,C271))</x:f>
        <x:v/>
      </x:c>
      <x:c r="E271" s="689"/>
      <x:c r="F271" s="688"/>
      <x:c r="G271" s="701">
        <x:f>IF('幕间计算'!C556=1,MAX(0,MIN(E271,99-I271)),0)</x:f>
        <x:v>0</x:v>
      </x:c>
      <x:c r="H271" s="699" t="str">
        <x:f>IF(C271="","",IF(F271="作废","已作废",IF(D271=0,"无有效标记",IF(F271&lt;&gt;"确认","待确认",IF(NOT(ISNUMBER(I271)),"填写前值",IF('幕间计算'!B556=0,"检查数值",IF('幕间计算'!C556=0,"已结算",IF(G271=0,"已达99","已计入"))))))))</x:f>
        <x:v/>
      </x:c>
      <x:c r="I271" s="689"/>
      <x:c r="J271" s="701" t="str">
        <x:f>IF(I271="","",I271+G271)</x:f>
        <x:v/>
      </x:c>
      <x:c r="K271" s="702"/>
      <x:c r="L271" s="702"/>
      <x:c r="M271" s="702"/>
      <x:c r="N271" s="702"/>
    </x:row>
    <x:row r="272" ht="29" customHeight="1">
      <x:c r="A272" s="699" t="n">
        <x:v>58</x:v>
      </x:c>
      <x:c r="B272" s="688"/>
      <x:c r="C272" s="687"/>
      <x:c r="D272" s="701" t="str">
        <x:f>IF(C272="","",COUNTIFS('幕间计算'!$A$210:$A$409,'幕间计算'!A557,'幕间计算'!$B$210:$B$409,1,$E$9:$E$208,C272))</x:f>
        <x:v/>
      </x:c>
      <x:c r="E272" s="689"/>
      <x:c r="F272" s="688"/>
      <x:c r="G272" s="701">
        <x:f>IF('幕间计算'!C557=1,MAX(0,MIN(E272,99-I272)),0)</x:f>
        <x:v>0</x:v>
      </x:c>
      <x:c r="H272" s="699" t="str">
        <x:f>IF(C272="","",IF(F272="作废","已作废",IF(D272=0,"无有效标记",IF(F272&lt;&gt;"确认","待确认",IF(NOT(ISNUMBER(I272)),"填写前值",IF('幕间计算'!B557=0,"检查数值",IF('幕间计算'!C557=0,"已结算",IF(G272=0,"已达99","已计入"))))))))</x:f>
        <x:v/>
      </x:c>
      <x:c r="I272" s="689"/>
      <x:c r="J272" s="701" t="str">
        <x:f>IF(I272="","",I272+G272)</x:f>
        <x:v/>
      </x:c>
      <x:c r="K272" s="702"/>
      <x:c r="L272" s="702"/>
      <x:c r="M272" s="702"/>
      <x:c r="N272" s="702"/>
    </x:row>
    <x:row r="273" ht="29" customHeight="1">
      <x:c r="A273" s="699" t="n">
        <x:v>59</x:v>
      </x:c>
      <x:c r="B273" s="688"/>
      <x:c r="C273" s="687"/>
      <x:c r="D273" s="701" t="str">
        <x:f>IF(C273="","",COUNTIFS('幕间计算'!$A$210:$A$409,'幕间计算'!A558,'幕间计算'!$B$210:$B$409,1,$E$9:$E$208,C273))</x:f>
        <x:v/>
      </x:c>
      <x:c r="E273" s="689"/>
      <x:c r="F273" s="688"/>
      <x:c r="G273" s="701">
        <x:f>IF('幕间计算'!C558=1,MAX(0,MIN(E273,99-I273)),0)</x:f>
        <x:v>0</x:v>
      </x:c>
      <x:c r="H273" s="699" t="str">
        <x:f>IF(C273="","",IF(F273="作废","已作废",IF(D273=0,"无有效标记",IF(F273&lt;&gt;"确认","待确认",IF(NOT(ISNUMBER(I273)),"填写前值",IF('幕间计算'!B558=0,"检查数值",IF('幕间计算'!C558=0,"已结算",IF(G273=0,"已达99","已计入"))))))))</x:f>
        <x:v/>
      </x:c>
      <x:c r="I273" s="689"/>
      <x:c r="J273" s="701" t="str">
        <x:f>IF(I273="","",I273+G273)</x:f>
        <x:v/>
      </x:c>
      <x:c r="K273" s="702"/>
      <x:c r="L273" s="702"/>
      <x:c r="M273" s="702"/>
      <x:c r="N273" s="702"/>
    </x:row>
    <x:row r="274" ht="29" customHeight="1">
      <x:c r="A274" s="699" t="n">
        <x:v>60</x:v>
      </x:c>
      <x:c r="B274" s="688"/>
      <x:c r="C274" s="687"/>
      <x:c r="D274" s="701" t="str">
        <x:f>IF(C274="","",COUNTIFS('幕间计算'!$A$210:$A$409,'幕间计算'!A559,'幕间计算'!$B$210:$B$409,1,$E$9:$E$208,C274))</x:f>
        <x:v/>
      </x:c>
      <x:c r="E274" s="689"/>
      <x:c r="F274" s="688"/>
      <x:c r="G274" s="701">
        <x:f>IF('幕间计算'!C559=1,MAX(0,MIN(E274,99-I274)),0)</x:f>
        <x:v>0</x:v>
      </x:c>
      <x:c r="H274" s="699" t="str">
        <x:f>IF(C274="","",IF(F274="作废","已作废",IF(D274=0,"无有效标记",IF(F274&lt;&gt;"确认","待确认",IF(NOT(ISNUMBER(I274)),"填写前值",IF('幕间计算'!B559=0,"检查数值",IF('幕间计算'!C559=0,"已结算",IF(G274=0,"已达99","已计入"))))))))</x:f>
        <x:v/>
      </x:c>
      <x:c r="I274" s="689"/>
      <x:c r="J274" s="701" t="str">
        <x:f>IF(I274="","",I274+G274)</x:f>
        <x:v/>
      </x:c>
      <x:c r="K274" s="702"/>
      <x:c r="L274" s="702"/>
      <x:c r="M274" s="702"/>
      <x:c r="N274" s="702"/>
    </x:row>
    <x:row r="275" ht="29" customHeight="1">
      <x:c r="A275" s="699" t="n">
        <x:v>61</x:v>
      </x:c>
      <x:c r="B275" s="688"/>
      <x:c r="C275" s="687"/>
      <x:c r="D275" s="701" t="str">
        <x:f>IF(C275="","",COUNTIFS('幕间计算'!$A$210:$A$409,'幕间计算'!A560,'幕间计算'!$B$210:$B$409,1,$E$9:$E$208,C275))</x:f>
        <x:v/>
      </x:c>
      <x:c r="E275" s="689"/>
      <x:c r="F275" s="688"/>
      <x:c r="G275" s="701">
        <x:f>IF('幕间计算'!C560=1,MAX(0,MIN(E275,99-I275)),0)</x:f>
        <x:v>0</x:v>
      </x:c>
      <x:c r="H275" s="699" t="str">
        <x:f>IF(C275="","",IF(F275="作废","已作废",IF(D275=0,"无有效标记",IF(F275&lt;&gt;"确认","待确认",IF(NOT(ISNUMBER(I275)),"填写前值",IF('幕间计算'!B560=0,"检查数值",IF('幕间计算'!C560=0,"已结算",IF(G275=0,"已达99","已计入"))))))))</x:f>
        <x:v/>
      </x:c>
      <x:c r="I275" s="689"/>
      <x:c r="J275" s="701" t="str">
        <x:f>IF(I275="","",I275+G275)</x:f>
        <x:v/>
      </x:c>
      <x:c r="K275" s="702"/>
      <x:c r="L275" s="702"/>
      <x:c r="M275" s="702"/>
      <x:c r="N275" s="702"/>
    </x:row>
    <x:row r="276" ht="29" customHeight="1">
      <x:c r="A276" s="699" t="n">
        <x:v>62</x:v>
      </x:c>
      <x:c r="B276" s="688"/>
      <x:c r="C276" s="687"/>
      <x:c r="D276" s="701" t="str">
        <x:f>IF(C276="","",COUNTIFS('幕间计算'!$A$210:$A$409,'幕间计算'!A561,'幕间计算'!$B$210:$B$409,1,$E$9:$E$208,C276))</x:f>
        <x:v/>
      </x:c>
      <x:c r="E276" s="689"/>
      <x:c r="F276" s="688"/>
      <x:c r="G276" s="701">
        <x:f>IF('幕间计算'!C561=1,MAX(0,MIN(E276,99-I276)),0)</x:f>
        <x:v>0</x:v>
      </x:c>
      <x:c r="H276" s="699" t="str">
        <x:f>IF(C276="","",IF(F276="作废","已作废",IF(D276=0,"无有效标记",IF(F276&lt;&gt;"确认","待确认",IF(NOT(ISNUMBER(I276)),"填写前值",IF('幕间计算'!B561=0,"检查数值",IF('幕间计算'!C561=0,"已结算",IF(G276=0,"已达99","已计入"))))))))</x:f>
        <x:v/>
      </x:c>
      <x:c r="I276" s="689"/>
      <x:c r="J276" s="701" t="str">
        <x:f>IF(I276="","",I276+G276)</x:f>
        <x:v/>
      </x:c>
      <x:c r="K276" s="702"/>
      <x:c r="L276" s="702"/>
      <x:c r="M276" s="702"/>
      <x:c r="N276" s="702"/>
    </x:row>
    <x:row r="277" ht="29" customHeight="1">
      <x:c r="A277" s="699" t="n">
        <x:v>63</x:v>
      </x:c>
      <x:c r="B277" s="688"/>
      <x:c r="C277" s="687"/>
      <x:c r="D277" s="701" t="str">
        <x:f>IF(C277="","",COUNTIFS('幕间计算'!$A$210:$A$409,'幕间计算'!A562,'幕间计算'!$B$210:$B$409,1,$E$9:$E$208,C277))</x:f>
        <x:v/>
      </x:c>
      <x:c r="E277" s="689"/>
      <x:c r="F277" s="688"/>
      <x:c r="G277" s="701">
        <x:f>IF('幕间计算'!C562=1,MAX(0,MIN(E277,99-I277)),0)</x:f>
        <x:v>0</x:v>
      </x:c>
      <x:c r="H277" s="699" t="str">
        <x:f>IF(C277="","",IF(F277="作废","已作废",IF(D277=0,"无有效标记",IF(F277&lt;&gt;"确认","待确认",IF(NOT(ISNUMBER(I277)),"填写前值",IF('幕间计算'!B562=0,"检查数值",IF('幕间计算'!C562=0,"已结算",IF(G277=0,"已达99","已计入"))))))))</x:f>
        <x:v/>
      </x:c>
      <x:c r="I277" s="689"/>
      <x:c r="J277" s="701" t="str">
        <x:f>IF(I277="","",I277+G277)</x:f>
        <x:v/>
      </x:c>
      <x:c r="K277" s="702"/>
      <x:c r="L277" s="702"/>
      <x:c r="M277" s="702"/>
      <x:c r="N277" s="702"/>
    </x:row>
    <x:row r="278" ht="29" customHeight="1">
      <x:c r="A278" s="699" t="n">
        <x:v>64</x:v>
      </x:c>
      <x:c r="B278" s="688"/>
      <x:c r="C278" s="687"/>
      <x:c r="D278" s="701" t="str">
        <x:f>IF(C278="","",COUNTIFS('幕间计算'!$A$210:$A$409,'幕间计算'!A563,'幕间计算'!$B$210:$B$409,1,$E$9:$E$208,C278))</x:f>
        <x:v/>
      </x:c>
      <x:c r="E278" s="689"/>
      <x:c r="F278" s="688"/>
      <x:c r="G278" s="701">
        <x:f>IF('幕间计算'!C563=1,MAX(0,MIN(E278,99-I278)),0)</x:f>
        <x:v>0</x:v>
      </x:c>
      <x:c r="H278" s="699" t="str">
        <x:f>IF(C278="","",IF(F278="作废","已作废",IF(D278=0,"无有效标记",IF(F278&lt;&gt;"确认","待确认",IF(NOT(ISNUMBER(I278)),"填写前值",IF('幕间计算'!B563=0,"检查数值",IF('幕间计算'!C563=0,"已结算",IF(G278=0,"已达99","已计入"))))))))</x:f>
        <x:v/>
      </x:c>
      <x:c r="I278" s="689"/>
      <x:c r="J278" s="701" t="str">
        <x:f>IF(I278="","",I278+G278)</x:f>
        <x:v/>
      </x:c>
      <x:c r="K278" s="702"/>
      <x:c r="L278" s="702"/>
      <x:c r="M278" s="702"/>
      <x:c r="N278" s="702"/>
    </x:row>
    <x:row r="279" ht="29" customHeight="1">
      <x:c r="A279" s="699" t="n">
        <x:v>65</x:v>
      </x:c>
      <x:c r="B279" s="688"/>
      <x:c r="C279" s="687"/>
      <x:c r="D279" s="701" t="str">
        <x:f>IF(C279="","",COUNTIFS('幕间计算'!$A$210:$A$409,'幕间计算'!A564,'幕间计算'!$B$210:$B$409,1,$E$9:$E$208,C279))</x:f>
        <x:v/>
      </x:c>
      <x:c r="E279" s="689"/>
      <x:c r="F279" s="688"/>
      <x:c r="G279" s="701">
        <x:f>IF('幕间计算'!C564=1,MAX(0,MIN(E279,99-I279)),0)</x:f>
        <x:v>0</x:v>
      </x:c>
      <x:c r="H279" s="699" t="str">
        <x:f>IF(C279="","",IF(F279="作废","已作废",IF(D279=0,"无有效标记",IF(F279&lt;&gt;"确认","待确认",IF(NOT(ISNUMBER(I279)),"填写前值",IF('幕间计算'!B564=0,"检查数值",IF('幕间计算'!C564=0,"已结算",IF(G279=0,"已达99","已计入"))))))))</x:f>
        <x:v/>
      </x:c>
      <x:c r="I279" s="689"/>
      <x:c r="J279" s="701" t="str">
        <x:f>IF(I279="","",I279+G279)</x:f>
        <x:v/>
      </x:c>
      <x:c r="K279" s="702"/>
      <x:c r="L279" s="702"/>
      <x:c r="M279" s="702"/>
      <x:c r="N279" s="702"/>
    </x:row>
    <x:row r="280" ht="29" customHeight="1">
      <x:c r="A280" s="699" t="n">
        <x:v>66</x:v>
      </x:c>
      <x:c r="B280" s="688"/>
      <x:c r="C280" s="687"/>
      <x:c r="D280" s="701" t="str">
        <x:f>IF(C280="","",COUNTIFS('幕间计算'!$A$210:$A$409,'幕间计算'!A565,'幕间计算'!$B$210:$B$409,1,$E$9:$E$208,C280))</x:f>
        <x:v/>
      </x:c>
      <x:c r="E280" s="689"/>
      <x:c r="F280" s="688"/>
      <x:c r="G280" s="701">
        <x:f>IF('幕间计算'!C565=1,MAX(0,MIN(E280,99-I280)),0)</x:f>
        <x:v>0</x:v>
      </x:c>
      <x:c r="H280" s="699" t="str">
        <x:f>IF(C280="","",IF(F280="作废","已作废",IF(D280=0,"无有效标记",IF(F280&lt;&gt;"确认","待确认",IF(NOT(ISNUMBER(I280)),"填写前值",IF('幕间计算'!B565=0,"检查数值",IF('幕间计算'!C565=0,"已结算",IF(G280=0,"已达99","已计入"))))))))</x:f>
        <x:v/>
      </x:c>
      <x:c r="I280" s="689"/>
      <x:c r="J280" s="701" t="str">
        <x:f>IF(I280="","",I280+G280)</x:f>
        <x:v/>
      </x:c>
      <x:c r="K280" s="702"/>
      <x:c r="L280" s="702"/>
      <x:c r="M280" s="702"/>
      <x:c r="N280" s="702"/>
    </x:row>
    <x:row r="281" ht="29" customHeight="1">
      <x:c r="A281" s="699" t="n">
        <x:v>67</x:v>
      </x:c>
      <x:c r="B281" s="688"/>
      <x:c r="C281" s="687"/>
      <x:c r="D281" s="701" t="str">
        <x:f>IF(C281="","",COUNTIFS('幕间计算'!$A$210:$A$409,'幕间计算'!A566,'幕间计算'!$B$210:$B$409,1,$E$9:$E$208,C281))</x:f>
        <x:v/>
      </x:c>
      <x:c r="E281" s="689"/>
      <x:c r="F281" s="688"/>
      <x:c r="G281" s="701">
        <x:f>IF('幕间计算'!C566=1,MAX(0,MIN(E281,99-I281)),0)</x:f>
        <x:v>0</x:v>
      </x:c>
      <x:c r="H281" s="699" t="str">
        <x:f>IF(C281="","",IF(F281="作废","已作废",IF(D281=0,"无有效标记",IF(F281&lt;&gt;"确认","待确认",IF(NOT(ISNUMBER(I281)),"填写前值",IF('幕间计算'!B566=0,"检查数值",IF('幕间计算'!C566=0,"已结算",IF(G281=0,"已达99","已计入"))))))))</x:f>
        <x:v/>
      </x:c>
      <x:c r="I281" s="689"/>
      <x:c r="J281" s="701" t="str">
        <x:f>IF(I281="","",I281+G281)</x:f>
        <x:v/>
      </x:c>
      <x:c r="K281" s="702"/>
      <x:c r="L281" s="702"/>
      <x:c r="M281" s="702"/>
      <x:c r="N281" s="702"/>
    </x:row>
    <x:row r="282" ht="29" customHeight="1">
      <x:c r="A282" s="699" t="n">
        <x:v>68</x:v>
      </x:c>
      <x:c r="B282" s="688"/>
      <x:c r="C282" s="687"/>
      <x:c r="D282" s="701" t="str">
        <x:f>IF(C282="","",COUNTIFS('幕间计算'!$A$210:$A$409,'幕间计算'!A567,'幕间计算'!$B$210:$B$409,1,$E$9:$E$208,C282))</x:f>
        <x:v/>
      </x:c>
      <x:c r="E282" s="689"/>
      <x:c r="F282" s="688"/>
      <x:c r="G282" s="701">
        <x:f>IF('幕间计算'!C567=1,MAX(0,MIN(E282,99-I282)),0)</x:f>
        <x:v>0</x:v>
      </x:c>
      <x:c r="H282" s="699" t="str">
        <x:f>IF(C282="","",IF(F282="作废","已作废",IF(D282=0,"无有效标记",IF(F282&lt;&gt;"确认","待确认",IF(NOT(ISNUMBER(I282)),"填写前值",IF('幕间计算'!B567=0,"检查数值",IF('幕间计算'!C567=0,"已结算",IF(G282=0,"已达99","已计入"))))))))</x:f>
        <x:v/>
      </x:c>
      <x:c r="I282" s="689"/>
      <x:c r="J282" s="701" t="str">
        <x:f>IF(I282="","",I282+G282)</x:f>
        <x:v/>
      </x:c>
      <x:c r="K282" s="702"/>
      <x:c r="L282" s="702"/>
      <x:c r="M282" s="702"/>
      <x:c r="N282" s="702"/>
    </x:row>
    <x:row r="283" ht="29" customHeight="1">
      <x:c r="A283" s="699" t="n">
        <x:v>69</x:v>
      </x:c>
      <x:c r="B283" s="688"/>
      <x:c r="C283" s="687"/>
      <x:c r="D283" s="701" t="str">
        <x:f>IF(C283="","",COUNTIFS('幕间计算'!$A$210:$A$409,'幕间计算'!A568,'幕间计算'!$B$210:$B$409,1,$E$9:$E$208,C283))</x:f>
        <x:v/>
      </x:c>
      <x:c r="E283" s="689"/>
      <x:c r="F283" s="688"/>
      <x:c r="G283" s="701">
        <x:f>IF('幕间计算'!C568=1,MAX(0,MIN(E283,99-I283)),0)</x:f>
        <x:v>0</x:v>
      </x:c>
      <x:c r="H283" s="699" t="str">
        <x:f>IF(C283="","",IF(F283="作废","已作废",IF(D283=0,"无有效标记",IF(F283&lt;&gt;"确认","待确认",IF(NOT(ISNUMBER(I283)),"填写前值",IF('幕间计算'!B568=0,"检查数值",IF('幕间计算'!C568=0,"已结算",IF(G283=0,"已达99","已计入"))))))))</x:f>
        <x:v/>
      </x:c>
      <x:c r="I283" s="689"/>
      <x:c r="J283" s="701" t="str">
        <x:f>IF(I283="","",I283+G283)</x:f>
        <x:v/>
      </x:c>
      <x:c r="K283" s="702"/>
      <x:c r="L283" s="702"/>
      <x:c r="M283" s="702"/>
      <x:c r="N283" s="702"/>
    </x:row>
    <x:row r="284" ht="29" customHeight="1">
      <x:c r="A284" s="699" t="n">
        <x:v>70</x:v>
      </x:c>
      <x:c r="B284" s="688"/>
      <x:c r="C284" s="687"/>
      <x:c r="D284" s="701" t="str">
        <x:f>IF(C284="","",COUNTIFS('幕间计算'!$A$210:$A$409,'幕间计算'!A569,'幕间计算'!$B$210:$B$409,1,$E$9:$E$208,C284))</x:f>
        <x:v/>
      </x:c>
      <x:c r="E284" s="689"/>
      <x:c r="F284" s="688"/>
      <x:c r="G284" s="701">
        <x:f>IF('幕间计算'!C569=1,MAX(0,MIN(E284,99-I284)),0)</x:f>
        <x:v>0</x:v>
      </x:c>
      <x:c r="H284" s="699" t="str">
        <x:f>IF(C284="","",IF(F284="作废","已作废",IF(D284=0,"无有效标记",IF(F284&lt;&gt;"确认","待确认",IF(NOT(ISNUMBER(I284)),"填写前值",IF('幕间计算'!B569=0,"检查数值",IF('幕间计算'!C569=0,"已结算",IF(G284=0,"已达99","已计入"))))))))</x:f>
        <x:v/>
      </x:c>
      <x:c r="I284" s="689"/>
      <x:c r="J284" s="701" t="str">
        <x:f>IF(I284="","",I284+G284)</x:f>
        <x:v/>
      </x:c>
      <x:c r="K284" s="702"/>
      <x:c r="L284" s="702"/>
      <x:c r="M284" s="702"/>
      <x:c r="N284" s="702"/>
    </x:row>
    <x:row r="285" ht="29" customHeight="1">
      <x:c r="A285" s="699" t="n">
        <x:v>71</x:v>
      </x:c>
      <x:c r="B285" s="688"/>
      <x:c r="C285" s="687"/>
      <x:c r="D285" s="701" t="str">
        <x:f>IF(C285="","",COUNTIFS('幕间计算'!$A$210:$A$409,'幕间计算'!A570,'幕间计算'!$B$210:$B$409,1,$E$9:$E$208,C285))</x:f>
        <x:v/>
      </x:c>
      <x:c r="E285" s="689"/>
      <x:c r="F285" s="688"/>
      <x:c r="G285" s="701">
        <x:f>IF('幕间计算'!C570=1,MAX(0,MIN(E285,99-I285)),0)</x:f>
        <x:v>0</x:v>
      </x:c>
      <x:c r="H285" s="699" t="str">
        <x:f>IF(C285="","",IF(F285="作废","已作废",IF(D285=0,"无有效标记",IF(F285&lt;&gt;"确认","待确认",IF(NOT(ISNUMBER(I285)),"填写前值",IF('幕间计算'!B570=0,"检查数值",IF('幕间计算'!C570=0,"已结算",IF(G285=0,"已达99","已计入"))))))))</x:f>
        <x:v/>
      </x:c>
      <x:c r="I285" s="689"/>
      <x:c r="J285" s="701" t="str">
        <x:f>IF(I285="","",I285+G285)</x:f>
        <x:v/>
      </x:c>
      <x:c r="K285" s="702"/>
      <x:c r="L285" s="702"/>
      <x:c r="M285" s="702"/>
      <x:c r="N285" s="702"/>
    </x:row>
    <x:row r="286" ht="29" customHeight="1">
      <x:c r="A286" s="699" t="n">
        <x:v>72</x:v>
      </x:c>
      <x:c r="B286" s="688"/>
      <x:c r="C286" s="687"/>
      <x:c r="D286" s="701" t="str">
        <x:f>IF(C286="","",COUNTIFS('幕间计算'!$A$210:$A$409,'幕间计算'!A571,'幕间计算'!$B$210:$B$409,1,$E$9:$E$208,C286))</x:f>
        <x:v/>
      </x:c>
      <x:c r="E286" s="689"/>
      <x:c r="F286" s="688"/>
      <x:c r="G286" s="701">
        <x:f>IF('幕间计算'!C571=1,MAX(0,MIN(E286,99-I286)),0)</x:f>
        <x:v>0</x:v>
      </x:c>
      <x:c r="H286" s="699" t="str">
        <x:f>IF(C286="","",IF(F286="作废","已作废",IF(D286=0,"无有效标记",IF(F286&lt;&gt;"确认","待确认",IF(NOT(ISNUMBER(I286)),"填写前值",IF('幕间计算'!B571=0,"检查数值",IF('幕间计算'!C571=0,"已结算",IF(G286=0,"已达99","已计入"))))))))</x:f>
        <x:v/>
      </x:c>
      <x:c r="I286" s="689"/>
      <x:c r="J286" s="701" t="str">
        <x:f>IF(I286="","",I286+G286)</x:f>
        <x:v/>
      </x:c>
      <x:c r="K286" s="702"/>
      <x:c r="L286" s="702"/>
      <x:c r="M286" s="702"/>
      <x:c r="N286" s="702"/>
    </x:row>
    <x:row r="287" ht="29" customHeight="1">
      <x:c r="A287" s="699" t="n">
        <x:v>73</x:v>
      </x:c>
      <x:c r="B287" s="688"/>
      <x:c r="C287" s="687"/>
      <x:c r="D287" s="701" t="str">
        <x:f>IF(C287="","",COUNTIFS('幕间计算'!$A$210:$A$409,'幕间计算'!A572,'幕间计算'!$B$210:$B$409,1,$E$9:$E$208,C287))</x:f>
        <x:v/>
      </x:c>
      <x:c r="E287" s="689"/>
      <x:c r="F287" s="688"/>
      <x:c r="G287" s="701">
        <x:f>IF('幕间计算'!C572=1,MAX(0,MIN(E287,99-I287)),0)</x:f>
        <x:v>0</x:v>
      </x:c>
      <x:c r="H287" s="699" t="str">
        <x:f>IF(C287="","",IF(F287="作废","已作废",IF(D287=0,"无有效标记",IF(F287&lt;&gt;"确认","待确认",IF(NOT(ISNUMBER(I287)),"填写前值",IF('幕间计算'!B572=0,"检查数值",IF('幕间计算'!C572=0,"已结算",IF(G287=0,"已达99","已计入"))))))))</x:f>
        <x:v/>
      </x:c>
      <x:c r="I287" s="689"/>
      <x:c r="J287" s="701" t="str">
        <x:f>IF(I287="","",I287+G287)</x:f>
        <x:v/>
      </x:c>
      <x:c r="K287" s="702"/>
      <x:c r="L287" s="702"/>
      <x:c r="M287" s="702"/>
      <x:c r="N287" s="702"/>
    </x:row>
    <x:row r="288" ht="29" customHeight="1">
      <x:c r="A288" s="699" t="n">
        <x:v>74</x:v>
      </x:c>
      <x:c r="B288" s="688"/>
      <x:c r="C288" s="687"/>
      <x:c r="D288" s="701" t="str">
        <x:f>IF(C288="","",COUNTIFS('幕间计算'!$A$210:$A$409,'幕间计算'!A573,'幕间计算'!$B$210:$B$409,1,$E$9:$E$208,C288))</x:f>
        <x:v/>
      </x:c>
      <x:c r="E288" s="689"/>
      <x:c r="F288" s="688"/>
      <x:c r="G288" s="701">
        <x:f>IF('幕间计算'!C573=1,MAX(0,MIN(E288,99-I288)),0)</x:f>
        <x:v>0</x:v>
      </x:c>
      <x:c r="H288" s="699" t="str">
        <x:f>IF(C288="","",IF(F288="作废","已作废",IF(D288=0,"无有效标记",IF(F288&lt;&gt;"确认","待确认",IF(NOT(ISNUMBER(I288)),"填写前值",IF('幕间计算'!B573=0,"检查数值",IF('幕间计算'!C573=0,"已结算",IF(G288=0,"已达99","已计入"))))))))</x:f>
        <x:v/>
      </x:c>
      <x:c r="I288" s="689"/>
      <x:c r="J288" s="701" t="str">
        <x:f>IF(I288="","",I288+G288)</x:f>
        <x:v/>
      </x:c>
      <x:c r="K288" s="702"/>
      <x:c r="L288" s="702"/>
      <x:c r="M288" s="702"/>
      <x:c r="N288" s="702"/>
    </x:row>
    <x:row r="289" ht="29" customHeight="1">
      <x:c r="A289" s="699" t="n">
        <x:v>75</x:v>
      </x:c>
      <x:c r="B289" s="688"/>
      <x:c r="C289" s="687"/>
      <x:c r="D289" s="701" t="str">
        <x:f>IF(C289="","",COUNTIFS('幕间计算'!$A$210:$A$409,'幕间计算'!A574,'幕间计算'!$B$210:$B$409,1,$E$9:$E$208,C289))</x:f>
        <x:v/>
      </x:c>
      <x:c r="E289" s="689"/>
      <x:c r="F289" s="688"/>
      <x:c r="G289" s="701">
        <x:f>IF('幕间计算'!C574=1,MAX(0,MIN(E289,99-I289)),0)</x:f>
        <x:v>0</x:v>
      </x:c>
      <x:c r="H289" s="699" t="str">
        <x:f>IF(C289="","",IF(F289="作废","已作废",IF(D289=0,"无有效标记",IF(F289&lt;&gt;"确认","待确认",IF(NOT(ISNUMBER(I289)),"填写前值",IF('幕间计算'!B574=0,"检查数值",IF('幕间计算'!C574=0,"已结算",IF(G289=0,"已达99","已计入"))))))))</x:f>
        <x:v/>
      </x:c>
      <x:c r="I289" s="689"/>
      <x:c r="J289" s="701" t="str">
        <x:f>IF(I289="","",I289+G289)</x:f>
        <x:v/>
      </x:c>
      <x:c r="K289" s="702"/>
      <x:c r="L289" s="702"/>
      <x:c r="M289" s="702"/>
      <x:c r="N289" s="702"/>
    </x:row>
    <x:row r="290" ht="29" customHeight="1">
      <x:c r="A290" s="699" t="n">
        <x:v>76</x:v>
      </x:c>
      <x:c r="B290" s="688"/>
      <x:c r="C290" s="687"/>
      <x:c r="D290" s="701" t="str">
        <x:f>IF(C290="","",COUNTIFS('幕间计算'!$A$210:$A$409,'幕间计算'!A575,'幕间计算'!$B$210:$B$409,1,$E$9:$E$208,C290))</x:f>
        <x:v/>
      </x:c>
      <x:c r="E290" s="689"/>
      <x:c r="F290" s="688"/>
      <x:c r="G290" s="701">
        <x:f>IF('幕间计算'!C575=1,MAX(0,MIN(E290,99-I290)),0)</x:f>
        <x:v>0</x:v>
      </x:c>
      <x:c r="H290" s="699" t="str">
        <x:f>IF(C290="","",IF(F290="作废","已作废",IF(D290=0,"无有效标记",IF(F290&lt;&gt;"确认","待确认",IF(NOT(ISNUMBER(I290)),"填写前值",IF('幕间计算'!B575=0,"检查数值",IF('幕间计算'!C575=0,"已结算",IF(G290=0,"已达99","已计入"))))))))</x:f>
        <x:v/>
      </x:c>
      <x:c r="I290" s="689"/>
      <x:c r="J290" s="701" t="str">
        <x:f>IF(I290="","",I290+G290)</x:f>
        <x:v/>
      </x:c>
      <x:c r="K290" s="702"/>
      <x:c r="L290" s="702"/>
      <x:c r="M290" s="702"/>
      <x:c r="N290" s="702"/>
    </x:row>
    <x:row r="291" ht="29" customHeight="1">
      <x:c r="A291" s="699" t="n">
        <x:v>77</x:v>
      </x:c>
      <x:c r="B291" s="688"/>
      <x:c r="C291" s="687"/>
      <x:c r="D291" s="701" t="str">
        <x:f>IF(C291="","",COUNTIFS('幕间计算'!$A$210:$A$409,'幕间计算'!A576,'幕间计算'!$B$210:$B$409,1,$E$9:$E$208,C291))</x:f>
        <x:v/>
      </x:c>
      <x:c r="E291" s="689"/>
      <x:c r="F291" s="688"/>
      <x:c r="G291" s="701">
        <x:f>IF('幕间计算'!C576=1,MAX(0,MIN(E291,99-I291)),0)</x:f>
        <x:v>0</x:v>
      </x:c>
      <x:c r="H291" s="699" t="str">
        <x:f>IF(C291="","",IF(F291="作废","已作废",IF(D291=0,"无有效标记",IF(F291&lt;&gt;"确认","待确认",IF(NOT(ISNUMBER(I291)),"填写前值",IF('幕间计算'!B576=0,"检查数值",IF('幕间计算'!C576=0,"已结算",IF(G291=0,"已达99","已计入"))))))))</x:f>
        <x:v/>
      </x:c>
      <x:c r="I291" s="689"/>
      <x:c r="J291" s="701" t="str">
        <x:f>IF(I291="","",I291+G291)</x:f>
        <x:v/>
      </x:c>
      <x:c r="K291" s="702"/>
      <x:c r="L291" s="702"/>
      <x:c r="M291" s="702"/>
      <x:c r="N291" s="702"/>
    </x:row>
    <x:row r="292" ht="29" customHeight="1">
      <x:c r="A292" s="699" t="n">
        <x:v>78</x:v>
      </x:c>
      <x:c r="B292" s="688"/>
      <x:c r="C292" s="687"/>
      <x:c r="D292" s="701" t="str">
        <x:f>IF(C292="","",COUNTIFS('幕间计算'!$A$210:$A$409,'幕间计算'!A577,'幕间计算'!$B$210:$B$409,1,$E$9:$E$208,C292))</x:f>
        <x:v/>
      </x:c>
      <x:c r="E292" s="689"/>
      <x:c r="F292" s="688"/>
      <x:c r="G292" s="701">
        <x:f>IF('幕间计算'!C577=1,MAX(0,MIN(E292,99-I292)),0)</x:f>
        <x:v>0</x:v>
      </x:c>
      <x:c r="H292" s="699" t="str">
        <x:f>IF(C292="","",IF(F292="作废","已作废",IF(D292=0,"无有效标记",IF(F292&lt;&gt;"确认","待确认",IF(NOT(ISNUMBER(I292)),"填写前值",IF('幕间计算'!B577=0,"检查数值",IF('幕间计算'!C577=0,"已结算",IF(G292=0,"已达99","已计入"))))))))</x:f>
        <x:v/>
      </x:c>
      <x:c r="I292" s="689"/>
      <x:c r="J292" s="701" t="str">
        <x:f>IF(I292="","",I292+G292)</x:f>
        <x:v/>
      </x:c>
      <x:c r="K292" s="702"/>
      <x:c r="L292" s="702"/>
      <x:c r="M292" s="702"/>
      <x:c r="N292" s="702"/>
    </x:row>
    <x:row r="293" ht="29" customHeight="1">
      <x:c r="A293" s="699" t="n">
        <x:v>79</x:v>
      </x:c>
      <x:c r="B293" s="688"/>
      <x:c r="C293" s="687"/>
      <x:c r="D293" s="701" t="str">
        <x:f>IF(C293="","",COUNTIFS('幕间计算'!$A$210:$A$409,'幕间计算'!A578,'幕间计算'!$B$210:$B$409,1,$E$9:$E$208,C293))</x:f>
        <x:v/>
      </x:c>
      <x:c r="E293" s="689"/>
      <x:c r="F293" s="688"/>
      <x:c r="G293" s="701">
        <x:f>IF('幕间计算'!C578=1,MAX(0,MIN(E293,99-I293)),0)</x:f>
        <x:v>0</x:v>
      </x:c>
      <x:c r="H293" s="699" t="str">
        <x:f>IF(C293="","",IF(F293="作废","已作废",IF(D293=0,"无有效标记",IF(F293&lt;&gt;"确认","待确认",IF(NOT(ISNUMBER(I293)),"填写前值",IF('幕间计算'!B578=0,"检查数值",IF('幕间计算'!C578=0,"已结算",IF(G293=0,"已达99","已计入"))))))))</x:f>
        <x:v/>
      </x:c>
      <x:c r="I293" s="689"/>
      <x:c r="J293" s="701" t="str">
        <x:f>IF(I293="","",I293+G293)</x:f>
        <x:v/>
      </x:c>
      <x:c r="K293" s="702"/>
      <x:c r="L293" s="702"/>
      <x:c r="M293" s="702"/>
      <x:c r="N293" s="702"/>
    </x:row>
    <x:row r="294" ht="29" customHeight="1">
      <x:c r="A294" s="699" t="n">
        <x:v>80</x:v>
      </x:c>
      <x:c r="B294" s="688"/>
      <x:c r="C294" s="687"/>
      <x:c r="D294" s="701" t="str">
        <x:f>IF(C294="","",COUNTIFS('幕间计算'!$A$210:$A$409,'幕间计算'!A579,'幕间计算'!$B$210:$B$409,1,$E$9:$E$208,C294))</x:f>
        <x:v/>
      </x:c>
      <x:c r="E294" s="689"/>
      <x:c r="F294" s="688"/>
      <x:c r="G294" s="701">
        <x:f>IF('幕间计算'!C579=1,MAX(0,MIN(E294,99-I294)),0)</x:f>
        <x:v>0</x:v>
      </x:c>
      <x:c r="H294" s="699" t="str">
        <x:f>IF(C294="","",IF(F294="作废","已作废",IF(D294=0,"无有效标记",IF(F294&lt;&gt;"确认","待确认",IF(NOT(ISNUMBER(I294)),"填写前值",IF('幕间计算'!B579=0,"检查数值",IF('幕间计算'!C579=0,"已结算",IF(G294=0,"已达99","已计入"))))))))</x:f>
        <x:v/>
      </x:c>
      <x:c r="I294" s="689"/>
      <x:c r="J294" s="701" t="str">
        <x:f>IF(I294="","",I294+G294)</x:f>
        <x:v/>
      </x:c>
      <x:c r="K294" s="702"/>
      <x:c r="L294" s="702"/>
      <x:c r="M294" s="702"/>
      <x:c r="N294" s="702"/>
    </x:row>
    <x:row r="295" ht="29" customHeight="1">
      <x:c r="A295" s="699" t="n">
        <x:v>81</x:v>
      </x:c>
      <x:c r="B295" s="688"/>
      <x:c r="C295" s="687"/>
      <x:c r="D295" s="701" t="str">
        <x:f>IF(C295="","",COUNTIFS('幕间计算'!$A$210:$A$409,'幕间计算'!A580,'幕间计算'!$B$210:$B$409,1,$E$9:$E$208,C295))</x:f>
        <x:v/>
      </x:c>
      <x:c r="E295" s="689"/>
      <x:c r="F295" s="688"/>
      <x:c r="G295" s="701">
        <x:f>IF('幕间计算'!C580=1,MAX(0,MIN(E295,99-I295)),0)</x:f>
        <x:v>0</x:v>
      </x:c>
      <x:c r="H295" s="699" t="str">
        <x:f>IF(C295="","",IF(F295="作废","已作废",IF(D295=0,"无有效标记",IF(F295&lt;&gt;"确认","待确认",IF(NOT(ISNUMBER(I295)),"填写前值",IF('幕间计算'!B580=0,"检查数值",IF('幕间计算'!C580=0,"已结算",IF(G295=0,"已达99","已计入"))))))))</x:f>
        <x:v/>
      </x:c>
      <x:c r="I295" s="689"/>
      <x:c r="J295" s="701" t="str">
        <x:f>IF(I295="","",I295+G295)</x:f>
        <x:v/>
      </x:c>
      <x:c r="K295" s="702"/>
      <x:c r="L295" s="702"/>
      <x:c r="M295" s="702"/>
      <x:c r="N295" s="702"/>
    </x:row>
    <x:row r="296" ht="29" customHeight="1">
      <x:c r="A296" s="699" t="n">
        <x:v>82</x:v>
      </x:c>
      <x:c r="B296" s="688"/>
      <x:c r="C296" s="687"/>
      <x:c r="D296" s="701" t="str">
        <x:f>IF(C296="","",COUNTIFS('幕间计算'!$A$210:$A$409,'幕间计算'!A581,'幕间计算'!$B$210:$B$409,1,$E$9:$E$208,C296))</x:f>
        <x:v/>
      </x:c>
      <x:c r="E296" s="689"/>
      <x:c r="F296" s="688"/>
      <x:c r="G296" s="701">
        <x:f>IF('幕间计算'!C581=1,MAX(0,MIN(E296,99-I296)),0)</x:f>
        <x:v>0</x:v>
      </x:c>
      <x:c r="H296" s="699" t="str">
        <x:f>IF(C296="","",IF(F296="作废","已作废",IF(D296=0,"无有效标记",IF(F296&lt;&gt;"确认","待确认",IF(NOT(ISNUMBER(I296)),"填写前值",IF('幕间计算'!B581=0,"检查数值",IF('幕间计算'!C581=0,"已结算",IF(G296=0,"已达99","已计入"))))))))</x:f>
        <x:v/>
      </x:c>
      <x:c r="I296" s="689"/>
      <x:c r="J296" s="701" t="str">
        <x:f>IF(I296="","",I296+G296)</x:f>
        <x:v/>
      </x:c>
      <x:c r="K296" s="702"/>
      <x:c r="L296" s="702"/>
      <x:c r="M296" s="702"/>
      <x:c r="N296" s="702"/>
    </x:row>
    <x:row r="297" ht="29" customHeight="1">
      <x:c r="A297" s="699" t="n">
        <x:v>83</x:v>
      </x:c>
      <x:c r="B297" s="688"/>
      <x:c r="C297" s="687"/>
      <x:c r="D297" s="701" t="str">
        <x:f>IF(C297="","",COUNTIFS('幕间计算'!$A$210:$A$409,'幕间计算'!A582,'幕间计算'!$B$210:$B$409,1,$E$9:$E$208,C297))</x:f>
        <x:v/>
      </x:c>
      <x:c r="E297" s="689"/>
      <x:c r="F297" s="688"/>
      <x:c r="G297" s="701">
        <x:f>IF('幕间计算'!C582=1,MAX(0,MIN(E297,99-I297)),0)</x:f>
        <x:v>0</x:v>
      </x:c>
      <x:c r="H297" s="699" t="str">
        <x:f>IF(C297="","",IF(F297="作废","已作废",IF(D297=0,"无有效标记",IF(F297&lt;&gt;"确认","待确认",IF(NOT(ISNUMBER(I297)),"填写前值",IF('幕间计算'!B582=0,"检查数值",IF('幕间计算'!C582=0,"已结算",IF(G297=0,"已达99","已计入"))))))))</x:f>
        <x:v/>
      </x:c>
      <x:c r="I297" s="689"/>
      <x:c r="J297" s="701" t="str">
        <x:f>IF(I297="","",I297+G297)</x:f>
        <x:v/>
      </x:c>
      <x:c r="K297" s="702"/>
      <x:c r="L297" s="702"/>
      <x:c r="M297" s="702"/>
      <x:c r="N297" s="702"/>
    </x:row>
    <x:row r="298" ht="29" customHeight="1">
      <x:c r="A298" s="699" t="n">
        <x:v>84</x:v>
      </x:c>
      <x:c r="B298" s="688"/>
      <x:c r="C298" s="687"/>
      <x:c r="D298" s="701" t="str">
        <x:f>IF(C298="","",COUNTIFS('幕间计算'!$A$210:$A$409,'幕间计算'!A583,'幕间计算'!$B$210:$B$409,1,$E$9:$E$208,C298))</x:f>
        <x:v/>
      </x:c>
      <x:c r="E298" s="689"/>
      <x:c r="F298" s="688"/>
      <x:c r="G298" s="701">
        <x:f>IF('幕间计算'!C583=1,MAX(0,MIN(E298,99-I298)),0)</x:f>
        <x:v>0</x:v>
      </x:c>
      <x:c r="H298" s="699" t="str">
        <x:f>IF(C298="","",IF(F298="作废","已作废",IF(D298=0,"无有效标记",IF(F298&lt;&gt;"确认","待确认",IF(NOT(ISNUMBER(I298)),"填写前值",IF('幕间计算'!B583=0,"检查数值",IF('幕间计算'!C583=0,"已结算",IF(G298=0,"已达99","已计入"))))))))</x:f>
        <x:v/>
      </x:c>
      <x:c r="I298" s="689"/>
      <x:c r="J298" s="701" t="str">
        <x:f>IF(I298="","",I298+G298)</x:f>
        <x:v/>
      </x:c>
      <x:c r="K298" s="702"/>
      <x:c r="L298" s="702"/>
      <x:c r="M298" s="702"/>
      <x:c r="N298" s="702"/>
    </x:row>
    <x:row r="299" ht="29" customHeight="1">
      <x:c r="A299" s="699" t="n">
        <x:v>85</x:v>
      </x:c>
      <x:c r="B299" s="688"/>
      <x:c r="C299" s="687"/>
      <x:c r="D299" s="701" t="str">
        <x:f>IF(C299="","",COUNTIFS('幕间计算'!$A$210:$A$409,'幕间计算'!A584,'幕间计算'!$B$210:$B$409,1,$E$9:$E$208,C299))</x:f>
        <x:v/>
      </x:c>
      <x:c r="E299" s="689"/>
      <x:c r="F299" s="688"/>
      <x:c r="G299" s="701">
        <x:f>IF('幕间计算'!C584=1,MAX(0,MIN(E299,99-I299)),0)</x:f>
        <x:v>0</x:v>
      </x:c>
      <x:c r="H299" s="699" t="str">
        <x:f>IF(C299="","",IF(F299="作废","已作废",IF(D299=0,"无有效标记",IF(F299&lt;&gt;"确认","待确认",IF(NOT(ISNUMBER(I299)),"填写前值",IF('幕间计算'!B584=0,"检查数值",IF('幕间计算'!C584=0,"已结算",IF(G299=0,"已达99","已计入"))))))))</x:f>
        <x:v/>
      </x:c>
      <x:c r="I299" s="689"/>
      <x:c r="J299" s="701" t="str">
        <x:f>IF(I299="","",I299+G299)</x:f>
        <x:v/>
      </x:c>
      <x:c r="K299" s="702"/>
      <x:c r="L299" s="702"/>
      <x:c r="M299" s="702"/>
      <x:c r="N299" s="702"/>
    </x:row>
    <x:row r="300" ht="29" customHeight="1">
      <x:c r="A300" s="699" t="n">
        <x:v>86</x:v>
      </x:c>
      <x:c r="B300" s="688"/>
      <x:c r="C300" s="687"/>
      <x:c r="D300" s="701" t="str">
        <x:f>IF(C300="","",COUNTIFS('幕间计算'!$A$210:$A$409,'幕间计算'!A585,'幕间计算'!$B$210:$B$409,1,$E$9:$E$208,C300))</x:f>
        <x:v/>
      </x:c>
      <x:c r="E300" s="689"/>
      <x:c r="F300" s="688"/>
      <x:c r="G300" s="701">
        <x:f>IF('幕间计算'!C585=1,MAX(0,MIN(E300,99-I300)),0)</x:f>
        <x:v>0</x:v>
      </x:c>
      <x:c r="H300" s="699" t="str">
        <x:f>IF(C300="","",IF(F300="作废","已作废",IF(D300=0,"无有效标记",IF(F300&lt;&gt;"确认","待确认",IF(NOT(ISNUMBER(I300)),"填写前值",IF('幕间计算'!B585=0,"检查数值",IF('幕间计算'!C585=0,"已结算",IF(G300=0,"已达99","已计入"))))))))</x:f>
        <x:v/>
      </x:c>
      <x:c r="I300" s="689"/>
      <x:c r="J300" s="701" t="str">
        <x:f>IF(I300="","",I300+G300)</x:f>
        <x:v/>
      </x:c>
      <x:c r="K300" s="702"/>
      <x:c r="L300" s="702"/>
      <x:c r="M300" s="702"/>
      <x:c r="N300" s="702"/>
    </x:row>
    <x:row r="301" ht="29" customHeight="1">
      <x:c r="A301" s="699" t="n">
        <x:v>87</x:v>
      </x:c>
      <x:c r="B301" s="688"/>
      <x:c r="C301" s="687"/>
      <x:c r="D301" s="701" t="str">
        <x:f>IF(C301="","",COUNTIFS('幕间计算'!$A$210:$A$409,'幕间计算'!A586,'幕间计算'!$B$210:$B$409,1,$E$9:$E$208,C301))</x:f>
        <x:v/>
      </x:c>
      <x:c r="E301" s="689"/>
      <x:c r="F301" s="688"/>
      <x:c r="G301" s="701">
        <x:f>IF('幕间计算'!C586=1,MAX(0,MIN(E301,99-I301)),0)</x:f>
        <x:v>0</x:v>
      </x:c>
      <x:c r="H301" s="699" t="str">
        <x:f>IF(C301="","",IF(F301="作废","已作废",IF(D301=0,"无有效标记",IF(F301&lt;&gt;"确认","待确认",IF(NOT(ISNUMBER(I301)),"填写前值",IF('幕间计算'!B586=0,"检查数值",IF('幕间计算'!C586=0,"已结算",IF(G301=0,"已达99","已计入"))))))))</x:f>
        <x:v/>
      </x:c>
      <x:c r="I301" s="689"/>
      <x:c r="J301" s="701" t="str">
        <x:f>IF(I301="","",I301+G301)</x:f>
        <x:v/>
      </x:c>
      <x:c r="K301" s="702"/>
      <x:c r="L301" s="702"/>
      <x:c r="M301" s="702"/>
      <x:c r="N301" s="702"/>
    </x:row>
    <x:row r="302" ht="29" customHeight="1">
      <x:c r="A302" s="699" t="n">
        <x:v>88</x:v>
      </x:c>
      <x:c r="B302" s="688"/>
      <x:c r="C302" s="687"/>
      <x:c r="D302" s="701" t="str">
        <x:f>IF(C302="","",COUNTIFS('幕间计算'!$A$210:$A$409,'幕间计算'!A587,'幕间计算'!$B$210:$B$409,1,$E$9:$E$208,C302))</x:f>
        <x:v/>
      </x:c>
      <x:c r="E302" s="689"/>
      <x:c r="F302" s="688"/>
      <x:c r="G302" s="701">
        <x:f>IF('幕间计算'!C587=1,MAX(0,MIN(E302,99-I302)),0)</x:f>
        <x:v>0</x:v>
      </x:c>
      <x:c r="H302" s="699" t="str">
        <x:f>IF(C302="","",IF(F302="作废","已作废",IF(D302=0,"无有效标记",IF(F302&lt;&gt;"确认","待确认",IF(NOT(ISNUMBER(I302)),"填写前值",IF('幕间计算'!B587=0,"检查数值",IF('幕间计算'!C587=0,"已结算",IF(G302=0,"已达99","已计入"))))))))</x:f>
        <x:v/>
      </x:c>
      <x:c r="I302" s="689"/>
      <x:c r="J302" s="701" t="str">
        <x:f>IF(I302="","",I302+G302)</x:f>
        <x:v/>
      </x:c>
      <x:c r="K302" s="702"/>
      <x:c r="L302" s="702"/>
      <x:c r="M302" s="702"/>
      <x:c r="N302" s="702"/>
    </x:row>
    <x:row r="303" ht="29" customHeight="1">
      <x:c r="A303" s="699" t="n">
        <x:v>89</x:v>
      </x:c>
      <x:c r="B303" s="688"/>
      <x:c r="C303" s="687"/>
      <x:c r="D303" s="701" t="str">
        <x:f>IF(C303="","",COUNTIFS('幕间计算'!$A$210:$A$409,'幕间计算'!A588,'幕间计算'!$B$210:$B$409,1,$E$9:$E$208,C303))</x:f>
        <x:v/>
      </x:c>
      <x:c r="E303" s="689"/>
      <x:c r="F303" s="688"/>
      <x:c r="G303" s="701">
        <x:f>IF('幕间计算'!C588=1,MAX(0,MIN(E303,99-I303)),0)</x:f>
        <x:v>0</x:v>
      </x:c>
      <x:c r="H303" s="699" t="str">
        <x:f>IF(C303="","",IF(F303="作废","已作废",IF(D303=0,"无有效标记",IF(F303&lt;&gt;"确认","待确认",IF(NOT(ISNUMBER(I303)),"填写前值",IF('幕间计算'!B588=0,"检查数值",IF('幕间计算'!C588=0,"已结算",IF(G303=0,"已达99","已计入"))))))))</x:f>
        <x:v/>
      </x:c>
      <x:c r="I303" s="689"/>
      <x:c r="J303" s="701" t="str">
        <x:f>IF(I303="","",I303+G303)</x:f>
        <x:v/>
      </x:c>
      <x:c r="K303" s="702"/>
      <x:c r="L303" s="702"/>
      <x:c r="M303" s="702"/>
      <x:c r="N303" s="702"/>
    </x:row>
    <x:row r="304" ht="29" customHeight="1">
      <x:c r="A304" s="699" t="n">
        <x:v>90</x:v>
      </x:c>
      <x:c r="B304" s="688"/>
      <x:c r="C304" s="687"/>
      <x:c r="D304" s="701" t="str">
        <x:f>IF(C304="","",COUNTIFS('幕间计算'!$A$210:$A$409,'幕间计算'!A589,'幕间计算'!$B$210:$B$409,1,$E$9:$E$208,C304))</x:f>
        <x:v/>
      </x:c>
      <x:c r="E304" s="689"/>
      <x:c r="F304" s="688"/>
      <x:c r="G304" s="701">
        <x:f>IF('幕间计算'!C589=1,MAX(0,MIN(E304,99-I304)),0)</x:f>
        <x:v>0</x:v>
      </x:c>
      <x:c r="H304" s="699" t="str">
        <x:f>IF(C304="","",IF(F304="作废","已作废",IF(D304=0,"无有效标记",IF(F304&lt;&gt;"确认","待确认",IF(NOT(ISNUMBER(I304)),"填写前值",IF('幕间计算'!B589=0,"检查数值",IF('幕间计算'!C589=0,"已结算",IF(G304=0,"已达99","已计入"))))))))</x:f>
        <x:v/>
      </x:c>
      <x:c r="I304" s="689"/>
      <x:c r="J304" s="701" t="str">
        <x:f>IF(I304="","",I304+G304)</x:f>
        <x:v/>
      </x:c>
      <x:c r="K304" s="702"/>
      <x:c r="L304" s="702"/>
      <x:c r="M304" s="702"/>
      <x:c r="N304" s="702"/>
    </x:row>
    <x:row r="305" ht="29" customHeight="1">
      <x:c r="A305" s="699" t="n">
        <x:v>91</x:v>
      </x:c>
      <x:c r="B305" s="688"/>
      <x:c r="C305" s="687"/>
      <x:c r="D305" s="701" t="str">
        <x:f>IF(C305="","",COUNTIFS('幕间计算'!$A$210:$A$409,'幕间计算'!A590,'幕间计算'!$B$210:$B$409,1,$E$9:$E$208,C305))</x:f>
        <x:v/>
      </x:c>
      <x:c r="E305" s="689"/>
      <x:c r="F305" s="688"/>
      <x:c r="G305" s="701">
        <x:f>IF('幕间计算'!C590=1,MAX(0,MIN(E305,99-I305)),0)</x:f>
        <x:v>0</x:v>
      </x:c>
      <x:c r="H305" s="699" t="str">
        <x:f>IF(C305="","",IF(F305="作废","已作废",IF(D305=0,"无有效标记",IF(F305&lt;&gt;"确认","待确认",IF(NOT(ISNUMBER(I305)),"填写前值",IF('幕间计算'!B590=0,"检查数值",IF('幕间计算'!C590=0,"已结算",IF(G305=0,"已达99","已计入"))))))))</x:f>
        <x:v/>
      </x:c>
      <x:c r="I305" s="689"/>
      <x:c r="J305" s="701" t="str">
        <x:f>IF(I305="","",I305+G305)</x:f>
        <x:v/>
      </x:c>
      <x:c r="K305" s="702"/>
      <x:c r="L305" s="702"/>
      <x:c r="M305" s="702"/>
      <x:c r="N305" s="702"/>
    </x:row>
    <x:row r="306" ht="29" customHeight="1">
      <x:c r="A306" s="699" t="n">
        <x:v>92</x:v>
      </x:c>
      <x:c r="B306" s="688"/>
      <x:c r="C306" s="687"/>
      <x:c r="D306" s="701" t="str">
        <x:f>IF(C306="","",COUNTIFS('幕间计算'!$A$210:$A$409,'幕间计算'!A591,'幕间计算'!$B$210:$B$409,1,$E$9:$E$208,C306))</x:f>
        <x:v/>
      </x:c>
      <x:c r="E306" s="689"/>
      <x:c r="F306" s="688"/>
      <x:c r="G306" s="701">
        <x:f>IF('幕间计算'!C591=1,MAX(0,MIN(E306,99-I306)),0)</x:f>
        <x:v>0</x:v>
      </x:c>
      <x:c r="H306" s="699" t="str">
        <x:f>IF(C306="","",IF(F306="作废","已作废",IF(D306=0,"无有效标记",IF(F306&lt;&gt;"确认","待确认",IF(NOT(ISNUMBER(I306)),"填写前值",IF('幕间计算'!B591=0,"检查数值",IF('幕间计算'!C591=0,"已结算",IF(G306=0,"已达99","已计入"))))))))</x:f>
        <x:v/>
      </x:c>
      <x:c r="I306" s="689"/>
      <x:c r="J306" s="701" t="str">
        <x:f>IF(I306="","",I306+G306)</x:f>
        <x:v/>
      </x:c>
      <x:c r="K306" s="702"/>
      <x:c r="L306" s="702"/>
      <x:c r="M306" s="702"/>
      <x:c r="N306" s="702"/>
    </x:row>
    <x:row r="307" ht="29" customHeight="1">
      <x:c r="A307" s="699" t="n">
        <x:v>93</x:v>
      </x:c>
      <x:c r="B307" s="688"/>
      <x:c r="C307" s="687"/>
      <x:c r="D307" s="701" t="str">
        <x:f>IF(C307="","",COUNTIFS('幕间计算'!$A$210:$A$409,'幕间计算'!A592,'幕间计算'!$B$210:$B$409,1,$E$9:$E$208,C307))</x:f>
        <x:v/>
      </x:c>
      <x:c r="E307" s="689"/>
      <x:c r="F307" s="688"/>
      <x:c r="G307" s="701">
        <x:f>IF('幕间计算'!C592=1,MAX(0,MIN(E307,99-I307)),0)</x:f>
        <x:v>0</x:v>
      </x:c>
      <x:c r="H307" s="699" t="str">
        <x:f>IF(C307="","",IF(F307="作废","已作废",IF(D307=0,"无有效标记",IF(F307&lt;&gt;"确认","待确认",IF(NOT(ISNUMBER(I307)),"填写前值",IF('幕间计算'!B592=0,"检查数值",IF('幕间计算'!C592=0,"已结算",IF(G307=0,"已达99","已计入"))))))))</x:f>
        <x:v/>
      </x:c>
      <x:c r="I307" s="689"/>
      <x:c r="J307" s="701" t="str">
        <x:f>IF(I307="","",I307+G307)</x:f>
        <x:v/>
      </x:c>
      <x:c r="K307" s="702"/>
      <x:c r="L307" s="702"/>
      <x:c r="M307" s="702"/>
      <x:c r="N307" s="702"/>
    </x:row>
    <x:row r="308" ht="29" customHeight="1">
      <x:c r="A308" s="699" t="n">
        <x:v>94</x:v>
      </x:c>
      <x:c r="B308" s="688"/>
      <x:c r="C308" s="687"/>
      <x:c r="D308" s="701" t="str">
        <x:f>IF(C308="","",COUNTIFS('幕间计算'!$A$210:$A$409,'幕间计算'!A593,'幕间计算'!$B$210:$B$409,1,$E$9:$E$208,C308))</x:f>
        <x:v/>
      </x:c>
      <x:c r="E308" s="689"/>
      <x:c r="F308" s="688"/>
      <x:c r="G308" s="701">
        <x:f>IF('幕间计算'!C593=1,MAX(0,MIN(E308,99-I308)),0)</x:f>
        <x:v>0</x:v>
      </x:c>
      <x:c r="H308" s="699" t="str">
        <x:f>IF(C308="","",IF(F308="作废","已作废",IF(D308=0,"无有效标记",IF(F308&lt;&gt;"确认","待确认",IF(NOT(ISNUMBER(I308)),"填写前值",IF('幕间计算'!B593=0,"检查数值",IF('幕间计算'!C593=0,"已结算",IF(G308=0,"已达99","已计入"))))))))</x:f>
        <x:v/>
      </x:c>
      <x:c r="I308" s="689"/>
      <x:c r="J308" s="701" t="str">
        <x:f>IF(I308="","",I308+G308)</x:f>
        <x:v/>
      </x:c>
      <x:c r="K308" s="702"/>
      <x:c r="L308" s="702"/>
      <x:c r="M308" s="702"/>
      <x:c r="N308" s="702"/>
    </x:row>
    <x:row r="309" ht="29" customHeight="1">
      <x:c r="A309" s="699" t="n">
        <x:v>95</x:v>
      </x:c>
      <x:c r="B309" s="688"/>
      <x:c r="C309" s="687"/>
      <x:c r="D309" s="701" t="str">
        <x:f>IF(C309="","",COUNTIFS('幕间计算'!$A$210:$A$409,'幕间计算'!A594,'幕间计算'!$B$210:$B$409,1,$E$9:$E$208,C309))</x:f>
        <x:v/>
      </x:c>
      <x:c r="E309" s="689"/>
      <x:c r="F309" s="688"/>
      <x:c r="G309" s="701">
        <x:f>IF('幕间计算'!C594=1,MAX(0,MIN(E309,99-I309)),0)</x:f>
        <x:v>0</x:v>
      </x:c>
      <x:c r="H309" s="699" t="str">
        <x:f>IF(C309="","",IF(F309="作废","已作废",IF(D309=0,"无有效标记",IF(F309&lt;&gt;"确认","待确认",IF(NOT(ISNUMBER(I309)),"填写前值",IF('幕间计算'!B594=0,"检查数值",IF('幕间计算'!C594=0,"已结算",IF(G309=0,"已达99","已计入"))))))))</x:f>
        <x:v/>
      </x:c>
      <x:c r="I309" s="689"/>
      <x:c r="J309" s="701" t="str">
        <x:f>IF(I309="","",I309+G309)</x:f>
        <x:v/>
      </x:c>
      <x:c r="K309" s="702"/>
      <x:c r="L309" s="702"/>
      <x:c r="M309" s="702"/>
      <x:c r="N309" s="702"/>
    </x:row>
    <x:row r="310" ht="29" customHeight="1">
      <x:c r="A310" s="699" t="n">
        <x:v>96</x:v>
      </x:c>
      <x:c r="B310" s="688"/>
      <x:c r="C310" s="687"/>
      <x:c r="D310" s="701" t="str">
        <x:f>IF(C310="","",COUNTIFS('幕间计算'!$A$210:$A$409,'幕间计算'!A595,'幕间计算'!$B$210:$B$409,1,$E$9:$E$208,C310))</x:f>
        <x:v/>
      </x:c>
      <x:c r="E310" s="689"/>
      <x:c r="F310" s="688"/>
      <x:c r="G310" s="701">
        <x:f>IF('幕间计算'!C595=1,MAX(0,MIN(E310,99-I310)),0)</x:f>
        <x:v>0</x:v>
      </x:c>
      <x:c r="H310" s="699" t="str">
        <x:f>IF(C310="","",IF(F310="作废","已作废",IF(D310=0,"无有效标记",IF(F310&lt;&gt;"确认","待确认",IF(NOT(ISNUMBER(I310)),"填写前值",IF('幕间计算'!B595=0,"检查数值",IF('幕间计算'!C595=0,"已结算",IF(G310=0,"已达99","已计入"))))))))</x:f>
        <x:v/>
      </x:c>
      <x:c r="I310" s="689"/>
      <x:c r="J310" s="701" t="str">
        <x:f>IF(I310="","",I310+G310)</x:f>
        <x:v/>
      </x:c>
      <x:c r="K310" s="702"/>
      <x:c r="L310" s="702"/>
      <x:c r="M310" s="702"/>
      <x:c r="N310" s="702"/>
    </x:row>
    <x:row r="311" ht="29" customHeight="1">
      <x:c r="A311" s="699" t="n">
        <x:v>97</x:v>
      </x:c>
      <x:c r="B311" s="688"/>
      <x:c r="C311" s="687"/>
      <x:c r="D311" s="701" t="str">
        <x:f>IF(C311="","",COUNTIFS('幕间计算'!$A$210:$A$409,'幕间计算'!A596,'幕间计算'!$B$210:$B$409,1,$E$9:$E$208,C311))</x:f>
        <x:v/>
      </x:c>
      <x:c r="E311" s="689"/>
      <x:c r="F311" s="688"/>
      <x:c r="G311" s="701">
        <x:f>IF('幕间计算'!C596=1,MAX(0,MIN(E311,99-I311)),0)</x:f>
        <x:v>0</x:v>
      </x:c>
      <x:c r="H311" s="699" t="str">
        <x:f>IF(C311="","",IF(F311="作废","已作废",IF(D311=0,"无有效标记",IF(F311&lt;&gt;"确认","待确认",IF(NOT(ISNUMBER(I311)),"填写前值",IF('幕间计算'!B596=0,"检查数值",IF('幕间计算'!C596=0,"已结算",IF(G311=0,"已达99","已计入"))))))))</x:f>
        <x:v/>
      </x:c>
      <x:c r="I311" s="689"/>
      <x:c r="J311" s="701" t="str">
        <x:f>IF(I311="","",I311+G311)</x:f>
        <x:v/>
      </x:c>
      <x:c r="K311" s="702"/>
      <x:c r="L311" s="702"/>
      <x:c r="M311" s="702"/>
      <x:c r="N311" s="702"/>
    </x:row>
    <x:row r="312" ht="29" customHeight="1">
      <x:c r="A312" s="699" t="n">
        <x:v>98</x:v>
      </x:c>
      <x:c r="B312" s="688"/>
      <x:c r="C312" s="687"/>
      <x:c r="D312" s="701" t="str">
        <x:f>IF(C312="","",COUNTIFS('幕间计算'!$A$210:$A$409,'幕间计算'!A597,'幕间计算'!$B$210:$B$409,1,$E$9:$E$208,C312))</x:f>
        <x:v/>
      </x:c>
      <x:c r="E312" s="689"/>
      <x:c r="F312" s="688"/>
      <x:c r="G312" s="701">
        <x:f>IF('幕间计算'!C597=1,MAX(0,MIN(E312,99-I312)),0)</x:f>
        <x:v>0</x:v>
      </x:c>
      <x:c r="H312" s="699" t="str">
        <x:f>IF(C312="","",IF(F312="作废","已作废",IF(D312=0,"无有效标记",IF(F312&lt;&gt;"确认","待确认",IF(NOT(ISNUMBER(I312)),"填写前值",IF('幕间计算'!B597=0,"检查数值",IF('幕间计算'!C597=0,"已结算",IF(G312=0,"已达99","已计入"))))))))</x:f>
        <x:v/>
      </x:c>
      <x:c r="I312" s="689"/>
      <x:c r="J312" s="701" t="str">
        <x:f>IF(I312="","",I312+G312)</x:f>
        <x:v/>
      </x:c>
      <x:c r="K312" s="702"/>
      <x:c r="L312" s="702"/>
      <x:c r="M312" s="702"/>
      <x:c r="N312" s="702"/>
    </x:row>
    <x:row r="313" ht="29" customHeight="1">
      <x:c r="A313" s="699" t="n">
        <x:v>99</x:v>
      </x:c>
      <x:c r="B313" s="688"/>
      <x:c r="C313" s="687"/>
      <x:c r="D313" s="701" t="str">
        <x:f>IF(C313="","",COUNTIFS('幕间计算'!$A$210:$A$409,'幕间计算'!A598,'幕间计算'!$B$210:$B$409,1,$E$9:$E$208,C313))</x:f>
        <x:v/>
      </x:c>
      <x:c r="E313" s="689"/>
      <x:c r="F313" s="688"/>
      <x:c r="G313" s="701">
        <x:f>IF('幕间计算'!C598=1,MAX(0,MIN(E313,99-I313)),0)</x:f>
        <x:v>0</x:v>
      </x:c>
      <x:c r="H313" s="699" t="str">
        <x:f>IF(C313="","",IF(F313="作废","已作废",IF(D313=0,"无有效标记",IF(F313&lt;&gt;"确认","待确认",IF(NOT(ISNUMBER(I313)),"填写前值",IF('幕间计算'!B598=0,"检查数值",IF('幕间计算'!C598=0,"已结算",IF(G313=0,"已达99","已计入"))))))))</x:f>
        <x:v/>
      </x:c>
      <x:c r="I313" s="689"/>
      <x:c r="J313" s="701" t="str">
        <x:f>IF(I313="","",I313+G313)</x:f>
        <x:v/>
      </x:c>
      <x:c r="K313" s="702"/>
      <x:c r="L313" s="702"/>
      <x:c r="M313" s="702"/>
      <x:c r="N313" s="702"/>
    </x:row>
    <x:row r="314" ht="29" customHeight="1">
      <x:c r="A314" s="699" t="n">
        <x:v>100</x:v>
      </x:c>
      <x:c r="B314" s="688"/>
      <x:c r="C314" s="687"/>
      <x:c r="D314" s="701" t="str">
        <x:f>IF(C314="","",COUNTIFS('幕间计算'!$A$210:$A$409,'幕间计算'!A599,'幕间计算'!$B$210:$B$409,1,$E$9:$E$208,C314))</x:f>
        <x:v/>
      </x:c>
      <x:c r="E314" s="689"/>
      <x:c r="F314" s="688"/>
      <x:c r="G314" s="701">
        <x:f>IF('幕间计算'!C599=1,MAX(0,MIN(E314,99-I314)),0)</x:f>
        <x:v>0</x:v>
      </x:c>
      <x:c r="H314" s="699" t="str">
        <x:f>IF(C314="","",IF(F314="作废","已作废",IF(D314=0,"无有效标记",IF(F314&lt;&gt;"确认","待确认",IF(NOT(ISNUMBER(I314)),"填写前值",IF('幕间计算'!B599=0,"检查数值",IF('幕间计算'!C599=0,"已结算",IF(G314=0,"已达99","已计入"))))))))</x:f>
        <x:v/>
      </x:c>
      <x:c r="I314" s="689"/>
      <x:c r="J314" s="701" t="str">
        <x:f>IF(I314="","",I314+G314)</x:f>
        <x:v/>
      </x:c>
      <x:c r="K314" s="702"/>
      <x:c r="L314" s="702"/>
      <x:c r="M314" s="702"/>
      <x:c r="N314" s="702"/>
    </x:row>
    <x:row r="315" ht="29" customHeight="1">
      <x:c r="A315" s="699" t="n">
        <x:v>101</x:v>
      </x:c>
      <x:c r="B315" s="688"/>
      <x:c r="C315" s="687"/>
      <x:c r="D315" s="701" t="str">
        <x:f>IF(C315="","",COUNTIFS('幕间计算'!$A$210:$A$409,'幕间计算'!A600,'幕间计算'!$B$210:$B$409,1,$E$9:$E$208,C315))</x:f>
        <x:v/>
      </x:c>
      <x:c r="E315" s="689"/>
      <x:c r="F315" s="688"/>
      <x:c r="G315" s="701">
        <x:f>IF('幕间计算'!C600=1,MAX(0,MIN(E315,99-I315)),0)</x:f>
        <x:v>0</x:v>
      </x:c>
      <x:c r="H315" s="699" t="str">
        <x:f>IF(C315="","",IF(F315="作废","已作废",IF(D315=0,"无有效标记",IF(F315&lt;&gt;"确认","待确认",IF(NOT(ISNUMBER(I315)),"填写前值",IF('幕间计算'!B600=0,"检查数值",IF('幕间计算'!C600=0,"已结算",IF(G315=0,"已达99","已计入"))))))))</x:f>
        <x:v/>
      </x:c>
      <x:c r="I315" s="689"/>
      <x:c r="J315" s="701" t="str">
        <x:f>IF(I315="","",I315+G315)</x:f>
        <x:v/>
      </x:c>
      <x:c r="K315" s="702"/>
      <x:c r="L315" s="702"/>
      <x:c r="M315" s="702"/>
      <x:c r="N315" s="702"/>
    </x:row>
    <x:row r="316" ht="29" customHeight="1">
      <x:c r="A316" s="699" t="n">
        <x:v>102</x:v>
      </x:c>
      <x:c r="B316" s="688"/>
      <x:c r="C316" s="687"/>
      <x:c r="D316" s="701" t="str">
        <x:f>IF(C316="","",COUNTIFS('幕间计算'!$A$210:$A$409,'幕间计算'!A601,'幕间计算'!$B$210:$B$409,1,$E$9:$E$208,C316))</x:f>
        <x:v/>
      </x:c>
      <x:c r="E316" s="689"/>
      <x:c r="F316" s="688"/>
      <x:c r="G316" s="701">
        <x:f>IF('幕间计算'!C601=1,MAX(0,MIN(E316,99-I316)),0)</x:f>
        <x:v>0</x:v>
      </x:c>
      <x:c r="H316" s="699" t="str">
        <x:f>IF(C316="","",IF(F316="作废","已作废",IF(D316=0,"无有效标记",IF(F316&lt;&gt;"确认","待确认",IF(NOT(ISNUMBER(I316)),"填写前值",IF('幕间计算'!B601=0,"检查数值",IF('幕间计算'!C601=0,"已结算",IF(G316=0,"已达99","已计入"))))))))</x:f>
        <x:v/>
      </x:c>
      <x:c r="I316" s="689"/>
      <x:c r="J316" s="701" t="str">
        <x:f>IF(I316="","",I316+G316)</x:f>
        <x:v/>
      </x:c>
      <x:c r="K316" s="702"/>
      <x:c r="L316" s="702"/>
      <x:c r="M316" s="702"/>
      <x:c r="N316" s="702"/>
    </x:row>
    <x:row r="317" ht="29" customHeight="1">
      <x:c r="A317" s="699" t="n">
        <x:v>103</x:v>
      </x:c>
      <x:c r="B317" s="688"/>
      <x:c r="C317" s="687"/>
      <x:c r="D317" s="701" t="str">
        <x:f>IF(C317="","",COUNTIFS('幕间计算'!$A$210:$A$409,'幕间计算'!A602,'幕间计算'!$B$210:$B$409,1,$E$9:$E$208,C317))</x:f>
        <x:v/>
      </x:c>
      <x:c r="E317" s="689"/>
      <x:c r="F317" s="688"/>
      <x:c r="G317" s="701">
        <x:f>IF('幕间计算'!C602=1,MAX(0,MIN(E317,99-I317)),0)</x:f>
        <x:v>0</x:v>
      </x:c>
      <x:c r="H317" s="699" t="str">
        <x:f>IF(C317="","",IF(F317="作废","已作废",IF(D317=0,"无有效标记",IF(F317&lt;&gt;"确认","待确认",IF(NOT(ISNUMBER(I317)),"填写前值",IF('幕间计算'!B602=0,"检查数值",IF('幕间计算'!C602=0,"已结算",IF(G317=0,"已达99","已计入"))))))))</x:f>
        <x:v/>
      </x:c>
      <x:c r="I317" s="689"/>
      <x:c r="J317" s="701" t="str">
        <x:f>IF(I317="","",I317+G317)</x:f>
        <x:v/>
      </x:c>
      <x:c r="K317" s="702"/>
      <x:c r="L317" s="702"/>
      <x:c r="M317" s="702"/>
      <x:c r="N317" s="702"/>
    </x:row>
    <x:row r="318" ht="29" customHeight="1">
      <x:c r="A318" s="699" t="n">
        <x:v>104</x:v>
      </x:c>
      <x:c r="B318" s="688"/>
      <x:c r="C318" s="687"/>
      <x:c r="D318" s="701" t="str">
        <x:f>IF(C318="","",COUNTIFS('幕间计算'!$A$210:$A$409,'幕间计算'!A603,'幕间计算'!$B$210:$B$409,1,$E$9:$E$208,C318))</x:f>
        <x:v/>
      </x:c>
      <x:c r="E318" s="689"/>
      <x:c r="F318" s="688"/>
      <x:c r="G318" s="701">
        <x:f>IF('幕间计算'!C603=1,MAX(0,MIN(E318,99-I318)),0)</x:f>
        <x:v>0</x:v>
      </x:c>
      <x:c r="H318" s="699" t="str">
        <x:f>IF(C318="","",IF(F318="作废","已作废",IF(D318=0,"无有效标记",IF(F318&lt;&gt;"确认","待确认",IF(NOT(ISNUMBER(I318)),"填写前值",IF('幕间计算'!B603=0,"检查数值",IF('幕间计算'!C603=0,"已结算",IF(G318=0,"已达99","已计入"))))))))</x:f>
        <x:v/>
      </x:c>
      <x:c r="I318" s="689"/>
      <x:c r="J318" s="701" t="str">
        <x:f>IF(I318="","",I318+G318)</x:f>
        <x:v/>
      </x:c>
      <x:c r="K318" s="702"/>
      <x:c r="L318" s="702"/>
      <x:c r="M318" s="702"/>
      <x:c r="N318" s="702"/>
    </x:row>
    <x:row r="319" ht="29" customHeight="1">
      <x:c r="A319" s="699" t="n">
        <x:v>105</x:v>
      </x:c>
      <x:c r="B319" s="688"/>
      <x:c r="C319" s="687"/>
      <x:c r="D319" s="701" t="str">
        <x:f>IF(C319="","",COUNTIFS('幕间计算'!$A$210:$A$409,'幕间计算'!A604,'幕间计算'!$B$210:$B$409,1,$E$9:$E$208,C319))</x:f>
        <x:v/>
      </x:c>
      <x:c r="E319" s="689"/>
      <x:c r="F319" s="688"/>
      <x:c r="G319" s="701">
        <x:f>IF('幕间计算'!C604=1,MAX(0,MIN(E319,99-I319)),0)</x:f>
        <x:v>0</x:v>
      </x:c>
      <x:c r="H319" s="699" t="str">
        <x:f>IF(C319="","",IF(F319="作废","已作废",IF(D319=0,"无有效标记",IF(F319&lt;&gt;"确认","待确认",IF(NOT(ISNUMBER(I319)),"填写前值",IF('幕间计算'!B604=0,"检查数值",IF('幕间计算'!C604=0,"已结算",IF(G319=0,"已达99","已计入"))))))))</x:f>
        <x:v/>
      </x:c>
      <x:c r="I319" s="689"/>
      <x:c r="J319" s="701" t="str">
        <x:f>IF(I319="","",I319+G319)</x:f>
        <x:v/>
      </x:c>
      <x:c r="K319" s="702"/>
      <x:c r="L319" s="702"/>
      <x:c r="M319" s="702"/>
      <x:c r="N319" s="702"/>
    </x:row>
    <x:row r="320" ht="29" customHeight="1">
      <x:c r="A320" s="699" t="n">
        <x:v>106</x:v>
      </x:c>
      <x:c r="B320" s="688"/>
      <x:c r="C320" s="687"/>
      <x:c r="D320" s="701" t="str">
        <x:f>IF(C320="","",COUNTIFS('幕间计算'!$A$210:$A$409,'幕间计算'!A605,'幕间计算'!$B$210:$B$409,1,$E$9:$E$208,C320))</x:f>
        <x:v/>
      </x:c>
      <x:c r="E320" s="689"/>
      <x:c r="F320" s="688"/>
      <x:c r="G320" s="701">
        <x:f>IF('幕间计算'!C605=1,MAX(0,MIN(E320,99-I320)),0)</x:f>
        <x:v>0</x:v>
      </x:c>
      <x:c r="H320" s="699" t="str">
        <x:f>IF(C320="","",IF(F320="作废","已作废",IF(D320=0,"无有效标记",IF(F320&lt;&gt;"确认","待确认",IF(NOT(ISNUMBER(I320)),"填写前值",IF('幕间计算'!B605=0,"检查数值",IF('幕间计算'!C605=0,"已结算",IF(G320=0,"已达99","已计入"))))))))</x:f>
        <x:v/>
      </x:c>
      <x:c r="I320" s="689"/>
      <x:c r="J320" s="701" t="str">
        <x:f>IF(I320="","",I320+G320)</x:f>
        <x:v/>
      </x:c>
      <x:c r="K320" s="702"/>
      <x:c r="L320" s="702"/>
      <x:c r="M320" s="702"/>
      <x:c r="N320" s="702"/>
    </x:row>
    <x:row r="321" ht="29" customHeight="1">
      <x:c r="A321" s="699" t="n">
        <x:v>107</x:v>
      </x:c>
      <x:c r="B321" s="688"/>
      <x:c r="C321" s="687"/>
      <x:c r="D321" s="701" t="str">
        <x:f>IF(C321="","",COUNTIFS('幕间计算'!$A$210:$A$409,'幕间计算'!A606,'幕间计算'!$B$210:$B$409,1,$E$9:$E$208,C321))</x:f>
        <x:v/>
      </x:c>
      <x:c r="E321" s="689"/>
      <x:c r="F321" s="688"/>
      <x:c r="G321" s="701">
        <x:f>IF('幕间计算'!C606=1,MAX(0,MIN(E321,99-I321)),0)</x:f>
        <x:v>0</x:v>
      </x:c>
      <x:c r="H321" s="699" t="str">
        <x:f>IF(C321="","",IF(F321="作废","已作废",IF(D321=0,"无有效标记",IF(F321&lt;&gt;"确认","待确认",IF(NOT(ISNUMBER(I321)),"填写前值",IF('幕间计算'!B606=0,"检查数值",IF('幕间计算'!C606=0,"已结算",IF(G321=0,"已达99","已计入"))))))))</x:f>
        <x:v/>
      </x:c>
      <x:c r="I321" s="689"/>
      <x:c r="J321" s="701" t="str">
        <x:f>IF(I321="","",I321+G321)</x:f>
        <x:v/>
      </x:c>
      <x:c r="K321" s="702"/>
      <x:c r="L321" s="702"/>
      <x:c r="M321" s="702"/>
      <x:c r="N321" s="702"/>
    </x:row>
    <x:row r="322" ht="29" customHeight="1">
      <x:c r="A322" s="699" t="n">
        <x:v>108</x:v>
      </x:c>
      <x:c r="B322" s="688"/>
      <x:c r="C322" s="687"/>
      <x:c r="D322" s="701" t="str">
        <x:f>IF(C322="","",COUNTIFS('幕间计算'!$A$210:$A$409,'幕间计算'!A607,'幕间计算'!$B$210:$B$409,1,$E$9:$E$208,C322))</x:f>
        <x:v/>
      </x:c>
      <x:c r="E322" s="689"/>
      <x:c r="F322" s="688"/>
      <x:c r="G322" s="701">
        <x:f>IF('幕间计算'!C607=1,MAX(0,MIN(E322,99-I322)),0)</x:f>
        <x:v>0</x:v>
      </x:c>
      <x:c r="H322" s="699" t="str">
        <x:f>IF(C322="","",IF(F322="作废","已作废",IF(D322=0,"无有效标记",IF(F322&lt;&gt;"确认","待确认",IF(NOT(ISNUMBER(I322)),"填写前值",IF('幕间计算'!B607=0,"检查数值",IF('幕间计算'!C607=0,"已结算",IF(G322=0,"已达99","已计入"))))))))</x:f>
        <x:v/>
      </x:c>
      <x:c r="I322" s="689"/>
      <x:c r="J322" s="701" t="str">
        <x:f>IF(I322="","",I322+G322)</x:f>
        <x:v/>
      </x:c>
      <x:c r="K322" s="702"/>
      <x:c r="L322" s="702"/>
      <x:c r="M322" s="702"/>
      <x:c r="N322" s="702"/>
    </x:row>
    <x:row r="323" ht="29" customHeight="1">
      <x:c r="A323" s="699" t="n">
        <x:v>109</x:v>
      </x:c>
      <x:c r="B323" s="688"/>
      <x:c r="C323" s="687"/>
      <x:c r="D323" s="701" t="str">
        <x:f>IF(C323="","",COUNTIFS('幕间计算'!$A$210:$A$409,'幕间计算'!A608,'幕间计算'!$B$210:$B$409,1,$E$9:$E$208,C323))</x:f>
        <x:v/>
      </x:c>
      <x:c r="E323" s="689"/>
      <x:c r="F323" s="688"/>
      <x:c r="G323" s="701">
        <x:f>IF('幕间计算'!C608=1,MAX(0,MIN(E323,99-I323)),0)</x:f>
        <x:v>0</x:v>
      </x:c>
      <x:c r="H323" s="699" t="str">
        <x:f>IF(C323="","",IF(F323="作废","已作废",IF(D323=0,"无有效标记",IF(F323&lt;&gt;"确认","待确认",IF(NOT(ISNUMBER(I323)),"填写前值",IF('幕间计算'!B608=0,"检查数值",IF('幕间计算'!C608=0,"已结算",IF(G323=0,"已达99","已计入"))))))))</x:f>
        <x:v/>
      </x:c>
      <x:c r="I323" s="689"/>
      <x:c r="J323" s="701" t="str">
        <x:f>IF(I323="","",I323+G323)</x:f>
        <x:v/>
      </x:c>
      <x:c r="K323" s="702"/>
      <x:c r="L323" s="702"/>
      <x:c r="M323" s="702"/>
      <x:c r="N323" s="702"/>
    </x:row>
    <x:row r="324" ht="29" customHeight="1">
      <x:c r="A324" s="699" t="n">
        <x:v>110</x:v>
      </x:c>
      <x:c r="B324" s="688"/>
      <x:c r="C324" s="687"/>
      <x:c r="D324" s="701" t="str">
        <x:f>IF(C324="","",COUNTIFS('幕间计算'!$A$210:$A$409,'幕间计算'!A609,'幕间计算'!$B$210:$B$409,1,$E$9:$E$208,C324))</x:f>
        <x:v/>
      </x:c>
      <x:c r="E324" s="689"/>
      <x:c r="F324" s="688"/>
      <x:c r="G324" s="701">
        <x:f>IF('幕间计算'!C609=1,MAX(0,MIN(E324,99-I324)),0)</x:f>
        <x:v>0</x:v>
      </x:c>
      <x:c r="H324" s="699" t="str">
        <x:f>IF(C324="","",IF(F324="作废","已作废",IF(D324=0,"无有效标记",IF(F324&lt;&gt;"确认","待确认",IF(NOT(ISNUMBER(I324)),"填写前值",IF('幕间计算'!B609=0,"检查数值",IF('幕间计算'!C609=0,"已结算",IF(G324=0,"已达99","已计入"))))))))</x:f>
        <x:v/>
      </x:c>
      <x:c r="I324" s="689"/>
      <x:c r="J324" s="701" t="str">
        <x:f>IF(I324="","",I324+G324)</x:f>
        <x:v/>
      </x:c>
      <x:c r="K324" s="702"/>
      <x:c r="L324" s="702"/>
      <x:c r="M324" s="702"/>
      <x:c r="N324" s="702"/>
    </x:row>
    <x:row r="325" ht="29" customHeight="1">
      <x:c r="A325" s="699" t="n">
        <x:v>111</x:v>
      </x:c>
      <x:c r="B325" s="688"/>
      <x:c r="C325" s="687"/>
      <x:c r="D325" s="701" t="str">
        <x:f>IF(C325="","",COUNTIFS('幕间计算'!$A$210:$A$409,'幕间计算'!A610,'幕间计算'!$B$210:$B$409,1,$E$9:$E$208,C325))</x:f>
        <x:v/>
      </x:c>
      <x:c r="E325" s="689"/>
      <x:c r="F325" s="688"/>
      <x:c r="G325" s="701">
        <x:f>IF('幕间计算'!C610=1,MAX(0,MIN(E325,99-I325)),0)</x:f>
        <x:v>0</x:v>
      </x:c>
      <x:c r="H325" s="699" t="str">
        <x:f>IF(C325="","",IF(F325="作废","已作废",IF(D325=0,"无有效标记",IF(F325&lt;&gt;"确认","待确认",IF(NOT(ISNUMBER(I325)),"填写前值",IF('幕间计算'!B610=0,"检查数值",IF('幕间计算'!C610=0,"已结算",IF(G325=0,"已达99","已计入"))))))))</x:f>
        <x:v/>
      </x:c>
      <x:c r="I325" s="689"/>
      <x:c r="J325" s="701" t="str">
        <x:f>IF(I325="","",I325+G325)</x:f>
        <x:v/>
      </x:c>
      <x:c r="K325" s="702"/>
      <x:c r="L325" s="702"/>
      <x:c r="M325" s="702"/>
      <x:c r="N325" s="702"/>
    </x:row>
    <x:row r="326" ht="29" customHeight="1">
      <x:c r="A326" s="699" t="n">
        <x:v>112</x:v>
      </x:c>
      <x:c r="B326" s="688"/>
      <x:c r="C326" s="687"/>
      <x:c r="D326" s="701" t="str">
        <x:f>IF(C326="","",COUNTIFS('幕间计算'!$A$210:$A$409,'幕间计算'!A611,'幕间计算'!$B$210:$B$409,1,$E$9:$E$208,C326))</x:f>
        <x:v/>
      </x:c>
      <x:c r="E326" s="689"/>
      <x:c r="F326" s="688"/>
      <x:c r="G326" s="701">
        <x:f>IF('幕间计算'!C611=1,MAX(0,MIN(E326,99-I326)),0)</x:f>
        <x:v>0</x:v>
      </x:c>
      <x:c r="H326" s="699" t="str">
        <x:f>IF(C326="","",IF(F326="作废","已作废",IF(D326=0,"无有效标记",IF(F326&lt;&gt;"确认","待确认",IF(NOT(ISNUMBER(I326)),"填写前值",IF('幕间计算'!B611=0,"检查数值",IF('幕间计算'!C611=0,"已结算",IF(G326=0,"已达99","已计入"))))))))</x:f>
        <x:v/>
      </x:c>
      <x:c r="I326" s="689"/>
      <x:c r="J326" s="701" t="str">
        <x:f>IF(I326="","",I326+G326)</x:f>
        <x:v/>
      </x:c>
      <x:c r="K326" s="702"/>
      <x:c r="L326" s="702"/>
      <x:c r="M326" s="702"/>
      <x:c r="N326" s="702"/>
    </x:row>
    <x:row r="327" ht="29" customHeight="1">
      <x:c r="A327" s="699" t="n">
        <x:v>113</x:v>
      </x:c>
      <x:c r="B327" s="688"/>
      <x:c r="C327" s="687"/>
      <x:c r="D327" s="701" t="str">
        <x:f>IF(C327="","",COUNTIFS('幕间计算'!$A$210:$A$409,'幕间计算'!A612,'幕间计算'!$B$210:$B$409,1,$E$9:$E$208,C327))</x:f>
        <x:v/>
      </x:c>
      <x:c r="E327" s="689"/>
      <x:c r="F327" s="688"/>
      <x:c r="G327" s="701">
        <x:f>IF('幕间计算'!C612=1,MAX(0,MIN(E327,99-I327)),0)</x:f>
        <x:v>0</x:v>
      </x:c>
      <x:c r="H327" s="699" t="str">
        <x:f>IF(C327="","",IF(F327="作废","已作废",IF(D327=0,"无有效标记",IF(F327&lt;&gt;"确认","待确认",IF(NOT(ISNUMBER(I327)),"填写前值",IF('幕间计算'!B612=0,"检查数值",IF('幕间计算'!C612=0,"已结算",IF(G327=0,"已达99","已计入"))))))))</x:f>
        <x:v/>
      </x:c>
      <x:c r="I327" s="689"/>
      <x:c r="J327" s="701" t="str">
        <x:f>IF(I327="","",I327+G327)</x:f>
        <x:v/>
      </x:c>
      <x:c r="K327" s="702"/>
      <x:c r="L327" s="702"/>
      <x:c r="M327" s="702"/>
      <x:c r="N327" s="702"/>
    </x:row>
    <x:row r="328" ht="29" customHeight="1">
      <x:c r="A328" s="699" t="n">
        <x:v>114</x:v>
      </x:c>
      <x:c r="B328" s="688"/>
      <x:c r="C328" s="687"/>
      <x:c r="D328" s="701" t="str">
        <x:f>IF(C328="","",COUNTIFS('幕间计算'!$A$210:$A$409,'幕间计算'!A613,'幕间计算'!$B$210:$B$409,1,$E$9:$E$208,C328))</x:f>
        <x:v/>
      </x:c>
      <x:c r="E328" s="689"/>
      <x:c r="F328" s="688"/>
      <x:c r="G328" s="701">
        <x:f>IF('幕间计算'!C613=1,MAX(0,MIN(E328,99-I328)),0)</x:f>
        <x:v>0</x:v>
      </x:c>
      <x:c r="H328" s="699" t="str">
        <x:f>IF(C328="","",IF(F328="作废","已作废",IF(D328=0,"无有效标记",IF(F328&lt;&gt;"确认","待确认",IF(NOT(ISNUMBER(I328)),"填写前值",IF('幕间计算'!B613=0,"检查数值",IF('幕间计算'!C613=0,"已结算",IF(G328=0,"已达99","已计入"))))))))</x:f>
        <x:v/>
      </x:c>
      <x:c r="I328" s="689"/>
      <x:c r="J328" s="701" t="str">
        <x:f>IF(I328="","",I328+G328)</x:f>
        <x:v/>
      </x:c>
      <x:c r="K328" s="702"/>
      <x:c r="L328" s="702"/>
      <x:c r="M328" s="702"/>
      <x:c r="N328" s="702"/>
    </x:row>
    <x:row r="329" ht="29" customHeight="1">
      <x:c r="A329" s="699" t="n">
        <x:v>115</x:v>
      </x:c>
      <x:c r="B329" s="688"/>
      <x:c r="C329" s="687"/>
      <x:c r="D329" s="701" t="str">
        <x:f>IF(C329="","",COUNTIFS('幕间计算'!$A$210:$A$409,'幕间计算'!A614,'幕间计算'!$B$210:$B$409,1,$E$9:$E$208,C329))</x:f>
        <x:v/>
      </x:c>
      <x:c r="E329" s="689"/>
      <x:c r="F329" s="688"/>
      <x:c r="G329" s="701">
        <x:f>IF('幕间计算'!C614=1,MAX(0,MIN(E329,99-I329)),0)</x:f>
        <x:v>0</x:v>
      </x:c>
      <x:c r="H329" s="699" t="str">
        <x:f>IF(C329="","",IF(F329="作废","已作废",IF(D329=0,"无有效标记",IF(F329&lt;&gt;"确认","待确认",IF(NOT(ISNUMBER(I329)),"填写前值",IF('幕间计算'!B614=0,"检查数值",IF('幕间计算'!C614=0,"已结算",IF(G329=0,"已达99","已计入"))))))))</x:f>
        <x:v/>
      </x:c>
      <x:c r="I329" s="689"/>
      <x:c r="J329" s="701" t="str">
        <x:f>IF(I329="","",I329+G329)</x:f>
        <x:v/>
      </x:c>
      <x:c r="K329" s="702"/>
      <x:c r="L329" s="702"/>
      <x:c r="M329" s="702"/>
      <x:c r="N329" s="702"/>
    </x:row>
    <x:row r="330" ht="29" customHeight="1">
      <x:c r="A330" s="699" t="n">
        <x:v>116</x:v>
      </x:c>
      <x:c r="B330" s="688"/>
      <x:c r="C330" s="687"/>
      <x:c r="D330" s="701" t="str">
        <x:f>IF(C330="","",COUNTIFS('幕间计算'!$A$210:$A$409,'幕间计算'!A615,'幕间计算'!$B$210:$B$409,1,$E$9:$E$208,C330))</x:f>
        <x:v/>
      </x:c>
      <x:c r="E330" s="689"/>
      <x:c r="F330" s="688"/>
      <x:c r="G330" s="701">
        <x:f>IF('幕间计算'!C615=1,MAX(0,MIN(E330,99-I330)),0)</x:f>
        <x:v>0</x:v>
      </x:c>
      <x:c r="H330" s="699" t="str">
        <x:f>IF(C330="","",IF(F330="作废","已作废",IF(D330=0,"无有效标记",IF(F330&lt;&gt;"确认","待确认",IF(NOT(ISNUMBER(I330)),"填写前值",IF('幕间计算'!B615=0,"检查数值",IF('幕间计算'!C615=0,"已结算",IF(G330=0,"已达99","已计入"))))))))</x:f>
        <x:v/>
      </x:c>
      <x:c r="I330" s="689"/>
      <x:c r="J330" s="701" t="str">
        <x:f>IF(I330="","",I330+G330)</x:f>
        <x:v/>
      </x:c>
      <x:c r="K330" s="702"/>
      <x:c r="L330" s="702"/>
      <x:c r="M330" s="702"/>
      <x:c r="N330" s="702"/>
    </x:row>
    <x:row r="331" ht="29" customHeight="1">
      <x:c r="A331" s="699" t="n">
        <x:v>117</x:v>
      </x:c>
      <x:c r="B331" s="688"/>
      <x:c r="C331" s="687"/>
      <x:c r="D331" s="701" t="str">
        <x:f>IF(C331="","",COUNTIFS('幕间计算'!$A$210:$A$409,'幕间计算'!A616,'幕间计算'!$B$210:$B$409,1,$E$9:$E$208,C331))</x:f>
        <x:v/>
      </x:c>
      <x:c r="E331" s="689"/>
      <x:c r="F331" s="688"/>
      <x:c r="G331" s="701">
        <x:f>IF('幕间计算'!C616=1,MAX(0,MIN(E331,99-I331)),0)</x:f>
        <x:v>0</x:v>
      </x:c>
      <x:c r="H331" s="699" t="str">
        <x:f>IF(C331="","",IF(F331="作废","已作废",IF(D331=0,"无有效标记",IF(F331&lt;&gt;"确认","待确认",IF(NOT(ISNUMBER(I331)),"填写前值",IF('幕间计算'!B616=0,"检查数值",IF('幕间计算'!C616=0,"已结算",IF(G331=0,"已达99","已计入"))))))))</x:f>
        <x:v/>
      </x:c>
      <x:c r="I331" s="689"/>
      <x:c r="J331" s="701" t="str">
        <x:f>IF(I331="","",I331+G331)</x:f>
        <x:v/>
      </x:c>
      <x:c r="K331" s="702"/>
      <x:c r="L331" s="702"/>
      <x:c r="M331" s="702"/>
      <x:c r="N331" s="702"/>
    </x:row>
    <x:row r="332" ht="29" customHeight="1">
      <x:c r="A332" s="699" t="n">
        <x:v>118</x:v>
      </x:c>
      <x:c r="B332" s="688"/>
      <x:c r="C332" s="687"/>
      <x:c r="D332" s="701" t="str">
        <x:f>IF(C332="","",COUNTIFS('幕间计算'!$A$210:$A$409,'幕间计算'!A617,'幕间计算'!$B$210:$B$409,1,$E$9:$E$208,C332))</x:f>
        <x:v/>
      </x:c>
      <x:c r="E332" s="689"/>
      <x:c r="F332" s="688"/>
      <x:c r="G332" s="701">
        <x:f>IF('幕间计算'!C617=1,MAX(0,MIN(E332,99-I332)),0)</x:f>
        <x:v>0</x:v>
      </x:c>
      <x:c r="H332" s="699" t="str">
        <x:f>IF(C332="","",IF(F332="作废","已作废",IF(D332=0,"无有效标记",IF(F332&lt;&gt;"确认","待确认",IF(NOT(ISNUMBER(I332)),"填写前值",IF('幕间计算'!B617=0,"检查数值",IF('幕间计算'!C617=0,"已结算",IF(G332=0,"已达99","已计入"))))))))</x:f>
        <x:v/>
      </x:c>
      <x:c r="I332" s="689"/>
      <x:c r="J332" s="701" t="str">
        <x:f>IF(I332="","",I332+G332)</x:f>
        <x:v/>
      </x:c>
      <x:c r="K332" s="702"/>
      <x:c r="L332" s="702"/>
      <x:c r="M332" s="702"/>
      <x:c r="N332" s="702"/>
    </x:row>
    <x:row r="333" ht="29" customHeight="1">
      <x:c r="A333" s="699" t="n">
        <x:v>119</x:v>
      </x:c>
      <x:c r="B333" s="688"/>
      <x:c r="C333" s="687"/>
      <x:c r="D333" s="701" t="str">
        <x:f>IF(C333="","",COUNTIFS('幕间计算'!$A$210:$A$409,'幕间计算'!A618,'幕间计算'!$B$210:$B$409,1,$E$9:$E$208,C333))</x:f>
        <x:v/>
      </x:c>
      <x:c r="E333" s="689"/>
      <x:c r="F333" s="688"/>
      <x:c r="G333" s="701">
        <x:f>IF('幕间计算'!C618=1,MAX(0,MIN(E333,99-I333)),0)</x:f>
        <x:v>0</x:v>
      </x:c>
      <x:c r="H333" s="699" t="str">
        <x:f>IF(C333="","",IF(F333="作废","已作废",IF(D333=0,"无有效标记",IF(F333&lt;&gt;"确认","待确认",IF(NOT(ISNUMBER(I333)),"填写前值",IF('幕间计算'!B618=0,"检查数值",IF('幕间计算'!C618=0,"已结算",IF(G333=0,"已达99","已计入"))))))))</x:f>
        <x:v/>
      </x:c>
      <x:c r="I333" s="689"/>
      <x:c r="J333" s="701" t="str">
        <x:f>IF(I333="","",I333+G333)</x:f>
        <x:v/>
      </x:c>
      <x:c r="K333" s="702"/>
      <x:c r="L333" s="702"/>
      <x:c r="M333" s="702"/>
      <x:c r="N333" s="702"/>
    </x:row>
    <x:row r="334" ht="29" customHeight="1">
      <x:c r="A334" s="699" t="n">
        <x:v>120</x:v>
      </x:c>
      <x:c r="B334" s="688"/>
      <x:c r="C334" s="687"/>
      <x:c r="D334" s="701" t="str">
        <x:f>IF(C334="","",COUNTIFS('幕间计算'!$A$210:$A$409,'幕间计算'!A619,'幕间计算'!$B$210:$B$409,1,$E$9:$E$208,C334))</x:f>
        <x:v/>
      </x:c>
      <x:c r="E334" s="689"/>
      <x:c r="F334" s="688"/>
      <x:c r="G334" s="701">
        <x:f>IF('幕间计算'!C619=1,MAX(0,MIN(E334,99-I334)),0)</x:f>
        <x:v>0</x:v>
      </x:c>
      <x:c r="H334" s="699" t="str">
        <x:f>IF(C334="","",IF(F334="作废","已作废",IF(D334=0,"无有效标记",IF(F334&lt;&gt;"确认","待确认",IF(NOT(ISNUMBER(I334)),"填写前值",IF('幕间计算'!B619=0,"检查数值",IF('幕间计算'!C619=0,"已结算",IF(G334=0,"已达99","已计入"))))))))</x:f>
        <x:v/>
      </x:c>
      <x:c r="I334" s="689"/>
      <x:c r="J334" s="701" t="str">
        <x:f>IF(I334="","",I334+G334)</x:f>
        <x:v/>
      </x:c>
      <x:c r="K334" s="702"/>
      <x:c r="L334" s="702"/>
      <x:c r="M334" s="702"/>
      <x:c r="N334" s="702"/>
    </x:row>
    <x:row r="335" ht="29" customHeight="1">
      <x:c r="A335" s="699" t="n">
        <x:v>121</x:v>
      </x:c>
      <x:c r="B335" s="688"/>
      <x:c r="C335" s="687"/>
      <x:c r="D335" s="701" t="str">
        <x:f>IF(C335="","",COUNTIFS('幕间计算'!$A$210:$A$409,'幕间计算'!A620,'幕间计算'!$B$210:$B$409,1,$E$9:$E$208,C335))</x:f>
        <x:v/>
      </x:c>
      <x:c r="E335" s="689"/>
      <x:c r="F335" s="688"/>
      <x:c r="G335" s="701">
        <x:f>IF('幕间计算'!C620=1,MAX(0,MIN(E335,99-I335)),0)</x:f>
        <x:v>0</x:v>
      </x:c>
      <x:c r="H335" s="699" t="str">
        <x:f>IF(C335="","",IF(F335="作废","已作废",IF(D335=0,"无有效标记",IF(F335&lt;&gt;"确认","待确认",IF(NOT(ISNUMBER(I335)),"填写前值",IF('幕间计算'!B620=0,"检查数值",IF('幕间计算'!C620=0,"已结算",IF(G335=0,"已达99","已计入"))))))))</x:f>
        <x:v/>
      </x:c>
      <x:c r="I335" s="689"/>
      <x:c r="J335" s="701" t="str">
        <x:f>IF(I335="","",I335+G335)</x:f>
        <x:v/>
      </x:c>
      <x:c r="K335" s="702"/>
      <x:c r="L335" s="702"/>
      <x:c r="M335" s="702"/>
      <x:c r="N335" s="702"/>
    </x:row>
    <x:row r="336" ht="29" customHeight="1">
      <x:c r="A336" s="699" t="n">
        <x:v>122</x:v>
      </x:c>
      <x:c r="B336" s="688"/>
      <x:c r="C336" s="687"/>
      <x:c r="D336" s="701" t="str">
        <x:f>IF(C336="","",COUNTIFS('幕间计算'!$A$210:$A$409,'幕间计算'!A621,'幕间计算'!$B$210:$B$409,1,$E$9:$E$208,C336))</x:f>
        <x:v/>
      </x:c>
      <x:c r="E336" s="689"/>
      <x:c r="F336" s="688"/>
      <x:c r="G336" s="701">
        <x:f>IF('幕间计算'!C621=1,MAX(0,MIN(E336,99-I336)),0)</x:f>
        <x:v>0</x:v>
      </x:c>
      <x:c r="H336" s="699" t="str">
        <x:f>IF(C336="","",IF(F336="作废","已作废",IF(D336=0,"无有效标记",IF(F336&lt;&gt;"确认","待确认",IF(NOT(ISNUMBER(I336)),"填写前值",IF('幕间计算'!B621=0,"检查数值",IF('幕间计算'!C621=0,"已结算",IF(G336=0,"已达99","已计入"))))))))</x:f>
        <x:v/>
      </x:c>
      <x:c r="I336" s="689"/>
      <x:c r="J336" s="701" t="str">
        <x:f>IF(I336="","",I336+G336)</x:f>
        <x:v/>
      </x:c>
      <x:c r="K336" s="702"/>
      <x:c r="L336" s="702"/>
      <x:c r="M336" s="702"/>
      <x:c r="N336" s="702"/>
    </x:row>
    <x:row r="337" ht="29" customHeight="1">
      <x:c r="A337" s="699" t="n">
        <x:v>123</x:v>
      </x:c>
      <x:c r="B337" s="688"/>
      <x:c r="C337" s="687"/>
      <x:c r="D337" s="701" t="str">
        <x:f>IF(C337="","",COUNTIFS('幕间计算'!$A$210:$A$409,'幕间计算'!A622,'幕间计算'!$B$210:$B$409,1,$E$9:$E$208,C337))</x:f>
        <x:v/>
      </x:c>
      <x:c r="E337" s="689"/>
      <x:c r="F337" s="688"/>
      <x:c r="G337" s="701">
        <x:f>IF('幕间计算'!C622=1,MAX(0,MIN(E337,99-I337)),0)</x:f>
        <x:v>0</x:v>
      </x:c>
      <x:c r="H337" s="699" t="str">
        <x:f>IF(C337="","",IF(F337="作废","已作废",IF(D337=0,"无有效标记",IF(F337&lt;&gt;"确认","待确认",IF(NOT(ISNUMBER(I337)),"填写前值",IF('幕间计算'!B622=0,"检查数值",IF('幕间计算'!C622=0,"已结算",IF(G337=0,"已达99","已计入"))))))))</x:f>
        <x:v/>
      </x:c>
      <x:c r="I337" s="689"/>
      <x:c r="J337" s="701" t="str">
        <x:f>IF(I337="","",I337+G337)</x:f>
        <x:v/>
      </x:c>
      <x:c r="K337" s="702"/>
      <x:c r="L337" s="702"/>
      <x:c r="M337" s="702"/>
      <x:c r="N337" s="702"/>
    </x:row>
    <x:row r="338" ht="29" customHeight="1">
      <x:c r="A338" s="699" t="n">
        <x:v>124</x:v>
      </x:c>
      <x:c r="B338" s="688"/>
      <x:c r="C338" s="687"/>
      <x:c r="D338" s="701" t="str">
        <x:f>IF(C338="","",COUNTIFS('幕间计算'!$A$210:$A$409,'幕间计算'!A623,'幕间计算'!$B$210:$B$409,1,$E$9:$E$208,C338))</x:f>
        <x:v/>
      </x:c>
      <x:c r="E338" s="689"/>
      <x:c r="F338" s="688"/>
      <x:c r="G338" s="701">
        <x:f>IF('幕间计算'!C623=1,MAX(0,MIN(E338,99-I338)),0)</x:f>
        <x:v>0</x:v>
      </x:c>
      <x:c r="H338" s="699" t="str">
        <x:f>IF(C338="","",IF(F338="作废","已作废",IF(D338=0,"无有效标记",IF(F338&lt;&gt;"确认","待确认",IF(NOT(ISNUMBER(I338)),"填写前值",IF('幕间计算'!B623=0,"检查数值",IF('幕间计算'!C623=0,"已结算",IF(G338=0,"已达99","已计入"))))))))</x:f>
        <x:v/>
      </x:c>
      <x:c r="I338" s="689"/>
      <x:c r="J338" s="701" t="str">
        <x:f>IF(I338="","",I338+G338)</x:f>
        <x:v/>
      </x:c>
      <x:c r="K338" s="702"/>
      <x:c r="L338" s="702"/>
      <x:c r="M338" s="702"/>
      <x:c r="N338" s="702"/>
    </x:row>
    <x:row r="339" ht="29" customHeight="1">
      <x:c r="A339" s="699" t="n">
        <x:v>125</x:v>
      </x:c>
      <x:c r="B339" s="688"/>
      <x:c r="C339" s="687"/>
      <x:c r="D339" s="701" t="str">
        <x:f>IF(C339="","",COUNTIFS('幕间计算'!$A$210:$A$409,'幕间计算'!A624,'幕间计算'!$B$210:$B$409,1,$E$9:$E$208,C339))</x:f>
        <x:v/>
      </x:c>
      <x:c r="E339" s="689"/>
      <x:c r="F339" s="688"/>
      <x:c r="G339" s="701">
        <x:f>IF('幕间计算'!C624=1,MAX(0,MIN(E339,99-I339)),0)</x:f>
        <x:v>0</x:v>
      </x:c>
      <x:c r="H339" s="699" t="str">
        <x:f>IF(C339="","",IF(F339="作废","已作废",IF(D339=0,"无有效标记",IF(F339&lt;&gt;"确认","待确认",IF(NOT(ISNUMBER(I339)),"填写前值",IF('幕间计算'!B624=0,"检查数值",IF('幕间计算'!C624=0,"已结算",IF(G339=0,"已达99","已计入"))))))))</x:f>
        <x:v/>
      </x:c>
      <x:c r="I339" s="689"/>
      <x:c r="J339" s="701" t="str">
        <x:f>IF(I339="","",I339+G339)</x:f>
        <x:v/>
      </x:c>
      <x:c r="K339" s="702"/>
      <x:c r="L339" s="702"/>
      <x:c r="M339" s="702"/>
      <x:c r="N339" s="702"/>
    </x:row>
    <x:row r="340" ht="29" customHeight="1">
      <x:c r="A340" s="699" t="n">
        <x:v>126</x:v>
      </x:c>
      <x:c r="B340" s="688"/>
      <x:c r="C340" s="687"/>
      <x:c r="D340" s="701" t="str">
        <x:f>IF(C340="","",COUNTIFS('幕间计算'!$A$210:$A$409,'幕间计算'!A625,'幕间计算'!$B$210:$B$409,1,$E$9:$E$208,C340))</x:f>
        <x:v/>
      </x:c>
      <x:c r="E340" s="689"/>
      <x:c r="F340" s="688"/>
      <x:c r="G340" s="701">
        <x:f>IF('幕间计算'!C625=1,MAX(0,MIN(E340,99-I340)),0)</x:f>
        <x:v>0</x:v>
      </x:c>
      <x:c r="H340" s="699" t="str">
        <x:f>IF(C340="","",IF(F340="作废","已作废",IF(D340=0,"无有效标记",IF(F340&lt;&gt;"确认","待确认",IF(NOT(ISNUMBER(I340)),"填写前值",IF('幕间计算'!B625=0,"检查数值",IF('幕间计算'!C625=0,"已结算",IF(G340=0,"已达99","已计入"))))))))</x:f>
        <x:v/>
      </x:c>
      <x:c r="I340" s="689"/>
      <x:c r="J340" s="701" t="str">
        <x:f>IF(I340="","",I340+G340)</x:f>
        <x:v/>
      </x:c>
      <x:c r="K340" s="702"/>
      <x:c r="L340" s="702"/>
      <x:c r="M340" s="702"/>
      <x:c r="N340" s="702"/>
    </x:row>
    <x:row r="341" ht="29" customHeight="1">
      <x:c r="A341" s="699" t="n">
        <x:v>127</x:v>
      </x:c>
      <x:c r="B341" s="688"/>
      <x:c r="C341" s="687"/>
      <x:c r="D341" s="701" t="str">
        <x:f>IF(C341="","",COUNTIFS('幕间计算'!$A$210:$A$409,'幕间计算'!A626,'幕间计算'!$B$210:$B$409,1,$E$9:$E$208,C341))</x:f>
        <x:v/>
      </x:c>
      <x:c r="E341" s="689"/>
      <x:c r="F341" s="688"/>
      <x:c r="G341" s="701">
        <x:f>IF('幕间计算'!C626=1,MAX(0,MIN(E341,99-I341)),0)</x:f>
        <x:v>0</x:v>
      </x:c>
      <x:c r="H341" s="699" t="str">
        <x:f>IF(C341="","",IF(F341="作废","已作废",IF(D341=0,"无有效标记",IF(F341&lt;&gt;"确认","待确认",IF(NOT(ISNUMBER(I341)),"填写前值",IF('幕间计算'!B626=0,"检查数值",IF('幕间计算'!C626=0,"已结算",IF(G341=0,"已达99","已计入"))))))))</x:f>
        <x:v/>
      </x:c>
      <x:c r="I341" s="689"/>
      <x:c r="J341" s="701" t="str">
        <x:f>IF(I341="","",I341+G341)</x:f>
        <x:v/>
      </x:c>
      <x:c r="K341" s="702"/>
      <x:c r="L341" s="702"/>
      <x:c r="M341" s="702"/>
      <x:c r="N341" s="702"/>
    </x:row>
    <x:row r="342" ht="29" customHeight="1">
      <x:c r="A342" s="699" t="n">
        <x:v>128</x:v>
      </x:c>
      <x:c r="B342" s="688"/>
      <x:c r="C342" s="687"/>
      <x:c r="D342" s="701" t="str">
        <x:f>IF(C342="","",COUNTIFS('幕间计算'!$A$210:$A$409,'幕间计算'!A627,'幕间计算'!$B$210:$B$409,1,$E$9:$E$208,C342))</x:f>
        <x:v/>
      </x:c>
      <x:c r="E342" s="689"/>
      <x:c r="F342" s="688"/>
      <x:c r="G342" s="701">
        <x:f>IF('幕间计算'!C627=1,MAX(0,MIN(E342,99-I342)),0)</x:f>
        <x:v>0</x:v>
      </x:c>
      <x:c r="H342" s="699" t="str">
        <x:f>IF(C342="","",IF(F342="作废","已作废",IF(D342=0,"无有效标记",IF(F342&lt;&gt;"确认","待确认",IF(NOT(ISNUMBER(I342)),"填写前值",IF('幕间计算'!B627=0,"检查数值",IF('幕间计算'!C627=0,"已结算",IF(G342=0,"已达99","已计入"))))))))</x:f>
        <x:v/>
      </x:c>
      <x:c r="I342" s="689"/>
      <x:c r="J342" s="701" t="str">
        <x:f>IF(I342="","",I342+G342)</x:f>
        <x:v/>
      </x:c>
      <x:c r="K342" s="702"/>
      <x:c r="L342" s="702"/>
      <x:c r="M342" s="702"/>
      <x:c r="N342" s="702"/>
    </x:row>
    <x:row r="343" ht="29" customHeight="1">
      <x:c r="A343" s="699" t="n">
        <x:v>129</x:v>
      </x:c>
      <x:c r="B343" s="688"/>
      <x:c r="C343" s="687"/>
      <x:c r="D343" s="701" t="str">
        <x:f>IF(C343="","",COUNTIFS('幕间计算'!$A$210:$A$409,'幕间计算'!A628,'幕间计算'!$B$210:$B$409,1,$E$9:$E$208,C343))</x:f>
        <x:v/>
      </x:c>
      <x:c r="E343" s="689"/>
      <x:c r="F343" s="688"/>
      <x:c r="G343" s="701">
        <x:f>IF('幕间计算'!C628=1,MAX(0,MIN(E343,99-I343)),0)</x:f>
        <x:v>0</x:v>
      </x:c>
      <x:c r="H343" s="699" t="str">
        <x:f>IF(C343="","",IF(F343="作废","已作废",IF(D343=0,"无有效标记",IF(F343&lt;&gt;"确认","待确认",IF(NOT(ISNUMBER(I343)),"填写前值",IF('幕间计算'!B628=0,"检查数值",IF('幕间计算'!C628=0,"已结算",IF(G343=0,"已达99","已计入"))))))))</x:f>
        <x:v/>
      </x:c>
      <x:c r="I343" s="689"/>
      <x:c r="J343" s="701" t="str">
        <x:f>IF(I343="","",I343+G343)</x:f>
        <x:v/>
      </x:c>
      <x:c r="K343" s="702"/>
      <x:c r="L343" s="702"/>
      <x:c r="M343" s="702"/>
      <x:c r="N343" s="702"/>
    </x:row>
    <x:row r="344" ht="29" customHeight="1">
      <x:c r="A344" s="699" t="n">
        <x:v>130</x:v>
      </x:c>
      <x:c r="B344" s="688"/>
      <x:c r="C344" s="687"/>
      <x:c r="D344" s="701" t="str">
        <x:f>IF(C344="","",COUNTIFS('幕间计算'!$A$210:$A$409,'幕间计算'!A629,'幕间计算'!$B$210:$B$409,1,$E$9:$E$208,C344))</x:f>
        <x:v/>
      </x:c>
      <x:c r="E344" s="689"/>
      <x:c r="F344" s="688"/>
      <x:c r="G344" s="701">
        <x:f>IF('幕间计算'!C629=1,MAX(0,MIN(E344,99-I344)),0)</x:f>
        <x:v>0</x:v>
      </x:c>
      <x:c r="H344" s="699" t="str">
        <x:f>IF(C344="","",IF(F344="作废","已作废",IF(D344=0,"无有效标记",IF(F344&lt;&gt;"确认","待确认",IF(NOT(ISNUMBER(I344)),"填写前值",IF('幕间计算'!B629=0,"检查数值",IF('幕间计算'!C629=0,"已结算",IF(G344=0,"已达99","已计入"))))))))</x:f>
        <x:v/>
      </x:c>
      <x:c r="I344" s="689"/>
      <x:c r="J344" s="701" t="str">
        <x:f>IF(I344="","",I344+G344)</x:f>
        <x:v/>
      </x:c>
      <x:c r="K344" s="702"/>
      <x:c r="L344" s="702"/>
      <x:c r="M344" s="702"/>
      <x:c r="N344" s="702"/>
    </x:row>
    <x:row r="345" ht="29" customHeight="1">
      <x:c r="A345" s="699" t="n">
        <x:v>131</x:v>
      </x:c>
      <x:c r="B345" s="688"/>
      <x:c r="C345" s="687"/>
      <x:c r="D345" s="701" t="str">
        <x:f>IF(C345="","",COUNTIFS('幕间计算'!$A$210:$A$409,'幕间计算'!A630,'幕间计算'!$B$210:$B$409,1,$E$9:$E$208,C345))</x:f>
        <x:v/>
      </x:c>
      <x:c r="E345" s="689"/>
      <x:c r="F345" s="688"/>
      <x:c r="G345" s="701">
        <x:f>IF('幕间计算'!C630=1,MAX(0,MIN(E345,99-I345)),0)</x:f>
        <x:v>0</x:v>
      </x:c>
      <x:c r="H345" s="699" t="str">
        <x:f>IF(C345="","",IF(F345="作废","已作废",IF(D345=0,"无有效标记",IF(F345&lt;&gt;"确认","待确认",IF(NOT(ISNUMBER(I345)),"填写前值",IF('幕间计算'!B630=0,"检查数值",IF('幕间计算'!C630=0,"已结算",IF(G345=0,"已达99","已计入"))))))))</x:f>
        <x:v/>
      </x:c>
      <x:c r="I345" s="689"/>
      <x:c r="J345" s="701" t="str">
        <x:f>IF(I345="","",I345+G345)</x:f>
        <x:v/>
      </x:c>
      <x:c r="K345" s="702"/>
      <x:c r="L345" s="702"/>
      <x:c r="M345" s="702"/>
      <x:c r="N345" s="702"/>
    </x:row>
    <x:row r="346" ht="29" customHeight="1">
      <x:c r="A346" s="699" t="n">
        <x:v>132</x:v>
      </x:c>
      <x:c r="B346" s="688"/>
      <x:c r="C346" s="687"/>
      <x:c r="D346" s="701" t="str">
        <x:f>IF(C346="","",COUNTIFS('幕间计算'!$A$210:$A$409,'幕间计算'!A631,'幕间计算'!$B$210:$B$409,1,$E$9:$E$208,C346))</x:f>
        <x:v/>
      </x:c>
      <x:c r="E346" s="689"/>
      <x:c r="F346" s="688"/>
      <x:c r="G346" s="701">
        <x:f>IF('幕间计算'!C631=1,MAX(0,MIN(E346,99-I346)),0)</x:f>
        <x:v>0</x:v>
      </x:c>
      <x:c r="H346" s="699" t="str">
        <x:f>IF(C346="","",IF(F346="作废","已作废",IF(D346=0,"无有效标记",IF(F346&lt;&gt;"确认","待确认",IF(NOT(ISNUMBER(I346)),"填写前值",IF('幕间计算'!B631=0,"检查数值",IF('幕间计算'!C631=0,"已结算",IF(G346=0,"已达99","已计入"))))))))</x:f>
        <x:v/>
      </x:c>
      <x:c r="I346" s="689"/>
      <x:c r="J346" s="701" t="str">
        <x:f>IF(I346="","",I346+G346)</x:f>
        <x:v/>
      </x:c>
      <x:c r="K346" s="702"/>
      <x:c r="L346" s="702"/>
      <x:c r="M346" s="702"/>
      <x:c r="N346" s="702"/>
    </x:row>
    <x:row r="347" ht="29" customHeight="1">
      <x:c r="A347" s="699" t="n">
        <x:v>133</x:v>
      </x:c>
      <x:c r="B347" s="688"/>
      <x:c r="C347" s="687"/>
      <x:c r="D347" s="701" t="str">
        <x:f>IF(C347="","",COUNTIFS('幕间计算'!$A$210:$A$409,'幕间计算'!A632,'幕间计算'!$B$210:$B$409,1,$E$9:$E$208,C347))</x:f>
        <x:v/>
      </x:c>
      <x:c r="E347" s="689"/>
      <x:c r="F347" s="688"/>
      <x:c r="G347" s="701">
        <x:f>IF('幕间计算'!C632=1,MAX(0,MIN(E347,99-I347)),0)</x:f>
        <x:v>0</x:v>
      </x:c>
      <x:c r="H347" s="699" t="str">
        <x:f>IF(C347="","",IF(F347="作废","已作废",IF(D347=0,"无有效标记",IF(F347&lt;&gt;"确认","待确认",IF(NOT(ISNUMBER(I347)),"填写前值",IF('幕间计算'!B632=0,"检查数值",IF('幕间计算'!C632=0,"已结算",IF(G347=0,"已达99","已计入"))))))))</x:f>
        <x:v/>
      </x:c>
      <x:c r="I347" s="689"/>
      <x:c r="J347" s="701" t="str">
        <x:f>IF(I347="","",I347+G347)</x:f>
        <x:v/>
      </x:c>
      <x:c r="K347" s="702"/>
      <x:c r="L347" s="702"/>
      <x:c r="M347" s="702"/>
      <x:c r="N347" s="702"/>
    </x:row>
    <x:row r="348" ht="29" customHeight="1">
      <x:c r="A348" s="699" t="n">
        <x:v>134</x:v>
      </x:c>
      <x:c r="B348" s="688"/>
      <x:c r="C348" s="687"/>
      <x:c r="D348" s="701" t="str">
        <x:f>IF(C348="","",COUNTIFS('幕间计算'!$A$210:$A$409,'幕间计算'!A633,'幕间计算'!$B$210:$B$409,1,$E$9:$E$208,C348))</x:f>
        <x:v/>
      </x:c>
      <x:c r="E348" s="689"/>
      <x:c r="F348" s="688"/>
      <x:c r="G348" s="701">
        <x:f>IF('幕间计算'!C633=1,MAX(0,MIN(E348,99-I348)),0)</x:f>
        <x:v>0</x:v>
      </x:c>
      <x:c r="H348" s="699" t="str">
        <x:f>IF(C348="","",IF(F348="作废","已作废",IF(D348=0,"无有效标记",IF(F348&lt;&gt;"确认","待确认",IF(NOT(ISNUMBER(I348)),"填写前值",IF('幕间计算'!B633=0,"检查数值",IF('幕间计算'!C633=0,"已结算",IF(G348=0,"已达99","已计入"))))))))</x:f>
        <x:v/>
      </x:c>
      <x:c r="I348" s="689"/>
      <x:c r="J348" s="701" t="str">
        <x:f>IF(I348="","",I348+G348)</x:f>
        <x:v/>
      </x:c>
      <x:c r="K348" s="702"/>
      <x:c r="L348" s="702"/>
      <x:c r="M348" s="702"/>
      <x:c r="N348" s="702"/>
    </x:row>
    <x:row r="349" ht="29" customHeight="1">
      <x:c r="A349" s="699" t="n">
        <x:v>135</x:v>
      </x:c>
      <x:c r="B349" s="688"/>
      <x:c r="C349" s="687"/>
      <x:c r="D349" s="701" t="str">
        <x:f>IF(C349="","",COUNTIFS('幕间计算'!$A$210:$A$409,'幕间计算'!A634,'幕间计算'!$B$210:$B$409,1,$E$9:$E$208,C349))</x:f>
        <x:v/>
      </x:c>
      <x:c r="E349" s="689"/>
      <x:c r="F349" s="688"/>
      <x:c r="G349" s="701">
        <x:f>IF('幕间计算'!C634=1,MAX(0,MIN(E349,99-I349)),0)</x:f>
        <x:v>0</x:v>
      </x:c>
      <x:c r="H349" s="699" t="str">
        <x:f>IF(C349="","",IF(F349="作废","已作废",IF(D349=0,"无有效标记",IF(F349&lt;&gt;"确认","待确认",IF(NOT(ISNUMBER(I349)),"填写前值",IF('幕间计算'!B634=0,"检查数值",IF('幕间计算'!C634=0,"已结算",IF(G349=0,"已达99","已计入"))))))))</x:f>
        <x:v/>
      </x:c>
      <x:c r="I349" s="689"/>
      <x:c r="J349" s="701" t="str">
        <x:f>IF(I349="","",I349+G349)</x:f>
        <x:v/>
      </x:c>
      <x:c r="K349" s="702"/>
      <x:c r="L349" s="702"/>
      <x:c r="M349" s="702"/>
      <x:c r="N349" s="702"/>
    </x:row>
    <x:row r="350" ht="29" customHeight="1">
      <x:c r="A350" s="699" t="n">
        <x:v>136</x:v>
      </x:c>
      <x:c r="B350" s="688"/>
      <x:c r="C350" s="687"/>
      <x:c r="D350" s="701" t="str">
        <x:f>IF(C350="","",COUNTIFS('幕间计算'!$A$210:$A$409,'幕间计算'!A635,'幕间计算'!$B$210:$B$409,1,$E$9:$E$208,C350))</x:f>
        <x:v/>
      </x:c>
      <x:c r="E350" s="689"/>
      <x:c r="F350" s="688"/>
      <x:c r="G350" s="701">
        <x:f>IF('幕间计算'!C635=1,MAX(0,MIN(E350,99-I350)),0)</x:f>
        <x:v>0</x:v>
      </x:c>
      <x:c r="H350" s="699" t="str">
        <x:f>IF(C350="","",IF(F350="作废","已作废",IF(D350=0,"无有效标记",IF(F350&lt;&gt;"确认","待确认",IF(NOT(ISNUMBER(I350)),"填写前值",IF('幕间计算'!B635=0,"检查数值",IF('幕间计算'!C635=0,"已结算",IF(G350=0,"已达99","已计入"))))))))</x:f>
        <x:v/>
      </x:c>
      <x:c r="I350" s="689"/>
      <x:c r="J350" s="701" t="str">
        <x:f>IF(I350="","",I350+G350)</x:f>
        <x:v/>
      </x:c>
      <x:c r="K350" s="702"/>
      <x:c r="L350" s="702"/>
      <x:c r="M350" s="702"/>
      <x:c r="N350" s="702"/>
    </x:row>
    <x:row r="351" ht="29" customHeight="1">
      <x:c r="A351" s="699" t="n">
        <x:v>137</x:v>
      </x:c>
      <x:c r="B351" s="688"/>
      <x:c r="C351" s="687"/>
      <x:c r="D351" s="701" t="str">
        <x:f>IF(C351="","",COUNTIFS('幕间计算'!$A$210:$A$409,'幕间计算'!A636,'幕间计算'!$B$210:$B$409,1,$E$9:$E$208,C351))</x:f>
        <x:v/>
      </x:c>
      <x:c r="E351" s="689"/>
      <x:c r="F351" s="688"/>
      <x:c r="G351" s="701">
        <x:f>IF('幕间计算'!C636=1,MAX(0,MIN(E351,99-I351)),0)</x:f>
        <x:v>0</x:v>
      </x:c>
      <x:c r="H351" s="699" t="str">
        <x:f>IF(C351="","",IF(F351="作废","已作废",IF(D351=0,"无有效标记",IF(F351&lt;&gt;"确认","待确认",IF(NOT(ISNUMBER(I351)),"填写前值",IF('幕间计算'!B636=0,"检查数值",IF('幕间计算'!C636=0,"已结算",IF(G351=0,"已达99","已计入"))))))))</x:f>
        <x:v/>
      </x:c>
      <x:c r="I351" s="689"/>
      <x:c r="J351" s="701" t="str">
        <x:f>IF(I351="","",I351+G351)</x:f>
        <x:v/>
      </x:c>
      <x:c r="K351" s="702"/>
      <x:c r="L351" s="702"/>
      <x:c r="M351" s="702"/>
      <x:c r="N351" s="702"/>
    </x:row>
    <x:row r="352" ht="29" customHeight="1">
      <x:c r="A352" s="699" t="n">
        <x:v>138</x:v>
      </x:c>
      <x:c r="B352" s="688"/>
      <x:c r="C352" s="687"/>
      <x:c r="D352" s="701" t="str">
        <x:f>IF(C352="","",COUNTIFS('幕间计算'!$A$210:$A$409,'幕间计算'!A637,'幕间计算'!$B$210:$B$409,1,$E$9:$E$208,C352))</x:f>
        <x:v/>
      </x:c>
      <x:c r="E352" s="689"/>
      <x:c r="F352" s="688"/>
      <x:c r="G352" s="701">
        <x:f>IF('幕间计算'!C637=1,MAX(0,MIN(E352,99-I352)),0)</x:f>
        <x:v>0</x:v>
      </x:c>
      <x:c r="H352" s="699" t="str">
        <x:f>IF(C352="","",IF(F352="作废","已作废",IF(D352=0,"无有效标记",IF(F352&lt;&gt;"确认","待确认",IF(NOT(ISNUMBER(I352)),"填写前值",IF('幕间计算'!B637=0,"检查数值",IF('幕间计算'!C637=0,"已结算",IF(G352=0,"已达99","已计入"))))))))</x:f>
        <x:v/>
      </x:c>
      <x:c r="I352" s="689"/>
      <x:c r="J352" s="701" t="str">
        <x:f>IF(I352="","",I352+G352)</x:f>
        <x:v/>
      </x:c>
      <x:c r="K352" s="702"/>
      <x:c r="L352" s="702"/>
      <x:c r="M352" s="702"/>
      <x:c r="N352" s="702"/>
    </x:row>
    <x:row r="353" ht="29" customHeight="1">
      <x:c r="A353" s="699" t="n">
        <x:v>139</x:v>
      </x:c>
      <x:c r="B353" s="688"/>
      <x:c r="C353" s="687"/>
      <x:c r="D353" s="701" t="str">
        <x:f>IF(C353="","",COUNTIFS('幕间计算'!$A$210:$A$409,'幕间计算'!A638,'幕间计算'!$B$210:$B$409,1,$E$9:$E$208,C353))</x:f>
        <x:v/>
      </x:c>
      <x:c r="E353" s="689"/>
      <x:c r="F353" s="688"/>
      <x:c r="G353" s="701">
        <x:f>IF('幕间计算'!C638=1,MAX(0,MIN(E353,99-I353)),0)</x:f>
        <x:v>0</x:v>
      </x:c>
      <x:c r="H353" s="699" t="str">
        <x:f>IF(C353="","",IF(F353="作废","已作废",IF(D353=0,"无有效标记",IF(F353&lt;&gt;"确认","待确认",IF(NOT(ISNUMBER(I353)),"填写前值",IF('幕间计算'!B638=0,"检查数值",IF('幕间计算'!C638=0,"已结算",IF(G353=0,"已达99","已计入"))))))))</x:f>
        <x:v/>
      </x:c>
      <x:c r="I353" s="689"/>
      <x:c r="J353" s="701" t="str">
        <x:f>IF(I353="","",I353+G353)</x:f>
        <x:v/>
      </x:c>
      <x:c r="K353" s="702"/>
      <x:c r="L353" s="702"/>
      <x:c r="M353" s="702"/>
      <x:c r="N353" s="702"/>
    </x:row>
    <x:row r="354" ht="29" customHeight="1">
      <x:c r="A354" s="699" t="n">
        <x:v>140</x:v>
      </x:c>
      <x:c r="B354" s="688"/>
      <x:c r="C354" s="687"/>
      <x:c r="D354" s="701" t="str">
        <x:f>IF(C354="","",COUNTIFS('幕间计算'!$A$210:$A$409,'幕间计算'!A639,'幕间计算'!$B$210:$B$409,1,$E$9:$E$208,C354))</x:f>
        <x:v/>
      </x:c>
      <x:c r="E354" s="689"/>
      <x:c r="F354" s="688"/>
      <x:c r="G354" s="701">
        <x:f>IF('幕间计算'!C639=1,MAX(0,MIN(E354,99-I354)),0)</x:f>
        <x:v>0</x:v>
      </x:c>
      <x:c r="H354" s="699" t="str">
        <x:f>IF(C354="","",IF(F354="作废","已作废",IF(D354=0,"无有效标记",IF(F354&lt;&gt;"确认","待确认",IF(NOT(ISNUMBER(I354)),"填写前值",IF('幕间计算'!B639=0,"检查数值",IF('幕间计算'!C639=0,"已结算",IF(G354=0,"已达99","已计入"))))))))</x:f>
        <x:v/>
      </x:c>
      <x:c r="I354" s="689"/>
      <x:c r="J354" s="701" t="str">
        <x:f>IF(I354="","",I354+G354)</x:f>
        <x:v/>
      </x:c>
      <x:c r="K354" s="702"/>
      <x:c r="L354" s="702"/>
      <x:c r="M354" s="702"/>
      <x:c r="N354" s="702"/>
    </x:row>
    <x:row r="355" ht="29" customHeight="1">
      <x:c r="A355" s="699" t="n">
        <x:v>141</x:v>
      </x:c>
      <x:c r="B355" s="688"/>
      <x:c r="C355" s="687"/>
      <x:c r="D355" s="701" t="str">
        <x:f>IF(C355="","",COUNTIFS('幕间计算'!$A$210:$A$409,'幕间计算'!A640,'幕间计算'!$B$210:$B$409,1,$E$9:$E$208,C355))</x:f>
        <x:v/>
      </x:c>
      <x:c r="E355" s="689"/>
      <x:c r="F355" s="688"/>
      <x:c r="G355" s="701">
        <x:f>IF('幕间计算'!C640=1,MAX(0,MIN(E355,99-I355)),0)</x:f>
        <x:v>0</x:v>
      </x:c>
      <x:c r="H355" s="699" t="str">
        <x:f>IF(C355="","",IF(F355="作废","已作废",IF(D355=0,"无有效标记",IF(F355&lt;&gt;"确认","待确认",IF(NOT(ISNUMBER(I355)),"填写前值",IF('幕间计算'!B640=0,"检查数值",IF('幕间计算'!C640=0,"已结算",IF(G355=0,"已达99","已计入"))))))))</x:f>
        <x:v/>
      </x:c>
      <x:c r="I355" s="689"/>
      <x:c r="J355" s="701" t="str">
        <x:f>IF(I355="","",I355+G355)</x:f>
        <x:v/>
      </x:c>
      <x:c r="K355" s="702"/>
      <x:c r="L355" s="702"/>
      <x:c r="M355" s="702"/>
      <x:c r="N355" s="702"/>
    </x:row>
    <x:row r="356" ht="29" customHeight="1">
      <x:c r="A356" s="699" t="n">
        <x:v>142</x:v>
      </x:c>
      <x:c r="B356" s="688"/>
      <x:c r="C356" s="687"/>
      <x:c r="D356" s="701" t="str">
        <x:f>IF(C356="","",COUNTIFS('幕间计算'!$A$210:$A$409,'幕间计算'!A641,'幕间计算'!$B$210:$B$409,1,$E$9:$E$208,C356))</x:f>
        <x:v/>
      </x:c>
      <x:c r="E356" s="689"/>
      <x:c r="F356" s="688"/>
      <x:c r="G356" s="701">
        <x:f>IF('幕间计算'!C641=1,MAX(0,MIN(E356,99-I356)),0)</x:f>
        <x:v>0</x:v>
      </x:c>
      <x:c r="H356" s="699" t="str">
        <x:f>IF(C356="","",IF(F356="作废","已作废",IF(D356=0,"无有效标记",IF(F356&lt;&gt;"确认","待确认",IF(NOT(ISNUMBER(I356)),"填写前值",IF('幕间计算'!B641=0,"检查数值",IF('幕间计算'!C641=0,"已结算",IF(G356=0,"已达99","已计入"))))))))</x:f>
        <x:v/>
      </x:c>
      <x:c r="I356" s="689"/>
      <x:c r="J356" s="701" t="str">
        <x:f>IF(I356="","",I356+G356)</x:f>
        <x:v/>
      </x:c>
      <x:c r="K356" s="702"/>
      <x:c r="L356" s="702"/>
      <x:c r="M356" s="702"/>
      <x:c r="N356" s="702"/>
    </x:row>
    <x:row r="357" ht="29" customHeight="1">
      <x:c r="A357" s="699" t="n">
        <x:v>143</x:v>
      </x:c>
      <x:c r="B357" s="688"/>
      <x:c r="C357" s="687"/>
      <x:c r="D357" s="701" t="str">
        <x:f>IF(C357="","",COUNTIFS('幕间计算'!$A$210:$A$409,'幕间计算'!A642,'幕间计算'!$B$210:$B$409,1,$E$9:$E$208,C357))</x:f>
        <x:v/>
      </x:c>
      <x:c r="E357" s="689"/>
      <x:c r="F357" s="688"/>
      <x:c r="G357" s="701">
        <x:f>IF('幕间计算'!C642=1,MAX(0,MIN(E357,99-I357)),0)</x:f>
        <x:v>0</x:v>
      </x:c>
      <x:c r="H357" s="699" t="str">
        <x:f>IF(C357="","",IF(F357="作废","已作废",IF(D357=0,"无有效标记",IF(F357&lt;&gt;"确认","待确认",IF(NOT(ISNUMBER(I357)),"填写前值",IF('幕间计算'!B642=0,"检查数值",IF('幕间计算'!C642=0,"已结算",IF(G357=0,"已达99","已计入"))))))))</x:f>
        <x:v/>
      </x:c>
      <x:c r="I357" s="689"/>
      <x:c r="J357" s="701" t="str">
        <x:f>IF(I357="","",I357+G357)</x:f>
        <x:v/>
      </x:c>
      <x:c r="K357" s="702"/>
      <x:c r="L357" s="702"/>
      <x:c r="M357" s="702"/>
      <x:c r="N357" s="702"/>
    </x:row>
    <x:row r="358" ht="29" customHeight="1">
      <x:c r="A358" s="699" t="n">
        <x:v>144</x:v>
      </x:c>
      <x:c r="B358" s="688"/>
      <x:c r="C358" s="687"/>
      <x:c r="D358" s="701" t="str">
        <x:f>IF(C358="","",COUNTIFS('幕间计算'!$A$210:$A$409,'幕间计算'!A643,'幕间计算'!$B$210:$B$409,1,$E$9:$E$208,C358))</x:f>
        <x:v/>
      </x:c>
      <x:c r="E358" s="689"/>
      <x:c r="F358" s="688"/>
      <x:c r="G358" s="701">
        <x:f>IF('幕间计算'!C643=1,MAX(0,MIN(E358,99-I358)),0)</x:f>
        <x:v>0</x:v>
      </x:c>
      <x:c r="H358" s="699" t="str">
        <x:f>IF(C358="","",IF(F358="作废","已作废",IF(D358=0,"无有效标记",IF(F358&lt;&gt;"确认","待确认",IF(NOT(ISNUMBER(I358)),"填写前值",IF('幕间计算'!B643=0,"检查数值",IF('幕间计算'!C643=0,"已结算",IF(G358=0,"已达99","已计入"))))))))</x:f>
        <x:v/>
      </x:c>
      <x:c r="I358" s="689"/>
      <x:c r="J358" s="701" t="str">
        <x:f>IF(I358="","",I358+G358)</x:f>
        <x:v/>
      </x:c>
      <x:c r="K358" s="702"/>
      <x:c r="L358" s="702"/>
      <x:c r="M358" s="702"/>
      <x:c r="N358" s="702"/>
    </x:row>
    <x:row r="359" ht="29" customHeight="1">
      <x:c r="A359" s="699" t="n">
        <x:v>145</x:v>
      </x:c>
      <x:c r="B359" s="688"/>
      <x:c r="C359" s="687"/>
      <x:c r="D359" s="701" t="str">
        <x:f>IF(C359="","",COUNTIFS('幕间计算'!$A$210:$A$409,'幕间计算'!A644,'幕间计算'!$B$210:$B$409,1,$E$9:$E$208,C359))</x:f>
        <x:v/>
      </x:c>
      <x:c r="E359" s="689"/>
      <x:c r="F359" s="688"/>
      <x:c r="G359" s="701">
        <x:f>IF('幕间计算'!C644=1,MAX(0,MIN(E359,99-I359)),0)</x:f>
        <x:v>0</x:v>
      </x:c>
      <x:c r="H359" s="699" t="str">
        <x:f>IF(C359="","",IF(F359="作废","已作废",IF(D359=0,"无有效标记",IF(F359&lt;&gt;"确认","待确认",IF(NOT(ISNUMBER(I359)),"填写前值",IF('幕间计算'!B644=0,"检查数值",IF('幕间计算'!C644=0,"已结算",IF(G359=0,"已达99","已计入"))))))))</x:f>
        <x:v/>
      </x:c>
      <x:c r="I359" s="689"/>
      <x:c r="J359" s="701" t="str">
        <x:f>IF(I359="","",I359+G359)</x:f>
        <x:v/>
      </x:c>
      <x:c r="K359" s="702"/>
      <x:c r="L359" s="702"/>
      <x:c r="M359" s="702"/>
      <x:c r="N359" s="702"/>
    </x:row>
    <x:row r="360" ht="29" customHeight="1">
      <x:c r="A360" s="699" t="n">
        <x:v>146</x:v>
      </x:c>
      <x:c r="B360" s="688"/>
      <x:c r="C360" s="687"/>
      <x:c r="D360" s="701" t="str">
        <x:f>IF(C360="","",COUNTIFS('幕间计算'!$A$210:$A$409,'幕间计算'!A645,'幕间计算'!$B$210:$B$409,1,$E$9:$E$208,C360))</x:f>
        <x:v/>
      </x:c>
      <x:c r="E360" s="689"/>
      <x:c r="F360" s="688"/>
      <x:c r="G360" s="701">
        <x:f>IF('幕间计算'!C645=1,MAX(0,MIN(E360,99-I360)),0)</x:f>
        <x:v>0</x:v>
      </x:c>
      <x:c r="H360" s="699" t="str">
        <x:f>IF(C360="","",IF(F360="作废","已作废",IF(D360=0,"无有效标记",IF(F360&lt;&gt;"确认","待确认",IF(NOT(ISNUMBER(I360)),"填写前值",IF('幕间计算'!B645=0,"检查数值",IF('幕间计算'!C645=0,"已结算",IF(G360=0,"已达99","已计入"))))))))</x:f>
        <x:v/>
      </x:c>
      <x:c r="I360" s="689"/>
      <x:c r="J360" s="701" t="str">
        <x:f>IF(I360="","",I360+G360)</x:f>
        <x:v/>
      </x:c>
      <x:c r="K360" s="702"/>
      <x:c r="L360" s="702"/>
      <x:c r="M360" s="702"/>
      <x:c r="N360" s="702"/>
    </x:row>
    <x:row r="361" ht="29" customHeight="1">
      <x:c r="A361" s="699" t="n">
        <x:v>147</x:v>
      </x:c>
      <x:c r="B361" s="688"/>
      <x:c r="C361" s="687"/>
      <x:c r="D361" s="701" t="str">
        <x:f>IF(C361="","",COUNTIFS('幕间计算'!$A$210:$A$409,'幕间计算'!A646,'幕间计算'!$B$210:$B$409,1,$E$9:$E$208,C361))</x:f>
        <x:v/>
      </x:c>
      <x:c r="E361" s="689"/>
      <x:c r="F361" s="688"/>
      <x:c r="G361" s="701">
        <x:f>IF('幕间计算'!C646=1,MAX(0,MIN(E361,99-I361)),0)</x:f>
        <x:v>0</x:v>
      </x:c>
      <x:c r="H361" s="699" t="str">
        <x:f>IF(C361="","",IF(F361="作废","已作废",IF(D361=0,"无有效标记",IF(F361&lt;&gt;"确认","待确认",IF(NOT(ISNUMBER(I361)),"填写前值",IF('幕间计算'!B646=0,"检查数值",IF('幕间计算'!C646=0,"已结算",IF(G361=0,"已达99","已计入"))))))))</x:f>
        <x:v/>
      </x:c>
      <x:c r="I361" s="689"/>
      <x:c r="J361" s="701" t="str">
        <x:f>IF(I361="","",I361+G361)</x:f>
        <x:v/>
      </x:c>
      <x:c r="K361" s="702"/>
      <x:c r="L361" s="702"/>
      <x:c r="M361" s="702"/>
      <x:c r="N361" s="702"/>
    </x:row>
    <x:row r="362" ht="29" customHeight="1">
      <x:c r="A362" s="699" t="n">
        <x:v>148</x:v>
      </x:c>
      <x:c r="B362" s="688"/>
      <x:c r="C362" s="687"/>
      <x:c r="D362" s="701" t="str">
        <x:f>IF(C362="","",COUNTIFS('幕间计算'!$A$210:$A$409,'幕间计算'!A647,'幕间计算'!$B$210:$B$409,1,$E$9:$E$208,C362))</x:f>
        <x:v/>
      </x:c>
      <x:c r="E362" s="689"/>
      <x:c r="F362" s="688"/>
      <x:c r="G362" s="701">
        <x:f>IF('幕间计算'!C647=1,MAX(0,MIN(E362,99-I362)),0)</x:f>
        <x:v>0</x:v>
      </x:c>
      <x:c r="H362" s="699" t="str">
        <x:f>IF(C362="","",IF(F362="作废","已作废",IF(D362=0,"无有效标记",IF(F362&lt;&gt;"确认","待确认",IF(NOT(ISNUMBER(I362)),"填写前值",IF('幕间计算'!B647=0,"检查数值",IF('幕间计算'!C647=0,"已结算",IF(G362=0,"已达99","已计入"))))))))</x:f>
        <x:v/>
      </x:c>
      <x:c r="I362" s="689"/>
      <x:c r="J362" s="701" t="str">
        <x:f>IF(I362="","",I362+G362)</x:f>
        <x:v/>
      </x:c>
      <x:c r="K362" s="702"/>
      <x:c r="L362" s="702"/>
      <x:c r="M362" s="702"/>
      <x:c r="N362" s="702"/>
    </x:row>
    <x:row r="363" ht="29" customHeight="1">
      <x:c r="A363" s="699" t="n">
        <x:v>149</x:v>
      </x:c>
      <x:c r="B363" s="688"/>
      <x:c r="C363" s="687"/>
      <x:c r="D363" s="701" t="str">
        <x:f>IF(C363="","",COUNTIFS('幕间计算'!$A$210:$A$409,'幕间计算'!A648,'幕间计算'!$B$210:$B$409,1,$E$9:$E$208,C363))</x:f>
        <x:v/>
      </x:c>
      <x:c r="E363" s="689"/>
      <x:c r="F363" s="688"/>
      <x:c r="G363" s="701">
        <x:f>IF('幕间计算'!C648=1,MAX(0,MIN(E363,99-I363)),0)</x:f>
        <x:v>0</x:v>
      </x:c>
      <x:c r="H363" s="699" t="str">
        <x:f>IF(C363="","",IF(F363="作废","已作废",IF(D363=0,"无有效标记",IF(F363&lt;&gt;"确认","待确认",IF(NOT(ISNUMBER(I363)),"填写前值",IF('幕间计算'!B648=0,"检查数值",IF('幕间计算'!C648=0,"已结算",IF(G363=0,"已达99","已计入"))))))))</x:f>
        <x:v/>
      </x:c>
      <x:c r="I363" s="689"/>
      <x:c r="J363" s="701" t="str">
        <x:f>IF(I363="","",I363+G363)</x:f>
        <x:v/>
      </x:c>
      <x:c r="K363" s="702"/>
      <x:c r="L363" s="702"/>
      <x:c r="M363" s="702"/>
      <x:c r="N363" s="702"/>
    </x:row>
    <x:row r="364" ht="29" customHeight="1">
      <x:c r="A364" s="699" t="n">
        <x:v>150</x:v>
      </x:c>
      <x:c r="B364" s="688"/>
      <x:c r="C364" s="687"/>
      <x:c r="D364" s="701" t="str">
        <x:f>IF(C364="","",COUNTIFS('幕间计算'!$A$210:$A$409,'幕间计算'!A649,'幕间计算'!$B$210:$B$409,1,$E$9:$E$208,C364))</x:f>
        <x:v/>
      </x:c>
      <x:c r="E364" s="689"/>
      <x:c r="F364" s="688"/>
      <x:c r="G364" s="701">
        <x:f>IF('幕间计算'!C649=1,MAX(0,MIN(E364,99-I364)),0)</x:f>
        <x:v>0</x:v>
      </x:c>
      <x:c r="H364" s="699" t="str">
        <x:f>IF(C364="","",IF(F364="作废","已作废",IF(D364=0,"无有效标记",IF(F364&lt;&gt;"确认","待确认",IF(NOT(ISNUMBER(I364)),"填写前值",IF('幕间计算'!B649=0,"检查数值",IF('幕间计算'!C649=0,"已结算",IF(G364=0,"已达99","已计入"))))))))</x:f>
        <x:v/>
      </x:c>
      <x:c r="I364" s="689"/>
      <x:c r="J364" s="701" t="str">
        <x:f>IF(I364="","",I364+G364)</x:f>
        <x:v/>
      </x:c>
      <x:c r="K364" s="702"/>
      <x:c r="L364" s="702"/>
      <x:c r="M364" s="702"/>
      <x:c r="N364" s="702"/>
    </x:row>
    <x:row r="365" ht="29" customHeight="1">
      <x:c r="A365" s="699" t="n">
        <x:v>151</x:v>
      </x:c>
      <x:c r="B365" s="688"/>
      <x:c r="C365" s="687"/>
      <x:c r="D365" s="701" t="str">
        <x:f>IF(C365="","",COUNTIFS('幕间计算'!$A$210:$A$409,'幕间计算'!A650,'幕间计算'!$B$210:$B$409,1,$E$9:$E$208,C365))</x:f>
        <x:v/>
      </x:c>
      <x:c r="E365" s="689"/>
      <x:c r="F365" s="688"/>
      <x:c r="G365" s="701">
        <x:f>IF('幕间计算'!C650=1,MAX(0,MIN(E365,99-I365)),0)</x:f>
        <x:v>0</x:v>
      </x:c>
      <x:c r="H365" s="699" t="str">
        <x:f>IF(C365="","",IF(F365="作废","已作废",IF(D365=0,"无有效标记",IF(F365&lt;&gt;"确认","待确认",IF(NOT(ISNUMBER(I365)),"填写前值",IF('幕间计算'!B650=0,"检查数值",IF('幕间计算'!C650=0,"已结算",IF(G365=0,"已达99","已计入"))))))))</x:f>
        <x:v/>
      </x:c>
      <x:c r="I365" s="689"/>
      <x:c r="J365" s="701" t="str">
        <x:f>IF(I365="","",I365+G365)</x:f>
        <x:v/>
      </x:c>
      <x:c r="K365" s="702"/>
      <x:c r="L365" s="702"/>
      <x:c r="M365" s="702"/>
      <x:c r="N365" s="702"/>
    </x:row>
    <x:row r="366" ht="29" customHeight="1">
      <x:c r="A366" s="699" t="n">
        <x:v>152</x:v>
      </x:c>
      <x:c r="B366" s="688"/>
      <x:c r="C366" s="687"/>
      <x:c r="D366" s="701" t="str">
        <x:f>IF(C366="","",COUNTIFS('幕间计算'!$A$210:$A$409,'幕间计算'!A651,'幕间计算'!$B$210:$B$409,1,$E$9:$E$208,C366))</x:f>
        <x:v/>
      </x:c>
      <x:c r="E366" s="689"/>
      <x:c r="F366" s="688"/>
      <x:c r="G366" s="701">
        <x:f>IF('幕间计算'!C651=1,MAX(0,MIN(E366,99-I366)),0)</x:f>
        <x:v>0</x:v>
      </x:c>
      <x:c r="H366" s="699" t="str">
        <x:f>IF(C366="","",IF(F366="作废","已作废",IF(D366=0,"无有效标记",IF(F366&lt;&gt;"确认","待确认",IF(NOT(ISNUMBER(I366)),"填写前值",IF('幕间计算'!B651=0,"检查数值",IF('幕间计算'!C651=0,"已结算",IF(G366=0,"已达99","已计入"))))))))</x:f>
        <x:v/>
      </x:c>
      <x:c r="I366" s="689"/>
      <x:c r="J366" s="701" t="str">
        <x:f>IF(I366="","",I366+G366)</x:f>
        <x:v/>
      </x:c>
      <x:c r="K366" s="702"/>
      <x:c r="L366" s="702"/>
      <x:c r="M366" s="702"/>
      <x:c r="N366" s="702"/>
    </x:row>
    <x:row r="367" ht="29" customHeight="1">
      <x:c r="A367" s="699" t="n">
        <x:v>153</x:v>
      </x:c>
      <x:c r="B367" s="688"/>
      <x:c r="C367" s="687"/>
      <x:c r="D367" s="701" t="str">
        <x:f>IF(C367="","",COUNTIFS('幕间计算'!$A$210:$A$409,'幕间计算'!A652,'幕间计算'!$B$210:$B$409,1,$E$9:$E$208,C367))</x:f>
        <x:v/>
      </x:c>
      <x:c r="E367" s="689"/>
      <x:c r="F367" s="688"/>
      <x:c r="G367" s="701">
        <x:f>IF('幕间计算'!C652=1,MAX(0,MIN(E367,99-I367)),0)</x:f>
        <x:v>0</x:v>
      </x:c>
      <x:c r="H367" s="699" t="str">
        <x:f>IF(C367="","",IF(F367="作废","已作废",IF(D367=0,"无有效标记",IF(F367&lt;&gt;"确认","待确认",IF(NOT(ISNUMBER(I367)),"填写前值",IF('幕间计算'!B652=0,"检查数值",IF('幕间计算'!C652=0,"已结算",IF(G367=0,"已达99","已计入"))))))))</x:f>
        <x:v/>
      </x:c>
      <x:c r="I367" s="689"/>
      <x:c r="J367" s="701" t="str">
        <x:f>IF(I367="","",I367+G367)</x:f>
        <x:v/>
      </x:c>
      <x:c r="K367" s="702"/>
      <x:c r="L367" s="702"/>
      <x:c r="M367" s="702"/>
      <x:c r="N367" s="702"/>
    </x:row>
    <x:row r="368" ht="29" customHeight="1">
      <x:c r="A368" s="699" t="n">
        <x:v>154</x:v>
      </x:c>
      <x:c r="B368" s="688"/>
      <x:c r="C368" s="687"/>
      <x:c r="D368" s="701" t="str">
        <x:f>IF(C368="","",COUNTIFS('幕间计算'!$A$210:$A$409,'幕间计算'!A653,'幕间计算'!$B$210:$B$409,1,$E$9:$E$208,C368))</x:f>
        <x:v/>
      </x:c>
      <x:c r="E368" s="689"/>
      <x:c r="F368" s="688"/>
      <x:c r="G368" s="701">
        <x:f>IF('幕间计算'!C653=1,MAX(0,MIN(E368,99-I368)),0)</x:f>
        <x:v>0</x:v>
      </x:c>
      <x:c r="H368" s="699" t="str">
        <x:f>IF(C368="","",IF(F368="作废","已作废",IF(D368=0,"无有效标记",IF(F368&lt;&gt;"确认","待确认",IF(NOT(ISNUMBER(I368)),"填写前值",IF('幕间计算'!B653=0,"检查数值",IF('幕间计算'!C653=0,"已结算",IF(G368=0,"已达99","已计入"))))))))</x:f>
        <x:v/>
      </x:c>
      <x:c r="I368" s="689"/>
      <x:c r="J368" s="701" t="str">
        <x:f>IF(I368="","",I368+G368)</x:f>
        <x:v/>
      </x:c>
      <x:c r="K368" s="702"/>
      <x:c r="L368" s="702"/>
      <x:c r="M368" s="702"/>
      <x:c r="N368" s="702"/>
    </x:row>
    <x:row r="369" ht="29" customHeight="1">
      <x:c r="A369" s="699" t="n">
        <x:v>155</x:v>
      </x:c>
      <x:c r="B369" s="688"/>
      <x:c r="C369" s="687"/>
      <x:c r="D369" s="701" t="str">
        <x:f>IF(C369="","",COUNTIFS('幕间计算'!$A$210:$A$409,'幕间计算'!A654,'幕间计算'!$B$210:$B$409,1,$E$9:$E$208,C369))</x:f>
        <x:v/>
      </x:c>
      <x:c r="E369" s="689"/>
      <x:c r="F369" s="688"/>
      <x:c r="G369" s="701">
        <x:f>IF('幕间计算'!C654=1,MAX(0,MIN(E369,99-I369)),0)</x:f>
        <x:v>0</x:v>
      </x:c>
      <x:c r="H369" s="699" t="str">
        <x:f>IF(C369="","",IF(F369="作废","已作废",IF(D369=0,"无有效标记",IF(F369&lt;&gt;"确认","待确认",IF(NOT(ISNUMBER(I369)),"填写前值",IF('幕间计算'!B654=0,"检查数值",IF('幕间计算'!C654=0,"已结算",IF(G369=0,"已达99","已计入"))))))))</x:f>
        <x:v/>
      </x:c>
      <x:c r="I369" s="689"/>
      <x:c r="J369" s="701" t="str">
        <x:f>IF(I369="","",I369+G369)</x:f>
        <x:v/>
      </x:c>
      <x:c r="K369" s="702"/>
      <x:c r="L369" s="702"/>
      <x:c r="M369" s="702"/>
      <x:c r="N369" s="702"/>
    </x:row>
    <x:row r="370" ht="29" customHeight="1">
      <x:c r="A370" s="699" t="n">
        <x:v>156</x:v>
      </x:c>
      <x:c r="B370" s="688"/>
      <x:c r="C370" s="687"/>
      <x:c r="D370" s="701" t="str">
        <x:f>IF(C370="","",COUNTIFS('幕间计算'!$A$210:$A$409,'幕间计算'!A655,'幕间计算'!$B$210:$B$409,1,$E$9:$E$208,C370))</x:f>
        <x:v/>
      </x:c>
      <x:c r="E370" s="689"/>
      <x:c r="F370" s="688"/>
      <x:c r="G370" s="701">
        <x:f>IF('幕间计算'!C655=1,MAX(0,MIN(E370,99-I370)),0)</x:f>
        <x:v>0</x:v>
      </x:c>
      <x:c r="H370" s="699" t="str">
        <x:f>IF(C370="","",IF(F370="作废","已作废",IF(D370=0,"无有效标记",IF(F370&lt;&gt;"确认","待确认",IF(NOT(ISNUMBER(I370)),"填写前值",IF('幕间计算'!B655=0,"检查数值",IF('幕间计算'!C655=0,"已结算",IF(G370=0,"已达99","已计入"))))))))</x:f>
        <x:v/>
      </x:c>
      <x:c r="I370" s="689"/>
      <x:c r="J370" s="701" t="str">
        <x:f>IF(I370="","",I370+G370)</x:f>
        <x:v/>
      </x:c>
      <x:c r="K370" s="702"/>
      <x:c r="L370" s="702"/>
      <x:c r="M370" s="702"/>
      <x:c r="N370" s="702"/>
    </x:row>
    <x:row r="371" ht="29" customHeight="1">
      <x:c r="A371" s="699" t="n">
        <x:v>157</x:v>
      </x:c>
      <x:c r="B371" s="688"/>
      <x:c r="C371" s="687"/>
      <x:c r="D371" s="701" t="str">
        <x:f>IF(C371="","",COUNTIFS('幕间计算'!$A$210:$A$409,'幕间计算'!A656,'幕间计算'!$B$210:$B$409,1,$E$9:$E$208,C371))</x:f>
        <x:v/>
      </x:c>
      <x:c r="E371" s="689"/>
      <x:c r="F371" s="688"/>
      <x:c r="G371" s="701">
        <x:f>IF('幕间计算'!C656=1,MAX(0,MIN(E371,99-I371)),0)</x:f>
        <x:v>0</x:v>
      </x:c>
      <x:c r="H371" s="699" t="str">
        <x:f>IF(C371="","",IF(F371="作废","已作废",IF(D371=0,"无有效标记",IF(F371&lt;&gt;"确认","待确认",IF(NOT(ISNUMBER(I371)),"填写前值",IF('幕间计算'!B656=0,"检查数值",IF('幕间计算'!C656=0,"已结算",IF(G371=0,"已达99","已计入"))))))))</x:f>
        <x:v/>
      </x:c>
      <x:c r="I371" s="689"/>
      <x:c r="J371" s="701" t="str">
        <x:f>IF(I371="","",I371+G371)</x:f>
        <x:v/>
      </x:c>
      <x:c r="K371" s="702"/>
      <x:c r="L371" s="702"/>
      <x:c r="M371" s="702"/>
      <x:c r="N371" s="702"/>
    </x:row>
    <x:row r="372" ht="29" customHeight="1">
      <x:c r="A372" s="699" t="n">
        <x:v>158</x:v>
      </x:c>
      <x:c r="B372" s="688"/>
      <x:c r="C372" s="687"/>
      <x:c r="D372" s="701" t="str">
        <x:f>IF(C372="","",COUNTIFS('幕间计算'!$A$210:$A$409,'幕间计算'!A657,'幕间计算'!$B$210:$B$409,1,$E$9:$E$208,C372))</x:f>
        <x:v/>
      </x:c>
      <x:c r="E372" s="689"/>
      <x:c r="F372" s="688"/>
      <x:c r="G372" s="701">
        <x:f>IF('幕间计算'!C657=1,MAX(0,MIN(E372,99-I372)),0)</x:f>
        <x:v>0</x:v>
      </x:c>
      <x:c r="H372" s="699" t="str">
        <x:f>IF(C372="","",IF(F372="作废","已作废",IF(D372=0,"无有效标记",IF(F372&lt;&gt;"确认","待确认",IF(NOT(ISNUMBER(I372)),"填写前值",IF('幕间计算'!B657=0,"检查数值",IF('幕间计算'!C657=0,"已结算",IF(G372=0,"已达99","已计入"))))))))</x:f>
        <x:v/>
      </x:c>
      <x:c r="I372" s="689"/>
      <x:c r="J372" s="701" t="str">
        <x:f>IF(I372="","",I372+G372)</x:f>
        <x:v/>
      </x:c>
      <x:c r="K372" s="702"/>
      <x:c r="L372" s="702"/>
      <x:c r="M372" s="702"/>
      <x:c r="N372" s="702"/>
    </x:row>
    <x:row r="373" ht="29" customHeight="1">
      <x:c r="A373" s="699" t="n">
        <x:v>159</x:v>
      </x:c>
      <x:c r="B373" s="688"/>
      <x:c r="C373" s="687"/>
      <x:c r="D373" s="701" t="str">
        <x:f>IF(C373="","",COUNTIFS('幕间计算'!$A$210:$A$409,'幕间计算'!A658,'幕间计算'!$B$210:$B$409,1,$E$9:$E$208,C373))</x:f>
        <x:v/>
      </x:c>
      <x:c r="E373" s="689"/>
      <x:c r="F373" s="688"/>
      <x:c r="G373" s="701">
        <x:f>IF('幕间计算'!C658=1,MAX(0,MIN(E373,99-I373)),0)</x:f>
        <x:v>0</x:v>
      </x:c>
      <x:c r="H373" s="699" t="str">
        <x:f>IF(C373="","",IF(F373="作废","已作废",IF(D373=0,"无有效标记",IF(F373&lt;&gt;"确认","待确认",IF(NOT(ISNUMBER(I373)),"填写前值",IF('幕间计算'!B658=0,"检查数值",IF('幕间计算'!C658=0,"已结算",IF(G373=0,"已达99","已计入"))))))))</x:f>
        <x:v/>
      </x:c>
      <x:c r="I373" s="689"/>
      <x:c r="J373" s="701" t="str">
        <x:f>IF(I373="","",I373+G373)</x:f>
        <x:v/>
      </x:c>
      <x:c r="K373" s="702"/>
      <x:c r="L373" s="702"/>
      <x:c r="M373" s="702"/>
      <x:c r="N373" s="702"/>
    </x:row>
    <x:row r="374" ht="29" customHeight="1">
      <x:c r="A374" s="699" t="n">
        <x:v>160</x:v>
      </x:c>
      <x:c r="B374" s="688"/>
      <x:c r="C374" s="687"/>
      <x:c r="D374" s="701" t="str">
        <x:f>IF(C374="","",COUNTIFS('幕间计算'!$A$210:$A$409,'幕间计算'!A659,'幕间计算'!$B$210:$B$409,1,$E$9:$E$208,C374))</x:f>
        <x:v/>
      </x:c>
      <x:c r="E374" s="689"/>
      <x:c r="F374" s="688"/>
      <x:c r="G374" s="701">
        <x:f>IF('幕间计算'!C659=1,MAX(0,MIN(E374,99-I374)),0)</x:f>
        <x:v>0</x:v>
      </x:c>
      <x:c r="H374" s="699" t="str">
        <x:f>IF(C374="","",IF(F374="作废","已作废",IF(D374=0,"无有效标记",IF(F374&lt;&gt;"确认","待确认",IF(NOT(ISNUMBER(I374)),"填写前值",IF('幕间计算'!B659=0,"检查数值",IF('幕间计算'!C659=0,"已结算",IF(G374=0,"已达99","已计入"))))))))</x:f>
        <x:v/>
      </x:c>
      <x:c r="I374" s="689"/>
      <x:c r="J374" s="701" t="str">
        <x:f>IF(I374="","",I374+G374)</x:f>
        <x:v/>
      </x:c>
      <x:c r="K374" s="702"/>
      <x:c r="L374" s="702"/>
      <x:c r="M374" s="702"/>
      <x:c r="N374" s="702"/>
    </x:row>
    <x:row r="375" ht="29" customHeight="1">
      <x:c r="A375" s="699" t="n">
        <x:v>161</x:v>
      </x:c>
      <x:c r="B375" s="688"/>
      <x:c r="C375" s="687"/>
      <x:c r="D375" s="701" t="str">
        <x:f>IF(C375="","",COUNTIFS('幕间计算'!$A$210:$A$409,'幕间计算'!A660,'幕间计算'!$B$210:$B$409,1,$E$9:$E$208,C375))</x:f>
        <x:v/>
      </x:c>
      <x:c r="E375" s="689"/>
      <x:c r="F375" s="688"/>
      <x:c r="G375" s="701">
        <x:f>IF('幕间计算'!C660=1,MAX(0,MIN(E375,99-I375)),0)</x:f>
        <x:v>0</x:v>
      </x:c>
      <x:c r="H375" s="699" t="str">
        <x:f>IF(C375="","",IF(F375="作废","已作废",IF(D375=0,"无有效标记",IF(F375&lt;&gt;"确认","待确认",IF(NOT(ISNUMBER(I375)),"填写前值",IF('幕间计算'!B660=0,"检查数值",IF('幕间计算'!C660=0,"已结算",IF(G375=0,"已达99","已计入"))))))))</x:f>
        <x:v/>
      </x:c>
      <x:c r="I375" s="689"/>
      <x:c r="J375" s="701" t="str">
        <x:f>IF(I375="","",I375+G375)</x:f>
        <x:v/>
      </x:c>
      <x:c r="K375" s="702"/>
      <x:c r="L375" s="702"/>
      <x:c r="M375" s="702"/>
      <x:c r="N375" s="702"/>
    </x:row>
    <x:row r="376" ht="29" customHeight="1">
      <x:c r="A376" s="699" t="n">
        <x:v>162</x:v>
      </x:c>
      <x:c r="B376" s="688"/>
      <x:c r="C376" s="687"/>
      <x:c r="D376" s="701" t="str">
        <x:f>IF(C376="","",COUNTIFS('幕间计算'!$A$210:$A$409,'幕间计算'!A661,'幕间计算'!$B$210:$B$409,1,$E$9:$E$208,C376))</x:f>
        <x:v/>
      </x:c>
      <x:c r="E376" s="689"/>
      <x:c r="F376" s="688"/>
      <x:c r="G376" s="701">
        <x:f>IF('幕间计算'!C661=1,MAX(0,MIN(E376,99-I376)),0)</x:f>
        <x:v>0</x:v>
      </x:c>
      <x:c r="H376" s="699" t="str">
        <x:f>IF(C376="","",IF(F376="作废","已作废",IF(D376=0,"无有效标记",IF(F376&lt;&gt;"确认","待确认",IF(NOT(ISNUMBER(I376)),"填写前值",IF('幕间计算'!B661=0,"检查数值",IF('幕间计算'!C661=0,"已结算",IF(G376=0,"已达99","已计入"))))))))</x:f>
        <x:v/>
      </x:c>
      <x:c r="I376" s="689"/>
      <x:c r="J376" s="701" t="str">
        <x:f>IF(I376="","",I376+G376)</x:f>
        <x:v/>
      </x:c>
      <x:c r="K376" s="702"/>
      <x:c r="L376" s="702"/>
      <x:c r="M376" s="702"/>
      <x:c r="N376" s="702"/>
    </x:row>
    <x:row r="377" ht="29" customHeight="1">
      <x:c r="A377" s="699" t="n">
        <x:v>163</x:v>
      </x:c>
      <x:c r="B377" s="688"/>
      <x:c r="C377" s="687"/>
      <x:c r="D377" s="701" t="str">
        <x:f>IF(C377="","",COUNTIFS('幕间计算'!$A$210:$A$409,'幕间计算'!A662,'幕间计算'!$B$210:$B$409,1,$E$9:$E$208,C377))</x:f>
        <x:v/>
      </x:c>
      <x:c r="E377" s="689"/>
      <x:c r="F377" s="688"/>
      <x:c r="G377" s="701">
        <x:f>IF('幕间计算'!C662=1,MAX(0,MIN(E377,99-I377)),0)</x:f>
        <x:v>0</x:v>
      </x:c>
      <x:c r="H377" s="699" t="str">
        <x:f>IF(C377="","",IF(F377="作废","已作废",IF(D377=0,"无有效标记",IF(F377&lt;&gt;"确认","待确认",IF(NOT(ISNUMBER(I377)),"填写前值",IF('幕间计算'!B662=0,"检查数值",IF('幕间计算'!C662=0,"已结算",IF(G377=0,"已达99","已计入"))))))))</x:f>
        <x:v/>
      </x:c>
      <x:c r="I377" s="689"/>
      <x:c r="J377" s="701" t="str">
        <x:f>IF(I377="","",I377+G377)</x:f>
        <x:v/>
      </x:c>
      <x:c r="K377" s="702"/>
      <x:c r="L377" s="702"/>
      <x:c r="M377" s="702"/>
      <x:c r="N377" s="702"/>
    </x:row>
    <x:row r="378" ht="29" customHeight="1">
      <x:c r="A378" s="699" t="n">
        <x:v>164</x:v>
      </x:c>
      <x:c r="B378" s="688"/>
      <x:c r="C378" s="687"/>
      <x:c r="D378" s="701" t="str">
        <x:f>IF(C378="","",COUNTIFS('幕间计算'!$A$210:$A$409,'幕间计算'!A663,'幕间计算'!$B$210:$B$409,1,$E$9:$E$208,C378))</x:f>
        <x:v/>
      </x:c>
      <x:c r="E378" s="689"/>
      <x:c r="F378" s="688"/>
      <x:c r="G378" s="701">
        <x:f>IF('幕间计算'!C663=1,MAX(0,MIN(E378,99-I378)),0)</x:f>
        <x:v>0</x:v>
      </x:c>
      <x:c r="H378" s="699" t="str">
        <x:f>IF(C378="","",IF(F378="作废","已作废",IF(D378=0,"无有效标记",IF(F378&lt;&gt;"确认","待确认",IF(NOT(ISNUMBER(I378)),"填写前值",IF('幕间计算'!B663=0,"检查数值",IF('幕间计算'!C663=0,"已结算",IF(G378=0,"已达99","已计入"))))))))</x:f>
        <x:v/>
      </x:c>
      <x:c r="I378" s="689"/>
      <x:c r="J378" s="701" t="str">
        <x:f>IF(I378="","",I378+G378)</x:f>
        <x:v/>
      </x:c>
      <x:c r="K378" s="702"/>
      <x:c r="L378" s="702"/>
      <x:c r="M378" s="702"/>
      <x:c r="N378" s="702"/>
    </x:row>
    <x:row r="379" ht="29" customHeight="1">
      <x:c r="A379" s="699" t="n">
        <x:v>165</x:v>
      </x:c>
      <x:c r="B379" s="688"/>
      <x:c r="C379" s="687"/>
      <x:c r="D379" s="701" t="str">
        <x:f>IF(C379="","",COUNTIFS('幕间计算'!$A$210:$A$409,'幕间计算'!A664,'幕间计算'!$B$210:$B$409,1,$E$9:$E$208,C379))</x:f>
        <x:v/>
      </x:c>
      <x:c r="E379" s="689"/>
      <x:c r="F379" s="688"/>
      <x:c r="G379" s="701">
        <x:f>IF('幕间计算'!C664=1,MAX(0,MIN(E379,99-I379)),0)</x:f>
        <x:v>0</x:v>
      </x:c>
      <x:c r="H379" s="699" t="str">
        <x:f>IF(C379="","",IF(F379="作废","已作废",IF(D379=0,"无有效标记",IF(F379&lt;&gt;"确认","待确认",IF(NOT(ISNUMBER(I379)),"填写前值",IF('幕间计算'!B664=0,"检查数值",IF('幕间计算'!C664=0,"已结算",IF(G379=0,"已达99","已计入"))))))))</x:f>
        <x:v/>
      </x:c>
      <x:c r="I379" s="689"/>
      <x:c r="J379" s="701" t="str">
        <x:f>IF(I379="","",I379+G379)</x:f>
        <x:v/>
      </x:c>
      <x:c r="K379" s="702"/>
      <x:c r="L379" s="702"/>
      <x:c r="M379" s="702"/>
      <x:c r="N379" s="702"/>
    </x:row>
    <x:row r="380" ht="29" customHeight="1">
      <x:c r="A380" s="699" t="n">
        <x:v>166</x:v>
      </x:c>
      <x:c r="B380" s="688"/>
      <x:c r="C380" s="687"/>
      <x:c r="D380" s="701" t="str">
        <x:f>IF(C380="","",COUNTIFS('幕间计算'!$A$210:$A$409,'幕间计算'!A665,'幕间计算'!$B$210:$B$409,1,$E$9:$E$208,C380))</x:f>
        <x:v/>
      </x:c>
      <x:c r="E380" s="689"/>
      <x:c r="F380" s="688"/>
      <x:c r="G380" s="701">
        <x:f>IF('幕间计算'!C665=1,MAX(0,MIN(E380,99-I380)),0)</x:f>
        <x:v>0</x:v>
      </x:c>
      <x:c r="H380" s="699" t="str">
        <x:f>IF(C380="","",IF(F380="作废","已作废",IF(D380=0,"无有效标记",IF(F380&lt;&gt;"确认","待确认",IF(NOT(ISNUMBER(I380)),"填写前值",IF('幕间计算'!B665=0,"检查数值",IF('幕间计算'!C665=0,"已结算",IF(G380=0,"已达99","已计入"))))))))</x:f>
        <x:v/>
      </x:c>
      <x:c r="I380" s="689"/>
      <x:c r="J380" s="701" t="str">
        <x:f>IF(I380="","",I380+G380)</x:f>
        <x:v/>
      </x:c>
      <x:c r="K380" s="702"/>
      <x:c r="L380" s="702"/>
      <x:c r="M380" s="702"/>
      <x:c r="N380" s="702"/>
    </x:row>
    <x:row r="381" ht="29" customHeight="1">
      <x:c r="A381" s="699" t="n">
        <x:v>167</x:v>
      </x:c>
      <x:c r="B381" s="688"/>
      <x:c r="C381" s="687"/>
      <x:c r="D381" s="701" t="str">
        <x:f>IF(C381="","",COUNTIFS('幕间计算'!$A$210:$A$409,'幕间计算'!A666,'幕间计算'!$B$210:$B$409,1,$E$9:$E$208,C381))</x:f>
        <x:v/>
      </x:c>
      <x:c r="E381" s="689"/>
      <x:c r="F381" s="688"/>
      <x:c r="G381" s="701">
        <x:f>IF('幕间计算'!C666=1,MAX(0,MIN(E381,99-I381)),0)</x:f>
        <x:v>0</x:v>
      </x:c>
      <x:c r="H381" s="699" t="str">
        <x:f>IF(C381="","",IF(F381="作废","已作废",IF(D381=0,"无有效标记",IF(F381&lt;&gt;"确认","待确认",IF(NOT(ISNUMBER(I381)),"填写前值",IF('幕间计算'!B666=0,"检查数值",IF('幕间计算'!C666=0,"已结算",IF(G381=0,"已达99","已计入"))))))))</x:f>
        <x:v/>
      </x:c>
      <x:c r="I381" s="689"/>
      <x:c r="J381" s="701" t="str">
        <x:f>IF(I381="","",I381+G381)</x:f>
        <x:v/>
      </x:c>
      <x:c r="K381" s="702"/>
      <x:c r="L381" s="702"/>
      <x:c r="M381" s="702"/>
      <x:c r="N381" s="702"/>
    </x:row>
    <x:row r="382" ht="29" customHeight="1">
      <x:c r="A382" s="699" t="n">
        <x:v>168</x:v>
      </x:c>
      <x:c r="B382" s="688"/>
      <x:c r="C382" s="687"/>
      <x:c r="D382" s="701" t="str">
        <x:f>IF(C382="","",COUNTIFS('幕间计算'!$A$210:$A$409,'幕间计算'!A667,'幕间计算'!$B$210:$B$409,1,$E$9:$E$208,C382))</x:f>
        <x:v/>
      </x:c>
      <x:c r="E382" s="689"/>
      <x:c r="F382" s="688"/>
      <x:c r="G382" s="701">
        <x:f>IF('幕间计算'!C667=1,MAX(0,MIN(E382,99-I382)),0)</x:f>
        <x:v>0</x:v>
      </x:c>
      <x:c r="H382" s="699" t="str">
        <x:f>IF(C382="","",IF(F382="作废","已作废",IF(D382=0,"无有效标记",IF(F382&lt;&gt;"确认","待确认",IF(NOT(ISNUMBER(I382)),"填写前值",IF('幕间计算'!B667=0,"检查数值",IF('幕间计算'!C667=0,"已结算",IF(G382=0,"已达99","已计入"))))))))</x:f>
        <x:v/>
      </x:c>
      <x:c r="I382" s="689"/>
      <x:c r="J382" s="701" t="str">
        <x:f>IF(I382="","",I382+G382)</x:f>
        <x:v/>
      </x:c>
      <x:c r="K382" s="702"/>
      <x:c r="L382" s="702"/>
      <x:c r="M382" s="702"/>
      <x:c r="N382" s="702"/>
    </x:row>
    <x:row r="383" ht="29" customHeight="1">
      <x:c r="A383" s="699" t="n">
        <x:v>169</x:v>
      </x:c>
      <x:c r="B383" s="688"/>
      <x:c r="C383" s="687"/>
      <x:c r="D383" s="701" t="str">
        <x:f>IF(C383="","",COUNTIFS('幕间计算'!$A$210:$A$409,'幕间计算'!A668,'幕间计算'!$B$210:$B$409,1,$E$9:$E$208,C383))</x:f>
        <x:v/>
      </x:c>
      <x:c r="E383" s="689"/>
      <x:c r="F383" s="688"/>
      <x:c r="G383" s="701">
        <x:f>IF('幕间计算'!C668=1,MAX(0,MIN(E383,99-I383)),0)</x:f>
        <x:v>0</x:v>
      </x:c>
      <x:c r="H383" s="699" t="str">
        <x:f>IF(C383="","",IF(F383="作废","已作废",IF(D383=0,"无有效标记",IF(F383&lt;&gt;"确认","待确认",IF(NOT(ISNUMBER(I383)),"填写前值",IF('幕间计算'!B668=0,"检查数值",IF('幕间计算'!C668=0,"已结算",IF(G383=0,"已达99","已计入"))))))))</x:f>
        <x:v/>
      </x:c>
      <x:c r="I383" s="689"/>
      <x:c r="J383" s="701" t="str">
        <x:f>IF(I383="","",I383+G383)</x:f>
        <x:v/>
      </x:c>
      <x:c r="K383" s="702"/>
      <x:c r="L383" s="702"/>
      <x:c r="M383" s="702"/>
      <x:c r="N383" s="702"/>
    </x:row>
    <x:row r="384" ht="29" customHeight="1">
      <x:c r="A384" s="699" t="n">
        <x:v>170</x:v>
      </x:c>
      <x:c r="B384" s="688"/>
      <x:c r="C384" s="687"/>
      <x:c r="D384" s="701" t="str">
        <x:f>IF(C384="","",COUNTIFS('幕间计算'!$A$210:$A$409,'幕间计算'!A669,'幕间计算'!$B$210:$B$409,1,$E$9:$E$208,C384))</x:f>
        <x:v/>
      </x:c>
      <x:c r="E384" s="689"/>
      <x:c r="F384" s="688"/>
      <x:c r="G384" s="701">
        <x:f>IF('幕间计算'!C669=1,MAX(0,MIN(E384,99-I384)),0)</x:f>
        <x:v>0</x:v>
      </x:c>
      <x:c r="H384" s="699" t="str">
        <x:f>IF(C384="","",IF(F384="作废","已作废",IF(D384=0,"无有效标记",IF(F384&lt;&gt;"确认","待确认",IF(NOT(ISNUMBER(I384)),"填写前值",IF('幕间计算'!B669=0,"检查数值",IF('幕间计算'!C669=0,"已结算",IF(G384=0,"已达99","已计入"))))))))</x:f>
        <x:v/>
      </x:c>
      <x:c r="I384" s="689"/>
      <x:c r="J384" s="701" t="str">
        <x:f>IF(I384="","",I384+G384)</x:f>
        <x:v/>
      </x:c>
      <x:c r="K384" s="702"/>
      <x:c r="L384" s="702"/>
      <x:c r="M384" s="702"/>
      <x:c r="N384" s="702"/>
    </x:row>
    <x:row r="385" ht="29" customHeight="1">
      <x:c r="A385" s="699" t="n">
        <x:v>171</x:v>
      </x:c>
      <x:c r="B385" s="688"/>
      <x:c r="C385" s="687"/>
      <x:c r="D385" s="701" t="str">
        <x:f>IF(C385="","",COUNTIFS('幕间计算'!$A$210:$A$409,'幕间计算'!A670,'幕间计算'!$B$210:$B$409,1,$E$9:$E$208,C385))</x:f>
        <x:v/>
      </x:c>
      <x:c r="E385" s="689"/>
      <x:c r="F385" s="688"/>
      <x:c r="G385" s="701">
        <x:f>IF('幕间计算'!C670=1,MAX(0,MIN(E385,99-I385)),0)</x:f>
        <x:v>0</x:v>
      </x:c>
      <x:c r="H385" s="699" t="str">
        <x:f>IF(C385="","",IF(F385="作废","已作废",IF(D385=0,"无有效标记",IF(F385&lt;&gt;"确认","待确认",IF(NOT(ISNUMBER(I385)),"填写前值",IF('幕间计算'!B670=0,"检查数值",IF('幕间计算'!C670=0,"已结算",IF(G385=0,"已达99","已计入"))))))))</x:f>
        <x:v/>
      </x:c>
      <x:c r="I385" s="689"/>
      <x:c r="J385" s="701" t="str">
        <x:f>IF(I385="","",I385+G385)</x:f>
        <x:v/>
      </x:c>
      <x:c r="K385" s="702"/>
      <x:c r="L385" s="702"/>
      <x:c r="M385" s="702"/>
      <x:c r="N385" s="702"/>
    </x:row>
    <x:row r="386" ht="29" customHeight="1">
      <x:c r="A386" s="699" t="n">
        <x:v>172</x:v>
      </x:c>
      <x:c r="B386" s="688"/>
      <x:c r="C386" s="687"/>
      <x:c r="D386" s="701" t="str">
        <x:f>IF(C386="","",COUNTIFS('幕间计算'!$A$210:$A$409,'幕间计算'!A671,'幕间计算'!$B$210:$B$409,1,$E$9:$E$208,C386))</x:f>
        <x:v/>
      </x:c>
      <x:c r="E386" s="689"/>
      <x:c r="F386" s="688"/>
      <x:c r="G386" s="701">
        <x:f>IF('幕间计算'!C671=1,MAX(0,MIN(E386,99-I386)),0)</x:f>
        <x:v>0</x:v>
      </x:c>
      <x:c r="H386" s="699" t="str">
        <x:f>IF(C386="","",IF(F386="作废","已作废",IF(D386=0,"无有效标记",IF(F386&lt;&gt;"确认","待确认",IF(NOT(ISNUMBER(I386)),"填写前值",IF('幕间计算'!B671=0,"检查数值",IF('幕间计算'!C671=0,"已结算",IF(G386=0,"已达99","已计入"))))))))</x:f>
        <x:v/>
      </x:c>
      <x:c r="I386" s="689"/>
      <x:c r="J386" s="701" t="str">
        <x:f>IF(I386="","",I386+G386)</x:f>
        <x:v/>
      </x:c>
      <x:c r="K386" s="702"/>
      <x:c r="L386" s="702"/>
      <x:c r="M386" s="702"/>
      <x:c r="N386" s="702"/>
    </x:row>
    <x:row r="387" ht="29" customHeight="1">
      <x:c r="A387" s="699" t="n">
        <x:v>173</x:v>
      </x:c>
      <x:c r="B387" s="688"/>
      <x:c r="C387" s="687"/>
      <x:c r="D387" s="701" t="str">
        <x:f>IF(C387="","",COUNTIFS('幕间计算'!$A$210:$A$409,'幕间计算'!A672,'幕间计算'!$B$210:$B$409,1,$E$9:$E$208,C387))</x:f>
        <x:v/>
      </x:c>
      <x:c r="E387" s="689"/>
      <x:c r="F387" s="688"/>
      <x:c r="G387" s="701">
        <x:f>IF('幕间计算'!C672=1,MAX(0,MIN(E387,99-I387)),0)</x:f>
        <x:v>0</x:v>
      </x:c>
      <x:c r="H387" s="699" t="str">
        <x:f>IF(C387="","",IF(F387="作废","已作废",IF(D387=0,"无有效标记",IF(F387&lt;&gt;"确认","待确认",IF(NOT(ISNUMBER(I387)),"填写前值",IF('幕间计算'!B672=0,"检查数值",IF('幕间计算'!C672=0,"已结算",IF(G387=0,"已达99","已计入"))))))))</x:f>
        <x:v/>
      </x:c>
      <x:c r="I387" s="689"/>
      <x:c r="J387" s="701" t="str">
        <x:f>IF(I387="","",I387+G387)</x:f>
        <x:v/>
      </x:c>
      <x:c r="K387" s="702"/>
      <x:c r="L387" s="702"/>
      <x:c r="M387" s="702"/>
      <x:c r="N387" s="702"/>
    </x:row>
    <x:row r="388" ht="29" customHeight="1">
      <x:c r="A388" s="699" t="n">
        <x:v>174</x:v>
      </x:c>
      <x:c r="B388" s="688"/>
      <x:c r="C388" s="687"/>
      <x:c r="D388" s="701" t="str">
        <x:f>IF(C388="","",COUNTIFS('幕间计算'!$A$210:$A$409,'幕间计算'!A673,'幕间计算'!$B$210:$B$409,1,$E$9:$E$208,C388))</x:f>
        <x:v/>
      </x:c>
      <x:c r="E388" s="689"/>
      <x:c r="F388" s="688"/>
      <x:c r="G388" s="701">
        <x:f>IF('幕间计算'!C673=1,MAX(0,MIN(E388,99-I388)),0)</x:f>
        <x:v>0</x:v>
      </x:c>
      <x:c r="H388" s="699" t="str">
        <x:f>IF(C388="","",IF(F388="作废","已作废",IF(D388=0,"无有效标记",IF(F388&lt;&gt;"确认","待确认",IF(NOT(ISNUMBER(I388)),"填写前值",IF('幕间计算'!B673=0,"检查数值",IF('幕间计算'!C673=0,"已结算",IF(G388=0,"已达99","已计入"))))))))</x:f>
        <x:v/>
      </x:c>
      <x:c r="I388" s="689"/>
      <x:c r="J388" s="701" t="str">
        <x:f>IF(I388="","",I388+G388)</x:f>
        <x:v/>
      </x:c>
      <x:c r="K388" s="702"/>
      <x:c r="L388" s="702"/>
      <x:c r="M388" s="702"/>
      <x:c r="N388" s="702"/>
    </x:row>
    <x:row r="389" ht="29" customHeight="1">
      <x:c r="A389" s="699" t="n">
        <x:v>175</x:v>
      </x:c>
      <x:c r="B389" s="688"/>
      <x:c r="C389" s="687"/>
      <x:c r="D389" s="701" t="str">
        <x:f>IF(C389="","",COUNTIFS('幕间计算'!$A$210:$A$409,'幕间计算'!A674,'幕间计算'!$B$210:$B$409,1,$E$9:$E$208,C389))</x:f>
        <x:v/>
      </x:c>
      <x:c r="E389" s="689"/>
      <x:c r="F389" s="688"/>
      <x:c r="G389" s="701">
        <x:f>IF('幕间计算'!C674=1,MAX(0,MIN(E389,99-I389)),0)</x:f>
        <x:v>0</x:v>
      </x:c>
      <x:c r="H389" s="699" t="str">
        <x:f>IF(C389="","",IF(F389="作废","已作废",IF(D389=0,"无有效标记",IF(F389&lt;&gt;"确认","待确认",IF(NOT(ISNUMBER(I389)),"填写前值",IF('幕间计算'!B674=0,"检查数值",IF('幕间计算'!C674=0,"已结算",IF(G389=0,"已达99","已计入"))))))))</x:f>
        <x:v/>
      </x:c>
      <x:c r="I389" s="689"/>
      <x:c r="J389" s="701" t="str">
        <x:f>IF(I389="","",I389+G389)</x:f>
        <x:v/>
      </x:c>
      <x:c r="K389" s="702"/>
      <x:c r="L389" s="702"/>
      <x:c r="M389" s="702"/>
      <x:c r="N389" s="702"/>
    </x:row>
    <x:row r="390" ht="29" customHeight="1">
      <x:c r="A390" s="699" t="n">
        <x:v>176</x:v>
      </x:c>
      <x:c r="B390" s="688"/>
      <x:c r="C390" s="687"/>
      <x:c r="D390" s="701" t="str">
        <x:f>IF(C390="","",COUNTIFS('幕间计算'!$A$210:$A$409,'幕间计算'!A675,'幕间计算'!$B$210:$B$409,1,$E$9:$E$208,C390))</x:f>
        <x:v/>
      </x:c>
      <x:c r="E390" s="689"/>
      <x:c r="F390" s="688"/>
      <x:c r="G390" s="701">
        <x:f>IF('幕间计算'!C675=1,MAX(0,MIN(E390,99-I390)),0)</x:f>
        <x:v>0</x:v>
      </x:c>
      <x:c r="H390" s="699" t="str">
        <x:f>IF(C390="","",IF(F390="作废","已作废",IF(D390=0,"无有效标记",IF(F390&lt;&gt;"确认","待确认",IF(NOT(ISNUMBER(I390)),"填写前值",IF('幕间计算'!B675=0,"检查数值",IF('幕间计算'!C675=0,"已结算",IF(G390=0,"已达99","已计入"))))))))</x:f>
        <x:v/>
      </x:c>
      <x:c r="I390" s="689"/>
      <x:c r="J390" s="701" t="str">
        <x:f>IF(I390="","",I390+G390)</x:f>
        <x:v/>
      </x:c>
      <x:c r="K390" s="702"/>
      <x:c r="L390" s="702"/>
      <x:c r="M390" s="702"/>
      <x:c r="N390" s="702"/>
    </x:row>
    <x:row r="391" ht="29" customHeight="1">
      <x:c r="A391" s="699" t="n">
        <x:v>177</x:v>
      </x:c>
      <x:c r="B391" s="688"/>
      <x:c r="C391" s="687"/>
      <x:c r="D391" s="701" t="str">
        <x:f>IF(C391="","",COUNTIFS('幕间计算'!$A$210:$A$409,'幕间计算'!A676,'幕间计算'!$B$210:$B$409,1,$E$9:$E$208,C391))</x:f>
        <x:v/>
      </x:c>
      <x:c r="E391" s="689"/>
      <x:c r="F391" s="688"/>
      <x:c r="G391" s="701">
        <x:f>IF('幕间计算'!C676=1,MAX(0,MIN(E391,99-I391)),0)</x:f>
        <x:v>0</x:v>
      </x:c>
      <x:c r="H391" s="699" t="str">
        <x:f>IF(C391="","",IF(F391="作废","已作废",IF(D391=0,"无有效标记",IF(F391&lt;&gt;"确认","待确认",IF(NOT(ISNUMBER(I391)),"填写前值",IF('幕间计算'!B676=0,"检查数值",IF('幕间计算'!C676=0,"已结算",IF(G391=0,"已达99","已计入"))))))))</x:f>
        <x:v/>
      </x:c>
      <x:c r="I391" s="689"/>
      <x:c r="J391" s="701" t="str">
        <x:f>IF(I391="","",I391+G391)</x:f>
        <x:v/>
      </x:c>
      <x:c r="K391" s="702"/>
      <x:c r="L391" s="702"/>
      <x:c r="M391" s="702"/>
      <x:c r="N391" s="702"/>
    </x:row>
    <x:row r="392" ht="29" customHeight="1">
      <x:c r="A392" s="699" t="n">
        <x:v>178</x:v>
      </x:c>
      <x:c r="B392" s="688"/>
      <x:c r="C392" s="687"/>
      <x:c r="D392" s="701" t="str">
        <x:f>IF(C392="","",COUNTIFS('幕间计算'!$A$210:$A$409,'幕间计算'!A677,'幕间计算'!$B$210:$B$409,1,$E$9:$E$208,C392))</x:f>
        <x:v/>
      </x:c>
      <x:c r="E392" s="689"/>
      <x:c r="F392" s="688"/>
      <x:c r="G392" s="701">
        <x:f>IF('幕间计算'!C677=1,MAX(0,MIN(E392,99-I392)),0)</x:f>
        <x:v>0</x:v>
      </x:c>
      <x:c r="H392" s="699" t="str">
        <x:f>IF(C392="","",IF(F392="作废","已作废",IF(D392=0,"无有效标记",IF(F392&lt;&gt;"确认","待确认",IF(NOT(ISNUMBER(I392)),"填写前值",IF('幕间计算'!B677=0,"检查数值",IF('幕间计算'!C677=0,"已结算",IF(G392=0,"已达99","已计入"))))))))</x:f>
        <x:v/>
      </x:c>
      <x:c r="I392" s="689"/>
      <x:c r="J392" s="701" t="str">
        <x:f>IF(I392="","",I392+G392)</x:f>
        <x:v/>
      </x:c>
      <x:c r="K392" s="702"/>
      <x:c r="L392" s="702"/>
      <x:c r="M392" s="702"/>
      <x:c r="N392" s="702"/>
    </x:row>
    <x:row r="393" ht="29" customHeight="1">
      <x:c r="A393" s="699" t="n">
        <x:v>179</x:v>
      </x:c>
      <x:c r="B393" s="688"/>
      <x:c r="C393" s="687"/>
      <x:c r="D393" s="701" t="str">
        <x:f>IF(C393="","",COUNTIFS('幕间计算'!$A$210:$A$409,'幕间计算'!A678,'幕间计算'!$B$210:$B$409,1,$E$9:$E$208,C393))</x:f>
        <x:v/>
      </x:c>
      <x:c r="E393" s="689"/>
      <x:c r="F393" s="688"/>
      <x:c r="G393" s="701">
        <x:f>IF('幕间计算'!C678=1,MAX(0,MIN(E393,99-I393)),0)</x:f>
        <x:v>0</x:v>
      </x:c>
      <x:c r="H393" s="699" t="str">
        <x:f>IF(C393="","",IF(F393="作废","已作废",IF(D393=0,"无有效标记",IF(F393&lt;&gt;"确认","待确认",IF(NOT(ISNUMBER(I393)),"填写前值",IF('幕间计算'!B678=0,"检查数值",IF('幕间计算'!C678=0,"已结算",IF(G393=0,"已达99","已计入"))))))))</x:f>
        <x:v/>
      </x:c>
      <x:c r="I393" s="689"/>
      <x:c r="J393" s="701" t="str">
        <x:f>IF(I393="","",I393+G393)</x:f>
        <x:v/>
      </x:c>
      <x:c r="K393" s="702"/>
      <x:c r="L393" s="702"/>
      <x:c r="M393" s="702"/>
      <x:c r="N393" s="702"/>
    </x:row>
    <x:row r="394" ht="29" customHeight="1">
      <x:c r="A394" s="699" t="n">
        <x:v>180</x:v>
      </x:c>
      <x:c r="B394" s="688"/>
      <x:c r="C394" s="687"/>
      <x:c r="D394" s="701" t="str">
        <x:f>IF(C394="","",COUNTIFS('幕间计算'!$A$210:$A$409,'幕间计算'!A679,'幕间计算'!$B$210:$B$409,1,$E$9:$E$208,C394))</x:f>
        <x:v/>
      </x:c>
      <x:c r="E394" s="689"/>
      <x:c r="F394" s="688"/>
      <x:c r="G394" s="701">
        <x:f>IF('幕间计算'!C679=1,MAX(0,MIN(E394,99-I394)),0)</x:f>
        <x:v>0</x:v>
      </x:c>
      <x:c r="H394" s="699" t="str">
        <x:f>IF(C394="","",IF(F394="作废","已作废",IF(D394=0,"无有效标记",IF(F394&lt;&gt;"确认","待确认",IF(NOT(ISNUMBER(I394)),"填写前值",IF('幕间计算'!B679=0,"检查数值",IF('幕间计算'!C679=0,"已结算",IF(G394=0,"已达99","已计入"))))))))</x:f>
        <x:v/>
      </x:c>
      <x:c r="I394" s="689"/>
      <x:c r="J394" s="701" t="str">
        <x:f>IF(I394="","",I394+G394)</x:f>
        <x:v/>
      </x:c>
      <x:c r="K394" s="702"/>
      <x:c r="L394" s="702"/>
      <x:c r="M394" s="702"/>
      <x:c r="N394" s="702"/>
    </x:row>
    <x:row r="395" ht="29" customHeight="1">
      <x:c r="A395" s="699" t="n">
        <x:v>181</x:v>
      </x:c>
      <x:c r="B395" s="688"/>
      <x:c r="C395" s="687"/>
      <x:c r="D395" s="701" t="str">
        <x:f>IF(C395="","",COUNTIFS('幕间计算'!$A$210:$A$409,'幕间计算'!A680,'幕间计算'!$B$210:$B$409,1,$E$9:$E$208,C395))</x:f>
        <x:v/>
      </x:c>
      <x:c r="E395" s="689"/>
      <x:c r="F395" s="688"/>
      <x:c r="G395" s="701">
        <x:f>IF('幕间计算'!C680=1,MAX(0,MIN(E395,99-I395)),0)</x:f>
        <x:v>0</x:v>
      </x:c>
      <x:c r="H395" s="699" t="str">
        <x:f>IF(C395="","",IF(F395="作废","已作废",IF(D395=0,"无有效标记",IF(F395&lt;&gt;"确认","待确认",IF(NOT(ISNUMBER(I395)),"填写前值",IF('幕间计算'!B680=0,"检查数值",IF('幕间计算'!C680=0,"已结算",IF(G395=0,"已达99","已计入"))))))))</x:f>
        <x:v/>
      </x:c>
      <x:c r="I395" s="689"/>
      <x:c r="J395" s="701" t="str">
        <x:f>IF(I395="","",I395+G395)</x:f>
        <x:v/>
      </x:c>
      <x:c r="K395" s="702"/>
      <x:c r="L395" s="702"/>
      <x:c r="M395" s="702"/>
      <x:c r="N395" s="702"/>
    </x:row>
    <x:row r="396" ht="29" customHeight="1">
      <x:c r="A396" s="699" t="n">
        <x:v>182</x:v>
      </x:c>
      <x:c r="B396" s="688"/>
      <x:c r="C396" s="687"/>
      <x:c r="D396" s="701" t="str">
        <x:f>IF(C396="","",COUNTIFS('幕间计算'!$A$210:$A$409,'幕间计算'!A681,'幕间计算'!$B$210:$B$409,1,$E$9:$E$208,C396))</x:f>
        <x:v/>
      </x:c>
      <x:c r="E396" s="689"/>
      <x:c r="F396" s="688"/>
      <x:c r="G396" s="701">
        <x:f>IF('幕间计算'!C681=1,MAX(0,MIN(E396,99-I396)),0)</x:f>
        <x:v>0</x:v>
      </x:c>
      <x:c r="H396" s="699" t="str">
        <x:f>IF(C396="","",IF(F396="作废","已作废",IF(D396=0,"无有效标记",IF(F396&lt;&gt;"确认","待确认",IF(NOT(ISNUMBER(I396)),"填写前值",IF('幕间计算'!B681=0,"检查数值",IF('幕间计算'!C681=0,"已结算",IF(G396=0,"已达99","已计入"))))))))</x:f>
        <x:v/>
      </x:c>
      <x:c r="I396" s="689"/>
      <x:c r="J396" s="701" t="str">
        <x:f>IF(I396="","",I396+G396)</x:f>
        <x:v/>
      </x:c>
      <x:c r="K396" s="702"/>
      <x:c r="L396" s="702"/>
      <x:c r="M396" s="702"/>
      <x:c r="N396" s="702"/>
    </x:row>
    <x:row r="397" ht="29" customHeight="1">
      <x:c r="A397" s="699" t="n">
        <x:v>183</x:v>
      </x:c>
      <x:c r="B397" s="688"/>
      <x:c r="C397" s="687"/>
      <x:c r="D397" s="701" t="str">
        <x:f>IF(C397="","",COUNTIFS('幕间计算'!$A$210:$A$409,'幕间计算'!A682,'幕间计算'!$B$210:$B$409,1,$E$9:$E$208,C397))</x:f>
        <x:v/>
      </x:c>
      <x:c r="E397" s="689"/>
      <x:c r="F397" s="688"/>
      <x:c r="G397" s="701">
        <x:f>IF('幕间计算'!C682=1,MAX(0,MIN(E397,99-I397)),0)</x:f>
        <x:v>0</x:v>
      </x:c>
      <x:c r="H397" s="699" t="str">
        <x:f>IF(C397="","",IF(F397="作废","已作废",IF(D397=0,"无有效标记",IF(F397&lt;&gt;"确认","待确认",IF(NOT(ISNUMBER(I397)),"填写前值",IF('幕间计算'!B682=0,"检查数值",IF('幕间计算'!C682=0,"已结算",IF(G397=0,"已达99","已计入"))))))))</x:f>
        <x:v/>
      </x:c>
      <x:c r="I397" s="689"/>
      <x:c r="J397" s="701" t="str">
        <x:f>IF(I397="","",I397+G397)</x:f>
        <x:v/>
      </x:c>
      <x:c r="K397" s="702"/>
      <x:c r="L397" s="702"/>
      <x:c r="M397" s="702"/>
      <x:c r="N397" s="702"/>
    </x:row>
    <x:row r="398" ht="29" customHeight="1">
      <x:c r="A398" s="699" t="n">
        <x:v>184</x:v>
      </x:c>
      <x:c r="B398" s="688"/>
      <x:c r="C398" s="687"/>
      <x:c r="D398" s="701" t="str">
        <x:f>IF(C398="","",COUNTIFS('幕间计算'!$A$210:$A$409,'幕间计算'!A683,'幕间计算'!$B$210:$B$409,1,$E$9:$E$208,C398))</x:f>
        <x:v/>
      </x:c>
      <x:c r="E398" s="689"/>
      <x:c r="F398" s="688"/>
      <x:c r="G398" s="701">
        <x:f>IF('幕间计算'!C683=1,MAX(0,MIN(E398,99-I398)),0)</x:f>
        <x:v>0</x:v>
      </x:c>
      <x:c r="H398" s="699" t="str">
        <x:f>IF(C398="","",IF(F398="作废","已作废",IF(D398=0,"无有效标记",IF(F398&lt;&gt;"确认","待确认",IF(NOT(ISNUMBER(I398)),"填写前值",IF('幕间计算'!B683=0,"检查数值",IF('幕间计算'!C683=0,"已结算",IF(G398=0,"已达99","已计入"))))))))</x:f>
        <x:v/>
      </x:c>
      <x:c r="I398" s="689"/>
      <x:c r="J398" s="701" t="str">
        <x:f>IF(I398="","",I398+G398)</x:f>
        <x:v/>
      </x:c>
      <x:c r="K398" s="702"/>
      <x:c r="L398" s="702"/>
      <x:c r="M398" s="702"/>
      <x:c r="N398" s="702"/>
    </x:row>
    <x:row r="399" ht="29" customHeight="1">
      <x:c r="A399" s="699" t="n">
        <x:v>185</x:v>
      </x:c>
      <x:c r="B399" s="688"/>
      <x:c r="C399" s="687"/>
      <x:c r="D399" s="701" t="str">
        <x:f>IF(C399="","",COUNTIFS('幕间计算'!$A$210:$A$409,'幕间计算'!A684,'幕间计算'!$B$210:$B$409,1,$E$9:$E$208,C399))</x:f>
        <x:v/>
      </x:c>
      <x:c r="E399" s="689"/>
      <x:c r="F399" s="688"/>
      <x:c r="G399" s="701">
        <x:f>IF('幕间计算'!C684=1,MAX(0,MIN(E399,99-I399)),0)</x:f>
        <x:v>0</x:v>
      </x:c>
      <x:c r="H399" s="699" t="str">
        <x:f>IF(C399="","",IF(F399="作废","已作废",IF(D399=0,"无有效标记",IF(F399&lt;&gt;"确认","待确认",IF(NOT(ISNUMBER(I399)),"填写前值",IF('幕间计算'!B684=0,"检查数值",IF('幕间计算'!C684=0,"已结算",IF(G399=0,"已达99","已计入"))))))))</x:f>
        <x:v/>
      </x:c>
      <x:c r="I399" s="689"/>
      <x:c r="J399" s="701" t="str">
        <x:f>IF(I399="","",I399+G399)</x:f>
        <x:v/>
      </x:c>
      <x:c r="K399" s="702"/>
      <x:c r="L399" s="702"/>
      <x:c r="M399" s="702"/>
      <x:c r="N399" s="702"/>
    </x:row>
    <x:row r="400" ht="29" customHeight="1">
      <x:c r="A400" s="699" t="n">
        <x:v>186</x:v>
      </x:c>
      <x:c r="B400" s="688"/>
      <x:c r="C400" s="687"/>
      <x:c r="D400" s="701" t="str">
        <x:f>IF(C400="","",COUNTIFS('幕间计算'!$A$210:$A$409,'幕间计算'!A685,'幕间计算'!$B$210:$B$409,1,$E$9:$E$208,C400))</x:f>
        <x:v/>
      </x:c>
      <x:c r="E400" s="689"/>
      <x:c r="F400" s="688"/>
      <x:c r="G400" s="701">
        <x:f>IF('幕间计算'!C685=1,MAX(0,MIN(E400,99-I400)),0)</x:f>
        <x:v>0</x:v>
      </x:c>
      <x:c r="H400" s="699" t="str">
        <x:f>IF(C400="","",IF(F400="作废","已作废",IF(D400=0,"无有效标记",IF(F400&lt;&gt;"确认","待确认",IF(NOT(ISNUMBER(I400)),"填写前值",IF('幕间计算'!B685=0,"检查数值",IF('幕间计算'!C685=0,"已结算",IF(G400=0,"已达99","已计入"))))))))</x:f>
        <x:v/>
      </x:c>
      <x:c r="I400" s="689"/>
      <x:c r="J400" s="701" t="str">
        <x:f>IF(I400="","",I400+G400)</x:f>
        <x:v/>
      </x:c>
      <x:c r="K400" s="702"/>
      <x:c r="L400" s="702"/>
      <x:c r="M400" s="702"/>
      <x:c r="N400" s="702"/>
    </x:row>
    <x:row r="401" ht="29" customHeight="1">
      <x:c r="A401" s="699" t="n">
        <x:v>187</x:v>
      </x:c>
      <x:c r="B401" s="688"/>
      <x:c r="C401" s="687"/>
      <x:c r="D401" s="701" t="str">
        <x:f>IF(C401="","",COUNTIFS('幕间计算'!$A$210:$A$409,'幕间计算'!A686,'幕间计算'!$B$210:$B$409,1,$E$9:$E$208,C401))</x:f>
        <x:v/>
      </x:c>
      <x:c r="E401" s="689"/>
      <x:c r="F401" s="688"/>
      <x:c r="G401" s="701">
        <x:f>IF('幕间计算'!C686=1,MAX(0,MIN(E401,99-I401)),0)</x:f>
        <x:v>0</x:v>
      </x:c>
      <x:c r="H401" s="699" t="str">
        <x:f>IF(C401="","",IF(F401="作废","已作废",IF(D401=0,"无有效标记",IF(F401&lt;&gt;"确认","待确认",IF(NOT(ISNUMBER(I401)),"填写前值",IF('幕间计算'!B686=0,"检查数值",IF('幕间计算'!C686=0,"已结算",IF(G401=0,"已达99","已计入"))))))))</x:f>
        <x:v/>
      </x:c>
      <x:c r="I401" s="689"/>
      <x:c r="J401" s="701" t="str">
        <x:f>IF(I401="","",I401+G401)</x:f>
        <x:v/>
      </x:c>
      <x:c r="K401" s="702"/>
      <x:c r="L401" s="702"/>
      <x:c r="M401" s="702"/>
      <x:c r="N401" s="702"/>
    </x:row>
    <x:row r="402" ht="29" customHeight="1">
      <x:c r="A402" s="699" t="n">
        <x:v>188</x:v>
      </x:c>
      <x:c r="B402" s="688"/>
      <x:c r="C402" s="687"/>
      <x:c r="D402" s="701" t="str">
        <x:f>IF(C402="","",COUNTIFS('幕间计算'!$A$210:$A$409,'幕间计算'!A687,'幕间计算'!$B$210:$B$409,1,$E$9:$E$208,C402))</x:f>
        <x:v/>
      </x:c>
      <x:c r="E402" s="689"/>
      <x:c r="F402" s="688"/>
      <x:c r="G402" s="701">
        <x:f>IF('幕间计算'!C687=1,MAX(0,MIN(E402,99-I402)),0)</x:f>
        <x:v>0</x:v>
      </x:c>
      <x:c r="H402" s="699" t="str">
        <x:f>IF(C402="","",IF(F402="作废","已作废",IF(D402=0,"无有效标记",IF(F402&lt;&gt;"确认","待确认",IF(NOT(ISNUMBER(I402)),"填写前值",IF('幕间计算'!B687=0,"检查数值",IF('幕间计算'!C687=0,"已结算",IF(G402=0,"已达99","已计入"))))))))</x:f>
        <x:v/>
      </x:c>
      <x:c r="I402" s="689"/>
      <x:c r="J402" s="701" t="str">
        <x:f>IF(I402="","",I402+G402)</x:f>
        <x:v/>
      </x:c>
      <x:c r="K402" s="702"/>
      <x:c r="L402" s="702"/>
      <x:c r="M402" s="702"/>
      <x:c r="N402" s="702"/>
    </x:row>
    <x:row r="403" ht="29" customHeight="1">
      <x:c r="A403" s="699" t="n">
        <x:v>189</x:v>
      </x:c>
      <x:c r="B403" s="688"/>
      <x:c r="C403" s="687"/>
      <x:c r="D403" s="701" t="str">
        <x:f>IF(C403="","",COUNTIFS('幕间计算'!$A$210:$A$409,'幕间计算'!A688,'幕间计算'!$B$210:$B$409,1,$E$9:$E$208,C403))</x:f>
        <x:v/>
      </x:c>
      <x:c r="E403" s="689"/>
      <x:c r="F403" s="688"/>
      <x:c r="G403" s="701">
        <x:f>IF('幕间计算'!C688=1,MAX(0,MIN(E403,99-I403)),0)</x:f>
        <x:v>0</x:v>
      </x:c>
      <x:c r="H403" s="699" t="str">
        <x:f>IF(C403="","",IF(F403="作废","已作废",IF(D403=0,"无有效标记",IF(F403&lt;&gt;"确认","待确认",IF(NOT(ISNUMBER(I403)),"填写前值",IF('幕间计算'!B688=0,"检查数值",IF('幕间计算'!C688=0,"已结算",IF(G403=0,"已达99","已计入"))))))))</x:f>
        <x:v/>
      </x:c>
      <x:c r="I403" s="689"/>
      <x:c r="J403" s="701" t="str">
        <x:f>IF(I403="","",I403+G403)</x:f>
        <x:v/>
      </x:c>
      <x:c r="K403" s="702"/>
      <x:c r="L403" s="702"/>
      <x:c r="M403" s="702"/>
      <x:c r="N403" s="702"/>
    </x:row>
    <x:row r="404" ht="29" customHeight="1">
      <x:c r="A404" s="699" t="n">
        <x:v>190</x:v>
      </x:c>
      <x:c r="B404" s="688"/>
      <x:c r="C404" s="687"/>
      <x:c r="D404" s="701" t="str">
        <x:f>IF(C404="","",COUNTIFS('幕间计算'!$A$210:$A$409,'幕间计算'!A689,'幕间计算'!$B$210:$B$409,1,$E$9:$E$208,C404))</x:f>
        <x:v/>
      </x:c>
      <x:c r="E404" s="689"/>
      <x:c r="F404" s="688"/>
      <x:c r="G404" s="701">
        <x:f>IF('幕间计算'!C689=1,MAX(0,MIN(E404,99-I404)),0)</x:f>
        <x:v>0</x:v>
      </x:c>
      <x:c r="H404" s="699" t="str">
        <x:f>IF(C404="","",IF(F404="作废","已作废",IF(D404=0,"无有效标记",IF(F404&lt;&gt;"确认","待确认",IF(NOT(ISNUMBER(I404)),"填写前值",IF('幕间计算'!B689=0,"检查数值",IF('幕间计算'!C689=0,"已结算",IF(G404=0,"已达99","已计入"))))))))</x:f>
        <x:v/>
      </x:c>
      <x:c r="I404" s="689"/>
      <x:c r="J404" s="701" t="str">
        <x:f>IF(I404="","",I404+G404)</x:f>
        <x:v/>
      </x:c>
      <x:c r="K404" s="702"/>
      <x:c r="L404" s="702"/>
      <x:c r="M404" s="702"/>
      <x:c r="N404" s="702"/>
    </x:row>
    <x:row r="405" ht="29" customHeight="1">
      <x:c r="A405" s="699" t="n">
        <x:v>191</x:v>
      </x:c>
      <x:c r="B405" s="688"/>
      <x:c r="C405" s="687"/>
      <x:c r="D405" s="701" t="str">
        <x:f>IF(C405="","",COUNTIFS('幕间计算'!$A$210:$A$409,'幕间计算'!A690,'幕间计算'!$B$210:$B$409,1,$E$9:$E$208,C405))</x:f>
        <x:v/>
      </x:c>
      <x:c r="E405" s="689"/>
      <x:c r="F405" s="688"/>
      <x:c r="G405" s="701">
        <x:f>IF('幕间计算'!C690=1,MAX(0,MIN(E405,99-I405)),0)</x:f>
        <x:v>0</x:v>
      </x:c>
      <x:c r="H405" s="699" t="str">
        <x:f>IF(C405="","",IF(F405="作废","已作废",IF(D405=0,"无有效标记",IF(F405&lt;&gt;"确认","待确认",IF(NOT(ISNUMBER(I405)),"填写前值",IF('幕间计算'!B690=0,"检查数值",IF('幕间计算'!C690=0,"已结算",IF(G405=0,"已达99","已计入"))))))))</x:f>
        <x:v/>
      </x:c>
      <x:c r="I405" s="689"/>
      <x:c r="J405" s="701" t="str">
        <x:f>IF(I405="","",I405+G405)</x:f>
        <x:v/>
      </x:c>
      <x:c r="K405" s="702"/>
      <x:c r="L405" s="702"/>
      <x:c r="M405" s="702"/>
      <x:c r="N405" s="702"/>
    </x:row>
    <x:row r="406" ht="29" customHeight="1">
      <x:c r="A406" s="699" t="n">
        <x:v>192</x:v>
      </x:c>
      <x:c r="B406" s="688"/>
      <x:c r="C406" s="687"/>
      <x:c r="D406" s="701" t="str">
        <x:f>IF(C406="","",COUNTIFS('幕间计算'!$A$210:$A$409,'幕间计算'!A691,'幕间计算'!$B$210:$B$409,1,$E$9:$E$208,C406))</x:f>
        <x:v/>
      </x:c>
      <x:c r="E406" s="689"/>
      <x:c r="F406" s="688"/>
      <x:c r="G406" s="701">
        <x:f>IF('幕间计算'!C691=1,MAX(0,MIN(E406,99-I406)),0)</x:f>
        <x:v>0</x:v>
      </x:c>
      <x:c r="H406" s="699" t="str">
        <x:f>IF(C406="","",IF(F406="作废","已作废",IF(D406=0,"无有效标记",IF(F406&lt;&gt;"确认","待确认",IF(NOT(ISNUMBER(I406)),"填写前值",IF('幕间计算'!B691=0,"检查数值",IF('幕间计算'!C691=0,"已结算",IF(G406=0,"已达99","已计入"))))))))</x:f>
        <x:v/>
      </x:c>
      <x:c r="I406" s="689"/>
      <x:c r="J406" s="701" t="str">
        <x:f>IF(I406="","",I406+G406)</x:f>
        <x:v/>
      </x:c>
      <x:c r="K406" s="702"/>
      <x:c r="L406" s="702"/>
      <x:c r="M406" s="702"/>
      <x:c r="N406" s="702"/>
    </x:row>
    <x:row r="407" ht="29" customHeight="1">
      <x:c r="A407" s="699" t="n">
        <x:v>193</x:v>
      </x:c>
      <x:c r="B407" s="688"/>
      <x:c r="C407" s="687"/>
      <x:c r="D407" s="701" t="str">
        <x:f>IF(C407="","",COUNTIFS('幕间计算'!$A$210:$A$409,'幕间计算'!A692,'幕间计算'!$B$210:$B$409,1,$E$9:$E$208,C407))</x:f>
        <x:v/>
      </x:c>
      <x:c r="E407" s="689"/>
      <x:c r="F407" s="688"/>
      <x:c r="G407" s="701">
        <x:f>IF('幕间计算'!C692=1,MAX(0,MIN(E407,99-I407)),0)</x:f>
        <x:v>0</x:v>
      </x:c>
      <x:c r="H407" s="699" t="str">
        <x:f>IF(C407="","",IF(F407="作废","已作废",IF(D407=0,"无有效标记",IF(F407&lt;&gt;"确认","待确认",IF(NOT(ISNUMBER(I407)),"填写前值",IF('幕间计算'!B692=0,"检查数值",IF('幕间计算'!C692=0,"已结算",IF(G407=0,"已达99","已计入"))))))))</x:f>
        <x:v/>
      </x:c>
      <x:c r="I407" s="689"/>
      <x:c r="J407" s="701" t="str">
        <x:f>IF(I407="","",I407+G407)</x:f>
        <x:v/>
      </x:c>
      <x:c r="K407" s="702"/>
      <x:c r="L407" s="702"/>
      <x:c r="M407" s="702"/>
      <x:c r="N407" s="702"/>
    </x:row>
    <x:row r="408" ht="29" customHeight="1">
      <x:c r="A408" s="699" t="n">
        <x:v>194</x:v>
      </x:c>
      <x:c r="B408" s="688"/>
      <x:c r="C408" s="687"/>
      <x:c r="D408" s="701" t="str">
        <x:f>IF(C408="","",COUNTIFS('幕间计算'!$A$210:$A$409,'幕间计算'!A693,'幕间计算'!$B$210:$B$409,1,$E$9:$E$208,C408))</x:f>
        <x:v/>
      </x:c>
      <x:c r="E408" s="689"/>
      <x:c r="F408" s="688"/>
      <x:c r="G408" s="701">
        <x:f>IF('幕间计算'!C693=1,MAX(0,MIN(E408,99-I408)),0)</x:f>
        <x:v>0</x:v>
      </x:c>
      <x:c r="H408" s="699" t="str">
        <x:f>IF(C408="","",IF(F408="作废","已作废",IF(D408=0,"无有效标记",IF(F408&lt;&gt;"确认","待确认",IF(NOT(ISNUMBER(I408)),"填写前值",IF('幕间计算'!B693=0,"检查数值",IF('幕间计算'!C693=0,"已结算",IF(G408=0,"已达99","已计入"))))))))</x:f>
        <x:v/>
      </x:c>
      <x:c r="I408" s="689"/>
      <x:c r="J408" s="701" t="str">
        <x:f>IF(I408="","",I408+G408)</x:f>
        <x:v/>
      </x:c>
      <x:c r="K408" s="702"/>
      <x:c r="L408" s="702"/>
      <x:c r="M408" s="702"/>
      <x:c r="N408" s="702"/>
    </x:row>
    <x:row r="409" ht="29" customHeight="1">
      <x:c r="A409" s="699" t="n">
        <x:v>195</x:v>
      </x:c>
      <x:c r="B409" s="688"/>
      <x:c r="C409" s="687"/>
      <x:c r="D409" s="701" t="str">
        <x:f>IF(C409="","",COUNTIFS('幕间计算'!$A$210:$A$409,'幕间计算'!A694,'幕间计算'!$B$210:$B$409,1,$E$9:$E$208,C409))</x:f>
        <x:v/>
      </x:c>
      <x:c r="E409" s="689"/>
      <x:c r="F409" s="688"/>
      <x:c r="G409" s="701">
        <x:f>IF('幕间计算'!C694=1,MAX(0,MIN(E409,99-I409)),0)</x:f>
        <x:v>0</x:v>
      </x:c>
      <x:c r="H409" s="699" t="str">
        <x:f>IF(C409="","",IF(F409="作废","已作废",IF(D409=0,"无有效标记",IF(F409&lt;&gt;"确认","待确认",IF(NOT(ISNUMBER(I409)),"填写前值",IF('幕间计算'!B694=0,"检查数值",IF('幕间计算'!C694=0,"已结算",IF(G409=0,"已达99","已计入"))))))))</x:f>
        <x:v/>
      </x:c>
      <x:c r="I409" s="689"/>
      <x:c r="J409" s="701" t="str">
        <x:f>IF(I409="","",I409+G409)</x:f>
        <x:v/>
      </x:c>
      <x:c r="K409" s="702"/>
      <x:c r="L409" s="702"/>
      <x:c r="M409" s="702"/>
      <x:c r="N409" s="702"/>
    </x:row>
    <x:row r="410" ht="29" customHeight="1">
      <x:c r="A410" s="699" t="n">
        <x:v>196</x:v>
      </x:c>
      <x:c r="B410" s="688"/>
      <x:c r="C410" s="687"/>
      <x:c r="D410" s="701" t="str">
        <x:f>IF(C410="","",COUNTIFS('幕间计算'!$A$210:$A$409,'幕间计算'!A695,'幕间计算'!$B$210:$B$409,1,$E$9:$E$208,C410))</x:f>
        <x:v/>
      </x:c>
      <x:c r="E410" s="689"/>
      <x:c r="F410" s="688"/>
      <x:c r="G410" s="701">
        <x:f>IF('幕间计算'!C695=1,MAX(0,MIN(E410,99-I410)),0)</x:f>
        <x:v>0</x:v>
      </x:c>
      <x:c r="H410" s="699" t="str">
        <x:f>IF(C410="","",IF(F410="作废","已作废",IF(D410=0,"无有效标记",IF(F410&lt;&gt;"确认","待确认",IF(NOT(ISNUMBER(I410)),"填写前值",IF('幕间计算'!B695=0,"检查数值",IF('幕间计算'!C695=0,"已结算",IF(G410=0,"已达99","已计入"))))))))</x:f>
        <x:v/>
      </x:c>
      <x:c r="I410" s="689"/>
      <x:c r="J410" s="701" t="str">
        <x:f>IF(I410="","",I410+G410)</x:f>
        <x:v/>
      </x:c>
      <x:c r="K410" s="702"/>
      <x:c r="L410" s="702"/>
      <x:c r="M410" s="702"/>
      <x:c r="N410" s="702"/>
    </x:row>
    <x:row r="411" ht="29" customHeight="1">
      <x:c r="A411" s="699" t="n">
        <x:v>197</x:v>
      </x:c>
      <x:c r="B411" s="688"/>
      <x:c r="C411" s="687"/>
      <x:c r="D411" s="701" t="str">
        <x:f>IF(C411="","",COUNTIFS('幕间计算'!$A$210:$A$409,'幕间计算'!A696,'幕间计算'!$B$210:$B$409,1,$E$9:$E$208,C411))</x:f>
        <x:v/>
      </x:c>
      <x:c r="E411" s="689"/>
      <x:c r="F411" s="688"/>
      <x:c r="G411" s="701">
        <x:f>IF('幕间计算'!C696=1,MAX(0,MIN(E411,99-I411)),0)</x:f>
        <x:v>0</x:v>
      </x:c>
      <x:c r="H411" s="699" t="str">
        <x:f>IF(C411="","",IF(F411="作废","已作废",IF(D411=0,"无有效标记",IF(F411&lt;&gt;"确认","待确认",IF(NOT(ISNUMBER(I411)),"填写前值",IF('幕间计算'!B696=0,"检查数值",IF('幕间计算'!C696=0,"已结算",IF(G411=0,"已达99","已计入"))))))))</x:f>
        <x:v/>
      </x:c>
      <x:c r="I411" s="689"/>
      <x:c r="J411" s="701" t="str">
        <x:f>IF(I411="","",I411+G411)</x:f>
        <x:v/>
      </x:c>
      <x:c r="K411" s="702"/>
      <x:c r="L411" s="702"/>
      <x:c r="M411" s="702"/>
      <x:c r="N411" s="702"/>
    </x:row>
    <x:row r="412" ht="29" customHeight="1">
      <x:c r="A412" s="699" t="n">
        <x:v>198</x:v>
      </x:c>
      <x:c r="B412" s="688"/>
      <x:c r="C412" s="687"/>
      <x:c r="D412" s="701" t="str">
        <x:f>IF(C412="","",COUNTIFS('幕间计算'!$A$210:$A$409,'幕间计算'!A697,'幕间计算'!$B$210:$B$409,1,$E$9:$E$208,C412))</x:f>
        <x:v/>
      </x:c>
      <x:c r="E412" s="689"/>
      <x:c r="F412" s="688"/>
      <x:c r="G412" s="701">
        <x:f>IF('幕间计算'!C697=1,MAX(0,MIN(E412,99-I412)),0)</x:f>
        <x:v>0</x:v>
      </x:c>
      <x:c r="H412" s="699" t="str">
        <x:f>IF(C412="","",IF(F412="作废","已作废",IF(D412=0,"无有效标记",IF(F412&lt;&gt;"确认","待确认",IF(NOT(ISNUMBER(I412)),"填写前值",IF('幕间计算'!B697=0,"检查数值",IF('幕间计算'!C697=0,"已结算",IF(G412=0,"已达99","已计入"))))))))</x:f>
        <x:v/>
      </x:c>
      <x:c r="I412" s="689"/>
      <x:c r="J412" s="701" t="str">
        <x:f>IF(I412="","",I412+G412)</x:f>
        <x:v/>
      </x:c>
      <x:c r="K412" s="702"/>
      <x:c r="L412" s="702"/>
      <x:c r="M412" s="702"/>
      <x:c r="N412" s="702"/>
    </x:row>
    <x:row r="413" ht="29" customHeight="1">
      <x:c r="A413" s="699" t="n">
        <x:v>199</x:v>
      </x:c>
      <x:c r="B413" s="688"/>
      <x:c r="C413" s="687"/>
      <x:c r="D413" s="701" t="str">
        <x:f>IF(C413="","",COUNTIFS('幕间计算'!$A$210:$A$409,'幕间计算'!A698,'幕间计算'!$B$210:$B$409,1,$E$9:$E$208,C413))</x:f>
        <x:v/>
      </x:c>
      <x:c r="E413" s="689"/>
      <x:c r="F413" s="688"/>
      <x:c r="G413" s="701">
        <x:f>IF('幕间计算'!C698=1,MAX(0,MIN(E413,99-I413)),0)</x:f>
        <x:v>0</x:v>
      </x:c>
      <x:c r="H413" s="699" t="str">
        <x:f>IF(C413="","",IF(F413="作废","已作废",IF(D413=0,"无有效标记",IF(F413&lt;&gt;"确认","待确认",IF(NOT(ISNUMBER(I413)),"填写前值",IF('幕间计算'!B698=0,"检查数值",IF('幕间计算'!C698=0,"已结算",IF(G413=0,"已达99","已计入"))))))))</x:f>
        <x:v/>
      </x:c>
      <x:c r="I413" s="689"/>
      <x:c r="J413" s="701" t="str">
        <x:f>IF(I413="","",I413+G413)</x:f>
        <x:v/>
      </x:c>
      <x:c r="K413" s="702"/>
      <x:c r="L413" s="702"/>
      <x:c r="M413" s="702"/>
      <x:c r="N413" s="702"/>
    </x:row>
    <x:row r="414" ht="29" customHeight="1">
      <x:c r="A414" s="699" t="n">
        <x:v>200</x:v>
      </x:c>
      <x:c r="B414" s="688"/>
      <x:c r="C414" s="687"/>
      <x:c r="D414" s="701" t="str">
        <x:f>IF(C414="","",COUNTIFS('幕间计算'!$A$210:$A$409,'幕间计算'!A699,'幕间计算'!$B$210:$B$409,1,$E$9:$E$208,C414))</x:f>
        <x:v/>
      </x:c>
      <x:c r="E414" s="689"/>
      <x:c r="F414" s="688"/>
      <x:c r="G414" s="701">
        <x:f>IF('幕间计算'!C699=1,MAX(0,MIN(E414,99-I414)),0)</x:f>
        <x:v>0</x:v>
      </x:c>
      <x:c r="H414" s="699" t="str">
        <x:f>IF(C414="","",IF(F414="作废","已作废",IF(D414=0,"无有效标记",IF(F414&lt;&gt;"确认","待确认",IF(NOT(ISNUMBER(I414)),"填写前值",IF('幕间计算'!B699=0,"检查数值",IF('幕间计算'!C699=0,"已结算",IF(G414=0,"已达99","已计入"))))))))</x:f>
        <x:v/>
      </x:c>
      <x:c r="I414" s="689"/>
      <x:c r="J414" s="701" t="str">
        <x:f>IF(I414="","",I414+G414)</x:f>
        <x:v/>
      </x:c>
      <x:c r="K414" s="702"/>
      <x:c r="L414" s="702"/>
      <x:c r="M414" s="702"/>
      <x:c r="N414" s="702"/>
    </x:row>
    <x:row r="415" ht="29" customHeight="1">
      <x:c r="A415" s="699" t="n">
        <x:v>201</x:v>
      </x:c>
      <x:c r="B415" s="688"/>
      <x:c r="C415" s="687"/>
      <x:c r="D415" s="701" t="str">
        <x:f>IF(C415="","",COUNTIFS('幕间计算'!$A$210:$A$409,'幕间计算'!A700,'幕间计算'!$B$210:$B$409,1,$E$9:$E$208,C415))</x:f>
        <x:v/>
      </x:c>
      <x:c r="E415" s="689"/>
      <x:c r="F415" s="688"/>
      <x:c r="G415" s="701">
        <x:f>IF('幕间计算'!C700=1,MAX(0,MIN(E415,99-I415)),0)</x:f>
        <x:v>0</x:v>
      </x:c>
      <x:c r="H415" s="699" t="str">
        <x:f>IF(C415="","",IF(F415="作废","已作废",IF(D415=0,"无有效标记",IF(F415&lt;&gt;"确认","待确认",IF(NOT(ISNUMBER(I415)),"填写前值",IF('幕间计算'!B700=0,"检查数值",IF('幕间计算'!C700=0,"已结算",IF(G415=0,"已达99","已计入"))))))))</x:f>
        <x:v/>
      </x:c>
      <x:c r="I415" s="689"/>
      <x:c r="J415" s="701" t="str">
        <x:f>IF(I415="","",I415+G415)</x:f>
        <x:v/>
      </x:c>
      <x:c r="K415" s="702"/>
      <x:c r="L415" s="702"/>
      <x:c r="M415" s="702"/>
      <x:c r="N415" s="702"/>
    </x:row>
    <x:row r="416" ht="29" customHeight="1">
      <x:c r="A416" s="699" t="n">
        <x:v>202</x:v>
      </x:c>
      <x:c r="B416" s="688"/>
      <x:c r="C416" s="687"/>
      <x:c r="D416" s="701" t="str">
        <x:f>IF(C416="","",COUNTIFS('幕间计算'!$A$210:$A$409,'幕间计算'!A701,'幕间计算'!$B$210:$B$409,1,$E$9:$E$208,C416))</x:f>
        <x:v/>
      </x:c>
      <x:c r="E416" s="689"/>
      <x:c r="F416" s="688"/>
      <x:c r="G416" s="701">
        <x:f>IF('幕间计算'!C701=1,MAX(0,MIN(E416,99-I416)),0)</x:f>
        <x:v>0</x:v>
      </x:c>
      <x:c r="H416" s="699" t="str">
        <x:f>IF(C416="","",IF(F416="作废","已作废",IF(D416=0,"无有效标记",IF(F416&lt;&gt;"确认","待确认",IF(NOT(ISNUMBER(I416)),"填写前值",IF('幕间计算'!B701=0,"检查数值",IF('幕间计算'!C701=0,"已结算",IF(G416=0,"已达99","已计入"))))))))</x:f>
        <x:v/>
      </x:c>
      <x:c r="I416" s="689"/>
      <x:c r="J416" s="701" t="str">
        <x:f>IF(I416="","",I416+G416)</x:f>
        <x:v/>
      </x:c>
      <x:c r="K416" s="702"/>
      <x:c r="L416" s="702"/>
      <x:c r="M416" s="702"/>
      <x:c r="N416" s="702"/>
    </x:row>
    <x:row r="417" ht="29" customHeight="1">
      <x:c r="A417" s="699" t="n">
        <x:v>203</x:v>
      </x:c>
      <x:c r="B417" s="688"/>
      <x:c r="C417" s="687"/>
      <x:c r="D417" s="701" t="str">
        <x:f>IF(C417="","",COUNTIFS('幕间计算'!$A$210:$A$409,'幕间计算'!A702,'幕间计算'!$B$210:$B$409,1,$E$9:$E$208,C417))</x:f>
        <x:v/>
      </x:c>
      <x:c r="E417" s="689"/>
      <x:c r="F417" s="688"/>
      <x:c r="G417" s="701">
        <x:f>IF('幕间计算'!C702=1,MAX(0,MIN(E417,99-I417)),0)</x:f>
        <x:v>0</x:v>
      </x:c>
      <x:c r="H417" s="699" t="str">
        <x:f>IF(C417="","",IF(F417="作废","已作废",IF(D417=0,"无有效标记",IF(F417&lt;&gt;"确认","待确认",IF(NOT(ISNUMBER(I417)),"填写前值",IF('幕间计算'!B702=0,"检查数值",IF('幕间计算'!C702=0,"已结算",IF(G417=0,"已达99","已计入"))))))))</x:f>
        <x:v/>
      </x:c>
      <x:c r="I417" s="689"/>
      <x:c r="J417" s="701" t="str">
        <x:f>IF(I417="","",I417+G417)</x:f>
        <x:v/>
      </x:c>
      <x:c r="K417" s="702"/>
      <x:c r="L417" s="702"/>
      <x:c r="M417" s="702"/>
      <x:c r="N417" s="702"/>
    </x:row>
    <x:row r="418" ht="29" customHeight="1">
      <x:c r="A418" s="699" t="n">
        <x:v>204</x:v>
      </x:c>
      <x:c r="B418" s="688"/>
      <x:c r="C418" s="687"/>
      <x:c r="D418" s="701" t="str">
        <x:f>IF(C418="","",COUNTIFS('幕间计算'!$A$210:$A$409,'幕间计算'!A703,'幕间计算'!$B$210:$B$409,1,$E$9:$E$208,C418))</x:f>
        <x:v/>
      </x:c>
      <x:c r="E418" s="689"/>
      <x:c r="F418" s="688"/>
      <x:c r="G418" s="701">
        <x:f>IF('幕间计算'!C703=1,MAX(0,MIN(E418,99-I418)),0)</x:f>
        <x:v>0</x:v>
      </x:c>
      <x:c r="H418" s="699" t="str">
        <x:f>IF(C418="","",IF(F418="作废","已作废",IF(D418=0,"无有效标记",IF(F418&lt;&gt;"确认","待确认",IF(NOT(ISNUMBER(I418)),"填写前值",IF('幕间计算'!B703=0,"检查数值",IF('幕间计算'!C703=0,"已结算",IF(G418=0,"已达99","已计入"))))))))</x:f>
        <x:v/>
      </x:c>
      <x:c r="I418" s="689"/>
      <x:c r="J418" s="701" t="str">
        <x:f>IF(I418="","",I418+G418)</x:f>
        <x:v/>
      </x:c>
      <x:c r="K418" s="702"/>
      <x:c r="L418" s="702"/>
      <x:c r="M418" s="702"/>
      <x:c r="N418" s="702"/>
    </x:row>
    <x:row r="419" ht="29" customHeight="1">
      <x:c r="A419" s="699" t="n">
        <x:v>205</x:v>
      </x:c>
      <x:c r="B419" s="688"/>
      <x:c r="C419" s="687"/>
      <x:c r="D419" s="701" t="str">
        <x:f>IF(C419="","",COUNTIFS('幕间计算'!$A$210:$A$409,'幕间计算'!A704,'幕间计算'!$B$210:$B$409,1,$E$9:$E$208,C419))</x:f>
        <x:v/>
      </x:c>
      <x:c r="E419" s="689"/>
      <x:c r="F419" s="688"/>
      <x:c r="G419" s="701">
        <x:f>IF('幕间计算'!C704=1,MAX(0,MIN(E419,99-I419)),0)</x:f>
        <x:v>0</x:v>
      </x:c>
      <x:c r="H419" s="699" t="str">
        <x:f>IF(C419="","",IF(F419="作废","已作废",IF(D419=0,"无有效标记",IF(F419&lt;&gt;"确认","待确认",IF(NOT(ISNUMBER(I419)),"填写前值",IF('幕间计算'!B704=0,"检查数值",IF('幕间计算'!C704=0,"已结算",IF(G419=0,"已达99","已计入"))))))))</x:f>
        <x:v/>
      </x:c>
      <x:c r="I419" s="689"/>
      <x:c r="J419" s="701" t="str">
        <x:f>IF(I419="","",I419+G419)</x:f>
        <x:v/>
      </x:c>
      <x:c r="K419" s="702"/>
      <x:c r="L419" s="702"/>
      <x:c r="M419" s="702"/>
      <x:c r="N419" s="702"/>
    </x:row>
    <x:row r="420" ht="29" customHeight="1">
      <x:c r="A420" s="699" t="n">
        <x:v>206</x:v>
      </x:c>
      <x:c r="B420" s="688"/>
      <x:c r="C420" s="687"/>
      <x:c r="D420" s="701" t="str">
        <x:f>IF(C420="","",COUNTIFS('幕间计算'!$A$210:$A$409,'幕间计算'!A705,'幕间计算'!$B$210:$B$409,1,$E$9:$E$208,C420))</x:f>
        <x:v/>
      </x:c>
      <x:c r="E420" s="689"/>
      <x:c r="F420" s="688"/>
      <x:c r="G420" s="701">
        <x:f>IF('幕间计算'!C705=1,MAX(0,MIN(E420,99-I420)),0)</x:f>
        <x:v>0</x:v>
      </x:c>
      <x:c r="H420" s="699" t="str">
        <x:f>IF(C420="","",IF(F420="作废","已作废",IF(D420=0,"无有效标记",IF(F420&lt;&gt;"确认","待确认",IF(NOT(ISNUMBER(I420)),"填写前值",IF('幕间计算'!B705=0,"检查数值",IF('幕间计算'!C705=0,"已结算",IF(G420=0,"已达99","已计入"))))))))</x:f>
        <x:v/>
      </x:c>
      <x:c r="I420" s="689"/>
      <x:c r="J420" s="701" t="str">
        <x:f>IF(I420="","",I420+G420)</x:f>
        <x:v/>
      </x:c>
      <x:c r="K420" s="702"/>
      <x:c r="L420" s="702"/>
      <x:c r="M420" s="702"/>
      <x:c r="N420" s="702"/>
    </x:row>
    <x:row r="421" ht="29" customHeight="1">
      <x:c r="A421" s="699" t="n">
        <x:v>207</x:v>
      </x:c>
      <x:c r="B421" s="688"/>
      <x:c r="C421" s="687"/>
      <x:c r="D421" s="701" t="str">
        <x:f>IF(C421="","",COUNTIFS('幕间计算'!$A$210:$A$409,'幕间计算'!A706,'幕间计算'!$B$210:$B$409,1,$E$9:$E$208,C421))</x:f>
        <x:v/>
      </x:c>
      <x:c r="E421" s="689"/>
      <x:c r="F421" s="688"/>
      <x:c r="G421" s="701">
        <x:f>IF('幕间计算'!C706=1,MAX(0,MIN(E421,99-I421)),0)</x:f>
        <x:v>0</x:v>
      </x:c>
      <x:c r="H421" s="699" t="str">
        <x:f>IF(C421="","",IF(F421="作废","已作废",IF(D421=0,"无有效标记",IF(F421&lt;&gt;"确认","待确认",IF(NOT(ISNUMBER(I421)),"填写前值",IF('幕间计算'!B706=0,"检查数值",IF('幕间计算'!C706=0,"已结算",IF(G421=0,"已达99","已计入"))))))))</x:f>
        <x:v/>
      </x:c>
      <x:c r="I421" s="689"/>
      <x:c r="J421" s="701" t="str">
        <x:f>IF(I421="","",I421+G421)</x:f>
        <x:v/>
      </x:c>
      <x:c r="K421" s="702"/>
      <x:c r="L421" s="702"/>
      <x:c r="M421" s="702"/>
      <x:c r="N421" s="702"/>
    </x:row>
    <x:row r="422" ht="29" customHeight="1">
      <x:c r="A422" s="699" t="n">
        <x:v>208</x:v>
      </x:c>
      <x:c r="B422" s="688"/>
      <x:c r="C422" s="687"/>
      <x:c r="D422" s="701" t="str">
        <x:f>IF(C422="","",COUNTIFS('幕间计算'!$A$210:$A$409,'幕间计算'!A707,'幕间计算'!$B$210:$B$409,1,$E$9:$E$208,C422))</x:f>
        <x:v/>
      </x:c>
      <x:c r="E422" s="689"/>
      <x:c r="F422" s="688"/>
      <x:c r="G422" s="701">
        <x:f>IF('幕间计算'!C707=1,MAX(0,MIN(E422,99-I422)),0)</x:f>
        <x:v>0</x:v>
      </x:c>
      <x:c r="H422" s="699" t="str">
        <x:f>IF(C422="","",IF(F422="作废","已作废",IF(D422=0,"无有效标记",IF(F422&lt;&gt;"确认","待确认",IF(NOT(ISNUMBER(I422)),"填写前值",IF('幕间计算'!B707=0,"检查数值",IF('幕间计算'!C707=0,"已结算",IF(G422=0,"已达99","已计入"))))))))</x:f>
        <x:v/>
      </x:c>
      <x:c r="I422" s="689"/>
      <x:c r="J422" s="701" t="str">
        <x:f>IF(I422="","",I422+G422)</x:f>
        <x:v/>
      </x:c>
      <x:c r="K422" s="702"/>
      <x:c r="L422" s="702"/>
      <x:c r="M422" s="702"/>
      <x:c r="N422" s="702"/>
    </x:row>
    <x:row r="423" ht="29" customHeight="1">
      <x:c r="A423" s="699" t="n">
        <x:v>209</x:v>
      </x:c>
      <x:c r="B423" s="688"/>
      <x:c r="C423" s="687"/>
      <x:c r="D423" s="701" t="str">
        <x:f>IF(C423="","",COUNTIFS('幕间计算'!$A$210:$A$409,'幕间计算'!A708,'幕间计算'!$B$210:$B$409,1,$E$9:$E$208,C423))</x:f>
        <x:v/>
      </x:c>
      <x:c r="E423" s="689"/>
      <x:c r="F423" s="688"/>
      <x:c r="G423" s="701">
        <x:f>IF('幕间计算'!C708=1,MAX(0,MIN(E423,99-I423)),0)</x:f>
        <x:v>0</x:v>
      </x:c>
      <x:c r="H423" s="699" t="str">
        <x:f>IF(C423="","",IF(F423="作废","已作废",IF(D423=0,"无有效标记",IF(F423&lt;&gt;"确认","待确认",IF(NOT(ISNUMBER(I423)),"填写前值",IF('幕间计算'!B708=0,"检查数值",IF('幕间计算'!C708=0,"已结算",IF(G423=0,"已达99","已计入"))))))))</x:f>
        <x:v/>
      </x:c>
      <x:c r="I423" s="689"/>
      <x:c r="J423" s="701" t="str">
        <x:f>IF(I423="","",I423+G423)</x:f>
        <x:v/>
      </x:c>
      <x:c r="K423" s="702"/>
      <x:c r="L423" s="702"/>
      <x:c r="M423" s="702"/>
      <x:c r="N423" s="702"/>
    </x:row>
    <x:row r="424" ht="29" customHeight="1">
      <x:c r="A424" s="699" t="n">
        <x:v>210</x:v>
      </x:c>
      <x:c r="B424" s="688"/>
      <x:c r="C424" s="687"/>
      <x:c r="D424" s="701" t="str">
        <x:f>IF(C424="","",COUNTIFS('幕间计算'!$A$210:$A$409,'幕间计算'!A709,'幕间计算'!$B$210:$B$409,1,$E$9:$E$208,C424))</x:f>
        <x:v/>
      </x:c>
      <x:c r="E424" s="689"/>
      <x:c r="F424" s="688"/>
      <x:c r="G424" s="701">
        <x:f>IF('幕间计算'!C709=1,MAX(0,MIN(E424,99-I424)),0)</x:f>
        <x:v>0</x:v>
      </x:c>
      <x:c r="H424" s="699" t="str">
        <x:f>IF(C424="","",IF(F424="作废","已作废",IF(D424=0,"无有效标记",IF(F424&lt;&gt;"确认","待确认",IF(NOT(ISNUMBER(I424)),"填写前值",IF('幕间计算'!B709=0,"检查数值",IF('幕间计算'!C709=0,"已结算",IF(G424=0,"已达99","已计入"))))))))</x:f>
        <x:v/>
      </x:c>
      <x:c r="I424" s="689"/>
      <x:c r="J424" s="701" t="str">
        <x:f>IF(I424="","",I424+G424)</x:f>
        <x:v/>
      </x:c>
      <x:c r="K424" s="702"/>
      <x:c r="L424" s="702"/>
      <x:c r="M424" s="702"/>
      <x:c r="N424" s="702"/>
    </x:row>
    <x:row r="425" ht="29" customHeight="1">
      <x:c r="A425" s="699" t="n">
        <x:v>211</x:v>
      </x:c>
      <x:c r="B425" s="688"/>
      <x:c r="C425" s="687"/>
      <x:c r="D425" s="701" t="str">
        <x:f>IF(C425="","",COUNTIFS('幕间计算'!$A$210:$A$409,'幕间计算'!A710,'幕间计算'!$B$210:$B$409,1,$E$9:$E$208,C425))</x:f>
        <x:v/>
      </x:c>
      <x:c r="E425" s="689"/>
      <x:c r="F425" s="688"/>
      <x:c r="G425" s="701">
        <x:f>IF('幕间计算'!C710=1,MAX(0,MIN(E425,99-I425)),0)</x:f>
        <x:v>0</x:v>
      </x:c>
      <x:c r="H425" s="699" t="str">
        <x:f>IF(C425="","",IF(F425="作废","已作废",IF(D425=0,"无有效标记",IF(F425&lt;&gt;"确认","待确认",IF(NOT(ISNUMBER(I425)),"填写前值",IF('幕间计算'!B710=0,"检查数值",IF('幕间计算'!C710=0,"已结算",IF(G425=0,"已达99","已计入"))))))))</x:f>
        <x:v/>
      </x:c>
      <x:c r="I425" s="689"/>
      <x:c r="J425" s="701" t="str">
        <x:f>IF(I425="","",I425+G425)</x:f>
        <x:v/>
      </x:c>
      <x:c r="K425" s="702"/>
      <x:c r="L425" s="702"/>
      <x:c r="M425" s="702"/>
      <x:c r="N425" s="702"/>
    </x:row>
    <x:row r="426" ht="29" customHeight="1">
      <x:c r="A426" s="699" t="n">
        <x:v>212</x:v>
      </x:c>
      <x:c r="B426" s="688"/>
      <x:c r="C426" s="687"/>
      <x:c r="D426" s="701" t="str">
        <x:f>IF(C426="","",COUNTIFS('幕间计算'!$A$210:$A$409,'幕间计算'!A711,'幕间计算'!$B$210:$B$409,1,$E$9:$E$208,C426))</x:f>
        <x:v/>
      </x:c>
      <x:c r="E426" s="689"/>
      <x:c r="F426" s="688"/>
      <x:c r="G426" s="701">
        <x:f>IF('幕间计算'!C711=1,MAX(0,MIN(E426,99-I426)),0)</x:f>
        <x:v>0</x:v>
      </x:c>
      <x:c r="H426" s="699" t="str">
        <x:f>IF(C426="","",IF(F426="作废","已作废",IF(D426=0,"无有效标记",IF(F426&lt;&gt;"确认","待确认",IF(NOT(ISNUMBER(I426)),"填写前值",IF('幕间计算'!B711=0,"检查数值",IF('幕间计算'!C711=0,"已结算",IF(G426=0,"已达99","已计入"))))))))</x:f>
        <x:v/>
      </x:c>
      <x:c r="I426" s="689"/>
      <x:c r="J426" s="701" t="str">
        <x:f>IF(I426="","",I426+G426)</x:f>
        <x:v/>
      </x:c>
      <x:c r="K426" s="702"/>
      <x:c r="L426" s="702"/>
      <x:c r="M426" s="702"/>
      <x:c r="N426" s="702"/>
    </x:row>
    <x:row r="427" ht="29" customHeight="1">
      <x:c r="A427" s="699" t="n">
        <x:v>213</x:v>
      </x:c>
      <x:c r="B427" s="688"/>
      <x:c r="C427" s="687"/>
      <x:c r="D427" s="701" t="str">
        <x:f>IF(C427="","",COUNTIFS('幕间计算'!$A$210:$A$409,'幕间计算'!A712,'幕间计算'!$B$210:$B$409,1,$E$9:$E$208,C427))</x:f>
        <x:v/>
      </x:c>
      <x:c r="E427" s="689"/>
      <x:c r="F427" s="688"/>
      <x:c r="G427" s="701">
        <x:f>IF('幕间计算'!C712=1,MAX(0,MIN(E427,99-I427)),0)</x:f>
        <x:v>0</x:v>
      </x:c>
      <x:c r="H427" s="699" t="str">
        <x:f>IF(C427="","",IF(F427="作废","已作废",IF(D427=0,"无有效标记",IF(F427&lt;&gt;"确认","待确认",IF(NOT(ISNUMBER(I427)),"填写前值",IF('幕间计算'!B712=0,"检查数值",IF('幕间计算'!C712=0,"已结算",IF(G427=0,"已达99","已计入"))))))))</x:f>
        <x:v/>
      </x:c>
      <x:c r="I427" s="689"/>
      <x:c r="J427" s="701" t="str">
        <x:f>IF(I427="","",I427+G427)</x:f>
        <x:v/>
      </x:c>
      <x:c r="K427" s="702"/>
      <x:c r="L427" s="702"/>
      <x:c r="M427" s="702"/>
      <x:c r="N427" s="702"/>
    </x:row>
    <x:row r="428" ht="29" customHeight="1">
      <x:c r="A428" s="699" t="n">
        <x:v>214</x:v>
      </x:c>
      <x:c r="B428" s="688"/>
      <x:c r="C428" s="687"/>
      <x:c r="D428" s="701" t="str">
        <x:f>IF(C428="","",COUNTIFS('幕间计算'!$A$210:$A$409,'幕间计算'!A713,'幕间计算'!$B$210:$B$409,1,$E$9:$E$208,C428))</x:f>
        <x:v/>
      </x:c>
      <x:c r="E428" s="689"/>
      <x:c r="F428" s="688"/>
      <x:c r="G428" s="701">
        <x:f>IF('幕间计算'!C713=1,MAX(0,MIN(E428,99-I428)),0)</x:f>
        <x:v>0</x:v>
      </x:c>
      <x:c r="H428" s="699" t="str">
        <x:f>IF(C428="","",IF(F428="作废","已作废",IF(D428=0,"无有效标记",IF(F428&lt;&gt;"确认","待确认",IF(NOT(ISNUMBER(I428)),"填写前值",IF('幕间计算'!B713=0,"检查数值",IF('幕间计算'!C713=0,"已结算",IF(G428=0,"已达99","已计入"))))))))</x:f>
        <x:v/>
      </x:c>
      <x:c r="I428" s="689"/>
      <x:c r="J428" s="701" t="str">
        <x:f>IF(I428="","",I428+G428)</x:f>
        <x:v/>
      </x:c>
      <x:c r="K428" s="702"/>
      <x:c r="L428" s="702"/>
      <x:c r="M428" s="702"/>
      <x:c r="N428" s="702"/>
    </x:row>
    <x:row r="429" ht="29" customHeight="1">
      <x:c r="A429" s="699" t="n">
        <x:v>215</x:v>
      </x:c>
      <x:c r="B429" s="688"/>
      <x:c r="C429" s="687"/>
      <x:c r="D429" s="701" t="str">
        <x:f>IF(C429="","",COUNTIFS('幕间计算'!$A$210:$A$409,'幕间计算'!A714,'幕间计算'!$B$210:$B$409,1,$E$9:$E$208,C429))</x:f>
        <x:v/>
      </x:c>
      <x:c r="E429" s="689"/>
      <x:c r="F429" s="688"/>
      <x:c r="G429" s="701">
        <x:f>IF('幕间计算'!C714=1,MAX(0,MIN(E429,99-I429)),0)</x:f>
        <x:v>0</x:v>
      </x:c>
      <x:c r="H429" s="699" t="str">
        <x:f>IF(C429="","",IF(F429="作废","已作废",IF(D429=0,"无有效标记",IF(F429&lt;&gt;"确认","待确认",IF(NOT(ISNUMBER(I429)),"填写前值",IF('幕间计算'!B714=0,"检查数值",IF('幕间计算'!C714=0,"已结算",IF(G429=0,"已达99","已计入"))))))))</x:f>
        <x:v/>
      </x:c>
      <x:c r="I429" s="689"/>
      <x:c r="J429" s="701" t="str">
        <x:f>IF(I429="","",I429+G429)</x:f>
        <x:v/>
      </x:c>
      <x:c r="K429" s="702"/>
      <x:c r="L429" s="702"/>
      <x:c r="M429" s="702"/>
      <x:c r="N429" s="702"/>
    </x:row>
    <x:row r="430" ht="29" customHeight="1">
      <x:c r="A430" s="699" t="n">
        <x:v>216</x:v>
      </x:c>
      <x:c r="B430" s="688"/>
      <x:c r="C430" s="687"/>
      <x:c r="D430" s="701" t="str">
        <x:f>IF(C430="","",COUNTIFS('幕间计算'!$A$210:$A$409,'幕间计算'!A715,'幕间计算'!$B$210:$B$409,1,$E$9:$E$208,C430))</x:f>
        <x:v/>
      </x:c>
      <x:c r="E430" s="689"/>
      <x:c r="F430" s="688"/>
      <x:c r="G430" s="701">
        <x:f>IF('幕间计算'!C715=1,MAX(0,MIN(E430,99-I430)),0)</x:f>
        <x:v>0</x:v>
      </x:c>
      <x:c r="H430" s="699" t="str">
        <x:f>IF(C430="","",IF(F430="作废","已作废",IF(D430=0,"无有效标记",IF(F430&lt;&gt;"确认","待确认",IF(NOT(ISNUMBER(I430)),"填写前值",IF('幕间计算'!B715=0,"检查数值",IF('幕间计算'!C715=0,"已结算",IF(G430=0,"已达99","已计入"))))))))</x:f>
        <x:v/>
      </x:c>
      <x:c r="I430" s="689"/>
      <x:c r="J430" s="701" t="str">
        <x:f>IF(I430="","",I430+G430)</x:f>
        <x:v/>
      </x:c>
      <x:c r="K430" s="702"/>
      <x:c r="L430" s="702"/>
      <x:c r="M430" s="702"/>
      <x:c r="N430" s="702"/>
    </x:row>
    <x:row r="431" ht="29" customHeight="1">
      <x:c r="A431" s="699" t="n">
        <x:v>217</x:v>
      </x:c>
      <x:c r="B431" s="688"/>
      <x:c r="C431" s="687"/>
      <x:c r="D431" s="701" t="str">
        <x:f>IF(C431="","",COUNTIFS('幕间计算'!$A$210:$A$409,'幕间计算'!A716,'幕间计算'!$B$210:$B$409,1,$E$9:$E$208,C431))</x:f>
        <x:v/>
      </x:c>
      <x:c r="E431" s="689"/>
      <x:c r="F431" s="688"/>
      <x:c r="G431" s="701">
        <x:f>IF('幕间计算'!C716=1,MAX(0,MIN(E431,99-I431)),0)</x:f>
        <x:v>0</x:v>
      </x:c>
      <x:c r="H431" s="699" t="str">
        <x:f>IF(C431="","",IF(F431="作废","已作废",IF(D431=0,"无有效标记",IF(F431&lt;&gt;"确认","待确认",IF(NOT(ISNUMBER(I431)),"填写前值",IF('幕间计算'!B716=0,"检查数值",IF('幕间计算'!C716=0,"已结算",IF(G431=0,"已达99","已计入"))))))))</x:f>
        <x:v/>
      </x:c>
      <x:c r="I431" s="689"/>
      <x:c r="J431" s="701" t="str">
        <x:f>IF(I431="","",I431+G431)</x:f>
        <x:v/>
      </x:c>
      <x:c r="K431" s="702"/>
      <x:c r="L431" s="702"/>
      <x:c r="M431" s="702"/>
      <x:c r="N431" s="702"/>
    </x:row>
    <x:row r="432" ht="29" customHeight="1">
      <x:c r="A432" s="699" t="n">
        <x:v>218</x:v>
      </x:c>
      <x:c r="B432" s="688"/>
      <x:c r="C432" s="687"/>
      <x:c r="D432" s="701" t="str">
        <x:f>IF(C432="","",COUNTIFS('幕间计算'!$A$210:$A$409,'幕间计算'!A717,'幕间计算'!$B$210:$B$409,1,$E$9:$E$208,C432))</x:f>
        <x:v/>
      </x:c>
      <x:c r="E432" s="689"/>
      <x:c r="F432" s="688"/>
      <x:c r="G432" s="701">
        <x:f>IF('幕间计算'!C717=1,MAX(0,MIN(E432,99-I432)),0)</x:f>
        <x:v>0</x:v>
      </x:c>
      <x:c r="H432" s="699" t="str">
        <x:f>IF(C432="","",IF(F432="作废","已作废",IF(D432=0,"无有效标记",IF(F432&lt;&gt;"确认","待确认",IF(NOT(ISNUMBER(I432)),"填写前值",IF('幕间计算'!B717=0,"检查数值",IF('幕间计算'!C717=0,"已结算",IF(G432=0,"已达99","已计入"))))))))</x:f>
        <x:v/>
      </x:c>
      <x:c r="I432" s="689"/>
      <x:c r="J432" s="701" t="str">
        <x:f>IF(I432="","",I432+G432)</x:f>
        <x:v/>
      </x:c>
      <x:c r="K432" s="702"/>
      <x:c r="L432" s="702"/>
      <x:c r="M432" s="702"/>
      <x:c r="N432" s="702"/>
    </x:row>
    <x:row r="433" ht="29" customHeight="1">
      <x:c r="A433" s="699" t="n">
        <x:v>219</x:v>
      </x:c>
      <x:c r="B433" s="688"/>
      <x:c r="C433" s="687"/>
      <x:c r="D433" s="701" t="str">
        <x:f>IF(C433="","",COUNTIFS('幕间计算'!$A$210:$A$409,'幕间计算'!A718,'幕间计算'!$B$210:$B$409,1,$E$9:$E$208,C433))</x:f>
        <x:v/>
      </x:c>
      <x:c r="E433" s="689"/>
      <x:c r="F433" s="688"/>
      <x:c r="G433" s="701">
        <x:f>IF('幕间计算'!C718=1,MAX(0,MIN(E433,99-I433)),0)</x:f>
        <x:v>0</x:v>
      </x:c>
      <x:c r="H433" s="699" t="str">
        <x:f>IF(C433="","",IF(F433="作废","已作废",IF(D433=0,"无有效标记",IF(F433&lt;&gt;"确认","待确认",IF(NOT(ISNUMBER(I433)),"填写前值",IF('幕间计算'!B718=0,"检查数值",IF('幕间计算'!C718=0,"已结算",IF(G433=0,"已达99","已计入"))))))))</x:f>
        <x:v/>
      </x:c>
      <x:c r="I433" s="689"/>
      <x:c r="J433" s="701" t="str">
        <x:f>IF(I433="","",I433+G433)</x:f>
        <x:v/>
      </x:c>
      <x:c r="K433" s="702"/>
      <x:c r="L433" s="702"/>
      <x:c r="M433" s="702"/>
      <x:c r="N433" s="702"/>
    </x:row>
    <x:row r="434" ht="29" customHeight="1">
      <x:c r="A434" s="699" t="n">
        <x:v>220</x:v>
      </x:c>
      <x:c r="B434" s="688"/>
      <x:c r="C434" s="687"/>
      <x:c r="D434" s="701" t="str">
        <x:f>IF(C434="","",COUNTIFS('幕间计算'!$A$210:$A$409,'幕间计算'!A719,'幕间计算'!$B$210:$B$409,1,$E$9:$E$208,C434))</x:f>
        <x:v/>
      </x:c>
      <x:c r="E434" s="689"/>
      <x:c r="F434" s="688"/>
      <x:c r="G434" s="701">
        <x:f>IF('幕间计算'!C719=1,MAX(0,MIN(E434,99-I434)),0)</x:f>
        <x:v>0</x:v>
      </x:c>
      <x:c r="H434" s="699" t="str">
        <x:f>IF(C434="","",IF(F434="作废","已作废",IF(D434=0,"无有效标记",IF(F434&lt;&gt;"确认","待确认",IF(NOT(ISNUMBER(I434)),"填写前值",IF('幕间计算'!B719=0,"检查数值",IF('幕间计算'!C719=0,"已结算",IF(G434=0,"已达99","已计入"))))))))</x:f>
        <x:v/>
      </x:c>
      <x:c r="I434" s="689"/>
      <x:c r="J434" s="701" t="str">
        <x:f>IF(I434="","",I434+G434)</x:f>
        <x:v/>
      </x:c>
      <x:c r="K434" s="702"/>
      <x:c r="L434" s="702"/>
      <x:c r="M434" s="702"/>
      <x:c r="N434" s="702"/>
    </x:row>
    <x:row r="435" ht="29" customHeight="1">
      <x:c r="A435" s="699" t="n">
        <x:v>221</x:v>
      </x:c>
      <x:c r="B435" s="688"/>
      <x:c r="C435" s="687"/>
      <x:c r="D435" s="701" t="str">
        <x:f>IF(C435="","",COUNTIFS('幕间计算'!$A$210:$A$409,'幕间计算'!A720,'幕间计算'!$B$210:$B$409,1,$E$9:$E$208,C435))</x:f>
        <x:v/>
      </x:c>
      <x:c r="E435" s="689"/>
      <x:c r="F435" s="688"/>
      <x:c r="G435" s="701">
        <x:f>IF('幕间计算'!C720=1,MAX(0,MIN(E435,99-I435)),0)</x:f>
        <x:v>0</x:v>
      </x:c>
      <x:c r="H435" s="699" t="str">
        <x:f>IF(C435="","",IF(F435="作废","已作废",IF(D435=0,"无有效标记",IF(F435&lt;&gt;"确认","待确认",IF(NOT(ISNUMBER(I435)),"填写前值",IF('幕间计算'!B720=0,"检查数值",IF('幕间计算'!C720=0,"已结算",IF(G435=0,"已达99","已计入"))))))))</x:f>
        <x:v/>
      </x:c>
      <x:c r="I435" s="689"/>
      <x:c r="J435" s="701" t="str">
        <x:f>IF(I435="","",I435+G435)</x:f>
        <x:v/>
      </x:c>
      <x:c r="K435" s="702"/>
      <x:c r="L435" s="702"/>
      <x:c r="M435" s="702"/>
      <x:c r="N435" s="702"/>
    </x:row>
    <x:row r="436" ht="29" customHeight="1">
      <x:c r="A436" s="699" t="n">
        <x:v>222</x:v>
      </x:c>
      <x:c r="B436" s="688"/>
      <x:c r="C436" s="687"/>
      <x:c r="D436" s="701" t="str">
        <x:f>IF(C436="","",COUNTIFS('幕间计算'!$A$210:$A$409,'幕间计算'!A721,'幕间计算'!$B$210:$B$409,1,$E$9:$E$208,C436))</x:f>
        <x:v/>
      </x:c>
      <x:c r="E436" s="689"/>
      <x:c r="F436" s="688"/>
      <x:c r="G436" s="701">
        <x:f>IF('幕间计算'!C721=1,MAX(0,MIN(E436,99-I436)),0)</x:f>
        <x:v>0</x:v>
      </x:c>
      <x:c r="H436" s="699" t="str">
        <x:f>IF(C436="","",IF(F436="作废","已作废",IF(D436=0,"无有效标记",IF(F436&lt;&gt;"确认","待确认",IF(NOT(ISNUMBER(I436)),"填写前值",IF('幕间计算'!B721=0,"检查数值",IF('幕间计算'!C721=0,"已结算",IF(G436=0,"已达99","已计入"))))))))</x:f>
        <x:v/>
      </x:c>
      <x:c r="I436" s="689"/>
      <x:c r="J436" s="701" t="str">
        <x:f>IF(I436="","",I436+G436)</x:f>
        <x:v/>
      </x:c>
      <x:c r="K436" s="702"/>
      <x:c r="L436" s="702"/>
      <x:c r="M436" s="702"/>
      <x:c r="N436" s="702"/>
    </x:row>
    <x:row r="437" ht="29" customHeight="1">
      <x:c r="A437" s="699" t="n">
        <x:v>223</x:v>
      </x:c>
      <x:c r="B437" s="688"/>
      <x:c r="C437" s="687"/>
      <x:c r="D437" s="701" t="str">
        <x:f>IF(C437="","",COUNTIFS('幕间计算'!$A$210:$A$409,'幕间计算'!A722,'幕间计算'!$B$210:$B$409,1,$E$9:$E$208,C437))</x:f>
        <x:v/>
      </x:c>
      <x:c r="E437" s="689"/>
      <x:c r="F437" s="688"/>
      <x:c r="G437" s="701">
        <x:f>IF('幕间计算'!C722=1,MAX(0,MIN(E437,99-I437)),0)</x:f>
        <x:v>0</x:v>
      </x:c>
      <x:c r="H437" s="699" t="str">
        <x:f>IF(C437="","",IF(F437="作废","已作废",IF(D437=0,"无有效标记",IF(F437&lt;&gt;"确认","待确认",IF(NOT(ISNUMBER(I437)),"填写前值",IF('幕间计算'!B722=0,"检查数值",IF('幕间计算'!C722=0,"已结算",IF(G437=0,"已达99","已计入"))))))))</x:f>
        <x:v/>
      </x:c>
      <x:c r="I437" s="689"/>
      <x:c r="J437" s="701" t="str">
        <x:f>IF(I437="","",I437+G437)</x:f>
        <x:v/>
      </x:c>
      <x:c r="K437" s="702"/>
      <x:c r="L437" s="702"/>
      <x:c r="M437" s="702"/>
      <x:c r="N437" s="702"/>
    </x:row>
    <x:row r="438" ht="29" customHeight="1">
      <x:c r="A438" s="699" t="n">
        <x:v>224</x:v>
      </x:c>
      <x:c r="B438" s="688"/>
      <x:c r="C438" s="687"/>
      <x:c r="D438" s="701" t="str">
        <x:f>IF(C438="","",COUNTIFS('幕间计算'!$A$210:$A$409,'幕间计算'!A723,'幕间计算'!$B$210:$B$409,1,$E$9:$E$208,C438))</x:f>
        <x:v/>
      </x:c>
      <x:c r="E438" s="689"/>
      <x:c r="F438" s="688"/>
      <x:c r="G438" s="701">
        <x:f>IF('幕间计算'!C723=1,MAX(0,MIN(E438,99-I438)),0)</x:f>
        <x:v>0</x:v>
      </x:c>
      <x:c r="H438" s="699" t="str">
        <x:f>IF(C438="","",IF(F438="作废","已作废",IF(D438=0,"无有效标记",IF(F438&lt;&gt;"确认","待确认",IF(NOT(ISNUMBER(I438)),"填写前值",IF('幕间计算'!B723=0,"检查数值",IF('幕间计算'!C723=0,"已结算",IF(G438=0,"已达99","已计入"))))))))</x:f>
        <x:v/>
      </x:c>
      <x:c r="I438" s="689"/>
      <x:c r="J438" s="701" t="str">
        <x:f>IF(I438="","",I438+G438)</x:f>
        <x:v/>
      </x:c>
      <x:c r="K438" s="702"/>
      <x:c r="L438" s="702"/>
      <x:c r="M438" s="702"/>
      <x:c r="N438" s="702"/>
    </x:row>
    <x:row r="439" ht="29" customHeight="1">
      <x:c r="A439" s="699" t="n">
        <x:v>225</x:v>
      </x:c>
      <x:c r="B439" s="688"/>
      <x:c r="C439" s="687"/>
      <x:c r="D439" s="701" t="str">
        <x:f>IF(C439="","",COUNTIFS('幕间计算'!$A$210:$A$409,'幕间计算'!A724,'幕间计算'!$B$210:$B$409,1,$E$9:$E$208,C439))</x:f>
        <x:v/>
      </x:c>
      <x:c r="E439" s="689"/>
      <x:c r="F439" s="688"/>
      <x:c r="G439" s="701">
        <x:f>IF('幕间计算'!C724=1,MAX(0,MIN(E439,99-I439)),0)</x:f>
        <x:v>0</x:v>
      </x:c>
      <x:c r="H439" s="699" t="str">
        <x:f>IF(C439="","",IF(F439="作废","已作废",IF(D439=0,"无有效标记",IF(F439&lt;&gt;"确认","待确认",IF(NOT(ISNUMBER(I439)),"填写前值",IF('幕间计算'!B724=0,"检查数值",IF('幕间计算'!C724=0,"已结算",IF(G439=0,"已达99","已计入"))))))))</x:f>
        <x:v/>
      </x:c>
      <x:c r="I439" s="689"/>
      <x:c r="J439" s="701" t="str">
        <x:f>IF(I439="","",I439+G439)</x:f>
        <x:v/>
      </x:c>
      <x:c r="K439" s="702"/>
      <x:c r="L439" s="702"/>
      <x:c r="M439" s="702"/>
      <x:c r="N439" s="702"/>
    </x:row>
    <x:row r="440" ht="29" customHeight="1">
      <x:c r="A440" s="699" t="n">
        <x:v>226</x:v>
      </x:c>
      <x:c r="B440" s="688"/>
      <x:c r="C440" s="687"/>
      <x:c r="D440" s="701" t="str">
        <x:f>IF(C440="","",COUNTIFS('幕间计算'!$A$210:$A$409,'幕间计算'!A725,'幕间计算'!$B$210:$B$409,1,$E$9:$E$208,C440))</x:f>
        <x:v/>
      </x:c>
      <x:c r="E440" s="689"/>
      <x:c r="F440" s="688"/>
      <x:c r="G440" s="701">
        <x:f>IF('幕间计算'!C725=1,MAX(0,MIN(E440,99-I440)),0)</x:f>
        <x:v>0</x:v>
      </x:c>
      <x:c r="H440" s="699" t="str">
        <x:f>IF(C440="","",IF(F440="作废","已作废",IF(D440=0,"无有效标记",IF(F440&lt;&gt;"确认","待确认",IF(NOT(ISNUMBER(I440)),"填写前值",IF('幕间计算'!B725=0,"检查数值",IF('幕间计算'!C725=0,"已结算",IF(G440=0,"已达99","已计入"))))))))</x:f>
        <x:v/>
      </x:c>
      <x:c r="I440" s="689"/>
      <x:c r="J440" s="701" t="str">
        <x:f>IF(I440="","",I440+G440)</x:f>
        <x:v/>
      </x:c>
      <x:c r="K440" s="702"/>
      <x:c r="L440" s="702"/>
      <x:c r="M440" s="702"/>
      <x:c r="N440" s="702"/>
    </x:row>
    <x:row r="441" ht="29" customHeight="1">
      <x:c r="A441" s="699" t="n">
        <x:v>227</x:v>
      </x:c>
      <x:c r="B441" s="688"/>
      <x:c r="C441" s="687"/>
      <x:c r="D441" s="701" t="str">
        <x:f>IF(C441="","",COUNTIFS('幕间计算'!$A$210:$A$409,'幕间计算'!A726,'幕间计算'!$B$210:$B$409,1,$E$9:$E$208,C441))</x:f>
        <x:v/>
      </x:c>
      <x:c r="E441" s="689"/>
      <x:c r="F441" s="688"/>
      <x:c r="G441" s="701">
        <x:f>IF('幕间计算'!C726=1,MAX(0,MIN(E441,99-I441)),0)</x:f>
        <x:v>0</x:v>
      </x:c>
      <x:c r="H441" s="699" t="str">
        <x:f>IF(C441="","",IF(F441="作废","已作废",IF(D441=0,"无有效标记",IF(F441&lt;&gt;"确认","待确认",IF(NOT(ISNUMBER(I441)),"填写前值",IF('幕间计算'!B726=0,"检查数值",IF('幕间计算'!C726=0,"已结算",IF(G441=0,"已达99","已计入"))))))))</x:f>
        <x:v/>
      </x:c>
      <x:c r="I441" s="689"/>
      <x:c r="J441" s="701" t="str">
        <x:f>IF(I441="","",I441+G441)</x:f>
        <x:v/>
      </x:c>
      <x:c r="K441" s="702"/>
      <x:c r="L441" s="702"/>
      <x:c r="M441" s="702"/>
      <x:c r="N441" s="702"/>
    </x:row>
    <x:row r="442" ht="29" customHeight="1">
      <x:c r="A442" s="699" t="n">
        <x:v>228</x:v>
      </x:c>
      <x:c r="B442" s="688"/>
      <x:c r="C442" s="687"/>
      <x:c r="D442" s="701" t="str">
        <x:f>IF(C442="","",COUNTIFS('幕间计算'!$A$210:$A$409,'幕间计算'!A727,'幕间计算'!$B$210:$B$409,1,$E$9:$E$208,C442))</x:f>
        <x:v/>
      </x:c>
      <x:c r="E442" s="689"/>
      <x:c r="F442" s="688"/>
      <x:c r="G442" s="701">
        <x:f>IF('幕间计算'!C727=1,MAX(0,MIN(E442,99-I442)),0)</x:f>
        <x:v>0</x:v>
      </x:c>
      <x:c r="H442" s="699" t="str">
        <x:f>IF(C442="","",IF(F442="作废","已作废",IF(D442=0,"无有效标记",IF(F442&lt;&gt;"确认","待确认",IF(NOT(ISNUMBER(I442)),"填写前值",IF('幕间计算'!B727=0,"检查数值",IF('幕间计算'!C727=0,"已结算",IF(G442=0,"已达99","已计入"))))))))</x:f>
        <x:v/>
      </x:c>
      <x:c r="I442" s="689"/>
      <x:c r="J442" s="701" t="str">
        <x:f>IF(I442="","",I442+G442)</x:f>
        <x:v/>
      </x:c>
      <x:c r="K442" s="702"/>
      <x:c r="L442" s="702"/>
      <x:c r="M442" s="702"/>
      <x:c r="N442" s="702"/>
    </x:row>
    <x:row r="443" ht="29" customHeight="1">
      <x:c r="A443" s="699" t="n">
        <x:v>229</x:v>
      </x:c>
      <x:c r="B443" s="688"/>
      <x:c r="C443" s="687"/>
      <x:c r="D443" s="701" t="str">
        <x:f>IF(C443="","",COUNTIFS('幕间计算'!$A$210:$A$409,'幕间计算'!A728,'幕间计算'!$B$210:$B$409,1,$E$9:$E$208,C443))</x:f>
        <x:v/>
      </x:c>
      <x:c r="E443" s="689"/>
      <x:c r="F443" s="688"/>
      <x:c r="G443" s="701">
        <x:f>IF('幕间计算'!C728=1,MAX(0,MIN(E443,99-I443)),0)</x:f>
        <x:v>0</x:v>
      </x:c>
      <x:c r="H443" s="699" t="str">
        <x:f>IF(C443="","",IF(F443="作废","已作废",IF(D443=0,"无有效标记",IF(F443&lt;&gt;"确认","待确认",IF(NOT(ISNUMBER(I443)),"填写前值",IF('幕间计算'!B728=0,"检查数值",IF('幕间计算'!C728=0,"已结算",IF(G443=0,"已达99","已计入"))))))))</x:f>
        <x:v/>
      </x:c>
      <x:c r="I443" s="689"/>
      <x:c r="J443" s="701" t="str">
        <x:f>IF(I443="","",I443+G443)</x:f>
        <x:v/>
      </x:c>
      <x:c r="K443" s="702"/>
      <x:c r="L443" s="702"/>
      <x:c r="M443" s="702"/>
      <x:c r="N443" s="702"/>
    </x:row>
    <x:row r="444" ht="29" customHeight="1">
      <x:c r="A444" s="699" t="n">
        <x:v>230</x:v>
      </x:c>
      <x:c r="B444" s="688"/>
      <x:c r="C444" s="687"/>
      <x:c r="D444" s="701" t="str">
        <x:f>IF(C444="","",COUNTIFS('幕间计算'!$A$210:$A$409,'幕间计算'!A729,'幕间计算'!$B$210:$B$409,1,$E$9:$E$208,C444))</x:f>
        <x:v/>
      </x:c>
      <x:c r="E444" s="689"/>
      <x:c r="F444" s="688"/>
      <x:c r="G444" s="701">
        <x:f>IF('幕间计算'!C729=1,MAX(0,MIN(E444,99-I444)),0)</x:f>
        <x:v>0</x:v>
      </x:c>
      <x:c r="H444" s="699" t="str">
        <x:f>IF(C444="","",IF(F444="作废","已作废",IF(D444=0,"无有效标记",IF(F444&lt;&gt;"确认","待确认",IF(NOT(ISNUMBER(I444)),"填写前值",IF('幕间计算'!B729=0,"检查数值",IF('幕间计算'!C729=0,"已结算",IF(G444=0,"已达99","已计入"))))))))</x:f>
        <x:v/>
      </x:c>
      <x:c r="I444" s="689"/>
      <x:c r="J444" s="701" t="str">
        <x:f>IF(I444="","",I444+G444)</x:f>
        <x:v/>
      </x:c>
      <x:c r="K444" s="702"/>
      <x:c r="L444" s="702"/>
      <x:c r="M444" s="702"/>
      <x:c r="N444" s="702"/>
    </x:row>
    <x:row r="445" ht="29" customHeight="1">
      <x:c r="A445" s="699" t="n">
        <x:v>231</x:v>
      </x:c>
      <x:c r="B445" s="688"/>
      <x:c r="C445" s="687"/>
      <x:c r="D445" s="701" t="str">
        <x:f>IF(C445="","",COUNTIFS('幕间计算'!$A$210:$A$409,'幕间计算'!A730,'幕间计算'!$B$210:$B$409,1,$E$9:$E$208,C445))</x:f>
        <x:v/>
      </x:c>
      <x:c r="E445" s="689"/>
      <x:c r="F445" s="688"/>
      <x:c r="G445" s="701">
        <x:f>IF('幕间计算'!C730=1,MAX(0,MIN(E445,99-I445)),0)</x:f>
        <x:v>0</x:v>
      </x:c>
      <x:c r="H445" s="699" t="str">
        <x:f>IF(C445="","",IF(F445="作废","已作废",IF(D445=0,"无有效标记",IF(F445&lt;&gt;"确认","待确认",IF(NOT(ISNUMBER(I445)),"填写前值",IF('幕间计算'!B730=0,"检查数值",IF('幕间计算'!C730=0,"已结算",IF(G445=0,"已达99","已计入"))))))))</x:f>
        <x:v/>
      </x:c>
      <x:c r="I445" s="689"/>
      <x:c r="J445" s="701" t="str">
        <x:f>IF(I445="","",I445+G445)</x:f>
        <x:v/>
      </x:c>
      <x:c r="K445" s="702"/>
      <x:c r="L445" s="702"/>
      <x:c r="M445" s="702"/>
      <x:c r="N445" s="702"/>
    </x:row>
    <x:row r="446" ht="29" customHeight="1">
      <x:c r="A446" s="699" t="n">
        <x:v>232</x:v>
      </x:c>
      <x:c r="B446" s="688"/>
      <x:c r="C446" s="687"/>
      <x:c r="D446" s="701" t="str">
        <x:f>IF(C446="","",COUNTIFS('幕间计算'!$A$210:$A$409,'幕间计算'!A731,'幕间计算'!$B$210:$B$409,1,$E$9:$E$208,C446))</x:f>
        <x:v/>
      </x:c>
      <x:c r="E446" s="689"/>
      <x:c r="F446" s="688"/>
      <x:c r="G446" s="701">
        <x:f>IF('幕间计算'!C731=1,MAX(0,MIN(E446,99-I446)),0)</x:f>
        <x:v>0</x:v>
      </x:c>
      <x:c r="H446" s="699" t="str">
        <x:f>IF(C446="","",IF(F446="作废","已作废",IF(D446=0,"无有效标记",IF(F446&lt;&gt;"确认","待确认",IF(NOT(ISNUMBER(I446)),"填写前值",IF('幕间计算'!B731=0,"检查数值",IF('幕间计算'!C731=0,"已结算",IF(G446=0,"已达99","已计入"))))))))</x:f>
        <x:v/>
      </x:c>
      <x:c r="I446" s="689"/>
      <x:c r="J446" s="701" t="str">
        <x:f>IF(I446="","",I446+G446)</x:f>
        <x:v/>
      </x:c>
      <x:c r="K446" s="702"/>
      <x:c r="L446" s="702"/>
      <x:c r="M446" s="702"/>
      <x:c r="N446" s="702"/>
    </x:row>
    <x:row r="447" ht="29" customHeight="1">
      <x:c r="A447" s="699" t="n">
        <x:v>233</x:v>
      </x:c>
      <x:c r="B447" s="688"/>
      <x:c r="C447" s="687"/>
      <x:c r="D447" s="701" t="str">
        <x:f>IF(C447="","",COUNTIFS('幕间计算'!$A$210:$A$409,'幕间计算'!A732,'幕间计算'!$B$210:$B$409,1,$E$9:$E$208,C447))</x:f>
        <x:v/>
      </x:c>
      <x:c r="E447" s="689"/>
      <x:c r="F447" s="688"/>
      <x:c r="G447" s="701">
        <x:f>IF('幕间计算'!C732=1,MAX(0,MIN(E447,99-I447)),0)</x:f>
        <x:v>0</x:v>
      </x:c>
      <x:c r="H447" s="699" t="str">
        <x:f>IF(C447="","",IF(F447="作废","已作废",IF(D447=0,"无有效标记",IF(F447&lt;&gt;"确认","待确认",IF(NOT(ISNUMBER(I447)),"填写前值",IF('幕间计算'!B732=0,"检查数值",IF('幕间计算'!C732=0,"已结算",IF(G447=0,"已达99","已计入"))))))))</x:f>
        <x:v/>
      </x:c>
      <x:c r="I447" s="689"/>
      <x:c r="J447" s="701" t="str">
        <x:f>IF(I447="","",I447+G447)</x:f>
        <x:v/>
      </x:c>
      <x:c r="K447" s="702"/>
      <x:c r="L447" s="702"/>
      <x:c r="M447" s="702"/>
      <x:c r="N447" s="702"/>
    </x:row>
    <x:row r="448" ht="29" customHeight="1">
      <x:c r="A448" s="699" t="n">
        <x:v>234</x:v>
      </x:c>
      <x:c r="B448" s="688"/>
      <x:c r="C448" s="687"/>
      <x:c r="D448" s="701" t="str">
        <x:f>IF(C448="","",COUNTIFS('幕间计算'!$A$210:$A$409,'幕间计算'!A733,'幕间计算'!$B$210:$B$409,1,$E$9:$E$208,C448))</x:f>
        <x:v/>
      </x:c>
      <x:c r="E448" s="689"/>
      <x:c r="F448" s="688"/>
      <x:c r="G448" s="701">
        <x:f>IF('幕间计算'!C733=1,MAX(0,MIN(E448,99-I448)),0)</x:f>
        <x:v>0</x:v>
      </x:c>
      <x:c r="H448" s="699" t="str">
        <x:f>IF(C448="","",IF(F448="作废","已作废",IF(D448=0,"无有效标记",IF(F448&lt;&gt;"确认","待确认",IF(NOT(ISNUMBER(I448)),"填写前值",IF('幕间计算'!B733=0,"检查数值",IF('幕间计算'!C733=0,"已结算",IF(G448=0,"已达99","已计入"))))))))</x:f>
        <x:v/>
      </x:c>
      <x:c r="I448" s="689"/>
      <x:c r="J448" s="701" t="str">
        <x:f>IF(I448="","",I448+G448)</x:f>
        <x:v/>
      </x:c>
      <x:c r="K448" s="702"/>
      <x:c r="L448" s="702"/>
      <x:c r="M448" s="702"/>
      <x:c r="N448" s="702"/>
    </x:row>
    <x:row r="449" ht="29" customHeight="1">
      <x:c r="A449" s="699" t="n">
        <x:v>235</x:v>
      </x:c>
      <x:c r="B449" s="688"/>
      <x:c r="C449" s="687"/>
      <x:c r="D449" s="701" t="str">
        <x:f>IF(C449="","",COUNTIFS('幕间计算'!$A$210:$A$409,'幕间计算'!A734,'幕间计算'!$B$210:$B$409,1,$E$9:$E$208,C449))</x:f>
        <x:v/>
      </x:c>
      <x:c r="E449" s="689"/>
      <x:c r="F449" s="688"/>
      <x:c r="G449" s="701">
        <x:f>IF('幕间计算'!C734=1,MAX(0,MIN(E449,99-I449)),0)</x:f>
        <x:v>0</x:v>
      </x:c>
      <x:c r="H449" s="699" t="str">
        <x:f>IF(C449="","",IF(F449="作废","已作废",IF(D449=0,"无有效标记",IF(F449&lt;&gt;"确认","待确认",IF(NOT(ISNUMBER(I449)),"填写前值",IF('幕间计算'!B734=0,"检查数值",IF('幕间计算'!C734=0,"已结算",IF(G449=0,"已达99","已计入"))))))))</x:f>
        <x:v/>
      </x:c>
      <x:c r="I449" s="689"/>
      <x:c r="J449" s="701" t="str">
        <x:f>IF(I449="","",I449+G449)</x:f>
        <x:v/>
      </x:c>
      <x:c r="K449" s="702"/>
      <x:c r="L449" s="702"/>
      <x:c r="M449" s="702"/>
      <x:c r="N449" s="702"/>
    </x:row>
    <x:row r="450" ht="29" customHeight="1">
      <x:c r="A450" s="699" t="n">
        <x:v>236</x:v>
      </x:c>
      <x:c r="B450" s="688"/>
      <x:c r="C450" s="687"/>
      <x:c r="D450" s="701" t="str">
        <x:f>IF(C450="","",COUNTIFS('幕间计算'!$A$210:$A$409,'幕间计算'!A735,'幕间计算'!$B$210:$B$409,1,$E$9:$E$208,C450))</x:f>
        <x:v/>
      </x:c>
      <x:c r="E450" s="689"/>
      <x:c r="F450" s="688"/>
      <x:c r="G450" s="701">
        <x:f>IF('幕间计算'!C735=1,MAX(0,MIN(E450,99-I450)),0)</x:f>
        <x:v>0</x:v>
      </x:c>
      <x:c r="H450" s="699" t="str">
        <x:f>IF(C450="","",IF(F450="作废","已作废",IF(D450=0,"无有效标记",IF(F450&lt;&gt;"确认","待确认",IF(NOT(ISNUMBER(I450)),"填写前值",IF('幕间计算'!B735=0,"检查数值",IF('幕间计算'!C735=0,"已结算",IF(G450=0,"已达99","已计入"))))))))</x:f>
        <x:v/>
      </x:c>
      <x:c r="I450" s="689"/>
      <x:c r="J450" s="701" t="str">
        <x:f>IF(I450="","",I450+G450)</x:f>
        <x:v/>
      </x:c>
      <x:c r="K450" s="702"/>
      <x:c r="L450" s="702"/>
      <x:c r="M450" s="702"/>
      <x:c r="N450" s="702"/>
    </x:row>
    <x:row r="451" ht="29" customHeight="1">
      <x:c r="A451" s="699" t="n">
        <x:v>237</x:v>
      </x:c>
      <x:c r="B451" s="688"/>
      <x:c r="C451" s="687"/>
      <x:c r="D451" s="701" t="str">
        <x:f>IF(C451="","",COUNTIFS('幕间计算'!$A$210:$A$409,'幕间计算'!A736,'幕间计算'!$B$210:$B$409,1,$E$9:$E$208,C451))</x:f>
        <x:v/>
      </x:c>
      <x:c r="E451" s="689"/>
      <x:c r="F451" s="688"/>
      <x:c r="G451" s="701">
        <x:f>IF('幕间计算'!C736=1,MAX(0,MIN(E451,99-I451)),0)</x:f>
        <x:v>0</x:v>
      </x:c>
      <x:c r="H451" s="699" t="str">
        <x:f>IF(C451="","",IF(F451="作废","已作废",IF(D451=0,"无有效标记",IF(F451&lt;&gt;"确认","待确认",IF(NOT(ISNUMBER(I451)),"填写前值",IF('幕间计算'!B736=0,"检查数值",IF('幕间计算'!C736=0,"已结算",IF(G451=0,"已达99","已计入"))))))))</x:f>
        <x:v/>
      </x:c>
      <x:c r="I451" s="689"/>
      <x:c r="J451" s="701" t="str">
        <x:f>IF(I451="","",I451+G451)</x:f>
        <x:v/>
      </x:c>
      <x:c r="K451" s="702"/>
      <x:c r="L451" s="702"/>
      <x:c r="M451" s="702"/>
      <x:c r="N451" s="702"/>
    </x:row>
    <x:row r="452" ht="29" customHeight="1">
      <x:c r="A452" s="699" t="n">
        <x:v>238</x:v>
      </x:c>
      <x:c r="B452" s="688"/>
      <x:c r="C452" s="687"/>
      <x:c r="D452" s="701" t="str">
        <x:f>IF(C452="","",COUNTIFS('幕间计算'!$A$210:$A$409,'幕间计算'!A737,'幕间计算'!$B$210:$B$409,1,$E$9:$E$208,C452))</x:f>
        <x:v/>
      </x:c>
      <x:c r="E452" s="689"/>
      <x:c r="F452" s="688"/>
      <x:c r="G452" s="701">
        <x:f>IF('幕间计算'!C737=1,MAX(0,MIN(E452,99-I452)),0)</x:f>
        <x:v>0</x:v>
      </x:c>
      <x:c r="H452" s="699" t="str">
        <x:f>IF(C452="","",IF(F452="作废","已作废",IF(D452=0,"无有效标记",IF(F452&lt;&gt;"确认","待确认",IF(NOT(ISNUMBER(I452)),"填写前值",IF('幕间计算'!B737=0,"检查数值",IF('幕间计算'!C737=0,"已结算",IF(G452=0,"已达99","已计入"))))))))</x:f>
        <x:v/>
      </x:c>
      <x:c r="I452" s="689"/>
      <x:c r="J452" s="701" t="str">
        <x:f>IF(I452="","",I452+G452)</x:f>
        <x:v/>
      </x:c>
      <x:c r="K452" s="702"/>
      <x:c r="L452" s="702"/>
      <x:c r="M452" s="702"/>
      <x:c r="N452" s="702"/>
    </x:row>
    <x:row r="453" ht="29" customHeight="1">
      <x:c r="A453" s="699" t="n">
        <x:v>239</x:v>
      </x:c>
      <x:c r="B453" s="688"/>
      <x:c r="C453" s="687"/>
      <x:c r="D453" s="701" t="str">
        <x:f>IF(C453="","",COUNTIFS('幕间计算'!$A$210:$A$409,'幕间计算'!A738,'幕间计算'!$B$210:$B$409,1,$E$9:$E$208,C453))</x:f>
        <x:v/>
      </x:c>
      <x:c r="E453" s="689"/>
      <x:c r="F453" s="688"/>
      <x:c r="G453" s="701">
        <x:f>IF('幕间计算'!C738=1,MAX(0,MIN(E453,99-I453)),0)</x:f>
        <x:v>0</x:v>
      </x:c>
      <x:c r="H453" s="699" t="str">
        <x:f>IF(C453="","",IF(F453="作废","已作废",IF(D453=0,"无有效标记",IF(F453&lt;&gt;"确认","待确认",IF(NOT(ISNUMBER(I453)),"填写前值",IF('幕间计算'!B738=0,"检查数值",IF('幕间计算'!C738=0,"已结算",IF(G453=0,"已达99","已计入"))))))))</x:f>
        <x:v/>
      </x:c>
      <x:c r="I453" s="689"/>
      <x:c r="J453" s="701" t="str">
        <x:f>IF(I453="","",I453+G453)</x:f>
        <x:v/>
      </x:c>
      <x:c r="K453" s="702"/>
      <x:c r="L453" s="702"/>
      <x:c r="M453" s="702"/>
      <x:c r="N453" s="702"/>
    </x:row>
    <x:row r="454" ht="29" customHeight="1">
      <x:c r="A454" s="699" t="n">
        <x:v>240</x:v>
      </x:c>
      <x:c r="B454" s="688"/>
      <x:c r="C454" s="687"/>
      <x:c r="D454" s="701" t="str">
        <x:f>IF(C454="","",COUNTIFS('幕间计算'!$A$210:$A$409,'幕间计算'!A739,'幕间计算'!$B$210:$B$409,1,$E$9:$E$208,C454))</x:f>
        <x:v/>
      </x:c>
      <x:c r="E454" s="689"/>
      <x:c r="F454" s="688"/>
      <x:c r="G454" s="701">
        <x:f>IF('幕间计算'!C739=1,MAX(0,MIN(E454,99-I454)),0)</x:f>
        <x:v>0</x:v>
      </x:c>
      <x:c r="H454" s="699" t="str">
        <x:f>IF(C454="","",IF(F454="作废","已作废",IF(D454=0,"无有效标记",IF(F454&lt;&gt;"确认","待确认",IF(NOT(ISNUMBER(I454)),"填写前值",IF('幕间计算'!B739=0,"检查数值",IF('幕间计算'!C739=0,"已结算",IF(G454=0,"已达99","已计入"))))))))</x:f>
        <x:v/>
      </x:c>
      <x:c r="I454" s="689"/>
      <x:c r="J454" s="701" t="str">
        <x:f>IF(I454="","",I454+G454)</x:f>
        <x:v/>
      </x:c>
      <x:c r="K454" s="702"/>
      <x:c r="L454" s="702"/>
      <x:c r="M454" s="702"/>
      <x:c r="N454" s="702"/>
    </x:row>
  </x:sheetData>
  <x:mergeCells>
    <x:mergeCell ref="A1:N1"/>
    <x:mergeCell ref="A2:D2"/>
    <x:mergeCell ref="E2:I2"/>
    <x:mergeCell ref="J2:N2"/>
    <x:mergeCell ref="C3:F3"/>
    <x:mergeCell ref="G3:N3"/>
    <x:mergeCell ref="A6:N6"/>
    <x:mergeCell ref="A7:N7"/>
    <x:mergeCell ref="A210:N210"/>
    <x:mergeCell ref="A211:N211"/>
    <x:mergeCell ref="K214:N214"/>
    <x:mergeCell ref="K215:N215"/>
    <x:mergeCell ref="K216:N216"/>
    <x:mergeCell ref="K217:N217"/>
    <x:mergeCell ref="K218:N218"/>
    <x:mergeCell ref="K219:N219"/>
    <x:mergeCell ref="K220:N220"/>
    <x:mergeCell ref="K221:N221"/>
    <x:mergeCell ref="K222:N222"/>
    <x:mergeCell ref="K223:N223"/>
    <x:mergeCell ref="K224:N224"/>
    <x:mergeCell ref="K225:N225"/>
    <x:mergeCell ref="K226:N226"/>
    <x:mergeCell ref="K227:N227"/>
    <x:mergeCell ref="K228:N228"/>
    <x:mergeCell ref="K229:N229"/>
    <x:mergeCell ref="K230:N230"/>
    <x:mergeCell ref="K231:N231"/>
    <x:mergeCell ref="K232:N232"/>
    <x:mergeCell ref="K233:N233"/>
    <x:mergeCell ref="K234:N234"/>
    <x:mergeCell ref="K235:N235"/>
    <x:mergeCell ref="K236:N236"/>
    <x:mergeCell ref="K237:N237"/>
    <x:mergeCell ref="K238:N238"/>
    <x:mergeCell ref="K239:N239"/>
    <x:mergeCell ref="K240:N240"/>
    <x:mergeCell ref="K241:N241"/>
    <x:mergeCell ref="K242:N242"/>
    <x:mergeCell ref="K243:N243"/>
    <x:mergeCell ref="K244:N244"/>
    <x:mergeCell ref="K245:N245"/>
    <x:mergeCell ref="K246:N246"/>
    <x:mergeCell ref="K247:N247"/>
    <x:mergeCell ref="K248:N248"/>
    <x:mergeCell ref="K249:N249"/>
    <x:mergeCell ref="K250:N250"/>
    <x:mergeCell ref="K251:N251"/>
    <x:mergeCell ref="K252:N252"/>
    <x:mergeCell ref="K253:N253"/>
    <x:mergeCell ref="K254:N254"/>
    <x:mergeCell ref="K255:N255"/>
    <x:mergeCell ref="K256:N256"/>
    <x:mergeCell ref="K257:N257"/>
    <x:mergeCell ref="K258:N258"/>
    <x:mergeCell ref="K259:N259"/>
    <x:mergeCell ref="K260:N260"/>
    <x:mergeCell ref="K261:N261"/>
    <x:mergeCell ref="K262:N262"/>
    <x:mergeCell ref="K263:N263"/>
    <x:mergeCell ref="K264:N264"/>
    <x:mergeCell ref="K265:N265"/>
    <x:mergeCell ref="K266:N266"/>
    <x:mergeCell ref="K267:N267"/>
    <x:mergeCell ref="K268:N268"/>
    <x:mergeCell ref="K269:N269"/>
    <x:mergeCell ref="K270:N270"/>
    <x:mergeCell ref="K271:N271"/>
    <x:mergeCell ref="K272:N272"/>
    <x:mergeCell ref="K273:N273"/>
    <x:mergeCell ref="K274:N274"/>
    <x:mergeCell ref="K275:N275"/>
    <x:mergeCell ref="K276:N276"/>
    <x:mergeCell ref="K277:N277"/>
    <x:mergeCell ref="K278:N278"/>
    <x:mergeCell ref="K279:N279"/>
    <x:mergeCell ref="K280:N280"/>
    <x:mergeCell ref="K281:N281"/>
    <x:mergeCell ref="K282:N282"/>
    <x:mergeCell ref="K283:N283"/>
    <x:mergeCell ref="K284:N284"/>
    <x:mergeCell ref="K285:N285"/>
    <x:mergeCell ref="K286:N286"/>
    <x:mergeCell ref="K287:N287"/>
    <x:mergeCell ref="K288:N288"/>
    <x:mergeCell ref="K289:N289"/>
    <x:mergeCell ref="K290:N290"/>
    <x:mergeCell ref="K291:N291"/>
    <x:mergeCell ref="K292:N292"/>
    <x:mergeCell ref="K293:N293"/>
    <x:mergeCell ref="K294:N294"/>
    <x:mergeCell ref="K295:N295"/>
    <x:mergeCell ref="K296:N296"/>
    <x:mergeCell ref="K297:N297"/>
    <x:mergeCell ref="K298:N298"/>
    <x:mergeCell ref="K299:N299"/>
    <x:mergeCell ref="K300:N300"/>
    <x:mergeCell ref="K301:N301"/>
    <x:mergeCell ref="K302:N302"/>
    <x:mergeCell ref="K303:N303"/>
    <x:mergeCell ref="K304:N304"/>
    <x:mergeCell ref="K305:N305"/>
    <x:mergeCell ref="K306:N306"/>
    <x:mergeCell ref="K307:N307"/>
    <x:mergeCell ref="K308:N308"/>
    <x:mergeCell ref="K309:N309"/>
    <x:mergeCell ref="K310:N310"/>
    <x:mergeCell ref="K311:N311"/>
    <x:mergeCell ref="K312:N312"/>
    <x:mergeCell ref="K313:N313"/>
    <x:mergeCell ref="K314:N314"/>
    <x:mergeCell ref="K315:N315"/>
    <x:mergeCell ref="K316:N316"/>
    <x:mergeCell ref="K317:N317"/>
    <x:mergeCell ref="K318:N318"/>
    <x:mergeCell ref="K319:N319"/>
    <x:mergeCell ref="K320:N320"/>
    <x:mergeCell ref="K321:N321"/>
    <x:mergeCell ref="K322:N322"/>
    <x:mergeCell ref="K323:N323"/>
    <x:mergeCell ref="K324:N324"/>
    <x:mergeCell ref="K325:N325"/>
    <x:mergeCell ref="K326:N326"/>
    <x:mergeCell ref="K327:N327"/>
    <x:mergeCell ref="K328:N328"/>
    <x:mergeCell ref="K329:N329"/>
    <x:mergeCell ref="K330:N330"/>
    <x:mergeCell ref="K331:N331"/>
    <x:mergeCell ref="K332:N332"/>
    <x:mergeCell ref="K333:N333"/>
    <x:mergeCell ref="K334:N334"/>
    <x:mergeCell ref="K335:N335"/>
    <x:mergeCell ref="K336:N336"/>
    <x:mergeCell ref="K337:N337"/>
    <x:mergeCell ref="K338:N338"/>
    <x:mergeCell ref="K339:N339"/>
    <x:mergeCell ref="K340:N340"/>
    <x:mergeCell ref="K341:N341"/>
    <x:mergeCell ref="K342:N342"/>
    <x:mergeCell ref="K343:N343"/>
    <x:mergeCell ref="K344:N344"/>
    <x:mergeCell ref="K345:N345"/>
    <x:mergeCell ref="K346:N346"/>
    <x:mergeCell ref="K347:N347"/>
    <x:mergeCell ref="K348:N348"/>
    <x:mergeCell ref="K349:N349"/>
    <x:mergeCell ref="K350:N350"/>
    <x:mergeCell ref="K351:N351"/>
    <x:mergeCell ref="K352:N352"/>
    <x:mergeCell ref="K353:N353"/>
    <x:mergeCell ref="K354:N354"/>
    <x:mergeCell ref="K355:N355"/>
    <x:mergeCell ref="K356:N356"/>
    <x:mergeCell ref="K357:N357"/>
    <x:mergeCell ref="K358:N358"/>
    <x:mergeCell ref="K359:N359"/>
    <x:mergeCell ref="K360:N360"/>
    <x:mergeCell ref="K361:N361"/>
    <x:mergeCell ref="K362:N362"/>
    <x:mergeCell ref="K363:N363"/>
    <x:mergeCell ref="K364:N364"/>
    <x:mergeCell ref="K365:N365"/>
    <x:mergeCell ref="K366:N366"/>
    <x:mergeCell ref="K367:N367"/>
    <x:mergeCell ref="K368:N368"/>
    <x:mergeCell ref="K369:N369"/>
    <x:mergeCell ref="K370:N370"/>
    <x:mergeCell ref="K371:N371"/>
    <x:mergeCell ref="K372:N372"/>
    <x:mergeCell ref="K373:N373"/>
    <x:mergeCell ref="K374:N374"/>
    <x:mergeCell ref="K375:N375"/>
    <x:mergeCell ref="K376:N376"/>
    <x:mergeCell ref="K377:N377"/>
    <x:mergeCell ref="K378:N378"/>
    <x:mergeCell ref="K379:N379"/>
    <x:mergeCell ref="K380:N380"/>
    <x:mergeCell ref="K381:N381"/>
    <x:mergeCell ref="K382:N382"/>
    <x:mergeCell ref="K383:N383"/>
    <x:mergeCell ref="K384:N384"/>
    <x:mergeCell ref="K385:N385"/>
    <x:mergeCell ref="K386:N386"/>
    <x:mergeCell ref="K387:N387"/>
    <x:mergeCell ref="K388:N388"/>
    <x:mergeCell ref="K389:N389"/>
    <x:mergeCell ref="K390:N390"/>
    <x:mergeCell ref="K391:N391"/>
    <x:mergeCell ref="K392:N392"/>
    <x:mergeCell ref="K393:N393"/>
    <x:mergeCell ref="K394:N394"/>
    <x:mergeCell ref="K395:N395"/>
    <x:mergeCell ref="K396:N396"/>
    <x:mergeCell ref="K397:N397"/>
    <x:mergeCell ref="K398:N398"/>
    <x:mergeCell ref="K399:N399"/>
    <x:mergeCell ref="K400:N400"/>
    <x:mergeCell ref="K401:N401"/>
    <x:mergeCell ref="K402:N402"/>
    <x:mergeCell ref="K403:N403"/>
    <x:mergeCell ref="K404:N404"/>
    <x:mergeCell ref="K405:N405"/>
    <x:mergeCell ref="K406:N406"/>
    <x:mergeCell ref="K407:N407"/>
    <x:mergeCell ref="K408:N408"/>
    <x:mergeCell ref="K409:N409"/>
    <x:mergeCell ref="K410:N410"/>
    <x:mergeCell ref="K411:N411"/>
    <x:mergeCell ref="K412:N412"/>
    <x:mergeCell ref="K413:N413"/>
    <x:mergeCell ref="K414:N414"/>
    <x:mergeCell ref="K415:N415"/>
    <x:mergeCell ref="K416:N416"/>
    <x:mergeCell ref="K417:N417"/>
    <x:mergeCell ref="K418:N418"/>
    <x:mergeCell ref="K419:N419"/>
    <x:mergeCell ref="K420:N420"/>
    <x:mergeCell ref="K421:N421"/>
    <x:mergeCell ref="K422:N422"/>
    <x:mergeCell ref="K423:N423"/>
    <x:mergeCell ref="K424:N424"/>
    <x:mergeCell ref="K425:N425"/>
    <x:mergeCell ref="K426:N426"/>
    <x:mergeCell ref="K427:N427"/>
    <x:mergeCell ref="K428:N428"/>
    <x:mergeCell ref="K429:N429"/>
    <x:mergeCell ref="K430:N430"/>
    <x:mergeCell ref="K431:N431"/>
    <x:mergeCell ref="K432:N432"/>
    <x:mergeCell ref="K433:N433"/>
    <x:mergeCell ref="K434:N434"/>
    <x:mergeCell ref="K435:N435"/>
    <x:mergeCell ref="K436:N436"/>
    <x:mergeCell ref="K437:N437"/>
    <x:mergeCell ref="K438:N438"/>
    <x:mergeCell ref="K439:N439"/>
    <x:mergeCell ref="K440:N440"/>
    <x:mergeCell ref="K441:N441"/>
    <x:mergeCell ref="K442:N442"/>
    <x:mergeCell ref="K443:N443"/>
    <x:mergeCell ref="K444:N444"/>
    <x:mergeCell ref="K445:N445"/>
    <x:mergeCell ref="K446:N446"/>
    <x:mergeCell ref="K447:N447"/>
    <x:mergeCell ref="K448:N448"/>
    <x:mergeCell ref="K449:N449"/>
    <x:mergeCell ref="K450:N450"/>
    <x:mergeCell ref="K451:N451"/>
    <x:mergeCell ref="K452:N452"/>
    <x:mergeCell ref="K453:N453"/>
    <x:mergeCell ref="K454:N454"/>
  </x:mergeCells>
  <x:dataValidations count="254">
    <x:dataValidation type="list" allowBlank="1" showDropDown="0" showInputMessage="0" showErrorMessage="1" sqref="B3 B9:B208 B215:B454" errorTitle="请检查输入" error="请选择列表项目或填写允许的数值。">
      <x:formula1>模组编号</x:formula1>
    </x:dataValidation>
    <x:dataValidation type="list" allowBlank="1" showDropDown="0" showInputMessage="0" showErrorMessage="1" sqref="D9:D208" errorTitle="请检查输入" error="请选择列表项目或填写允许的数值。">
      <x:formula1>幕间事项</x:formula1>
    </x:dataValidation>
    <x:dataValidation type="list" allowBlank="1" showDropDown="0" showInputMessage="0" showErrorMessage="1" sqref="E9:E208" errorTitle="请检查输入" error="请选择列表项目或填写允许的数值。">
      <x:formula1>变更目标</x:formula1>
    </x:dataValidation>
    <x:dataValidation type="list" allowBlank="1" showDropDown="0" showInputMessage="0" showErrorMessage="1" sqref="G9:G208" errorTitle="请检查输入" error="请选择列表项目或填写允许的数值。">
      <x:formula1>"成功,失败,大成功,大失败,无检定"</x:formula1>
    </x:dataValidation>
    <x:dataValidation type="list" allowBlank="1" showDropDown="0" showInputMessage="0" showErrorMessage="1" sqref="H9:H208" errorTitle="请检查输入" error="请选择列表项目或填写允许的数值。">
      <x:formula1>"☐,√"</x:formula1>
    </x:dataValidation>
    <x:dataValidation type="list" allowBlank="1" showDropDown="0" showInputMessage="0" showErrorMessage="1" sqref="J9:J208 F215:F454" errorTitle="请检查输入" error="请选择列表项目或填写允许的数值。">
      <x:formula1>"待确认,确认,作废"</x:formula1>
    </x:dataValidation>
    <x:dataValidation type="list" allowBlank="1" showDropDown="0" showInputMessage="0" showErrorMessage="1" sqref="L9:L208" errorTitle="请检查输入" error="请选择列表项目或填写允许的数值。">
      <x:formula1>关系编号</x:formula1>
    </x:dataValidation>
    <x:dataValidation type="whole" allowBlank="1" showDropDown="0" showInputMessage="0" showErrorMessage="1" sqref="M9:M208" operator="between" errorTitle="请检查输入" error="请选择列表项目或填写允许的数值。">
      <x:formula1>1</x:formula1>
      <x:formula2>99</x:formula2>
    </x:dataValidation>
    <x:dataValidation type="whole" allowBlank="1" showDropDown="0" showInputMessage="0" showErrorMessage="1" sqref="E215:E454" operator="between" errorTitle="请检查输入" error="请选择列表项目或填写允许的数值。">
      <x:formula1>1</x:formula1>
      <x:formula2>4</x:formula2>
    </x:dataValidation>
    <x:dataValidation type="whole" allowBlank="1" showDropDown="0" showInputMessage="0" showErrorMessage="1" sqref="I215:I454" operator="between" errorTitle="请检查输入" error="请选择列表项目或填写允许的数值。">
      <x:formula1>0</x:formula1>
      <x:formula2>99</x:formula2>
    </x:dataValidation>
    <x:dataValidation type="whole" allowBlank="1" showDropDown="0" showInputMessage="0" showErrorMessage="1" sqref="F9:F208" operator="between" errorTitle="请检查输入" error="请选择列表项目或填写允许的数值。">
      <x:formula1>0</x:formula1>
      <x:formula2>999</x:formula2>
    </x:dataValidation>
    <x:dataValidation type="whole" allowBlank="1" showDropDown="0" showInputMessage="0" showErrorMessage="1" sqref="I9:I208" operator="between" errorTitle="请检查输入" error="请选择列表项目或填写允许的数值。">
      <x:formula1>-999</x:formula1>
      <x:formula2>999</x:formula2>
    </x:dataValidation>
    <x:dataValidation type="whole" allowBlank="1" showDropDown="0" showInputMessage="0" showErrorMessage="1" sqref="A5:F5" operator="between" errorTitle="请检查输入" error="请选择列表项目或填写允许的数值。">
      <x:formula1>0</x:formula1>
      <x:formula2>18</x:formula2>
    </x:dataValidation>
    <x:dataValidation type="whole" allowBlank="1" showDropDown="0" showInputMessage="0" showErrorMessage="1" sqref="G5:J5" operator="between" errorTitle="请检查输入" error="请选择列表项目或填写允许的数值。">
      <x:formula1>0</x:formula1>
      <x:formula2>99</x:formula2>
    </x:dataValidation>
    <x:dataValidation type="list" allowBlank="1" showDropDown="0" showInputMessage="0" showErrorMessage="1" sqref="C215" errorTitle="请检查输入" error="请选择列表项目或填写允许的数值。">
      <x:formula1>INDIRECT("成长候选"&amp;TEXT(IFERROR(VALUE(B215),0),"00"))</x:formula1>
    </x:dataValidation>
    <x:dataValidation type="list" allowBlank="1" showDropDown="0" showInputMessage="0" showErrorMessage="1" sqref="C216" errorTitle="请检查输入" error="请选择列表项目或填写允许的数值。">
      <x:formula1>INDIRECT("成长候选"&amp;TEXT(IFERROR(VALUE(B216),0),"00"))</x:formula1>
    </x:dataValidation>
    <x:dataValidation type="list" allowBlank="1" showDropDown="0" showInputMessage="0" showErrorMessage="1" sqref="C217" errorTitle="请检查输入" error="请选择列表项目或填写允许的数值。">
      <x:formula1>INDIRECT("成长候选"&amp;TEXT(IFERROR(VALUE(B217),0),"00"))</x:formula1>
    </x:dataValidation>
    <x:dataValidation type="list" allowBlank="1" showDropDown="0" showInputMessage="0" showErrorMessage="1" sqref="C218" errorTitle="请检查输入" error="请选择列表项目或填写允许的数值。">
      <x:formula1>INDIRECT("成长候选"&amp;TEXT(IFERROR(VALUE(B218),0),"00"))</x:formula1>
    </x:dataValidation>
    <x:dataValidation type="list" allowBlank="1" showDropDown="0" showInputMessage="0" showErrorMessage="1" sqref="C219" errorTitle="请检查输入" error="请选择列表项目或填写允许的数值。">
      <x:formula1>INDIRECT("成长候选"&amp;TEXT(IFERROR(VALUE(B219),0),"00"))</x:formula1>
    </x:dataValidation>
    <x:dataValidation type="list" allowBlank="1" showDropDown="0" showInputMessage="0" showErrorMessage="1" sqref="C220" errorTitle="请检查输入" error="请选择列表项目或填写允许的数值。">
      <x:formula1>INDIRECT("成长候选"&amp;TEXT(IFERROR(VALUE(B220),0),"00"))</x:formula1>
    </x:dataValidation>
    <x:dataValidation type="list" allowBlank="1" showDropDown="0" showInputMessage="0" showErrorMessage="1" sqref="C221" errorTitle="请检查输入" error="请选择列表项目或填写允许的数值。">
      <x:formula1>INDIRECT("成长候选"&amp;TEXT(IFERROR(VALUE(B221),0),"00"))</x:formula1>
    </x:dataValidation>
    <x:dataValidation type="list" allowBlank="1" showDropDown="0" showInputMessage="0" showErrorMessage="1" sqref="C222" errorTitle="请检查输入" error="请选择列表项目或填写允许的数值。">
      <x:formula1>INDIRECT("成长候选"&amp;TEXT(IFERROR(VALUE(B222),0),"00"))</x:formula1>
    </x:dataValidation>
    <x:dataValidation type="list" allowBlank="1" showDropDown="0" showInputMessage="0" showErrorMessage="1" sqref="C223" errorTitle="请检查输入" error="请选择列表项目或填写允许的数值。">
      <x:formula1>INDIRECT("成长候选"&amp;TEXT(IFERROR(VALUE(B223),0),"00"))</x:formula1>
    </x:dataValidation>
    <x:dataValidation type="list" allowBlank="1" showDropDown="0" showInputMessage="0" showErrorMessage="1" sqref="C224" errorTitle="请检查输入" error="请选择列表项目或填写允许的数值。">
      <x:formula1>INDIRECT("成长候选"&amp;TEXT(IFERROR(VALUE(B224),0),"00"))</x:formula1>
    </x:dataValidation>
    <x:dataValidation type="list" allowBlank="1" showDropDown="0" showInputMessage="0" showErrorMessage="1" sqref="C225" errorTitle="请检查输入" error="请选择列表项目或填写允许的数值。">
      <x:formula1>INDIRECT("成长候选"&amp;TEXT(IFERROR(VALUE(B225),0),"00"))</x:formula1>
    </x:dataValidation>
    <x:dataValidation type="list" allowBlank="1" showDropDown="0" showInputMessage="0" showErrorMessage="1" sqref="C226" errorTitle="请检查输入" error="请选择列表项目或填写允许的数值。">
      <x:formula1>INDIRECT("成长候选"&amp;TEXT(IFERROR(VALUE(B226),0),"00"))</x:formula1>
    </x:dataValidation>
    <x:dataValidation type="list" allowBlank="1" showDropDown="0" showInputMessage="0" showErrorMessage="1" sqref="C227" errorTitle="请检查输入" error="请选择列表项目或填写允许的数值。">
      <x:formula1>INDIRECT("成长候选"&amp;TEXT(IFERROR(VALUE(B227),0),"00"))</x:formula1>
    </x:dataValidation>
    <x:dataValidation type="list" allowBlank="1" showDropDown="0" showInputMessage="0" showErrorMessage="1" sqref="C228" errorTitle="请检查输入" error="请选择列表项目或填写允许的数值。">
      <x:formula1>INDIRECT("成长候选"&amp;TEXT(IFERROR(VALUE(B228),0),"00"))</x:formula1>
    </x:dataValidation>
    <x:dataValidation type="list" allowBlank="1" showDropDown="0" showInputMessage="0" showErrorMessage="1" sqref="C229" errorTitle="请检查输入" error="请选择列表项目或填写允许的数值。">
      <x:formula1>INDIRECT("成长候选"&amp;TEXT(IFERROR(VALUE(B229),0),"00"))</x:formula1>
    </x:dataValidation>
    <x:dataValidation type="list" allowBlank="1" showDropDown="0" showInputMessage="0" showErrorMessage="1" sqref="C230" errorTitle="请检查输入" error="请选择列表项目或填写允许的数值。">
      <x:formula1>INDIRECT("成长候选"&amp;TEXT(IFERROR(VALUE(B230),0),"00"))</x:formula1>
    </x:dataValidation>
    <x:dataValidation type="list" allowBlank="1" showDropDown="0" showInputMessage="0" showErrorMessage="1" sqref="C231" errorTitle="请检查输入" error="请选择列表项目或填写允许的数值。">
      <x:formula1>INDIRECT("成长候选"&amp;TEXT(IFERROR(VALUE(B231),0),"00"))</x:formula1>
    </x:dataValidation>
    <x:dataValidation type="list" allowBlank="1" showDropDown="0" showInputMessage="0" showErrorMessage="1" sqref="C232" errorTitle="请检查输入" error="请选择列表项目或填写允许的数值。">
      <x:formula1>INDIRECT("成长候选"&amp;TEXT(IFERROR(VALUE(B232),0),"00"))</x:formula1>
    </x:dataValidation>
    <x:dataValidation type="list" allowBlank="1" showDropDown="0" showInputMessage="0" showErrorMessage="1" sqref="C233" errorTitle="请检查输入" error="请选择列表项目或填写允许的数值。">
      <x:formula1>INDIRECT("成长候选"&amp;TEXT(IFERROR(VALUE(B233),0),"00"))</x:formula1>
    </x:dataValidation>
    <x:dataValidation type="list" allowBlank="1" showDropDown="0" showInputMessage="0" showErrorMessage="1" sqref="C234" errorTitle="请检查输入" error="请选择列表项目或填写允许的数值。">
      <x:formula1>INDIRECT("成长候选"&amp;TEXT(IFERROR(VALUE(B234),0),"00"))</x:formula1>
    </x:dataValidation>
    <x:dataValidation type="list" allowBlank="1" showDropDown="0" showInputMessage="0" showErrorMessage="1" sqref="C235" errorTitle="请检查输入" error="请选择列表项目或填写允许的数值。">
      <x:formula1>INDIRECT("成长候选"&amp;TEXT(IFERROR(VALUE(B235),0),"00"))</x:formula1>
    </x:dataValidation>
    <x:dataValidation type="list" allowBlank="1" showDropDown="0" showInputMessage="0" showErrorMessage="1" sqref="C236" errorTitle="请检查输入" error="请选择列表项目或填写允许的数值。">
      <x:formula1>INDIRECT("成长候选"&amp;TEXT(IFERROR(VALUE(B236),0),"00"))</x:formula1>
    </x:dataValidation>
    <x:dataValidation type="list" allowBlank="1" showDropDown="0" showInputMessage="0" showErrorMessage="1" sqref="C237" errorTitle="请检查输入" error="请选择列表项目或填写允许的数值。">
      <x:formula1>INDIRECT("成长候选"&amp;TEXT(IFERROR(VALUE(B237),0),"00"))</x:formula1>
    </x:dataValidation>
    <x:dataValidation type="list" allowBlank="1" showDropDown="0" showInputMessage="0" showErrorMessage="1" sqref="C238" errorTitle="请检查输入" error="请选择列表项目或填写允许的数值。">
      <x:formula1>INDIRECT("成长候选"&amp;TEXT(IFERROR(VALUE(B238),0),"00"))</x:formula1>
    </x:dataValidation>
    <x:dataValidation type="list" allowBlank="1" showDropDown="0" showInputMessage="0" showErrorMessage="1" sqref="C239" errorTitle="请检查输入" error="请选择列表项目或填写允许的数值。">
      <x:formula1>INDIRECT("成长候选"&amp;TEXT(IFERROR(VALUE(B239),0),"00"))</x:formula1>
    </x:dataValidation>
    <x:dataValidation type="list" allowBlank="1" showDropDown="0" showInputMessage="0" showErrorMessage="1" sqref="C240" errorTitle="请检查输入" error="请选择列表项目或填写允许的数值。">
      <x:formula1>INDIRECT("成长候选"&amp;TEXT(IFERROR(VALUE(B240),0),"00"))</x:formula1>
    </x:dataValidation>
    <x:dataValidation type="list" allowBlank="1" showDropDown="0" showInputMessage="0" showErrorMessage="1" sqref="C241" errorTitle="请检查输入" error="请选择列表项目或填写允许的数值。">
      <x:formula1>INDIRECT("成长候选"&amp;TEXT(IFERROR(VALUE(B241),0),"00"))</x:formula1>
    </x:dataValidation>
    <x:dataValidation type="list" allowBlank="1" showDropDown="0" showInputMessage="0" showErrorMessage="1" sqref="C242" errorTitle="请检查输入" error="请选择列表项目或填写允许的数值。">
      <x:formula1>INDIRECT("成长候选"&amp;TEXT(IFERROR(VALUE(B242),0),"00"))</x:formula1>
    </x:dataValidation>
    <x:dataValidation type="list" allowBlank="1" showDropDown="0" showInputMessage="0" showErrorMessage="1" sqref="C243" errorTitle="请检查输入" error="请选择列表项目或填写允许的数值。">
      <x:formula1>INDIRECT("成长候选"&amp;TEXT(IFERROR(VALUE(B243),0),"00"))</x:formula1>
    </x:dataValidation>
    <x:dataValidation type="list" allowBlank="1" showDropDown="0" showInputMessage="0" showErrorMessage="1" sqref="C244" errorTitle="请检查输入" error="请选择列表项目或填写允许的数值。">
      <x:formula1>INDIRECT("成长候选"&amp;TEXT(IFERROR(VALUE(B244),0),"00"))</x:formula1>
    </x:dataValidation>
    <x:dataValidation type="list" allowBlank="1" showDropDown="0" showInputMessage="0" showErrorMessage="1" sqref="C245" errorTitle="请检查输入" error="请选择列表项目或填写允许的数值。">
      <x:formula1>INDIRECT("成长候选"&amp;TEXT(IFERROR(VALUE(B245),0),"00"))</x:formula1>
    </x:dataValidation>
    <x:dataValidation type="list" allowBlank="1" showDropDown="0" showInputMessage="0" showErrorMessage="1" sqref="C246" errorTitle="请检查输入" error="请选择列表项目或填写允许的数值。">
      <x:formula1>INDIRECT("成长候选"&amp;TEXT(IFERROR(VALUE(B246),0),"00"))</x:formula1>
    </x:dataValidation>
    <x:dataValidation type="list" allowBlank="1" showDropDown="0" showInputMessage="0" showErrorMessage="1" sqref="C247" errorTitle="请检查输入" error="请选择列表项目或填写允许的数值。">
      <x:formula1>INDIRECT("成长候选"&amp;TEXT(IFERROR(VALUE(B247),0),"00"))</x:formula1>
    </x:dataValidation>
    <x:dataValidation type="list" allowBlank="1" showDropDown="0" showInputMessage="0" showErrorMessage="1" sqref="C248" errorTitle="请检查输入" error="请选择列表项目或填写允许的数值。">
      <x:formula1>INDIRECT("成长候选"&amp;TEXT(IFERROR(VALUE(B248),0),"00"))</x:formula1>
    </x:dataValidation>
    <x:dataValidation type="list" allowBlank="1" showDropDown="0" showInputMessage="0" showErrorMessage="1" sqref="C249" errorTitle="请检查输入" error="请选择列表项目或填写允许的数值。">
      <x:formula1>INDIRECT("成长候选"&amp;TEXT(IFERROR(VALUE(B249),0),"00"))</x:formula1>
    </x:dataValidation>
    <x:dataValidation type="list" allowBlank="1" showDropDown="0" showInputMessage="0" showErrorMessage="1" sqref="C250" errorTitle="请检查输入" error="请选择列表项目或填写允许的数值。">
      <x:formula1>INDIRECT("成长候选"&amp;TEXT(IFERROR(VALUE(B250),0),"00"))</x:formula1>
    </x:dataValidation>
    <x:dataValidation type="list" allowBlank="1" showDropDown="0" showInputMessage="0" showErrorMessage="1" sqref="C251" errorTitle="请检查输入" error="请选择列表项目或填写允许的数值。">
      <x:formula1>INDIRECT("成长候选"&amp;TEXT(IFERROR(VALUE(B251),0),"00"))</x:formula1>
    </x:dataValidation>
    <x:dataValidation type="list" allowBlank="1" showDropDown="0" showInputMessage="0" showErrorMessage="1" sqref="C252" errorTitle="请检查输入" error="请选择列表项目或填写允许的数值。">
      <x:formula1>INDIRECT("成长候选"&amp;TEXT(IFERROR(VALUE(B252),0),"00"))</x:formula1>
    </x:dataValidation>
    <x:dataValidation type="list" allowBlank="1" showDropDown="0" showInputMessage="0" showErrorMessage="1" sqref="C253" errorTitle="请检查输入" error="请选择列表项目或填写允许的数值。">
      <x:formula1>INDIRECT("成长候选"&amp;TEXT(IFERROR(VALUE(B253),0),"00"))</x:formula1>
    </x:dataValidation>
    <x:dataValidation type="list" allowBlank="1" showDropDown="0" showInputMessage="0" showErrorMessage="1" sqref="C254" errorTitle="请检查输入" error="请选择列表项目或填写允许的数值。">
      <x:formula1>INDIRECT("成长候选"&amp;TEXT(IFERROR(VALUE(B254),0),"00"))</x:formula1>
    </x:dataValidation>
    <x:dataValidation type="list" allowBlank="1" showDropDown="0" showInputMessage="0" showErrorMessage="1" sqref="C255" errorTitle="请检查输入" error="请选择列表项目或填写允许的数值。">
      <x:formula1>INDIRECT("成长候选"&amp;TEXT(IFERROR(VALUE(B255),0),"00"))</x:formula1>
    </x:dataValidation>
    <x:dataValidation type="list" allowBlank="1" showDropDown="0" showInputMessage="0" showErrorMessage="1" sqref="C256" errorTitle="请检查输入" error="请选择列表项目或填写允许的数值。">
      <x:formula1>INDIRECT("成长候选"&amp;TEXT(IFERROR(VALUE(B256),0),"00"))</x:formula1>
    </x:dataValidation>
    <x:dataValidation type="list" allowBlank="1" showDropDown="0" showInputMessage="0" showErrorMessage="1" sqref="C257" errorTitle="请检查输入" error="请选择列表项目或填写允许的数值。">
      <x:formula1>INDIRECT("成长候选"&amp;TEXT(IFERROR(VALUE(B257),0),"00"))</x:formula1>
    </x:dataValidation>
    <x:dataValidation type="list" allowBlank="1" showDropDown="0" showInputMessage="0" showErrorMessage="1" sqref="C258" errorTitle="请检查输入" error="请选择列表项目或填写允许的数值。">
      <x:formula1>INDIRECT("成长候选"&amp;TEXT(IFERROR(VALUE(B258),0),"00"))</x:formula1>
    </x:dataValidation>
    <x:dataValidation type="list" allowBlank="1" showDropDown="0" showInputMessage="0" showErrorMessage="1" sqref="C259" errorTitle="请检查输入" error="请选择列表项目或填写允许的数值。">
      <x:formula1>INDIRECT("成长候选"&amp;TEXT(IFERROR(VALUE(B259),0),"00"))</x:formula1>
    </x:dataValidation>
    <x:dataValidation type="list" allowBlank="1" showDropDown="0" showInputMessage="0" showErrorMessage="1" sqref="C260" errorTitle="请检查输入" error="请选择列表项目或填写允许的数值。">
      <x:formula1>INDIRECT("成长候选"&amp;TEXT(IFERROR(VALUE(B260),0),"00"))</x:formula1>
    </x:dataValidation>
    <x:dataValidation type="list" allowBlank="1" showDropDown="0" showInputMessage="0" showErrorMessage="1" sqref="C261" errorTitle="请检查输入" error="请选择列表项目或填写允许的数值。">
      <x:formula1>INDIRECT("成长候选"&amp;TEXT(IFERROR(VALUE(B261),0),"00"))</x:formula1>
    </x:dataValidation>
    <x:dataValidation type="list" allowBlank="1" showDropDown="0" showInputMessage="0" showErrorMessage="1" sqref="C262" errorTitle="请检查输入" error="请选择列表项目或填写允许的数值。">
      <x:formula1>INDIRECT("成长候选"&amp;TEXT(IFERROR(VALUE(B262),0),"00"))</x:formula1>
    </x:dataValidation>
    <x:dataValidation type="list" allowBlank="1" showDropDown="0" showInputMessage="0" showErrorMessage="1" sqref="C263" errorTitle="请检查输入" error="请选择列表项目或填写允许的数值。">
      <x:formula1>INDIRECT("成长候选"&amp;TEXT(IFERROR(VALUE(B263),0),"00"))</x:formula1>
    </x:dataValidation>
    <x:dataValidation type="list" allowBlank="1" showDropDown="0" showInputMessage="0" showErrorMessage="1" sqref="C264" errorTitle="请检查输入" error="请选择列表项目或填写允许的数值。">
      <x:formula1>INDIRECT("成长候选"&amp;TEXT(IFERROR(VALUE(B264),0),"00"))</x:formula1>
    </x:dataValidation>
    <x:dataValidation type="list" allowBlank="1" showDropDown="0" showInputMessage="0" showErrorMessage="1" sqref="C265" errorTitle="请检查输入" error="请选择列表项目或填写允许的数值。">
      <x:formula1>INDIRECT("成长候选"&amp;TEXT(IFERROR(VALUE(B265),0),"00"))</x:formula1>
    </x:dataValidation>
    <x:dataValidation type="list" allowBlank="1" showDropDown="0" showInputMessage="0" showErrorMessage="1" sqref="C266" errorTitle="请检查输入" error="请选择列表项目或填写允许的数值。">
      <x:formula1>INDIRECT("成长候选"&amp;TEXT(IFERROR(VALUE(B266),0),"00"))</x:formula1>
    </x:dataValidation>
    <x:dataValidation type="list" allowBlank="1" showDropDown="0" showInputMessage="0" showErrorMessage="1" sqref="C267" errorTitle="请检查输入" error="请选择列表项目或填写允许的数值。">
      <x:formula1>INDIRECT("成长候选"&amp;TEXT(IFERROR(VALUE(B267),0),"00"))</x:formula1>
    </x:dataValidation>
    <x:dataValidation type="list" allowBlank="1" showDropDown="0" showInputMessage="0" showErrorMessage="1" sqref="C268" errorTitle="请检查输入" error="请选择列表项目或填写允许的数值。">
      <x:formula1>INDIRECT("成长候选"&amp;TEXT(IFERROR(VALUE(B268),0),"00"))</x:formula1>
    </x:dataValidation>
    <x:dataValidation type="list" allowBlank="1" showDropDown="0" showInputMessage="0" showErrorMessage="1" sqref="C269" errorTitle="请检查输入" error="请选择列表项目或填写允许的数值。">
      <x:formula1>INDIRECT("成长候选"&amp;TEXT(IFERROR(VALUE(B269),0),"00"))</x:formula1>
    </x:dataValidation>
    <x:dataValidation type="list" allowBlank="1" showDropDown="0" showInputMessage="0" showErrorMessage="1" sqref="C270" errorTitle="请检查输入" error="请选择列表项目或填写允许的数值。">
      <x:formula1>INDIRECT("成长候选"&amp;TEXT(IFERROR(VALUE(B270),0),"00"))</x:formula1>
    </x:dataValidation>
    <x:dataValidation type="list" allowBlank="1" showDropDown="0" showInputMessage="0" showErrorMessage="1" sqref="C271" errorTitle="请检查输入" error="请选择列表项目或填写允许的数值。">
      <x:formula1>INDIRECT("成长候选"&amp;TEXT(IFERROR(VALUE(B271),0),"00"))</x:formula1>
    </x:dataValidation>
    <x:dataValidation type="list" allowBlank="1" showDropDown="0" showInputMessage="0" showErrorMessage="1" sqref="C272" errorTitle="请检查输入" error="请选择列表项目或填写允许的数值。">
      <x:formula1>INDIRECT("成长候选"&amp;TEXT(IFERROR(VALUE(B272),0),"00"))</x:formula1>
    </x:dataValidation>
    <x:dataValidation type="list" allowBlank="1" showDropDown="0" showInputMessage="0" showErrorMessage="1" sqref="C273" errorTitle="请检查输入" error="请选择列表项目或填写允许的数值。">
      <x:formula1>INDIRECT("成长候选"&amp;TEXT(IFERROR(VALUE(B273),0),"00"))</x:formula1>
    </x:dataValidation>
    <x:dataValidation type="list" allowBlank="1" showDropDown="0" showInputMessage="0" showErrorMessage="1" sqref="C274" errorTitle="请检查输入" error="请选择列表项目或填写允许的数值。">
      <x:formula1>INDIRECT("成长候选"&amp;TEXT(IFERROR(VALUE(B274),0),"00"))</x:formula1>
    </x:dataValidation>
    <x:dataValidation type="list" allowBlank="1" showDropDown="0" showInputMessage="0" showErrorMessage="1" sqref="C275" errorTitle="请检查输入" error="请选择列表项目或填写允许的数值。">
      <x:formula1>INDIRECT("成长候选"&amp;TEXT(IFERROR(VALUE(B275),0),"00"))</x:formula1>
    </x:dataValidation>
    <x:dataValidation type="list" allowBlank="1" showDropDown="0" showInputMessage="0" showErrorMessage="1" sqref="C276" errorTitle="请检查输入" error="请选择列表项目或填写允许的数值。">
      <x:formula1>INDIRECT("成长候选"&amp;TEXT(IFERROR(VALUE(B276),0),"00"))</x:formula1>
    </x:dataValidation>
    <x:dataValidation type="list" allowBlank="1" showDropDown="0" showInputMessage="0" showErrorMessage="1" sqref="C277" errorTitle="请检查输入" error="请选择列表项目或填写允许的数值。">
      <x:formula1>INDIRECT("成长候选"&amp;TEXT(IFERROR(VALUE(B277),0),"00"))</x:formula1>
    </x:dataValidation>
    <x:dataValidation type="list" allowBlank="1" showDropDown="0" showInputMessage="0" showErrorMessage="1" sqref="C278" errorTitle="请检查输入" error="请选择列表项目或填写允许的数值。">
      <x:formula1>INDIRECT("成长候选"&amp;TEXT(IFERROR(VALUE(B278),0),"00"))</x:formula1>
    </x:dataValidation>
    <x:dataValidation type="list" allowBlank="1" showDropDown="0" showInputMessage="0" showErrorMessage="1" sqref="C279" errorTitle="请检查输入" error="请选择列表项目或填写允许的数值。">
      <x:formula1>INDIRECT("成长候选"&amp;TEXT(IFERROR(VALUE(B279),0),"00"))</x:formula1>
    </x:dataValidation>
    <x:dataValidation type="list" allowBlank="1" showDropDown="0" showInputMessage="0" showErrorMessage="1" sqref="C280" errorTitle="请检查输入" error="请选择列表项目或填写允许的数值。">
      <x:formula1>INDIRECT("成长候选"&amp;TEXT(IFERROR(VALUE(B280),0),"00"))</x:formula1>
    </x:dataValidation>
    <x:dataValidation type="list" allowBlank="1" showDropDown="0" showInputMessage="0" showErrorMessage="1" sqref="C281" errorTitle="请检查输入" error="请选择列表项目或填写允许的数值。">
      <x:formula1>INDIRECT("成长候选"&amp;TEXT(IFERROR(VALUE(B281),0),"00"))</x:formula1>
    </x:dataValidation>
    <x:dataValidation type="list" allowBlank="1" showDropDown="0" showInputMessage="0" showErrorMessage="1" sqref="C282" errorTitle="请检查输入" error="请选择列表项目或填写允许的数值。">
      <x:formula1>INDIRECT("成长候选"&amp;TEXT(IFERROR(VALUE(B282),0),"00"))</x:formula1>
    </x:dataValidation>
    <x:dataValidation type="list" allowBlank="1" showDropDown="0" showInputMessage="0" showErrorMessage="1" sqref="C283" errorTitle="请检查输入" error="请选择列表项目或填写允许的数值。">
      <x:formula1>INDIRECT("成长候选"&amp;TEXT(IFERROR(VALUE(B283),0),"00"))</x:formula1>
    </x:dataValidation>
    <x:dataValidation type="list" allowBlank="1" showDropDown="0" showInputMessage="0" showErrorMessage="1" sqref="C284" errorTitle="请检查输入" error="请选择列表项目或填写允许的数值。">
      <x:formula1>INDIRECT("成长候选"&amp;TEXT(IFERROR(VALUE(B284),0),"00"))</x:formula1>
    </x:dataValidation>
    <x:dataValidation type="list" allowBlank="1" showDropDown="0" showInputMessage="0" showErrorMessage="1" sqref="C285" errorTitle="请检查输入" error="请选择列表项目或填写允许的数值。">
      <x:formula1>INDIRECT("成长候选"&amp;TEXT(IFERROR(VALUE(B285),0),"00"))</x:formula1>
    </x:dataValidation>
    <x:dataValidation type="list" allowBlank="1" showDropDown="0" showInputMessage="0" showErrorMessage="1" sqref="C286" errorTitle="请检查输入" error="请选择列表项目或填写允许的数值。">
      <x:formula1>INDIRECT("成长候选"&amp;TEXT(IFERROR(VALUE(B286),0),"00"))</x:formula1>
    </x:dataValidation>
    <x:dataValidation type="list" allowBlank="1" showDropDown="0" showInputMessage="0" showErrorMessage="1" sqref="C287" errorTitle="请检查输入" error="请选择列表项目或填写允许的数值。">
      <x:formula1>INDIRECT("成长候选"&amp;TEXT(IFERROR(VALUE(B287),0),"00"))</x:formula1>
    </x:dataValidation>
    <x:dataValidation type="list" allowBlank="1" showDropDown="0" showInputMessage="0" showErrorMessage="1" sqref="C288" errorTitle="请检查输入" error="请选择列表项目或填写允许的数值。">
      <x:formula1>INDIRECT("成长候选"&amp;TEXT(IFERROR(VALUE(B288),0),"00"))</x:formula1>
    </x:dataValidation>
    <x:dataValidation type="list" allowBlank="1" showDropDown="0" showInputMessage="0" showErrorMessage="1" sqref="C289" errorTitle="请检查输入" error="请选择列表项目或填写允许的数值。">
      <x:formula1>INDIRECT("成长候选"&amp;TEXT(IFERROR(VALUE(B289),0),"00"))</x:formula1>
    </x:dataValidation>
    <x:dataValidation type="list" allowBlank="1" showDropDown="0" showInputMessage="0" showErrorMessage="1" sqref="C290" errorTitle="请检查输入" error="请选择列表项目或填写允许的数值。">
      <x:formula1>INDIRECT("成长候选"&amp;TEXT(IFERROR(VALUE(B290),0),"00"))</x:formula1>
    </x:dataValidation>
    <x:dataValidation type="list" allowBlank="1" showDropDown="0" showInputMessage="0" showErrorMessage="1" sqref="C291" errorTitle="请检查输入" error="请选择列表项目或填写允许的数值。">
      <x:formula1>INDIRECT("成长候选"&amp;TEXT(IFERROR(VALUE(B291),0),"00"))</x:formula1>
    </x:dataValidation>
    <x:dataValidation type="list" allowBlank="1" showDropDown="0" showInputMessage="0" showErrorMessage="1" sqref="C292" errorTitle="请检查输入" error="请选择列表项目或填写允许的数值。">
      <x:formula1>INDIRECT("成长候选"&amp;TEXT(IFERROR(VALUE(B292),0),"00"))</x:formula1>
    </x:dataValidation>
    <x:dataValidation type="list" allowBlank="1" showDropDown="0" showInputMessage="0" showErrorMessage="1" sqref="C293" errorTitle="请检查输入" error="请选择列表项目或填写允许的数值。">
      <x:formula1>INDIRECT("成长候选"&amp;TEXT(IFERROR(VALUE(B293),0),"00"))</x:formula1>
    </x:dataValidation>
    <x:dataValidation type="list" allowBlank="1" showDropDown="0" showInputMessage="0" showErrorMessage="1" sqref="C294" errorTitle="请检查输入" error="请选择列表项目或填写允许的数值。">
      <x:formula1>INDIRECT("成长候选"&amp;TEXT(IFERROR(VALUE(B294),0),"00"))</x:formula1>
    </x:dataValidation>
    <x:dataValidation type="list" allowBlank="1" showDropDown="0" showInputMessage="0" showErrorMessage="1" sqref="C295" errorTitle="请检查输入" error="请选择列表项目或填写允许的数值。">
      <x:formula1>INDIRECT("成长候选"&amp;TEXT(IFERROR(VALUE(B295),0),"00"))</x:formula1>
    </x:dataValidation>
    <x:dataValidation type="list" allowBlank="1" showDropDown="0" showInputMessage="0" showErrorMessage="1" sqref="C296" errorTitle="请检查输入" error="请选择列表项目或填写允许的数值。">
      <x:formula1>INDIRECT("成长候选"&amp;TEXT(IFERROR(VALUE(B296),0),"00"))</x:formula1>
    </x:dataValidation>
    <x:dataValidation type="list" allowBlank="1" showDropDown="0" showInputMessage="0" showErrorMessage="1" sqref="C297" errorTitle="请检查输入" error="请选择列表项目或填写允许的数值。">
      <x:formula1>INDIRECT("成长候选"&amp;TEXT(IFERROR(VALUE(B297),0),"00"))</x:formula1>
    </x:dataValidation>
    <x:dataValidation type="list" allowBlank="1" showDropDown="0" showInputMessage="0" showErrorMessage="1" sqref="C298" errorTitle="请检查输入" error="请选择列表项目或填写允许的数值。">
      <x:formula1>INDIRECT("成长候选"&amp;TEXT(IFERROR(VALUE(B298),0),"00"))</x:formula1>
    </x:dataValidation>
    <x:dataValidation type="list" allowBlank="1" showDropDown="0" showInputMessage="0" showErrorMessage="1" sqref="C299" errorTitle="请检查输入" error="请选择列表项目或填写允许的数值。">
      <x:formula1>INDIRECT("成长候选"&amp;TEXT(IFERROR(VALUE(B299),0),"00"))</x:formula1>
    </x:dataValidation>
    <x:dataValidation type="list" allowBlank="1" showDropDown="0" showInputMessage="0" showErrorMessage="1" sqref="C300" errorTitle="请检查输入" error="请选择列表项目或填写允许的数值。">
      <x:formula1>INDIRECT("成长候选"&amp;TEXT(IFERROR(VALUE(B300),0),"00"))</x:formula1>
    </x:dataValidation>
    <x:dataValidation type="list" allowBlank="1" showDropDown="0" showInputMessage="0" showErrorMessage="1" sqref="C301" errorTitle="请检查输入" error="请选择列表项目或填写允许的数值。">
      <x:formula1>INDIRECT("成长候选"&amp;TEXT(IFERROR(VALUE(B301),0),"00"))</x:formula1>
    </x:dataValidation>
    <x:dataValidation type="list" allowBlank="1" showDropDown="0" showInputMessage="0" showErrorMessage="1" sqref="C302" errorTitle="请检查输入" error="请选择列表项目或填写允许的数值。">
      <x:formula1>INDIRECT("成长候选"&amp;TEXT(IFERROR(VALUE(B302),0),"00"))</x:formula1>
    </x:dataValidation>
    <x:dataValidation type="list" allowBlank="1" showDropDown="0" showInputMessage="0" showErrorMessage="1" sqref="C303" errorTitle="请检查输入" error="请选择列表项目或填写允许的数值。">
      <x:formula1>INDIRECT("成长候选"&amp;TEXT(IFERROR(VALUE(B303),0),"00"))</x:formula1>
    </x:dataValidation>
    <x:dataValidation type="list" allowBlank="1" showDropDown="0" showInputMessage="0" showErrorMessage="1" sqref="C304" errorTitle="请检查输入" error="请选择列表项目或填写允许的数值。">
      <x:formula1>INDIRECT("成长候选"&amp;TEXT(IFERROR(VALUE(B304),0),"00"))</x:formula1>
    </x:dataValidation>
    <x:dataValidation type="list" allowBlank="1" showDropDown="0" showInputMessage="0" showErrorMessage="1" sqref="C305" errorTitle="请检查输入" error="请选择列表项目或填写允许的数值。">
      <x:formula1>INDIRECT("成长候选"&amp;TEXT(IFERROR(VALUE(B305),0),"00"))</x:formula1>
    </x:dataValidation>
    <x:dataValidation type="list" allowBlank="1" showDropDown="0" showInputMessage="0" showErrorMessage="1" sqref="C306" errorTitle="请检查输入" error="请选择列表项目或填写允许的数值。">
      <x:formula1>INDIRECT("成长候选"&amp;TEXT(IFERROR(VALUE(B306),0),"00"))</x:formula1>
    </x:dataValidation>
    <x:dataValidation type="list" allowBlank="1" showDropDown="0" showInputMessage="0" showErrorMessage="1" sqref="C307" errorTitle="请检查输入" error="请选择列表项目或填写允许的数值。">
      <x:formula1>INDIRECT("成长候选"&amp;TEXT(IFERROR(VALUE(B307),0),"00"))</x:formula1>
    </x:dataValidation>
    <x:dataValidation type="list" allowBlank="1" showDropDown="0" showInputMessage="0" showErrorMessage="1" sqref="C308" errorTitle="请检查输入" error="请选择列表项目或填写允许的数值。">
      <x:formula1>INDIRECT("成长候选"&amp;TEXT(IFERROR(VALUE(B308),0),"00"))</x:formula1>
    </x:dataValidation>
    <x:dataValidation type="list" allowBlank="1" showDropDown="0" showInputMessage="0" showErrorMessage="1" sqref="C309" errorTitle="请检查输入" error="请选择列表项目或填写允许的数值。">
      <x:formula1>INDIRECT("成长候选"&amp;TEXT(IFERROR(VALUE(B309),0),"00"))</x:formula1>
    </x:dataValidation>
    <x:dataValidation type="list" allowBlank="1" showDropDown="0" showInputMessage="0" showErrorMessage="1" sqref="C310" errorTitle="请检查输入" error="请选择列表项目或填写允许的数值。">
      <x:formula1>INDIRECT("成长候选"&amp;TEXT(IFERROR(VALUE(B310),0),"00"))</x:formula1>
    </x:dataValidation>
    <x:dataValidation type="list" allowBlank="1" showDropDown="0" showInputMessage="0" showErrorMessage="1" sqref="C311" errorTitle="请检查输入" error="请选择列表项目或填写允许的数值。">
      <x:formula1>INDIRECT("成长候选"&amp;TEXT(IFERROR(VALUE(B311),0),"00"))</x:formula1>
    </x:dataValidation>
    <x:dataValidation type="list" allowBlank="1" showDropDown="0" showInputMessage="0" showErrorMessage="1" sqref="C312" errorTitle="请检查输入" error="请选择列表项目或填写允许的数值。">
      <x:formula1>INDIRECT("成长候选"&amp;TEXT(IFERROR(VALUE(B312),0),"00"))</x:formula1>
    </x:dataValidation>
    <x:dataValidation type="list" allowBlank="1" showDropDown="0" showInputMessage="0" showErrorMessage="1" sqref="C313" errorTitle="请检查输入" error="请选择列表项目或填写允许的数值。">
      <x:formula1>INDIRECT("成长候选"&amp;TEXT(IFERROR(VALUE(B313),0),"00"))</x:formula1>
    </x:dataValidation>
    <x:dataValidation type="list" allowBlank="1" showDropDown="0" showInputMessage="0" showErrorMessage="1" sqref="C314" errorTitle="请检查输入" error="请选择列表项目或填写允许的数值。">
      <x:formula1>INDIRECT("成长候选"&amp;TEXT(IFERROR(VALUE(B314),0),"00"))</x:formula1>
    </x:dataValidation>
    <x:dataValidation type="list" allowBlank="1" showDropDown="0" showInputMessage="0" showErrorMessage="1" sqref="C315" errorTitle="请检查输入" error="请选择列表项目或填写允许的数值。">
      <x:formula1>INDIRECT("成长候选"&amp;TEXT(IFERROR(VALUE(B315),0),"00"))</x:formula1>
    </x:dataValidation>
    <x:dataValidation type="list" allowBlank="1" showDropDown="0" showInputMessage="0" showErrorMessage="1" sqref="C316" errorTitle="请检查输入" error="请选择列表项目或填写允许的数值。">
      <x:formula1>INDIRECT("成长候选"&amp;TEXT(IFERROR(VALUE(B316),0),"00"))</x:formula1>
    </x:dataValidation>
    <x:dataValidation type="list" allowBlank="1" showDropDown="0" showInputMessage="0" showErrorMessage="1" sqref="C317" errorTitle="请检查输入" error="请选择列表项目或填写允许的数值。">
      <x:formula1>INDIRECT("成长候选"&amp;TEXT(IFERROR(VALUE(B317),0),"00"))</x:formula1>
    </x:dataValidation>
    <x:dataValidation type="list" allowBlank="1" showDropDown="0" showInputMessage="0" showErrorMessage="1" sqref="C318" errorTitle="请检查输入" error="请选择列表项目或填写允许的数值。">
      <x:formula1>INDIRECT("成长候选"&amp;TEXT(IFERROR(VALUE(B318),0),"00"))</x:formula1>
    </x:dataValidation>
    <x:dataValidation type="list" allowBlank="1" showDropDown="0" showInputMessage="0" showErrorMessage="1" sqref="C319" errorTitle="请检查输入" error="请选择列表项目或填写允许的数值。">
      <x:formula1>INDIRECT("成长候选"&amp;TEXT(IFERROR(VALUE(B319),0),"00"))</x:formula1>
    </x:dataValidation>
    <x:dataValidation type="list" allowBlank="1" showDropDown="0" showInputMessage="0" showErrorMessage="1" sqref="C320" errorTitle="请检查输入" error="请选择列表项目或填写允许的数值。">
      <x:formula1>INDIRECT("成长候选"&amp;TEXT(IFERROR(VALUE(B320),0),"00"))</x:formula1>
    </x:dataValidation>
    <x:dataValidation type="list" allowBlank="1" showDropDown="0" showInputMessage="0" showErrorMessage="1" sqref="C321" errorTitle="请检查输入" error="请选择列表项目或填写允许的数值。">
      <x:formula1>INDIRECT("成长候选"&amp;TEXT(IFERROR(VALUE(B321),0),"00"))</x:formula1>
    </x:dataValidation>
    <x:dataValidation type="list" allowBlank="1" showDropDown="0" showInputMessage="0" showErrorMessage="1" sqref="C322" errorTitle="请检查输入" error="请选择列表项目或填写允许的数值。">
      <x:formula1>INDIRECT("成长候选"&amp;TEXT(IFERROR(VALUE(B322),0),"00"))</x:formula1>
    </x:dataValidation>
    <x:dataValidation type="list" allowBlank="1" showDropDown="0" showInputMessage="0" showErrorMessage="1" sqref="C323" errorTitle="请检查输入" error="请选择列表项目或填写允许的数值。">
      <x:formula1>INDIRECT("成长候选"&amp;TEXT(IFERROR(VALUE(B323),0),"00"))</x:formula1>
    </x:dataValidation>
    <x:dataValidation type="list" allowBlank="1" showDropDown="0" showInputMessage="0" showErrorMessage="1" sqref="C324" errorTitle="请检查输入" error="请选择列表项目或填写允许的数值。">
      <x:formula1>INDIRECT("成长候选"&amp;TEXT(IFERROR(VALUE(B324),0),"00"))</x:formula1>
    </x:dataValidation>
    <x:dataValidation type="list" allowBlank="1" showDropDown="0" showInputMessage="0" showErrorMessage="1" sqref="C325" errorTitle="请检查输入" error="请选择列表项目或填写允许的数值。">
      <x:formula1>INDIRECT("成长候选"&amp;TEXT(IFERROR(VALUE(B325),0),"00"))</x:formula1>
    </x:dataValidation>
    <x:dataValidation type="list" allowBlank="1" showDropDown="0" showInputMessage="0" showErrorMessage="1" sqref="C326" errorTitle="请检查输入" error="请选择列表项目或填写允许的数值。">
      <x:formula1>INDIRECT("成长候选"&amp;TEXT(IFERROR(VALUE(B326),0),"00"))</x:formula1>
    </x:dataValidation>
    <x:dataValidation type="list" allowBlank="1" showDropDown="0" showInputMessage="0" showErrorMessage="1" sqref="C327" errorTitle="请检查输入" error="请选择列表项目或填写允许的数值。">
      <x:formula1>INDIRECT("成长候选"&amp;TEXT(IFERROR(VALUE(B327),0),"00"))</x:formula1>
    </x:dataValidation>
    <x:dataValidation type="list" allowBlank="1" showDropDown="0" showInputMessage="0" showErrorMessage="1" sqref="C328" errorTitle="请检查输入" error="请选择列表项目或填写允许的数值。">
      <x:formula1>INDIRECT("成长候选"&amp;TEXT(IFERROR(VALUE(B328),0),"00"))</x:formula1>
    </x:dataValidation>
    <x:dataValidation type="list" allowBlank="1" showDropDown="0" showInputMessage="0" showErrorMessage="1" sqref="C329" errorTitle="请检查输入" error="请选择列表项目或填写允许的数值。">
      <x:formula1>INDIRECT("成长候选"&amp;TEXT(IFERROR(VALUE(B329),0),"00"))</x:formula1>
    </x:dataValidation>
    <x:dataValidation type="list" allowBlank="1" showDropDown="0" showInputMessage="0" showErrorMessage="1" sqref="C330" errorTitle="请检查输入" error="请选择列表项目或填写允许的数值。">
      <x:formula1>INDIRECT("成长候选"&amp;TEXT(IFERROR(VALUE(B330),0),"00"))</x:formula1>
    </x:dataValidation>
    <x:dataValidation type="list" allowBlank="1" showDropDown="0" showInputMessage="0" showErrorMessage="1" sqref="C331" errorTitle="请检查输入" error="请选择列表项目或填写允许的数值。">
      <x:formula1>INDIRECT("成长候选"&amp;TEXT(IFERROR(VALUE(B331),0),"00"))</x:formula1>
    </x:dataValidation>
    <x:dataValidation type="list" allowBlank="1" showDropDown="0" showInputMessage="0" showErrorMessage="1" sqref="C332" errorTitle="请检查输入" error="请选择列表项目或填写允许的数值。">
      <x:formula1>INDIRECT("成长候选"&amp;TEXT(IFERROR(VALUE(B332),0),"00"))</x:formula1>
    </x:dataValidation>
    <x:dataValidation type="list" allowBlank="1" showDropDown="0" showInputMessage="0" showErrorMessage="1" sqref="C333" errorTitle="请检查输入" error="请选择列表项目或填写允许的数值。">
      <x:formula1>INDIRECT("成长候选"&amp;TEXT(IFERROR(VALUE(B333),0),"00"))</x:formula1>
    </x:dataValidation>
    <x:dataValidation type="list" allowBlank="1" showDropDown="0" showInputMessage="0" showErrorMessage="1" sqref="C334" errorTitle="请检查输入" error="请选择列表项目或填写允许的数值。">
      <x:formula1>INDIRECT("成长候选"&amp;TEXT(IFERROR(VALUE(B334),0),"00"))</x:formula1>
    </x:dataValidation>
    <x:dataValidation type="list" allowBlank="1" showDropDown="0" showInputMessage="0" showErrorMessage="1" sqref="C335" errorTitle="请检查输入" error="请选择列表项目或填写允许的数值。">
      <x:formula1>INDIRECT("成长候选"&amp;TEXT(IFERROR(VALUE(B335),0),"00"))</x:formula1>
    </x:dataValidation>
    <x:dataValidation type="list" allowBlank="1" showDropDown="0" showInputMessage="0" showErrorMessage="1" sqref="C336" errorTitle="请检查输入" error="请选择列表项目或填写允许的数值。">
      <x:formula1>INDIRECT("成长候选"&amp;TEXT(IFERROR(VALUE(B336),0),"00"))</x:formula1>
    </x:dataValidation>
    <x:dataValidation type="list" allowBlank="1" showDropDown="0" showInputMessage="0" showErrorMessage="1" sqref="C337" errorTitle="请检查输入" error="请选择列表项目或填写允许的数值。">
      <x:formula1>INDIRECT("成长候选"&amp;TEXT(IFERROR(VALUE(B337),0),"00"))</x:formula1>
    </x:dataValidation>
    <x:dataValidation type="list" allowBlank="1" showDropDown="0" showInputMessage="0" showErrorMessage="1" sqref="C338" errorTitle="请检查输入" error="请选择列表项目或填写允许的数值。">
      <x:formula1>INDIRECT("成长候选"&amp;TEXT(IFERROR(VALUE(B338),0),"00"))</x:formula1>
    </x:dataValidation>
    <x:dataValidation type="list" allowBlank="1" showDropDown="0" showInputMessage="0" showErrorMessage="1" sqref="C339" errorTitle="请检查输入" error="请选择列表项目或填写允许的数值。">
      <x:formula1>INDIRECT("成长候选"&amp;TEXT(IFERROR(VALUE(B339),0),"00"))</x:formula1>
    </x:dataValidation>
    <x:dataValidation type="list" allowBlank="1" showDropDown="0" showInputMessage="0" showErrorMessage="1" sqref="C340" errorTitle="请检查输入" error="请选择列表项目或填写允许的数值。">
      <x:formula1>INDIRECT("成长候选"&amp;TEXT(IFERROR(VALUE(B340),0),"00"))</x:formula1>
    </x:dataValidation>
    <x:dataValidation type="list" allowBlank="1" showDropDown="0" showInputMessage="0" showErrorMessage="1" sqref="C341" errorTitle="请检查输入" error="请选择列表项目或填写允许的数值。">
      <x:formula1>INDIRECT("成长候选"&amp;TEXT(IFERROR(VALUE(B341),0),"00"))</x:formula1>
    </x:dataValidation>
    <x:dataValidation type="list" allowBlank="1" showDropDown="0" showInputMessage="0" showErrorMessage="1" sqref="C342" errorTitle="请检查输入" error="请选择列表项目或填写允许的数值。">
      <x:formula1>INDIRECT("成长候选"&amp;TEXT(IFERROR(VALUE(B342),0),"00"))</x:formula1>
    </x:dataValidation>
    <x:dataValidation type="list" allowBlank="1" showDropDown="0" showInputMessage="0" showErrorMessage="1" sqref="C343" errorTitle="请检查输入" error="请选择列表项目或填写允许的数值。">
      <x:formula1>INDIRECT("成长候选"&amp;TEXT(IFERROR(VALUE(B343),0),"00"))</x:formula1>
    </x:dataValidation>
    <x:dataValidation type="list" allowBlank="1" showDropDown="0" showInputMessage="0" showErrorMessage="1" sqref="C344" errorTitle="请检查输入" error="请选择列表项目或填写允许的数值。">
      <x:formula1>INDIRECT("成长候选"&amp;TEXT(IFERROR(VALUE(B344),0),"00"))</x:formula1>
    </x:dataValidation>
    <x:dataValidation type="list" allowBlank="1" showDropDown="0" showInputMessage="0" showErrorMessage="1" sqref="C345" errorTitle="请检查输入" error="请选择列表项目或填写允许的数值。">
      <x:formula1>INDIRECT("成长候选"&amp;TEXT(IFERROR(VALUE(B345),0),"00"))</x:formula1>
    </x:dataValidation>
    <x:dataValidation type="list" allowBlank="1" showDropDown="0" showInputMessage="0" showErrorMessage="1" sqref="C346" errorTitle="请检查输入" error="请选择列表项目或填写允许的数值。">
      <x:formula1>INDIRECT("成长候选"&amp;TEXT(IFERROR(VALUE(B346),0),"00"))</x:formula1>
    </x:dataValidation>
    <x:dataValidation type="list" allowBlank="1" showDropDown="0" showInputMessage="0" showErrorMessage="1" sqref="C347" errorTitle="请检查输入" error="请选择列表项目或填写允许的数值。">
      <x:formula1>INDIRECT("成长候选"&amp;TEXT(IFERROR(VALUE(B347),0),"00"))</x:formula1>
    </x:dataValidation>
    <x:dataValidation type="list" allowBlank="1" showDropDown="0" showInputMessage="0" showErrorMessage="1" sqref="C348" errorTitle="请检查输入" error="请选择列表项目或填写允许的数值。">
      <x:formula1>INDIRECT("成长候选"&amp;TEXT(IFERROR(VALUE(B348),0),"00"))</x:formula1>
    </x:dataValidation>
    <x:dataValidation type="list" allowBlank="1" showDropDown="0" showInputMessage="0" showErrorMessage="1" sqref="C349" errorTitle="请检查输入" error="请选择列表项目或填写允许的数值。">
      <x:formula1>INDIRECT("成长候选"&amp;TEXT(IFERROR(VALUE(B349),0),"00"))</x:formula1>
    </x:dataValidation>
    <x:dataValidation type="list" allowBlank="1" showDropDown="0" showInputMessage="0" showErrorMessage="1" sqref="C350" errorTitle="请检查输入" error="请选择列表项目或填写允许的数值。">
      <x:formula1>INDIRECT("成长候选"&amp;TEXT(IFERROR(VALUE(B350),0),"00"))</x:formula1>
    </x:dataValidation>
    <x:dataValidation type="list" allowBlank="1" showDropDown="0" showInputMessage="0" showErrorMessage="1" sqref="C351" errorTitle="请检查输入" error="请选择列表项目或填写允许的数值。">
      <x:formula1>INDIRECT("成长候选"&amp;TEXT(IFERROR(VALUE(B351),0),"00"))</x:formula1>
    </x:dataValidation>
    <x:dataValidation type="list" allowBlank="1" showDropDown="0" showInputMessage="0" showErrorMessage="1" sqref="C352" errorTitle="请检查输入" error="请选择列表项目或填写允许的数值。">
      <x:formula1>INDIRECT("成长候选"&amp;TEXT(IFERROR(VALUE(B352),0),"00"))</x:formula1>
    </x:dataValidation>
    <x:dataValidation type="list" allowBlank="1" showDropDown="0" showInputMessage="0" showErrorMessage="1" sqref="C353" errorTitle="请检查输入" error="请选择列表项目或填写允许的数值。">
      <x:formula1>INDIRECT("成长候选"&amp;TEXT(IFERROR(VALUE(B353),0),"00"))</x:formula1>
    </x:dataValidation>
    <x:dataValidation type="list" allowBlank="1" showDropDown="0" showInputMessage="0" showErrorMessage="1" sqref="C354" errorTitle="请检查输入" error="请选择列表项目或填写允许的数值。">
      <x:formula1>INDIRECT("成长候选"&amp;TEXT(IFERROR(VALUE(B354),0),"00"))</x:formula1>
    </x:dataValidation>
    <x:dataValidation type="list" allowBlank="1" showDropDown="0" showInputMessage="0" showErrorMessage="1" sqref="C355" errorTitle="请检查输入" error="请选择列表项目或填写允许的数值。">
      <x:formula1>INDIRECT("成长候选"&amp;TEXT(IFERROR(VALUE(B355),0),"00"))</x:formula1>
    </x:dataValidation>
    <x:dataValidation type="list" allowBlank="1" showDropDown="0" showInputMessage="0" showErrorMessage="1" sqref="C356" errorTitle="请检查输入" error="请选择列表项目或填写允许的数值。">
      <x:formula1>INDIRECT("成长候选"&amp;TEXT(IFERROR(VALUE(B356),0),"00"))</x:formula1>
    </x:dataValidation>
    <x:dataValidation type="list" allowBlank="1" showDropDown="0" showInputMessage="0" showErrorMessage="1" sqref="C357" errorTitle="请检查输入" error="请选择列表项目或填写允许的数值。">
      <x:formula1>INDIRECT("成长候选"&amp;TEXT(IFERROR(VALUE(B357),0),"00"))</x:formula1>
    </x:dataValidation>
    <x:dataValidation type="list" allowBlank="1" showDropDown="0" showInputMessage="0" showErrorMessage="1" sqref="C358" errorTitle="请检查输入" error="请选择列表项目或填写允许的数值。">
      <x:formula1>INDIRECT("成长候选"&amp;TEXT(IFERROR(VALUE(B358),0),"00"))</x:formula1>
    </x:dataValidation>
    <x:dataValidation type="list" allowBlank="1" showDropDown="0" showInputMessage="0" showErrorMessage="1" sqref="C359" errorTitle="请检查输入" error="请选择列表项目或填写允许的数值。">
      <x:formula1>INDIRECT("成长候选"&amp;TEXT(IFERROR(VALUE(B359),0),"00"))</x:formula1>
    </x:dataValidation>
    <x:dataValidation type="list" allowBlank="1" showDropDown="0" showInputMessage="0" showErrorMessage="1" sqref="C360" errorTitle="请检查输入" error="请选择列表项目或填写允许的数值。">
      <x:formula1>INDIRECT("成长候选"&amp;TEXT(IFERROR(VALUE(B360),0),"00"))</x:formula1>
    </x:dataValidation>
    <x:dataValidation type="list" allowBlank="1" showDropDown="0" showInputMessage="0" showErrorMessage="1" sqref="C361" errorTitle="请检查输入" error="请选择列表项目或填写允许的数值。">
      <x:formula1>INDIRECT("成长候选"&amp;TEXT(IFERROR(VALUE(B361),0),"00"))</x:formula1>
    </x:dataValidation>
    <x:dataValidation type="list" allowBlank="1" showDropDown="0" showInputMessage="0" showErrorMessage="1" sqref="C362" errorTitle="请检查输入" error="请选择列表项目或填写允许的数值。">
      <x:formula1>INDIRECT("成长候选"&amp;TEXT(IFERROR(VALUE(B362),0),"00"))</x:formula1>
    </x:dataValidation>
    <x:dataValidation type="list" allowBlank="1" showDropDown="0" showInputMessage="0" showErrorMessage="1" sqref="C363" errorTitle="请检查输入" error="请选择列表项目或填写允许的数值。">
      <x:formula1>INDIRECT("成长候选"&amp;TEXT(IFERROR(VALUE(B363),0),"00"))</x:formula1>
    </x:dataValidation>
    <x:dataValidation type="list" allowBlank="1" showDropDown="0" showInputMessage="0" showErrorMessage="1" sqref="C364" errorTitle="请检查输入" error="请选择列表项目或填写允许的数值。">
      <x:formula1>INDIRECT("成长候选"&amp;TEXT(IFERROR(VALUE(B364),0),"00"))</x:formula1>
    </x:dataValidation>
    <x:dataValidation type="list" allowBlank="1" showDropDown="0" showInputMessage="0" showErrorMessage="1" sqref="C365" errorTitle="请检查输入" error="请选择列表项目或填写允许的数值。">
      <x:formula1>INDIRECT("成长候选"&amp;TEXT(IFERROR(VALUE(B365),0),"00"))</x:formula1>
    </x:dataValidation>
    <x:dataValidation type="list" allowBlank="1" showDropDown="0" showInputMessage="0" showErrorMessage="1" sqref="C366" errorTitle="请检查输入" error="请选择列表项目或填写允许的数值。">
      <x:formula1>INDIRECT("成长候选"&amp;TEXT(IFERROR(VALUE(B366),0),"00"))</x:formula1>
    </x:dataValidation>
    <x:dataValidation type="list" allowBlank="1" showDropDown="0" showInputMessage="0" showErrorMessage="1" sqref="C367" errorTitle="请检查输入" error="请选择列表项目或填写允许的数值。">
      <x:formula1>INDIRECT("成长候选"&amp;TEXT(IFERROR(VALUE(B367),0),"00"))</x:formula1>
    </x:dataValidation>
    <x:dataValidation type="list" allowBlank="1" showDropDown="0" showInputMessage="0" showErrorMessage="1" sqref="C368" errorTitle="请检查输入" error="请选择列表项目或填写允许的数值。">
      <x:formula1>INDIRECT("成长候选"&amp;TEXT(IFERROR(VALUE(B368),0),"00"))</x:formula1>
    </x:dataValidation>
    <x:dataValidation type="list" allowBlank="1" showDropDown="0" showInputMessage="0" showErrorMessage="1" sqref="C369" errorTitle="请检查输入" error="请选择列表项目或填写允许的数值。">
      <x:formula1>INDIRECT("成长候选"&amp;TEXT(IFERROR(VALUE(B369),0),"00"))</x:formula1>
    </x:dataValidation>
    <x:dataValidation type="list" allowBlank="1" showDropDown="0" showInputMessage="0" showErrorMessage="1" sqref="C370" errorTitle="请检查输入" error="请选择列表项目或填写允许的数值。">
      <x:formula1>INDIRECT("成长候选"&amp;TEXT(IFERROR(VALUE(B370),0),"00"))</x:formula1>
    </x:dataValidation>
    <x:dataValidation type="list" allowBlank="1" showDropDown="0" showInputMessage="0" showErrorMessage="1" sqref="C371" errorTitle="请检查输入" error="请选择列表项目或填写允许的数值。">
      <x:formula1>INDIRECT("成长候选"&amp;TEXT(IFERROR(VALUE(B371),0),"00"))</x:formula1>
    </x:dataValidation>
    <x:dataValidation type="list" allowBlank="1" showDropDown="0" showInputMessage="0" showErrorMessage="1" sqref="C372" errorTitle="请检查输入" error="请选择列表项目或填写允许的数值。">
      <x:formula1>INDIRECT("成长候选"&amp;TEXT(IFERROR(VALUE(B372),0),"00"))</x:formula1>
    </x:dataValidation>
    <x:dataValidation type="list" allowBlank="1" showDropDown="0" showInputMessage="0" showErrorMessage="1" sqref="C373" errorTitle="请检查输入" error="请选择列表项目或填写允许的数值。">
      <x:formula1>INDIRECT("成长候选"&amp;TEXT(IFERROR(VALUE(B373),0),"00"))</x:formula1>
    </x:dataValidation>
    <x:dataValidation type="list" allowBlank="1" showDropDown="0" showInputMessage="0" showErrorMessage="1" sqref="C374" errorTitle="请检查输入" error="请选择列表项目或填写允许的数值。">
      <x:formula1>INDIRECT("成长候选"&amp;TEXT(IFERROR(VALUE(B374),0),"00"))</x:formula1>
    </x:dataValidation>
    <x:dataValidation type="list" allowBlank="1" showDropDown="0" showInputMessage="0" showErrorMessage="1" sqref="C375" errorTitle="请检查输入" error="请选择列表项目或填写允许的数值。">
      <x:formula1>INDIRECT("成长候选"&amp;TEXT(IFERROR(VALUE(B375),0),"00"))</x:formula1>
    </x:dataValidation>
    <x:dataValidation type="list" allowBlank="1" showDropDown="0" showInputMessage="0" showErrorMessage="1" sqref="C376" errorTitle="请检查输入" error="请选择列表项目或填写允许的数值。">
      <x:formula1>INDIRECT("成长候选"&amp;TEXT(IFERROR(VALUE(B376),0),"00"))</x:formula1>
    </x:dataValidation>
    <x:dataValidation type="list" allowBlank="1" showDropDown="0" showInputMessage="0" showErrorMessage="1" sqref="C377" errorTitle="请检查输入" error="请选择列表项目或填写允许的数值。">
      <x:formula1>INDIRECT("成长候选"&amp;TEXT(IFERROR(VALUE(B377),0),"00"))</x:formula1>
    </x:dataValidation>
    <x:dataValidation type="list" allowBlank="1" showDropDown="0" showInputMessage="0" showErrorMessage="1" sqref="C378" errorTitle="请检查输入" error="请选择列表项目或填写允许的数值。">
      <x:formula1>INDIRECT("成长候选"&amp;TEXT(IFERROR(VALUE(B378),0),"00"))</x:formula1>
    </x:dataValidation>
    <x:dataValidation type="list" allowBlank="1" showDropDown="0" showInputMessage="0" showErrorMessage="1" sqref="C379" errorTitle="请检查输入" error="请选择列表项目或填写允许的数值。">
      <x:formula1>INDIRECT("成长候选"&amp;TEXT(IFERROR(VALUE(B379),0),"00"))</x:formula1>
    </x:dataValidation>
    <x:dataValidation type="list" allowBlank="1" showDropDown="0" showInputMessage="0" showErrorMessage="1" sqref="C380" errorTitle="请检查输入" error="请选择列表项目或填写允许的数值。">
      <x:formula1>INDIRECT("成长候选"&amp;TEXT(IFERROR(VALUE(B380),0),"00"))</x:formula1>
    </x:dataValidation>
    <x:dataValidation type="list" allowBlank="1" showDropDown="0" showInputMessage="0" showErrorMessage="1" sqref="C381" errorTitle="请检查输入" error="请选择列表项目或填写允许的数值。">
      <x:formula1>INDIRECT("成长候选"&amp;TEXT(IFERROR(VALUE(B381),0),"00"))</x:formula1>
    </x:dataValidation>
    <x:dataValidation type="list" allowBlank="1" showDropDown="0" showInputMessage="0" showErrorMessage="1" sqref="C382" errorTitle="请检查输入" error="请选择列表项目或填写允许的数值。">
      <x:formula1>INDIRECT("成长候选"&amp;TEXT(IFERROR(VALUE(B382),0),"00"))</x:formula1>
    </x:dataValidation>
    <x:dataValidation type="list" allowBlank="1" showDropDown="0" showInputMessage="0" showErrorMessage="1" sqref="C383" errorTitle="请检查输入" error="请选择列表项目或填写允许的数值。">
      <x:formula1>INDIRECT("成长候选"&amp;TEXT(IFERROR(VALUE(B383),0),"00"))</x:formula1>
    </x:dataValidation>
    <x:dataValidation type="list" allowBlank="1" showDropDown="0" showInputMessage="0" showErrorMessage="1" sqref="C384" errorTitle="请检查输入" error="请选择列表项目或填写允许的数值。">
      <x:formula1>INDIRECT("成长候选"&amp;TEXT(IFERROR(VALUE(B384),0),"00"))</x:formula1>
    </x:dataValidation>
    <x:dataValidation type="list" allowBlank="1" showDropDown="0" showInputMessage="0" showErrorMessage="1" sqref="C385" errorTitle="请检查输入" error="请选择列表项目或填写允许的数值。">
      <x:formula1>INDIRECT("成长候选"&amp;TEXT(IFERROR(VALUE(B385),0),"00"))</x:formula1>
    </x:dataValidation>
    <x:dataValidation type="list" allowBlank="1" showDropDown="0" showInputMessage="0" showErrorMessage="1" sqref="C386" errorTitle="请检查输入" error="请选择列表项目或填写允许的数值。">
      <x:formula1>INDIRECT("成长候选"&amp;TEXT(IFERROR(VALUE(B386),0),"00"))</x:formula1>
    </x:dataValidation>
    <x:dataValidation type="list" allowBlank="1" showDropDown="0" showInputMessage="0" showErrorMessage="1" sqref="C387" errorTitle="请检查输入" error="请选择列表项目或填写允许的数值。">
      <x:formula1>INDIRECT("成长候选"&amp;TEXT(IFERROR(VALUE(B387),0),"00"))</x:formula1>
    </x:dataValidation>
    <x:dataValidation type="list" allowBlank="1" showDropDown="0" showInputMessage="0" showErrorMessage="1" sqref="C388" errorTitle="请检查输入" error="请选择列表项目或填写允许的数值。">
      <x:formula1>INDIRECT("成长候选"&amp;TEXT(IFERROR(VALUE(B388),0),"00"))</x:formula1>
    </x:dataValidation>
    <x:dataValidation type="list" allowBlank="1" showDropDown="0" showInputMessage="0" showErrorMessage="1" sqref="C389" errorTitle="请检查输入" error="请选择列表项目或填写允许的数值。">
      <x:formula1>INDIRECT("成长候选"&amp;TEXT(IFERROR(VALUE(B389),0),"00"))</x:formula1>
    </x:dataValidation>
    <x:dataValidation type="list" allowBlank="1" showDropDown="0" showInputMessage="0" showErrorMessage="1" sqref="C390" errorTitle="请检查输入" error="请选择列表项目或填写允许的数值。">
      <x:formula1>INDIRECT("成长候选"&amp;TEXT(IFERROR(VALUE(B390),0),"00"))</x:formula1>
    </x:dataValidation>
    <x:dataValidation type="list" allowBlank="1" showDropDown="0" showInputMessage="0" showErrorMessage="1" sqref="C391" errorTitle="请检查输入" error="请选择列表项目或填写允许的数值。">
      <x:formula1>INDIRECT("成长候选"&amp;TEXT(IFERROR(VALUE(B391),0),"00"))</x:formula1>
    </x:dataValidation>
    <x:dataValidation type="list" allowBlank="1" showDropDown="0" showInputMessage="0" showErrorMessage="1" sqref="C392" errorTitle="请检查输入" error="请选择列表项目或填写允许的数值。">
      <x:formula1>INDIRECT("成长候选"&amp;TEXT(IFERROR(VALUE(B392),0),"00"))</x:formula1>
    </x:dataValidation>
    <x:dataValidation type="list" allowBlank="1" showDropDown="0" showInputMessage="0" showErrorMessage="1" sqref="C393" errorTitle="请检查输入" error="请选择列表项目或填写允许的数值。">
      <x:formula1>INDIRECT("成长候选"&amp;TEXT(IFERROR(VALUE(B393),0),"00"))</x:formula1>
    </x:dataValidation>
    <x:dataValidation type="list" allowBlank="1" showDropDown="0" showInputMessage="0" showErrorMessage="1" sqref="C394" errorTitle="请检查输入" error="请选择列表项目或填写允许的数值。">
      <x:formula1>INDIRECT("成长候选"&amp;TEXT(IFERROR(VALUE(B394),0),"00"))</x:formula1>
    </x:dataValidation>
    <x:dataValidation type="list" allowBlank="1" showDropDown="0" showInputMessage="0" showErrorMessage="1" sqref="C395" errorTitle="请检查输入" error="请选择列表项目或填写允许的数值。">
      <x:formula1>INDIRECT("成长候选"&amp;TEXT(IFERROR(VALUE(B395),0),"00"))</x:formula1>
    </x:dataValidation>
    <x:dataValidation type="list" allowBlank="1" showDropDown="0" showInputMessage="0" showErrorMessage="1" sqref="C396" errorTitle="请检查输入" error="请选择列表项目或填写允许的数值。">
      <x:formula1>INDIRECT("成长候选"&amp;TEXT(IFERROR(VALUE(B396),0),"00"))</x:formula1>
    </x:dataValidation>
    <x:dataValidation type="list" allowBlank="1" showDropDown="0" showInputMessage="0" showErrorMessage="1" sqref="C397" errorTitle="请检查输入" error="请选择列表项目或填写允许的数值。">
      <x:formula1>INDIRECT("成长候选"&amp;TEXT(IFERROR(VALUE(B397),0),"00"))</x:formula1>
    </x:dataValidation>
    <x:dataValidation type="list" allowBlank="1" showDropDown="0" showInputMessage="0" showErrorMessage="1" sqref="C398" errorTitle="请检查输入" error="请选择列表项目或填写允许的数值。">
      <x:formula1>INDIRECT("成长候选"&amp;TEXT(IFERROR(VALUE(B398),0),"00"))</x:formula1>
    </x:dataValidation>
    <x:dataValidation type="list" allowBlank="1" showDropDown="0" showInputMessage="0" showErrorMessage="1" sqref="C399" errorTitle="请检查输入" error="请选择列表项目或填写允许的数值。">
      <x:formula1>INDIRECT("成长候选"&amp;TEXT(IFERROR(VALUE(B399),0),"00"))</x:formula1>
    </x:dataValidation>
    <x:dataValidation type="list" allowBlank="1" showDropDown="0" showInputMessage="0" showErrorMessage="1" sqref="C400" errorTitle="请检查输入" error="请选择列表项目或填写允许的数值。">
      <x:formula1>INDIRECT("成长候选"&amp;TEXT(IFERROR(VALUE(B400),0),"00"))</x:formula1>
    </x:dataValidation>
    <x:dataValidation type="list" allowBlank="1" showDropDown="0" showInputMessage="0" showErrorMessage="1" sqref="C401" errorTitle="请检查输入" error="请选择列表项目或填写允许的数值。">
      <x:formula1>INDIRECT("成长候选"&amp;TEXT(IFERROR(VALUE(B401),0),"00"))</x:formula1>
    </x:dataValidation>
    <x:dataValidation type="list" allowBlank="1" showDropDown="0" showInputMessage="0" showErrorMessage="1" sqref="C402" errorTitle="请检查输入" error="请选择列表项目或填写允许的数值。">
      <x:formula1>INDIRECT("成长候选"&amp;TEXT(IFERROR(VALUE(B402),0),"00"))</x:formula1>
    </x:dataValidation>
    <x:dataValidation type="list" allowBlank="1" showDropDown="0" showInputMessage="0" showErrorMessage="1" sqref="C403" errorTitle="请检查输入" error="请选择列表项目或填写允许的数值。">
      <x:formula1>INDIRECT("成长候选"&amp;TEXT(IFERROR(VALUE(B403),0),"00"))</x:formula1>
    </x:dataValidation>
    <x:dataValidation type="list" allowBlank="1" showDropDown="0" showInputMessage="0" showErrorMessage="1" sqref="C404" errorTitle="请检查输入" error="请选择列表项目或填写允许的数值。">
      <x:formula1>INDIRECT("成长候选"&amp;TEXT(IFERROR(VALUE(B404),0),"00"))</x:formula1>
    </x:dataValidation>
    <x:dataValidation type="list" allowBlank="1" showDropDown="0" showInputMessage="0" showErrorMessage="1" sqref="C405" errorTitle="请检查输入" error="请选择列表项目或填写允许的数值。">
      <x:formula1>INDIRECT("成长候选"&amp;TEXT(IFERROR(VALUE(B405),0),"00"))</x:formula1>
    </x:dataValidation>
    <x:dataValidation type="list" allowBlank="1" showDropDown="0" showInputMessage="0" showErrorMessage="1" sqref="C406" errorTitle="请检查输入" error="请选择列表项目或填写允许的数值。">
      <x:formula1>INDIRECT("成长候选"&amp;TEXT(IFERROR(VALUE(B406),0),"00"))</x:formula1>
    </x:dataValidation>
    <x:dataValidation type="list" allowBlank="1" showDropDown="0" showInputMessage="0" showErrorMessage="1" sqref="C407" errorTitle="请检查输入" error="请选择列表项目或填写允许的数值。">
      <x:formula1>INDIRECT("成长候选"&amp;TEXT(IFERROR(VALUE(B407),0),"00"))</x:formula1>
    </x:dataValidation>
    <x:dataValidation type="list" allowBlank="1" showDropDown="0" showInputMessage="0" showErrorMessage="1" sqref="C408" errorTitle="请检查输入" error="请选择列表项目或填写允许的数值。">
      <x:formula1>INDIRECT("成长候选"&amp;TEXT(IFERROR(VALUE(B408),0),"00"))</x:formula1>
    </x:dataValidation>
    <x:dataValidation type="list" allowBlank="1" showDropDown="0" showInputMessage="0" showErrorMessage="1" sqref="C409" errorTitle="请检查输入" error="请选择列表项目或填写允许的数值。">
      <x:formula1>INDIRECT("成长候选"&amp;TEXT(IFERROR(VALUE(B409),0),"00"))</x:formula1>
    </x:dataValidation>
    <x:dataValidation type="list" allowBlank="1" showDropDown="0" showInputMessage="0" showErrorMessage="1" sqref="C410" errorTitle="请检查输入" error="请选择列表项目或填写允许的数值。">
      <x:formula1>INDIRECT("成长候选"&amp;TEXT(IFERROR(VALUE(B410),0),"00"))</x:formula1>
    </x:dataValidation>
    <x:dataValidation type="list" allowBlank="1" showDropDown="0" showInputMessage="0" showErrorMessage="1" sqref="C411" errorTitle="请检查输入" error="请选择列表项目或填写允许的数值。">
      <x:formula1>INDIRECT("成长候选"&amp;TEXT(IFERROR(VALUE(B411),0),"00"))</x:formula1>
    </x:dataValidation>
    <x:dataValidation type="list" allowBlank="1" showDropDown="0" showInputMessage="0" showErrorMessage="1" sqref="C412" errorTitle="请检查输入" error="请选择列表项目或填写允许的数值。">
      <x:formula1>INDIRECT("成长候选"&amp;TEXT(IFERROR(VALUE(B412),0),"00"))</x:formula1>
    </x:dataValidation>
    <x:dataValidation type="list" allowBlank="1" showDropDown="0" showInputMessage="0" showErrorMessage="1" sqref="C413" errorTitle="请检查输入" error="请选择列表项目或填写允许的数值。">
      <x:formula1>INDIRECT("成长候选"&amp;TEXT(IFERROR(VALUE(B413),0),"00"))</x:formula1>
    </x:dataValidation>
    <x:dataValidation type="list" allowBlank="1" showDropDown="0" showInputMessage="0" showErrorMessage="1" sqref="C414" errorTitle="请检查输入" error="请选择列表项目或填写允许的数值。">
      <x:formula1>INDIRECT("成长候选"&amp;TEXT(IFERROR(VALUE(B414),0),"00"))</x:formula1>
    </x:dataValidation>
    <x:dataValidation type="list" allowBlank="1" showDropDown="0" showInputMessage="0" showErrorMessage="1" sqref="C415" errorTitle="请检查输入" error="请选择列表项目或填写允许的数值。">
      <x:formula1>INDIRECT("成长候选"&amp;TEXT(IFERROR(VALUE(B415),0),"00"))</x:formula1>
    </x:dataValidation>
    <x:dataValidation type="list" allowBlank="1" showDropDown="0" showInputMessage="0" showErrorMessage="1" sqref="C416" errorTitle="请检查输入" error="请选择列表项目或填写允许的数值。">
      <x:formula1>INDIRECT("成长候选"&amp;TEXT(IFERROR(VALUE(B416),0),"00"))</x:formula1>
    </x:dataValidation>
    <x:dataValidation type="list" allowBlank="1" showDropDown="0" showInputMessage="0" showErrorMessage="1" sqref="C417" errorTitle="请检查输入" error="请选择列表项目或填写允许的数值。">
      <x:formula1>INDIRECT("成长候选"&amp;TEXT(IFERROR(VALUE(B417),0),"00"))</x:formula1>
    </x:dataValidation>
    <x:dataValidation type="list" allowBlank="1" showDropDown="0" showInputMessage="0" showErrorMessage="1" sqref="C418" errorTitle="请检查输入" error="请选择列表项目或填写允许的数值。">
      <x:formula1>INDIRECT("成长候选"&amp;TEXT(IFERROR(VALUE(B418),0),"00"))</x:formula1>
    </x:dataValidation>
    <x:dataValidation type="list" allowBlank="1" showDropDown="0" showInputMessage="0" showErrorMessage="1" sqref="C419" errorTitle="请检查输入" error="请选择列表项目或填写允许的数值。">
      <x:formula1>INDIRECT("成长候选"&amp;TEXT(IFERROR(VALUE(B419),0),"00"))</x:formula1>
    </x:dataValidation>
    <x:dataValidation type="list" allowBlank="1" showDropDown="0" showInputMessage="0" showErrorMessage="1" sqref="C420" errorTitle="请检查输入" error="请选择列表项目或填写允许的数值。">
      <x:formula1>INDIRECT("成长候选"&amp;TEXT(IFERROR(VALUE(B420),0),"00"))</x:formula1>
    </x:dataValidation>
    <x:dataValidation type="list" allowBlank="1" showDropDown="0" showInputMessage="0" showErrorMessage="1" sqref="C421" errorTitle="请检查输入" error="请选择列表项目或填写允许的数值。">
      <x:formula1>INDIRECT("成长候选"&amp;TEXT(IFERROR(VALUE(B421),0),"00"))</x:formula1>
    </x:dataValidation>
    <x:dataValidation type="list" allowBlank="1" showDropDown="0" showInputMessage="0" showErrorMessage="1" sqref="C422" errorTitle="请检查输入" error="请选择列表项目或填写允许的数值。">
      <x:formula1>INDIRECT("成长候选"&amp;TEXT(IFERROR(VALUE(B422),0),"00"))</x:formula1>
    </x:dataValidation>
    <x:dataValidation type="list" allowBlank="1" showDropDown="0" showInputMessage="0" showErrorMessage="1" sqref="C423" errorTitle="请检查输入" error="请选择列表项目或填写允许的数值。">
      <x:formula1>INDIRECT("成长候选"&amp;TEXT(IFERROR(VALUE(B423),0),"00"))</x:formula1>
    </x:dataValidation>
    <x:dataValidation type="list" allowBlank="1" showDropDown="0" showInputMessage="0" showErrorMessage="1" sqref="C424" errorTitle="请检查输入" error="请选择列表项目或填写允许的数值。">
      <x:formula1>INDIRECT("成长候选"&amp;TEXT(IFERROR(VALUE(B424),0),"00"))</x:formula1>
    </x:dataValidation>
    <x:dataValidation type="list" allowBlank="1" showDropDown="0" showInputMessage="0" showErrorMessage="1" sqref="C425" errorTitle="请检查输入" error="请选择列表项目或填写允许的数值。">
      <x:formula1>INDIRECT("成长候选"&amp;TEXT(IFERROR(VALUE(B425),0),"00"))</x:formula1>
    </x:dataValidation>
    <x:dataValidation type="list" allowBlank="1" showDropDown="0" showInputMessage="0" showErrorMessage="1" sqref="C426" errorTitle="请检查输入" error="请选择列表项目或填写允许的数值。">
      <x:formula1>INDIRECT("成长候选"&amp;TEXT(IFERROR(VALUE(B426),0),"00"))</x:formula1>
    </x:dataValidation>
    <x:dataValidation type="list" allowBlank="1" showDropDown="0" showInputMessage="0" showErrorMessage="1" sqref="C427" errorTitle="请检查输入" error="请选择列表项目或填写允许的数值。">
      <x:formula1>INDIRECT("成长候选"&amp;TEXT(IFERROR(VALUE(B427),0),"00"))</x:formula1>
    </x:dataValidation>
    <x:dataValidation type="list" allowBlank="1" showDropDown="0" showInputMessage="0" showErrorMessage="1" sqref="C428" errorTitle="请检查输入" error="请选择列表项目或填写允许的数值。">
      <x:formula1>INDIRECT("成长候选"&amp;TEXT(IFERROR(VALUE(B428),0),"00"))</x:formula1>
    </x:dataValidation>
    <x:dataValidation type="list" allowBlank="1" showDropDown="0" showInputMessage="0" showErrorMessage="1" sqref="C429" errorTitle="请检查输入" error="请选择列表项目或填写允许的数值。">
      <x:formula1>INDIRECT("成长候选"&amp;TEXT(IFERROR(VALUE(B429),0),"00"))</x:formula1>
    </x:dataValidation>
    <x:dataValidation type="list" allowBlank="1" showDropDown="0" showInputMessage="0" showErrorMessage="1" sqref="C430" errorTitle="请检查输入" error="请选择列表项目或填写允许的数值。">
      <x:formula1>INDIRECT("成长候选"&amp;TEXT(IFERROR(VALUE(B430),0),"00"))</x:formula1>
    </x:dataValidation>
    <x:dataValidation type="list" allowBlank="1" showDropDown="0" showInputMessage="0" showErrorMessage="1" sqref="C431" errorTitle="请检查输入" error="请选择列表项目或填写允许的数值。">
      <x:formula1>INDIRECT("成长候选"&amp;TEXT(IFERROR(VALUE(B431),0),"00"))</x:formula1>
    </x:dataValidation>
    <x:dataValidation type="list" allowBlank="1" showDropDown="0" showInputMessage="0" showErrorMessage="1" sqref="C432" errorTitle="请检查输入" error="请选择列表项目或填写允许的数值。">
      <x:formula1>INDIRECT("成长候选"&amp;TEXT(IFERROR(VALUE(B432),0),"00"))</x:formula1>
    </x:dataValidation>
    <x:dataValidation type="list" allowBlank="1" showDropDown="0" showInputMessage="0" showErrorMessage="1" sqref="C433" errorTitle="请检查输入" error="请选择列表项目或填写允许的数值。">
      <x:formula1>INDIRECT("成长候选"&amp;TEXT(IFERROR(VALUE(B433),0),"00"))</x:formula1>
    </x:dataValidation>
    <x:dataValidation type="list" allowBlank="1" showDropDown="0" showInputMessage="0" showErrorMessage="1" sqref="C434" errorTitle="请检查输入" error="请选择列表项目或填写允许的数值。">
      <x:formula1>INDIRECT("成长候选"&amp;TEXT(IFERROR(VALUE(B434),0),"00"))</x:formula1>
    </x:dataValidation>
    <x:dataValidation type="list" allowBlank="1" showDropDown="0" showInputMessage="0" showErrorMessage="1" sqref="C435" errorTitle="请检查输入" error="请选择列表项目或填写允许的数值。">
      <x:formula1>INDIRECT("成长候选"&amp;TEXT(IFERROR(VALUE(B435),0),"00"))</x:formula1>
    </x:dataValidation>
    <x:dataValidation type="list" allowBlank="1" showDropDown="0" showInputMessage="0" showErrorMessage="1" sqref="C436" errorTitle="请检查输入" error="请选择列表项目或填写允许的数值。">
      <x:formula1>INDIRECT("成长候选"&amp;TEXT(IFERROR(VALUE(B436),0),"00"))</x:formula1>
    </x:dataValidation>
    <x:dataValidation type="list" allowBlank="1" showDropDown="0" showInputMessage="0" showErrorMessage="1" sqref="C437" errorTitle="请检查输入" error="请选择列表项目或填写允许的数值。">
      <x:formula1>INDIRECT("成长候选"&amp;TEXT(IFERROR(VALUE(B437),0),"00"))</x:formula1>
    </x:dataValidation>
    <x:dataValidation type="list" allowBlank="1" showDropDown="0" showInputMessage="0" showErrorMessage="1" sqref="C438" errorTitle="请检查输入" error="请选择列表项目或填写允许的数值。">
      <x:formula1>INDIRECT("成长候选"&amp;TEXT(IFERROR(VALUE(B438),0),"00"))</x:formula1>
    </x:dataValidation>
    <x:dataValidation type="list" allowBlank="1" showDropDown="0" showInputMessage="0" showErrorMessage="1" sqref="C439" errorTitle="请检查输入" error="请选择列表项目或填写允许的数值。">
      <x:formula1>INDIRECT("成长候选"&amp;TEXT(IFERROR(VALUE(B439),0),"00"))</x:formula1>
    </x:dataValidation>
    <x:dataValidation type="list" allowBlank="1" showDropDown="0" showInputMessage="0" showErrorMessage="1" sqref="C440" errorTitle="请检查输入" error="请选择列表项目或填写允许的数值。">
      <x:formula1>INDIRECT("成长候选"&amp;TEXT(IFERROR(VALUE(B440),0),"00"))</x:formula1>
    </x:dataValidation>
    <x:dataValidation type="list" allowBlank="1" showDropDown="0" showInputMessage="0" showErrorMessage="1" sqref="C441" errorTitle="请检查输入" error="请选择列表项目或填写允许的数值。">
      <x:formula1>INDIRECT("成长候选"&amp;TEXT(IFERROR(VALUE(B441),0),"00"))</x:formula1>
    </x:dataValidation>
    <x:dataValidation type="list" allowBlank="1" showDropDown="0" showInputMessage="0" showErrorMessage="1" sqref="C442" errorTitle="请检查输入" error="请选择列表项目或填写允许的数值。">
      <x:formula1>INDIRECT("成长候选"&amp;TEXT(IFERROR(VALUE(B442),0),"00"))</x:formula1>
    </x:dataValidation>
    <x:dataValidation type="list" allowBlank="1" showDropDown="0" showInputMessage="0" showErrorMessage="1" sqref="C443" errorTitle="请检查输入" error="请选择列表项目或填写允许的数值。">
      <x:formula1>INDIRECT("成长候选"&amp;TEXT(IFERROR(VALUE(B443),0),"00"))</x:formula1>
    </x:dataValidation>
    <x:dataValidation type="list" allowBlank="1" showDropDown="0" showInputMessage="0" showErrorMessage="1" sqref="C444" errorTitle="请检查输入" error="请选择列表项目或填写允许的数值。">
      <x:formula1>INDIRECT("成长候选"&amp;TEXT(IFERROR(VALUE(B444),0),"00"))</x:formula1>
    </x:dataValidation>
    <x:dataValidation type="list" allowBlank="1" showDropDown="0" showInputMessage="0" showErrorMessage="1" sqref="C445" errorTitle="请检查输入" error="请选择列表项目或填写允许的数值。">
      <x:formula1>INDIRECT("成长候选"&amp;TEXT(IFERROR(VALUE(B445),0),"00"))</x:formula1>
    </x:dataValidation>
    <x:dataValidation type="list" allowBlank="1" showDropDown="0" showInputMessage="0" showErrorMessage="1" sqref="C446" errorTitle="请检查输入" error="请选择列表项目或填写允许的数值。">
      <x:formula1>INDIRECT("成长候选"&amp;TEXT(IFERROR(VALUE(B446),0),"00"))</x:formula1>
    </x:dataValidation>
    <x:dataValidation type="list" allowBlank="1" showDropDown="0" showInputMessage="0" showErrorMessage="1" sqref="C447" errorTitle="请检查输入" error="请选择列表项目或填写允许的数值。">
      <x:formula1>INDIRECT("成长候选"&amp;TEXT(IFERROR(VALUE(B447),0),"00"))</x:formula1>
    </x:dataValidation>
    <x:dataValidation type="list" allowBlank="1" showDropDown="0" showInputMessage="0" showErrorMessage="1" sqref="C448" errorTitle="请检查输入" error="请选择列表项目或填写允许的数值。">
      <x:formula1>INDIRECT("成长候选"&amp;TEXT(IFERROR(VALUE(B448),0),"00"))</x:formula1>
    </x:dataValidation>
    <x:dataValidation type="list" allowBlank="1" showDropDown="0" showInputMessage="0" showErrorMessage="1" sqref="C449" errorTitle="请检查输入" error="请选择列表项目或填写允许的数值。">
      <x:formula1>INDIRECT("成长候选"&amp;TEXT(IFERROR(VALUE(B449),0),"00"))</x:formula1>
    </x:dataValidation>
    <x:dataValidation type="list" allowBlank="1" showDropDown="0" showInputMessage="0" showErrorMessage="1" sqref="C450" errorTitle="请检查输入" error="请选择列表项目或填写允许的数值。">
      <x:formula1>INDIRECT("成长候选"&amp;TEXT(IFERROR(VALUE(B450),0),"00"))</x:formula1>
    </x:dataValidation>
    <x:dataValidation type="list" allowBlank="1" showDropDown="0" showInputMessage="0" showErrorMessage="1" sqref="C451" errorTitle="请检查输入" error="请选择列表项目或填写允许的数值。">
      <x:formula1>INDIRECT("成长候选"&amp;TEXT(IFERROR(VALUE(B451),0),"00"))</x:formula1>
    </x:dataValidation>
    <x:dataValidation type="list" allowBlank="1" showDropDown="0" showInputMessage="0" showErrorMessage="1" sqref="C452" errorTitle="请检查输入" error="请选择列表项目或填写允许的数值。">
      <x:formula1>INDIRECT("成长候选"&amp;TEXT(IFERROR(VALUE(B452),0),"00"))</x:formula1>
    </x:dataValidation>
    <x:dataValidation type="list" allowBlank="1" showDropDown="0" showInputMessage="0" showErrorMessage="1" sqref="C453" errorTitle="请检查输入" error="请选择列表项目或填写允许的数值。">
      <x:formula1>INDIRECT("成长候选"&amp;TEXT(IFERROR(VALUE(B453),0),"00"))</x:formula1>
    </x:dataValidation>
    <x:dataValidation type="list" allowBlank="1" showDropDown="0" showInputMessage="0" showErrorMessage="1" sqref="C454" errorTitle="请检查输入" error="请选择列表项目或填写允许的数值。">
      <x:formula1>INDIRECT("成长候选"&amp;TEXT(IFERROR(VALUE(B454),0),"00"))</x:formula1>
    </x:dataValidation>
  </x:dataValidations>
  <x:hyperlinks>
    <x:hyperlink ref="A2" location="'人物卡'!B2"/>
    <x:hyperlink ref="E2" location="'模组经历备忘录'!A1"/>
    <x:hyperlink ref="J2" location="'幕间与结算'!A210"/>
  </x:hyperlinks>
  <x:pageMargins left="0.7" right="0.7" top="0.75" bottom="0.75" header="0.3" footer="0.3"/>
</x:worksheet>
</file>

<file path=xl/worksheets/sheet17.xml><?xml version="1.0" encoding="utf-8"?>
<worksheet xmlns="http://schemas.openxmlformats.org/spreadsheetml/2006/main">
  <sheetData>
    <row r="2">
      <c r="A2" t="str">
        <f>IF('人物卡'!D14="","","技能："&amp;'人物卡'!D14)</f>
        <v>技能：会计学</v>
      </c>
      <c r="B2">
        <v>0</v>
      </c>
      <c r="H2" t="inlineStr">
        <is>
          <t>力量</t>
        </is>
      </c>
      <c r="J2" t="inlineStr">
        <is>
          <t>01</t>
        </is>
      </c>
      <c r="K2" t="str">
        <f>IF('模组经历备忘录'!C8="","待命名模组",'模组经历备忘录'!C8)</f>
        <v>待命名模组</v>
      </c>
      <c r="L2" t="inlineStr">
        <is>
          <t>游戏内事件</t>
        </is>
      </c>
      <c r="M2" t="inlineStr">
        <is>
          <t>配偶或前配偶</t>
        </is>
      </c>
      <c r="N2" t="inlineStr">
        <is>
          <t>重要关系1</t>
        </is>
      </c>
      <c r="P2" t="str">
        <f>IF('人物卡'!CZ23="","",IF(AND('人物卡'!$DF$46="艰苦经历",IFERROR(VALUE('人物卡'!$DF$55),0)=1),0,$S$7))</f>
        <v/>
      </c>
      <c r="Q2">
        <f>IFERROR(LOOKUP(2,1/(('幕间与结算'!$D$9:$D$208="建立新的重要关系")*('幕间与结算'!$E$9:$E$208="重要关系1")*('幕间与结算'!$J$9:$J$208="确认")*ISNUMBER('幕间与结算'!$K$9:$K$208)*ISNUMBER('幕间与结算'!$F$9:$F$208)*ISNUMBER('幕间与结算'!$I$9:$I$208)),ROW('幕间与结算'!$D$9:$D$208)),0)</f>
        <v>0</v>
      </c>
      <c r="S2">
        <f>N('幕间与结算'!A5)</f>
        <v>0</v>
      </c>
      <c r="W2">
        <f>IF(H2="","",COUNTIF($H$2:H2,"?*"))</f>
        <v>1</v>
      </c>
      <c r="X2" t="str">
        <f>IFERROR(INDEX($H$2:$H$79,MATCH(1,$W$2:$W$79,0)),"")</f>
        <v>力量</v>
      </c>
      <c r="AA2" t="str">
        <f>IFERROR(INDEX('幕间与结算'!$E$9:$E$208,SMALL(AA$210:AA$409,1)),"")</f>
        <v/>
      </c>
      <c r="AB2" t="str">
        <f>IFERROR(INDEX('幕间与结算'!$E$9:$E$208,SMALL(AB$210:AB$409,1)),"")</f>
        <v/>
      </c>
      <c r="AC2" t="str">
        <f>IFERROR(INDEX('幕间与结算'!$E$9:$E$208,SMALL(AC$210:AC$409,1)),"")</f>
        <v/>
      </c>
      <c r="AD2" t="str">
        <f>IFERROR(INDEX('幕间与结算'!$E$9:$E$208,SMALL(AD$210:AD$409,1)),"")</f>
        <v/>
      </c>
      <c r="AE2" t="str">
        <f>IFERROR(INDEX('幕间与结算'!$E$9:$E$208,SMALL(AE$210:AE$409,1)),"")</f>
        <v/>
      </c>
      <c r="AF2" t="str">
        <f>IFERROR(INDEX('幕间与结算'!$E$9:$E$208,SMALL(AF$210:AF$409,1)),"")</f>
        <v/>
      </c>
      <c r="AG2" t="str">
        <f>IFERROR(INDEX('幕间与结算'!$E$9:$E$208,SMALL(AG$210:AG$409,1)),"")</f>
        <v/>
      </c>
      <c r="AH2" t="str">
        <f>IFERROR(INDEX('幕间与结算'!$E$9:$E$208,SMALL(AH$210:AH$409,1)),"")</f>
        <v/>
      </c>
      <c r="AI2" t="str">
        <f>IFERROR(INDEX('幕间与结算'!$E$9:$E$208,SMALL(AI$210:AI$409,1)),"")</f>
        <v/>
      </c>
      <c r="AJ2" t="str">
        <f>IFERROR(INDEX('幕间与结算'!$E$9:$E$208,SMALL(AJ$210:AJ$409,1)),"")</f>
        <v/>
      </c>
      <c r="AK2" t="str">
        <f>IFERROR(INDEX('幕间与结算'!$E$9:$E$208,SMALL(AK$210:AK$409,1)),"")</f>
        <v/>
      </c>
      <c r="AL2" t="str">
        <f>IFERROR(INDEX('幕间与结算'!$E$9:$E$208,SMALL(AL$210:AL$409,1)),"")</f>
        <v/>
      </c>
      <c r="AM2" t="str">
        <f>IFERROR(INDEX('幕间与结算'!$E$9:$E$208,SMALL(AM$210:AM$409,1)),"")</f>
        <v/>
      </c>
      <c r="AN2" t="str">
        <f>IFERROR(INDEX('幕间与结算'!$E$9:$E$208,SMALL(AN$210:AN$409,1)),"")</f>
        <v/>
      </c>
      <c r="AO2" t="str">
        <f>IFERROR(INDEX('幕间与结算'!$E$9:$E$208,SMALL(AO$210:AO$409,1)),"")</f>
        <v/>
      </c>
      <c r="AP2" t="str">
        <f>IFERROR(INDEX('幕间与结算'!$E$9:$E$208,SMALL(AP$210:AP$409,1)),"")</f>
        <v/>
      </c>
      <c r="AQ2" t="str">
        <f>IFERROR(INDEX('幕间与结算'!$E$9:$E$208,SMALL(AQ$210:AQ$409,1)),"")</f>
        <v/>
      </c>
      <c r="AR2" t="str">
        <f>IFERROR(INDEX('幕间与结算'!$E$9:$E$208,SMALL(AR$210:AR$409,1)),"")</f>
        <v/>
      </c>
      <c r="AS2" t="str">
        <f>IFERROR(INDEX('幕间与结算'!$E$9:$E$208,SMALL(AS$210:AS$409,1)),"")</f>
        <v/>
      </c>
      <c r="AT2" t="str">
        <f>IFERROR(INDEX('幕间与结算'!$E$9:$E$208,SMALL(AT$210:AT$409,1)),"")</f>
        <v/>
      </c>
    </row>
    <row r="3">
      <c r="A3" t="str">
        <f>IF('人物卡'!D15="","","技能："&amp;'人物卡'!D15)</f>
        <v>技能：警觉</v>
      </c>
      <c r="B3">
        <v>0</v>
      </c>
      <c r="H3" t="inlineStr">
        <is>
          <t>体质</t>
        </is>
      </c>
      <c r="J3" t="inlineStr">
        <is>
          <t>02</t>
        </is>
      </c>
      <c r="K3" t="str">
        <f>IF('模组经历备忘录'!C9="","待命名模组",'模组经历备忘录'!C9)</f>
        <v>待命名模组</v>
      </c>
      <c r="L3" t="inlineStr">
        <is>
          <t>技能检定</t>
        </is>
      </c>
      <c r="M3" t="inlineStr">
        <is>
          <t>儿子或女儿</t>
        </is>
      </c>
      <c r="N3" t="inlineStr">
        <is>
          <t>重要关系2</t>
        </is>
      </c>
      <c r="P3" t="str">
        <f>IF('人物卡'!CZ26="","",IF(AND('人物卡'!$DF$46="艰苦经历",IFERROR(VALUE('人物卡'!$DF$55),0)=2),0,$S$7))</f>
        <v/>
      </c>
      <c r="Q3">
        <f>IFERROR(LOOKUP(2,1/(('幕间与结算'!$D$9:$D$208="建立新的重要关系")*('幕间与结算'!$E$9:$E$208="重要关系2")*('幕间与结算'!$J$9:$J$208="确认")*ISNUMBER('幕间与结算'!$K$9:$K$208)*ISNUMBER('幕间与结算'!$F$9:$F$208)*ISNUMBER('幕间与结算'!$I$9:$I$208)),ROW('幕间与结算'!$D$9:$D$208)),0)</f>
        <v>0</v>
      </c>
      <c r="S3">
        <f>N('幕间与结算'!B5)</f>
        <v>0</v>
      </c>
      <c r="W3">
        <f>IF(H3="","",COUNTIF($H$2:H3,"?*"))</f>
        <v>2</v>
      </c>
      <c r="X3" t="str">
        <f>IFERROR(INDEX($H$2:$H$79,MATCH(2,$W$2:$W$79,0)),"")</f>
        <v>体质</v>
      </c>
      <c r="AA3" t="str">
        <f>IFERROR(INDEX('幕间与结算'!$E$9:$E$208,SMALL(AA$210:AA$409,2)),"")</f>
        <v/>
      </c>
      <c r="AB3" t="str">
        <f>IFERROR(INDEX('幕间与结算'!$E$9:$E$208,SMALL(AB$210:AB$409,2)),"")</f>
        <v/>
      </c>
      <c r="AC3" t="str">
        <f>IFERROR(INDEX('幕间与结算'!$E$9:$E$208,SMALL(AC$210:AC$409,2)),"")</f>
        <v/>
      </c>
      <c r="AD3" t="str">
        <f>IFERROR(INDEX('幕间与结算'!$E$9:$E$208,SMALL(AD$210:AD$409,2)),"")</f>
        <v/>
      </c>
      <c r="AE3" t="str">
        <f>IFERROR(INDEX('幕间与结算'!$E$9:$E$208,SMALL(AE$210:AE$409,2)),"")</f>
        <v/>
      </c>
      <c r="AF3" t="str">
        <f>IFERROR(INDEX('幕间与结算'!$E$9:$E$208,SMALL(AF$210:AF$409,2)),"")</f>
        <v/>
      </c>
      <c r="AG3" t="str">
        <f>IFERROR(INDEX('幕间与结算'!$E$9:$E$208,SMALL(AG$210:AG$409,2)),"")</f>
        <v/>
      </c>
      <c r="AH3" t="str">
        <f>IFERROR(INDEX('幕间与结算'!$E$9:$E$208,SMALL(AH$210:AH$409,2)),"")</f>
        <v/>
      </c>
      <c r="AI3" t="str">
        <f>IFERROR(INDEX('幕间与结算'!$E$9:$E$208,SMALL(AI$210:AI$409,2)),"")</f>
        <v/>
      </c>
      <c r="AJ3" t="str">
        <f>IFERROR(INDEX('幕间与结算'!$E$9:$E$208,SMALL(AJ$210:AJ$409,2)),"")</f>
        <v/>
      </c>
      <c r="AK3" t="str">
        <f>IFERROR(INDEX('幕间与结算'!$E$9:$E$208,SMALL(AK$210:AK$409,2)),"")</f>
        <v/>
      </c>
      <c r="AL3" t="str">
        <f>IFERROR(INDEX('幕间与结算'!$E$9:$E$208,SMALL(AL$210:AL$409,2)),"")</f>
        <v/>
      </c>
      <c r="AM3" t="str">
        <f>IFERROR(INDEX('幕间与结算'!$E$9:$E$208,SMALL(AM$210:AM$409,2)),"")</f>
        <v/>
      </c>
      <c r="AN3" t="str">
        <f>IFERROR(INDEX('幕间与结算'!$E$9:$E$208,SMALL(AN$210:AN$409,2)),"")</f>
        <v/>
      </c>
      <c r="AO3" t="str">
        <f>IFERROR(INDEX('幕间与结算'!$E$9:$E$208,SMALL(AO$210:AO$409,2)),"")</f>
        <v/>
      </c>
      <c r="AP3" t="str">
        <f>IFERROR(INDEX('幕间与结算'!$E$9:$E$208,SMALL(AP$210:AP$409,2)),"")</f>
        <v/>
      </c>
      <c r="AQ3" t="str">
        <f>IFERROR(INDEX('幕间与结算'!$E$9:$E$208,SMALL(AQ$210:AQ$409,2)),"")</f>
        <v/>
      </c>
      <c r="AR3" t="str">
        <f>IFERROR(INDEX('幕间与结算'!$E$9:$E$208,SMALL(AR$210:AR$409,2)),"")</f>
        <v/>
      </c>
      <c r="AS3" t="str">
        <f>IFERROR(INDEX('幕间与结算'!$E$9:$E$208,SMALL(AS$210:AS$409,2)),"")</f>
        <v/>
      </c>
      <c r="AT3" t="str">
        <f>IFERROR(INDEX('幕间与结算'!$E$9:$E$208,SMALL(AT$210:AT$409,2)),"")</f>
        <v/>
      </c>
    </row>
    <row r="4">
      <c r="A4" t="str">
        <f>IF('人物卡'!D16="","","技能："&amp;'人物卡'!D16)</f>
        <v>技能：人类学</v>
      </c>
      <c r="B4">
        <v>0</v>
      </c>
      <c r="H4" t="inlineStr">
        <is>
          <t>敏捷</t>
        </is>
      </c>
      <c r="J4" t="inlineStr">
        <is>
          <t>03</t>
        </is>
      </c>
      <c r="K4" t="str">
        <f>IF('模组经历备忘录'!C10="","待命名模组",'模组经历备忘录'!C10)</f>
        <v>待命名模组</v>
      </c>
      <c r="L4" t="inlineStr">
        <is>
          <t>属性调整</t>
        </is>
      </c>
      <c r="M4" t="inlineStr">
        <is>
          <t>父母或祖父母之一</t>
        </is>
      </c>
      <c r="N4" t="inlineStr">
        <is>
          <t>重要关系3</t>
        </is>
      </c>
      <c r="P4" t="str">
        <f>IF('人物卡'!CZ29="","",IF(AND('人物卡'!$DF$46="艰苦经历",IFERROR(VALUE('人物卡'!$DF$55),0)=3),0,$S$7))</f>
        <v/>
      </c>
      <c r="Q4">
        <f>IFERROR(LOOKUP(2,1/(('幕间与结算'!$D$9:$D$208="建立新的重要关系")*('幕间与结算'!$E$9:$E$208="重要关系3")*('幕间与结算'!$J$9:$J$208="确认")*ISNUMBER('幕间与结算'!$K$9:$K$208)*ISNUMBER('幕间与结算'!$F$9:$F$208)*ISNUMBER('幕间与结算'!$I$9:$I$208)),ROW('幕间与结算'!$D$9:$D$208)),0)</f>
        <v>0</v>
      </c>
      <c r="S4">
        <f>N('幕间与结算'!C5)</f>
        <v>0</v>
      </c>
      <c r="W4">
        <f>IF(H4="","",COUNTIF($H$2:H4,"?*"))</f>
        <v>3</v>
      </c>
      <c r="X4" t="str">
        <f>IFERROR(INDEX($H$2:$H$79,MATCH(3,$W$2:$W$79,0)),"")</f>
        <v>敏捷</v>
      </c>
      <c r="AA4" t="str">
        <f>IFERROR(INDEX('幕间与结算'!$E$9:$E$208,SMALL(AA$210:AA$409,3)),"")</f>
        <v/>
      </c>
      <c r="AB4" t="str">
        <f>IFERROR(INDEX('幕间与结算'!$E$9:$E$208,SMALL(AB$210:AB$409,3)),"")</f>
        <v/>
      </c>
      <c r="AC4" t="str">
        <f>IFERROR(INDEX('幕间与结算'!$E$9:$E$208,SMALL(AC$210:AC$409,3)),"")</f>
        <v/>
      </c>
      <c r="AD4" t="str">
        <f>IFERROR(INDEX('幕间与结算'!$E$9:$E$208,SMALL(AD$210:AD$409,3)),"")</f>
        <v/>
      </c>
      <c r="AE4" t="str">
        <f>IFERROR(INDEX('幕间与结算'!$E$9:$E$208,SMALL(AE$210:AE$409,3)),"")</f>
        <v/>
      </c>
      <c r="AF4" t="str">
        <f>IFERROR(INDEX('幕间与结算'!$E$9:$E$208,SMALL(AF$210:AF$409,3)),"")</f>
        <v/>
      </c>
      <c r="AG4" t="str">
        <f>IFERROR(INDEX('幕间与结算'!$E$9:$E$208,SMALL(AG$210:AG$409,3)),"")</f>
        <v/>
      </c>
      <c r="AH4" t="str">
        <f>IFERROR(INDEX('幕间与结算'!$E$9:$E$208,SMALL(AH$210:AH$409,3)),"")</f>
        <v/>
      </c>
      <c r="AI4" t="str">
        <f>IFERROR(INDEX('幕间与结算'!$E$9:$E$208,SMALL(AI$210:AI$409,3)),"")</f>
        <v/>
      </c>
      <c r="AJ4" t="str">
        <f>IFERROR(INDEX('幕间与结算'!$E$9:$E$208,SMALL(AJ$210:AJ$409,3)),"")</f>
        <v/>
      </c>
      <c r="AK4" t="str">
        <f>IFERROR(INDEX('幕间与结算'!$E$9:$E$208,SMALL(AK$210:AK$409,3)),"")</f>
        <v/>
      </c>
      <c r="AL4" t="str">
        <f>IFERROR(INDEX('幕间与结算'!$E$9:$E$208,SMALL(AL$210:AL$409,3)),"")</f>
        <v/>
      </c>
      <c r="AM4" t="str">
        <f>IFERROR(INDEX('幕间与结算'!$E$9:$E$208,SMALL(AM$210:AM$409,3)),"")</f>
        <v/>
      </c>
      <c r="AN4" t="str">
        <f>IFERROR(INDEX('幕间与结算'!$E$9:$E$208,SMALL(AN$210:AN$409,3)),"")</f>
        <v/>
      </c>
      <c r="AO4" t="str">
        <f>IFERROR(INDEX('幕间与结算'!$E$9:$E$208,SMALL(AO$210:AO$409,3)),"")</f>
        <v/>
      </c>
      <c r="AP4" t="str">
        <f>IFERROR(INDEX('幕间与结算'!$E$9:$E$208,SMALL(AP$210:AP$409,3)),"")</f>
        <v/>
      </c>
      <c r="AQ4" t="str">
        <f>IFERROR(INDEX('幕间与结算'!$E$9:$E$208,SMALL(AQ$210:AQ$409,3)),"")</f>
        <v/>
      </c>
      <c r="AR4" t="str">
        <f>IFERROR(INDEX('幕间与结算'!$E$9:$E$208,SMALL(AR$210:AR$409,3)),"")</f>
        <v/>
      </c>
      <c r="AS4" t="str">
        <f>IFERROR(INDEX('幕间与结算'!$E$9:$E$208,SMALL(AS$210:AS$409,3)),"")</f>
        <v/>
      </c>
      <c r="AT4" t="str">
        <f>IFERROR(INDEX('幕间与结算'!$E$9:$E$208,SMALL(AT$210:AT$409,3)),"")</f>
        <v/>
      </c>
    </row>
    <row r="5">
      <c r="A5" t="str">
        <f>IF('人物卡'!D17="","","技能："&amp;'人物卡'!D17)</f>
        <v>技能：考古学</v>
      </c>
      <c r="B5">
        <v>0</v>
      </c>
      <c r="H5" t="inlineStr">
        <is>
          <t>智力</t>
        </is>
      </c>
      <c r="J5" t="inlineStr">
        <is>
          <t>04</t>
        </is>
      </c>
      <c r="K5" t="str">
        <f>IF('模组经历备忘录'!C11="","待命名模组",'模组经历备忘录'!C11)</f>
        <v>待命名模组</v>
      </c>
      <c r="L5" t="inlineStr">
        <is>
          <t>状态变化</t>
        </is>
      </c>
      <c r="M5" t="inlineStr">
        <is>
          <t>挚友</t>
        </is>
      </c>
      <c r="N5" t="inlineStr">
        <is>
          <t>重要关系4</t>
        </is>
      </c>
      <c r="P5" t="str">
        <f>IF('人物卡'!CZ32="","",IF(AND('人物卡'!$DF$46="艰苦经历",IFERROR(VALUE('人物卡'!$DF$55),0)=4),0,$S$7))</f>
        <v/>
      </c>
      <c r="Q5">
        <f>IFERROR(LOOKUP(2,1/(('幕间与结算'!$D$9:$D$208="建立新的重要关系")*('幕间与结算'!$E$9:$E$208="重要关系4")*('幕间与结算'!$J$9:$J$208="确认")*ISNUMBER('幕间与结算'!$K$9:$K$208)*ISNUMBER('幕间与结算'!$F$9:$F$208)*ISNUMBER('幕间与结算'!$I$9:$I$208)),ROW('幕间与结算'!$D$9:$D$208)),0)</f>
        <v>0</v>
      </c>
      <c r="S5">
        <f>N('幕间与结算'!D5)</f>
        <v>0</v>
      </c>
      <c r="W5">
        <f>IF(H5="","",COUNTIF($H$2:H5,"?*"))</f>
        <v>4</v>
      </c>
      <c r="X5" t="str">
        <f>IFERROR(INDEX($H$2:$H$79,MATCH(4,$W$2:$W$79,0)),"")</f>
        <v>智力</v>
      </c>
      <c r="AA5" t="str">
        <f>IFERROR(INDEX('幕间与结算'!$E$9:$E$208,SMALL(AA$210:AA$409,4)),"")</f>
        <v/>
      </c>
      <c r="AB5" t="str">
        <f>IFERROR(INDEX('幕间与结算'!$E$9:$E$208,SMALL(AB$210:AB$409,4)),"")</f>
        <v/>
      </c>
      <c r="AC5" t="str">
        <f>IFERROR(INDEX('幕间与结算'!$E$9:$E$208,SMALL(AC$210:AC$409,4)),"")</f>
        <v/>
      </c>
      <c r="AD5" t="str">
        <f>IFERROR(INDEX('幕间与结算'!$E$9:$E$208,SMALL(AD$210:AD$409,4)),"")</f>
        <v/>
      </c>
      <c r="AE5" t="str">
        <f>IFERROR(INDEX('幕间与结算'!$E$9:$E$208,SMALL(AE$210:AE$409,4)),"")</f>
        <v/>
      </c>
      <c r="AF5" t="str">
        <f>IFERROR(INDEX('幕间与结算'!$E$9:$E$208,SMALL(AF$210:AF$409,4)),"")</f>
        <v/>
      </c>
      <c r="AG5" t="str">
        <f>IFERROR(INDEX('幕间与结算'!$E$9:$E$208,SMALL(AG$210:AG$409,4)),"")</f>
        <v/>
      </c>
      <c r="AH5" t="str">
        <f>IFERROR(INDEX('幕间与结算'!$E$9:$E$208,SMALL(AH$210:AH$409,4)),"")</f>
        <v/>
      </c>
      <c r="AI5" t="str">
        <f>IFERROR(INDEX('幕间与结算'!$E$9:$E$208,SMALL(AI$210:AI$409,4)),"")</f>
        <v/>
      </c>
      <c r="AJ5" t="str">
        <f>IFERROR(INDEX('幕间与结算'!$E$9:$E$208,SMALL(AJ$210:AJ$409,4)),"")</f>
        <v/>
      </c>
      <c r="AK5" t="str">
        <f>IFERROR(INDEX('幕间与结算'!$E$9:$E$208,SMALL(AK$210:AK$409,4)),"")</f>
        <v/>
      </c>
      <c r="AL5" t="str">
        <f>IFERROR(INDEX('幕间与结算'!$E$9:$E$208,SMALL(AL$210:AL$409,4)),"")</f>
        <v/>
      </c>
      <c r="AM5" t="str">
        <f>IFERROR(INDEX('幕间与结算'!$E$9:$E$208,SMALL(AM$210:AM$409,4)),"")</f>
        <v/>
      </c>
      <c r="AN5" t="str">
        <f>IFERROR(INDEX('幕间与结算'!$E$9:$E$208,SMALL(AN$210:AN$409,4)),"")</f>
        <v/>
      </c>
      <c r="AO5" t="str">
        <f>IFERROR(INDEX('幕间与结算'!$E$9:$E$208,SMALL(AO$210:AO$409,4)),"")</f>
        <v/>
      </c>
      <c r="AP5" t="str">
        <f>IFERROR(INDEX('幕间与结算'!$E$9:$E$208,SMALL(AP$210:AP$409,4)),"")</f>
        <v/>
      </c>
      <c r="AQ5" t="str">
        <f>IFERROR(INDEX('幕间与结算'!$E$9:$E$208,SMALL(AQ$210:AQ$409,4)),"")</f>
        <v/>
      </c>
      <c r="AR5" t="str">
        <f>IFERROR(INDEX('幕间与结算'!$E$9:$E$208,SMALL(AR$210:AR$409,4)),"")</f>
        <v/>
      </c>
      <c r="AS5" t="str">
        <f>IFERROR(INDEX('幕间与结算'!$E$9:$E$208,SMALL(AS$210:AS$409,4)),"")</f>
        <v/>
      </c>
      <c r="AT5" t="str">
        <f>IFERROR(INDEX('幕间与结算'!$E$9:$E$208,SMALL(AT$210:AT$409,4)),"")</f>
        <v/>
      </c>
    </row>
    <row r="6">
      <c r="A6" t="str">
        <f>IF(TRIM('人物卡'!J18)="","","技能："&amp;SUBSTITUTE('人物卡'!D18,"：","")&amp;"（"&amp;TRIM('人物卡'!J18)&amp;"）")</f>
        <v/>
      </c>
      <c r="B6">
        <v>0</v>
      </c>
      <c r="H6" t="inlineStr">
        <is>
          <t>意志</t>
        </is>
      </c>
      <c r="J6" t="inlineStr">
        <is>
          <t>05</t>
        </is>
      </c>
      <c r="K6" t="str">
        <f>IF('模组经历备忘录'!C12="","待命名模组",'模组经历备忘录'!C12)</f>
        <v>待命名模组</v>
      </c>
      <c r="L6" t="inlineStr">
        <is>
          <t>关系变化</t>
        </is>
      </c>
      <c r="M6" t="inlineStr">
        <is>
          <t>同事或搭档</t>
        </is>
      </c>
      <c r="N6" t="inlineStr">
        <is>
          <t>重要关系5</t>
        </is>
      </c>
      <c r="P6" t="str">
        <f>IF('人物卡'!CZ35="","",IF(AND('人物卡'!$DF$46="艰苦经历",IFERROR(VALUE('人物卡'!$DF$55),0)=5),0,$S$7))</f>
        <v/>
      </c>
      <c r="Q6">
        <f>IFERROR(LOOKUP(2,1/(('幕间与结算'!$D$9:$D$208="建立新的重要关系")*('幕间与结算'!$E$9:$E$208="重要关系5")*('幕间与结算'!$J$9:$J$208="确认")*ISNUMBER('幕间与结算'!$K$9:$K$208)*ISNUMBER('幕间与结算'!$F$9:$F$208)*ISNUMBER('幕间与结算'!$I$9:$I$208)),ROW('幕间与结算'!$D$9:$D$208)),0)</f>
        <v>0</v>
      </c>
      <c r="S6">
        <f>N('幕间与结算'!E5)-IF('人物卡'!$DF$46="关押或入狱",3,0)</f>
        <v>0</v>
      </c>
      <c r="W6">
        <f>IF(H6="","",COUNTIF($H$2:H6,"?*"))</f>
        <v>5</v>
      </c>
      <c r="X6" t="str">
        <f>IFERROR(INDEX($H$2:$H$79,MATCH(5,$W$2:$W$79,0)),"")</f>
        <v>意志</v>
      </c>
      <c r="AA6" t="str">
        <f>IFERROR(INDEX('幕间与结算'!$E$9:$E$208,SMALL(AA$210:AA$409,5)),"")</f>
        <v/>
      </c>
      <c r="AB6" t="str">
        <f>IFERROR(INDEX('幕间与结算'!$E$9:$E$208,SMALL(AB$210:AB$409,5)),"")</f>
        <v/>
      </c>
      <c r="AC6" t="str">
        <f>IFERROR(INDEX('幕间与结算'!$E$9:$E$208,SMALL(AC$210:AC$409,5)),"")</f>
        <v/>
      </c>
      <c r="AD6" t="str">
        <f>IFERROR(INDEX('幕间与结算'!$E$9:$E$208,SMALL(AD$210:AD$409,5)),"")</f>
        <v/>
      </c>
      <c r="AE6" t="str">
        <f>IFERROR(INDEX('幕间与结算'!$E$9:$E$208,SMALL(AE$210:AE$409,5)),"")</f>
        <v/>
      </c>
      <c r="AF6" t="str">
        <f>IFERROR(INDEX('幕间与结算'!$E$9:$E$208,SMALL(AF$210:AF$409,5)),"")</f>
        <v/>
      </c>
      <c r="AG6" t="str">
        <f>IFERROR(INDEX('幕间与结算'!$E$9:$E$208,SMALL(AG$210:AG$409,5)),"")</f>
        <v/>
      </c>
      <c r="AH6" t="str">
        <f>IFERROR(INDEX('幕间与结算'!$E$9:$E$208,SMALL(AH$210:AH$409,5)),"")</f>
        <v/>
      </c>
      <c r="AI6" t="str">
        <f>IFERROR(INDEX('幕间与结算'!$E$9:$E$208,SMALL(AI$210:AI$409,5)),"")</f>
        <v/>
      </c>
      <c r="AJ6" t="str">
        <f>IFERROR(INDEX('幕间与结算'!$E$9:$E$208,SMALL(AJ$210:AJ$409,5)),"")</f>
        <v/>
      </c>
      <c r="AK6" t="str">
        <f>IFERROR(INDEX('幕间与结算'!$E$9:$E$208,SMALL(AK$210:AK$409,5)),"")</f>
        <v/>
      </c>
      <c r="AL6" t="str">
        <f>IFERROR(INDEX('幕间与结算'!$E$9:$E$208,SMALL(AL$210:AL$409,5)),"")</f>
        <v/>
      </c>
      <c r="AM6" t="str">
        <f>IFERROR(INDEX('幕间与结算'!$E$9:$E$208,SMALL(AM$210:AM$409,5)),"")</f>
        <v/>
      </c>
      <c r="AN6" t="str">
        <f>IFERROR(INDEX('幕间与结算'!$E$9:$E$208,SMALL(AN$210:AN$409,5)),"")</f>
        <v/>
      </c>
      <c r="AO6" t="str">
        <f>IFERROR(INDEX('幕间与结算'!$E$9:$E$208,SMALL(AO$210:AO$409,5)),"")</f>
        <v/>
      </c>
      <c r="AP6" t="str">
        <f>IFERROR(INDEX('幕间与结算'!$E$9:$E$208,SMALL(AP$210:AP$409,5)),"")</f>
        <v/>
      </c>
      <c r="AQ6" t="str">
        <f>IFERROR(INDEX('幕间与结算'!$E$9:$E$208,SMALL(AQ$210:AQ$409,5)),"")</f>
        <v/>
      </c>
      <c r="AR6" t="str">
        <f>IFERROR(INDEX('幕间与结算'!$E$9:$E$208,SMALL(AR$210:AR$409,5)),"")</f>
        <v/>
      </c>
      <c r="AS6" t="str">
        <f>IFERROR(INDEX('幕间与结算'!$E$9:$E$208,SMALL(AS$210:AS$409,5)),"")</f>
        <v/>
      </c>
      <c r="AT6" t="str">
        <f>IFERROR(INDEX('幕间与结算'!$E$9:$E$208,SMALL(AT$210:AT$409,5)),"")</f>
        <v/>
      </c>
    </row>
    <row r="7">
      <c r="A7" t="str">
        <f>IF(TRIM('人物卡'!J19)="","","技能："&amp;SUBSTITUTE('人物卡'!D19,"：","")&amp;"（"&amp;TRIM('人物卡'!J19)&amp;"）")</f>
        <v/>
      </c>
      <c r="B7">
        <v>0</v>
      </c>
      <c r="H7" t="inlineStr">
        <is>
          <t>魅力</t>
        </is>
      </c>
      <c r="J7" t="inlineStr">
        <is>
          <t>06</t>
        </is>
      </c>
      <c r="K7" t="str">
        <f>IF('模组经历备忘录'!C13="","待命名模组",'模组经历备忘录'!C13)</f>
        <v>待命名模组</v>
      </c>
      <c r="L7" t="inlineStr">
        <is>
          <t>按部就班</t>
        </is>
      </c>
      <c r="M7" t="inlineStr">
        <is>
          <t>心理医生或治疗师</t>
        </is>
      </c>
      <c r="N7" t="inlineStr">
        <is>
          <t>重要关系6</t>
        </is>
      </c>
      <c r="P7" t="str">
        <f>IF('人物卡'!CZ38="","",IF(AND('人物卡'!$DF$46="艰苦经历",IFERROR(VALUE('人物卡'!$DF$55),0)=6),0,$S$7))</f>
        <v/>
      </c>
      <c r="Q7">
        <f>IFERROR(LOOKUP(2,1/(('幕间与结算'!$D$9:$D$208="建立新的重要关系")*('幕间与结算'!$E$9:$E$208="重要关系6")*('幕间与结算'!$J$9:$J$208="确认")*ISNUMBER('幕间与结算'!$K$9:$K$208)*ISNUMBER('幕间与结算'!$F$9:$F$208)*ISNUMBER('幕间与结算'!$I$9:$I$208)),ROW('幕间与结算'!$D$9:$D$208)),0)</f>
        <v>0</v>
      </c>
      <c r="S7">
        <f>N('幕间与结算'!F5)-IF('人物卡'!$DF$46="极端暴力",3,0)</f>
        <v>0</v>
      </c>
      <c r="W7">
        <f>IF(H7="","",COUNTIF($H$2:H7,"?*"))</f>
        <v>6</v>
      </c>
      <c r="X7" t="str">
        <f>IFERROR(INDEX($H$2:$H$79,MATCH(6,$W$2:$W$79,0)),"")</f>
        <v>魅力</v>
      </c>
      <c r="AA7" t="str">
        <f>IFERROR(INDEX('幕间与结算'!$E$9:$E$208,SMALL(AA$210:AA$409,6)),"")</f>
        <v/>
      </c>
      <c r="AB7" t="str">
        <f>IFERROR(INDEX('幕间与结算'!$E$9:$E$208,SMALL(AB$210:AB$409,6)),"")</f>
        <v/>
      </c>
      <c r="AC7" t="str">
        <f>IFERROR(INDEX('幕间与结算'!$E$9:$E$208,SMALL(AC$210:AC$409,6)),"")</f>
        <v/>
      </c>
      <c r="AD7" t="str">
        <f>IFERROR(INDEX('幕间与结算'!$E$9:$E$208,SMALL(AD$210:AD$409,6)),"")</f>
        <v/>
      </c>
      <c r="AE7" t="str">
        <f>IFERROR(INDEX('幕间与结算'!$E$9:$E$208,SMALL(AE$210:AE$409,6)),"")</f>
        <v/>
      </c>
      <c r="AF7" t="str">
        <f>IFERROR(INDEX('幕间与结算'!$E$9:$E$208,SMALL(AF$210:AF$409,6)),"")</f>
        <v/>
      </c>
      <c r="AG7" t="str">
        <f>IFERROR(INDEX('幕间与结算'!$E$9:$E$208,SMALL(AG$210:AG$409,6)),"")</f>
        <v/>
      </c>
      <c r="AH7" t="str">
        <f>IFERROR(INDEX('幕间与结算'!$E$9:$E$208,SMALL(AH$210:AH$409,6)),"")</f>
        <v/>
      </c>
      <c r="AI7" t="str">
        <f>IFERROR(INDEX('幕间与结算'!$E$9:$E$208,SMALL(AI$210:AI$409,6)),"")</f>
        <v/>
      </c>
      <c r="AJ7" t="str">
        <f>IFERROR(INDEX('幕间与结算'!$E$9:$E$208,SMALL(AJ$210:AJ$409,6)),"")</f>
        <v/>
      </c>
      <c r="AK7" t="str">
        <f>IFERROR(INDEX('幕间与结算'!$E$9:$E$208,SMALL(AK$210:AK$409,6)),"")</f>
        <v/>
      </c>
      <c r="AL7" t="str">
        <f>IFERROR(INDEX('幕间与结算'!$E$9:$E$208,SMALL(AL$210:AL$409,6)),"")</f>
        <v/>
      </c>
      <c r="AM7" t="str">
        <f>IFERROR(INDEX('幕间与结算'!$E$9:$E$208,SMALL(AM$210:AM$409,6)),"")</f>
        <v/>
      </c>
      <c r="AN7" t="str">
        <f>IFERROR(INDEX('幕间与结算'!$E$9:$E$208,SMALL(AN$210:AN$409,6)),"")</f>
        <v/>
      </c>
      <c r="AO7" t="str">
        <f>IFERROR(INDEX('幕间与结算'!$E$9:$E$208,SMALL(AO$210:AO$409,6)),"")</f>
        <v/>
      </c>
      <c r="AP7" t="str">
        <f>IFERROR(INDEX('幕间与结算'!$E$9:$E$208,SMALL(AP$210:AP$409,6)),"")</f>
        <v/>
      </c>
      <c r="AQ7" t="str">
        <f>IFERROR(INDEX('幕间与结算'!$E$9:$E$208,SMALL(AQ$210:AQ$409,6)),"")</f>
        <v/>
      </c>
      <c r="AR7" t="str">
        <f>IFERROR(INDEX('幕间与结算'!$E$9:$E$208,SMALL(AR$210:AR$409,6)),"")</f>
        <v/>
      </c>
      <c r="AS7" t="str">
        <f>IFERROR(INDEX('幕间与结算'!$E$9:$E$208,SMALL(AS$210:AS$409,6)),"")</f>
        <v/>
      </c>
      <c r="AT7" t="str">
        <f>IFERROR(INDEX('幕间与结算'!$E$9:$E$208,SMALL(AT$210:AT$409,6)),"")</f>
        <v/>
      </c>
    </row>
    <row r="8">
      <c r="A8" t="str">
        <f>IF(TRIM('人物卡'!J20)="","","技能："&amp;SUBSTITUTE('人物卡'!D20,"：","")&amp;"（"&amp;TRIM('人物卡'!J20)&amp;"）")</f>
        <v/>
      </c>
      <c r="B8">
        <v>0</v>
      </c>
      <c r="H8" t="inlineStr">
        <is>
          <t>体力</t>
        </is>
      </c>
      <c r="J8" t="inlineStr">
        <is>
          <t>07</t>
        </is>
      </c>
      <c r="K8" t="str">
        <f>IF('模组经历备忘录'!C14="","待命名模组",'模组经历备忘录'!C14)</f>
        <v>待命名模组</v>
      </c>
      <c r="L8" t="inlineStr">
        <is>
          <t>远离喧嚣</t>
        </is>
      </c>
      <c r="M8" t="inlineStr">
        <is>
          <t>配偶和孩子</t>
        </is>
      </c>
      <c r="N8" t="inlineStr">
        <is>
          <t>重要关系7</t>
        </is>
      </c>
      <c r="P8" t="str">
        <f>IF('人物卡'!CZ41="","",IF(AND('人物卡'!$DF$46="艰苦经历",IFERROR(VALUE('人物卡'!$DF$55),0)=7),0,$S$7))</f>
        <v/>
      </c>
      <c r="Q8">
        <f>IFERROR(LOOKUP(2,1/(('幕间与结算'!$D$9:$D$208="建立新的重要关系")*('幕间与结算'!$E$9:$E$208="重要关系7")*('幕间与结算'!$J$9:$J$208="确认")*ISNUMBER('幕间与结算'!$K$9:$K$208)*ISNUMBER('幕间与结算'!$F$9:$F$208)*ISNUMBER('幕间与结算'!$I$9:$I$208)),ROW('幕间与结算'!$D$9:$D$208)),0)</f>
        <v>0</v>
      </c>
      <c r="S8">
        <f>IF(ISNUMBER('幕间与结算'!G5),'幕间与结算'!G5,CEILING((S2+S3)/2,1))</f>
        <v>0</v>
      </c>
      <c r="W8">
        <f>IF(H8="","",COUNTIF($H$2:H8,"?*"))</f>
        <v>7</v>
      </c>
      <c r="X8" t="str">
        <f>IFERROR(INDEX($H$2:$H$79,MATCH(7,$W$2:$W$79,0)),"")</f>
        <v>体力</v>
      </c>
      <c r="AA8" t="str">
        <f>IFERROR(INDEX('幕间与结算'!$E$9:$E$208,SMALL(AA$210:AA$409,7)),"")</f>
        <v/>
      </c>
      <c r="AB8" t="str">
        <f>IFERROR(INDEX('幕间与结算'!$E$9:$E$208,SMALL(AB$210:AB$409,7)),"")</f>
        <v/>
      </c>
      <c r="AC8" t="str">
        <f>IFERROR(INDEX('幕间与结算'!$E$9:$E$208,SMALL(AC$210:AC$409,7)),"")</f>
        <v/>
      </c>
      <c r="AD8" t="str">
        <f>IFERROR(INDEX('幕间与结算'!$E$9:$E$208,SMALL(AD$210:AD$409,7)),"")</f>
        <v/>
      </c>
      <c r="AE8" t="str">
        <f>IFERROR(INDEX('幕间与结算'!$E$9:$E$208,SMALL(AE$210:AE$409,7)),"")</f>
        <v/>
      </c>
      <c r="AF8" t="str">
        <f>IFERROR(INDEX('幕间与结算'!$E$9:$E$208,SMALL(AF$210:AF$409,7)),"")</f>
        <v/>
      </c>
      <c r="AG8" t="str">
        <f>IFERROR(INDEX('幕间与结算'!$E$9:$E$208,SMALL(AG$210:AG$409,7)),"")</f>
        <v/>
      </c>
      <c r="AH8" t="str">
        <f>IFERROR(INDEX('幕间与结算'!$E$9:$E$208,SMALL(AH$210:AH$409,7)),"")</f>
        <v/>
      </c>
      <c r="AI8" t="str">
        <f>IFERROR(INDEX('幕间与结算'!$E$9:$E$208,SMALL(AI$210:AI$409,7)),"")</f>
        <v/>
      </c>
      <c r="AJ8" t="str">
        <f>IFERROR(INDEX('幕间与结算'!$E$9:$E$208,SMALL(AJ$210:AJ$409,7)),"")</f>
        <v/>
      </c>
      <c r="AK8" t="str">
        <f>IFERROR(INDEX('幕间与结算'!$E$9:$E$208,SMALL(AK$210:AK$409,7)),"")</f>
        <v/>
      </c>
      <c r="AL8" t="str">
        <f>IFERROR(INDEX('幕间与结算'!$E$9:$E$208,SMALL(AL$210:AL$409,7)),"")</f>
        <v/>
      </c>
      <c r="AM8" t="str">
        <f>IFERROR(INDEX('幕间与结算'!$E$9:$E$208,SMALL(AM$210:AM$409,7)),"")</f>
        <v/>
      </c>
      <c r="AN8" t="str">
        <f>IFERROR(INDEX('幕间与结算'!$E$9:$E$208,SMALL(AN$210:AN$409,7)),"")</f>
        <v/>
      </c>
      <c r="AO8" t="str">
        <f>IFERROR(INDEX('幕间与结算'!$E$9:$E$208,SMALL(AO$210:AO$409,7)),"")</f>
        <v/>
      </c>
      <c r="AP8" t="str">
        <f>IFERROR(INDEX('幕间与结算'!$E$9:$E$208,SMALL(AP$210:AP$409,7)),"")</f>
        <v/>
      </c>
      <c r="AQ8" t="str">
        <f>IFERROR(INDEX('幕间与结算'!$E$9:$E$208,SMALL(AQ$210:AQ$409,7)),"")</f>
        <v/>
      </c>
      <c r="AR8" t="str">
        <f>IFERROR(INDEX('幕间与结算'!$E$9:$E$208,SMALL(AR$210:AR$409,7)),"")</f>
        <v/>
      </c>
      <c r="AS8" t="str">
        <f>IFERROR(INDEX('幕间与结算'!$E$9:$E$208,SMALL(AS$210:AS$409,7)),"")</f>
        <v/>
      </c>
      <c r="AT8" t="str">
        <f>IFERROR(INDEX('幕间与结算'!$E$9:$E$208,SMALL(AT$210:AT$409,7)),"")</f>
        <v/>
      </c>
    </row>
    <row r="9">
      <c r="A9" t="str">
        <f>IF('人物卡'!D21="","","技能："&amp;'人物卡'!D21)</f>
        <v>技能：炮术</v>
      </c>
      <c r="B9">
        <v>0</v>
      </c>
      <c r="H9" t="inlineStr">
        <is>
          <t>毅力</t>
        </is>
      </c>
      <c r="J9" t="inlineStr">
        <is>
          <t>08</t>
        </is>
      </c>
      <c r="K9" t="str">
        <f>IF('模组经历备忘录'!C15="","待命名模组",'模组经历备忘录'!C15)</f>
        <v>待命名模组</v>
      </c>
      <c r="L9" t="inlineStr">
        <is>
          <t>建立新的重要关系</t>
        </is>
      </c>
      <c r="M9" t="inlineStr">
        <is>
          <t>父母亲</t>
        </is>
      </c>
      <c r="S9">
        <f>IF(ISNUMBER('幕间与结算'!H5),'幕间与结算'!H5,S6)</f>
        <v>0</v>
      </c>
      <c r="W9">
        <f>IF(H9="","",COUNTIF($H$2:H9,"?*"))</f>
        <v>8</v>
      </c>
      <c r="X9" t="str">
        <f>IFERROR(INDEX($H$2:$H$79,MATCH(8,$W$2:$W$79,0)),"")</f>
        <v>毅力</v>
      </c>
      <c r="AA9" t="str">
        <f>IFERROR(INDEX('幕间与结算'!$E$9:$E$208,SMALL(AA$210:AA$409,8)),"")</f>
        <v/>
      </c>
      <c r="AB9" t="str">
        <f>IFERROR(INDEX('幕间与结算'!$E$9:$E$208,SMALL(AB$210:AB$409,8)),"")</f>
        <v/>
      </c>
      <c r="AC9" t="str">
        <f>IFERROR(INDEX('幕间与结算'!$E$9:$E$208,SMALL(AC$210:AC$409,8)),"")</f>
        <v/>
      </c>
      <c r="AD9" t="str">
        <f>IFERROR(INDEX('幕间与结算'!$E$9:$E$208,SMALL(AD$210:AD$409,8)),"")</f>
        <v/>
      </c>
      <c r="AE9" t="str">
        <f>IFERROR(INDEX('幕间与结算'!$E$9:$E$208,SMALL(AE$210:AE$409,8)),"")</f>
        <v/>
      </c>
      <c r="AF9" t="str">
        <f>IFERROR(INDEX('幕间与结算'!$E$9:$E$208,SMALL(AF$210:AF$409,8)),"")</f>
        <v/>
      </c>
      <c r="AG9" t="str">
        <f>IFERROR(INDEX('幕间与结算'!$E$9:$E$208,SMALL(AG$210:AG$409,8)),"")</f>
        <v/>
      </c>
      <c r="AH9" t="str">
        <f>IFERROR(INDEX('幕间与结算'!$E$9:$E$208,SMALL(AH$210:AH$409,8)),"")</f>
        <v/>
      </c>
      <c r="AI9" t="str">
        <f>IFERROR(INDEX('幕间与结算'!$E$9:$E$208,SMALL(AI$210:AI$409,8)),"")</f>
        <v/>
      </c>
      <c r="AJ9" t="str">
        <f>IFERROR(INDEX('幕间与结算'!$E$9:$E$208,SMALL(AJ$210:AJ$409,8)),"")</f>
        <v/>
      </c>
      <c r="AK9" t="str">
        <f>IFERROR(INDEX('幕间与结算'!$E$9:$E$208,SMALL(AK$210:AK$409,8)),"")</f>
        <v/>
      </c>
      <c r="AL9" t="str">
        <f>IFERROR(INDEX('幕间与结算'!$E$9:$E$208,SMALL(AL$210:AL$409,8)),"")</f>
        <v/>
      </c>
      <c r="AM9" t="str">
        <f>IFERROR(INDEX('幕间与结算'!$E$9:$E$208,SMALL(AM$210:AM$409,8)),"")</f>
        <v/>
      </c>
      <c r="AN9" t="str">
        <f>IFERROR(INDEX('幕间与结算'!$E$9:$E$208,SMALL(AN$210:AN$409,8)),"")</f>
        <v/>
      </c>
      <c r="AO9" t="str">
        <f>IFERROR(INDEX('幕间与结算'!$E$9:$E$208,SMALL(AO$210:AO$409,8)),"")</f>
        <v/>
      </c>
      <c r="AP9" t="str">
        <f>IFERROR(INDEX('幕间与结算'!$E$9:$E$208,SMALL(AP$210:AP$409,8)),"")</f>
        <v/>
      </c>
      <c r="AQ9" t="str">
        <f>IFERROR(INDEX('幕间与结算'!$E$9:$E$208,SMALL(AQ$210:AQ$409,8)),"")</f>
        <v/>
      </c>
      <c r="AR9" t="str">
        <f>IFERROR(INDEX('幕间与结算'!$E$9:$E$208,SMALL(AR$210:AR$409,8)),"")</f>
        <v/>
      </c>
      <c r="AS9" t="str">
        <f>IFERROR(INDEX('幕间与结算'!$E$9:$E$208,SMALL(AS$210:AS$409,8)),"")</f>
        <v/>
      </c>
      <c r="AT9" t="str">
        <f>IFERROR(INDEX('幕间与结算'!$E$9:$E$208,SMALL(AT$210:AT$409,8)),"")</f>
        <v/>
      </c>
    </row>
    <row r="10">
      <c r="A10" t="str">
        <f>IF('人物卡'!D22="","","技能："&amp;'人物卡'!D22)</f>
        <v>技能：运动</v>
      </c>
      <c r="B10">
        <v>0</v>
      </c>
      <c r="H10" t="inlineStr">
        <is>
          <t>理智</t>
        </is>
      </c>
      <c r="J10" t="inlineStr">
        <is>
          <t>09</t>
        </is>
      </c>
      <c r="K10" t="str">
        <f>IF('模组经历备忘录'!C16="","待命名模组",'模组经历备忘录'!C16)</f>
        <v>待命名模组</v>
      </c>
      <c r="L10" t="inlineStr">
        <is>
          <t>接受心理治疗</t>
        </is>
      </c>
      <c r="M10" t="inlineStr">
        <is>
          <t>兄弟姐妹</t>
        </is>
      </c>
      <c r="S10">
        <f>IF(ISNUMBER('幕间与结算'!I5),'幕间与结算'!I5,MIN(99-N('人物卡'!BB39),N('幕间与结算'!E5)*5-IF('人物卡'!DF46="人类不应知道之事",S6,IF(OR('人物卡'!DF46="极端暴力",'人物卡'!DF46="关押或入狱",'人物卡'!DF46="艰苦经历"),5,0))))</f>
        <v>0</v>
      </c>
      <c r="W10">
        <f>IF(H10="","",COUNTIF($H$2:H10,"?*"))</f>
        <v>9</v>
      </c>
      <c r="X10" t="str">
        <f>IFERROR(INDEX($H$2:$H$79,MATCH(9,$W$2:$W$79,0)),"")</f>
        <v>理智</v>
      </c>
      <c r="AA10" t="str">
        <f>IFERROR(INDEX('幕间与结算'!$E$9:$E$208,SMALL(AA$210:AA$409,9)),"")</f>
        <v/>
      </c>
      <c r="AB10" t="str">
        <f>IFERROR(INDEX('幕间与结算'!$E$9:$E$208,SMALL(AB$210:AB$409,9)),"")</f>
        <v/>
      </c>
      <c r="AC10" t="str">
        <f>IFERROR(INDEX('幕间与结算'!$E$9:$E$208,SMALL(AC$210:AC$409,9)),"")</f>
        <v/>
      </c>
      <c r="AD10" t="str">
        <f>IFERROR(INDEX('幕间与结算'!$E$9:$E$208,SMALL(AD$210:AD$409,9)),"")</f>
        <v/>
      </c>
      <c r="AE10" t="str">
        <f>IFERROR(INDEX('幕间与结算'!$E$9:$E$208,SMALL(AE$210:AE$409,9)),"")</f>
        <v/>
      </c>
      <c r="AF10" t="str">
        <f>IFERROR(INDEX('幕间与结算'!$E$9:$E$208,SMALL(AF$210:AF$409,9)),"")</f>
        <v/>
      </c>
      <c r="AG10" t="str">
        <f>IFERROR(INDEX('幕间与结算'!$E$9:$E$208,SMALL(AG$210:AG$409,9)),"")</f>
        <v/>
      </c>
      <c r="AH10" t="str">
        <f>IFERROR(INDEX('幕间与结算'!$E$9:$E$208,SMALL(AH$210:AH$409,9)),"")</f>
        <v/>
      </c>
      <c r="AI10" t="str">
        <f>IFERROR(INDEX('幕间与结算'!$E$9:$E$208,SMALL(AI$210:AI$409,9)),"")</f>
        <v/>
      </c>
      <c r="AJ10" t="str">
        <f>IFERROR(INDEX('幕间与结算'!$E$9:$E$208,SMALL(AJ$210:AJ$409,9)),"")</f>
        <v/>
      </c>
      <c r="AK10" t="str">
        <f>IFERROR(INDEX('幕间与结算'!$E$9:$E$208,SMALL(AK$210:AK$409,9)),"")</f>
        <v/>
      </c>
      <c r="AL10" t="str">
        <f>IFERROR(INDEX('幕间与结算'!$E$9:$E$208,SMALL(AL$210:AL$409,9)),"")</f>
        <v/>
      </c>
      <c r="AM10" t="str">
        <f>IFERROR(INDEX('幕间与结算'!$E$9:$E$208,SMALL(AM$210:AM$409,9)),"")</f>
        <v/>
      </c>
      <c r="AN10" t="str">
        <f>IFERROR(INDEX('幕间与结算'!$E$9:$E$208,SMALL(AN$210:AN$409,9)),"")</f>
        <v/>
      </c>
      <c r="AO10" t="str">
        <f>IFERROR(INDEX('幕间与结算'!$E$9:$E$208,SMALL(AO$210:AO$409,9)),"")</f>
        <v/>
      </c>
      <c r="AP10" t="str">
        <f>IFERROR(INDEX('幕间与结算'!$E$9:$E$208,SMALL(AP$210:AP$409,9)),"")</f>
        <v/>
      </c>
      <c r="AQ10" t="str">
        <f>IFERROR(INDEX('幕间与结算'!$E$9:$E$208,SMALL(AQ$210:AQ$409,9)),"")</f>
        <v/>
      </c>
      <c r="AR10" t="str">
        <f>IFERROR(INDEX('幕间与结算'!$E$9:$E$208,SMALL(AR$210:AR$409,9)),"")</f>
        <v/>
      </c>
      <c r="AS10" t="str">
        <f>IFERROR(INDEX('幕间与结算'!$E$9:$E$208,SMALL(AS$210:AS$409,9)),"")</f>
        <v/>
      </c>
      <c r="AT10" t="str">
        <f>IFERROR(INDEX('幕间与结算'!$E$9:$E$208,SMALL(AT$210:AT$409,9)),"")</f>
        <v/>
      </c>
    </row>
    <row r="11">
      <c r="A11" t="str">
        <f>IF('人物卡'!D23="","","技能："&amp;'人物卡'!D23)</f>
        <v>技能：行政</v>
      </c>
      <c r="B11">
        <v>0</v>
      </c>
      <c r="H11" t="inlineStr">
        <is>
          <t>崩溃点</t>
        </is>
      </c>
      <c r="J11" t="inlineStr">
        <is>
          <t>10</t>
        </is>
      </c>
      <c r="K11" t="str">
        <f>IF('模组经历备忘录'!C17="","待命名模组",'模组经历备忘录'!C17)</f>
        <v>待命名模组</v>
      </c>
      <c r="L11" t="inlineStr">
        <is>
          <t>提升技能或属性</t>
        </is>
      </c>
      <c r="M11" t="inlineStr">
        <is>
          <t>一起执行艰难工作的同事</t>
        </is>
      </c>
      <c r="S11">
        <f>IF(ISNUMBER('幕间与结算'!J5),'幕间与结算'!J5,IF('人物卡'!DF46="人类不应知道之事",S10-S6,N('幕间与结算'!E5)*4))</f>
        <v>0</v>
      </c>
      <c r="W11">
        <f>IF(H11="","",COUNTIF($H$2:H11,"?*"))</f>
        <v>10</v>
      </c>
      <c r="X11" t="str">
        <f>IFERROR(INDEX($H$2:$H$79,MATCH(10,$W$2:$W$79,0)),"")</f>
        <v>崩溃点</v>
      </c>
      <c r="AA11" t="str">
        <f>IFERROR(INDEX('幕间与结算'!$E$9:$E$208,SMALL(AA$210:AA$409,10)),"")</f>
        <v/>
      </c>
      <c r="AB11" t="str">
        <f>IFERROR(INDEX('幕间与结算'!$E$9:$E$208,SMALL(AB$210:AB$409,10)),"")</f>
        <v/>
      </c>
      <c r="AC11" t="str">
        <f>IFERROR(INDEX('幕间与结算'!$E$9:$E$208,SMALL(AC$210:AC$409,10)),"")</f>
        <v/>
      </c>
      <c r="AD11" t="str">
        <f>IFERROR(INDEX('幕间与结算'!$E$9:$E$208,SMALL(AD$210:AD$409,10)),"")</f>
        <v/>
      </c>
      <c r="AE11" t="str">
        <f>IFERROR(INDEX('幕间与结算'!$E$9:$E$208,SMALL(AE$210:AE$409,10)),"")</f>
        <v/>
      </c>
      <c r="AF11" t="str">
        <f>IFERROR(INDEX('幕间与结算'!$E$9:$E$208,SMALL(AF$210:AF$409,10)),"")</f>
        <v/>
      </c>
      <c r="AG11" t="str">
        <f>IFERROR(INDEX('幕间与结算'!$E$9:$E$208,SMALL(AG$210:AG$409,10)),"")</f>
        <v/>
      </c>
      <c r="AH11" t="str">
        <f>IFERROR(INDEX('幕间与结算'!$E$9:$E$208,SMALL(AH$210:AH$409,10)),"")</f>
        <v/>
      </c>
      <c r="AI11" t="str">
        <f>IFERROR(INDEX('幕间与结算'!$E$9:$E$208,SMALL(AI$210:AI$409,10)),"")</f>
        <v/>
      </c>
      <c r="AJ11" t="str">
        <f>IFERROR(INDEX('幕间与结算'!$E$9:$E$208,SMALL(AJ$210:AJ$409,10)),"")</f>
        <v/>
      </c>
      <c r="AK11" t="str">
        <f>IFERROR(INDEX('幕间与结算'!$E$9:$E$208,SMALL(AK$210:AK$409,10)),"")</f>
        <v/>
      </c>
      <c r="AL11" t="str">
        <f>IFERROR(INDEX('幕间与结算'!$E$9:$E$208,SMALL(AL$210:AL$409,10)),"")</f>
        <v/>
      </c>
      <c r="AM11" t="str">
        <f>IFERROR(INDEX('幕间与结算'!$E$9:$E$208,SMALL(AM$210:AM$409,10)),"")</f>
        <v/>
      </c>
      <c r="AN11" t="str">
        <f>IFERROR(INDEX('幕间与结算'!$E$9:$E$208,SMALL(AN$210:AN$409,10)),"")</f>
        <v/>
      </c>
      <c r="AO11" t="str">
        <f>IFERROR(INDEX('幕间与结算'!$E$9:$E$208,SMALL(AO$210:AO$409,10)),"")</f>
        <v/>
      </c>
      <c r="AP11" t="str">
        <f>IFERROR(INDEX('幕间与结算'!$E$9:$E$208,SMALL(AP$210:AP$409,10)),"")</f>
        <v/>
      </c>
      <c r="AQ11" t="str">
        <f>IFERROR(INDEX('幕间与结算'!$E$9:$E$208,SMALL(AQ$210:AQ$409,10)),"")</f>
        <v/>
      </c>
      <c r="AR11" t="str">
        <f>IFERROR(INDEX('幕间与结算'!$E$9:$E$208,SMALL(AR$210:AR$409,10)),"")</f>
        <v/>
      </c>
      <c r="AS11" t="str">
        <f>IFERROR(INDEX('幕间与结算'!$E$9:$E$208,SMALL(AS$210:AS$409,10)),"")</f>
        <v/>
      </c>
      <c r="AT11" t="str">
        <f>IFERROR(INDEX('幕间与结算'!$E$9:$E$208,SMALL(AT$210:AT$409,10)),"")</f>
        <v/>
      </c>
    </row>
    <row r="12">
      <c r="A12" t="str">
        <f>IF('人物卡'!D24="","","技能："&amp;'人物卡'!D24)</f>
        <v>技能：计算机科学</v>
      </c>
      <c r="B12">
        <v>0</v>
      </c>
      <c r="H12" t="inlineStr">
        <is>
          <t>重要关系1</t>
        </is>
      </c>
      <c r="J12" t="inlineStr">
        <is>
          <t>11</t>
        </is>
      </c>
      <c r="K12" t="str">
        <f>IF('模组经历备忘录'!C18="","待命名模组",'模组经历备忘录'!C18)</f>
        <v>待命名模组</v>
      </c>
      <c r="L12" t="inlineStr">
        <is>
          <t>重建人生动力</t>
        </is>
      </c>
      <c r="M12" t="inlineStr">
        <is>
          <t>教友或互助小组</t>
        </is>
      </c>
      <c r="W12">
        <f>IF(H12="","",COUNTIF($H$2:H12,"?*"))</f>
        <v>11</v>
      </c>
      <c r="X12" t="str">
        <f>IFERROR(INDEX($H$2:$H$79,MATCH(11,$W$2:$W$79,0)),"")</f>
        <v>重要关系1</v>
      </c>
      <c r="AA12" t="str">
        <f>IFERROR(INDEX('幕间与结算'!$E$9:$E$208,SMALL(AA$210:AA$409,11)),"")</f>
        <v/>
      </c>
      <c r="AB12" t="str">
        <f>IFERROR(INDEX('幕间与结算'!$E$9:$E$208,SMALL(AB$210:AB$409,11)),"")</f>
        <v/>
      </c>
      <c r="AC12" t="str">
        <f>IFERROR(INDEX('幕间与结算'!$E$9:$E$208,SMALL(AC$210:AC$409,11)),"")</f>
        <v/>
      </c>
      <c r="AD12" t="str">
        <f>IFERROR(INDEX('幕间与结算'!$E$9:$E$208,SMALL(AD$210:AD$409,11)),"")</f>
        <v/>
      </c>
      <c r="AE12" t="str">
        <f>IFERROR(INDEX('幕间与结算'!$E$9:$E$208,SMALL(AE$210:AE$409,11)),"")</f>
        <v/>
      </c>
      <c r="AF12" t="str">
        <f>IFERROR(INDEX('幕间与结算'!$E$9:$E$208,SMALL(AF$210:AF$409,11)),"")</f>
        <v/>
      </c>
      <c r="AG12" t="str">
        <f>IFERROR(INDEX('幕间与结算'!$E$9:$E$208,SMALL(AG$210:AG$409,11)),"")</f>
        <v/>
      </c>
      <c r="AH12" t="str">
        <f>IFERROR(INDEX('幕间与结算'!$E$9:$E$208,SMALL(AH$210:AH$409,11)),"")</f>
        <v/>
      </c>
      <c r="AI12" t="str">
        <f>IFERROR(INDEX('幕间与结算'!$E$9:$E$208,SMALL(AI$210:AI$409,11)),"")</f>
        <v/>
      </c>
      <c r="AJ12" t="str">
        <f>IFERROR(INDEX('幕间与结算'!$E$9:$E$208,SMALL(AJ$210:AJ$409,11)),"")</f>
        <v/>
      </c>
      <c r="AK12" t="str">
        <f>IFERROR(INDEX('幕间与结算'!$E$9:$E$208,SMALL(AK$210:AK$409,11)),"")</f>
        <v/>
      </c>
      <c r="AL12" t="str">
        <f>IFERROR(INDEX('幕间与结算'!$E$9:$E$208,SMALL(AL$210:AL$409,11)),"")</f>
        <v/>
      </c>
      <c r="AM12" t="str">
        <f>IFERROR(INDEX('幕间与结算'!$E$9:$E$208,SMALL(AM$210:AM$409,11)),"")</f>
        <v/>
      </c>
      <c r="AN12" t="str">
        <f>IFERROR(INDEX('幕间与结算'!$E$9:$E$208,SMALL(AN$210:AN$409,11)),"")</f>
        <v/>
      </c>
      <c r="AO12" t="str">
        <f>IFERROR(INDEX('幕间与结算'!$E$9:$E$208,SMALL(AO$210:AO$409,11)),"")</f>
        <v/>
      </c>
      <c r="AP12" t="str">
        <f>IFERROR(INDEX('幕间与结算'!$E$9:$E$208,SMALL(AP$210:AP$409,11)),"")</f>
        <v/>
      </c>
      <c r="AQ12" t="str">
        <f>IFERROR(INDEX('幕间与结算'!$E$9:$E$208,SMALL(AQ$210:AQ$409,11)),"")</f>
        <v/>
      </c>
      <c r="AR12" t="str">
        <f>IFERROR(INDEX('幕间与结算'!$E$9:$E$208,SMALL(AR$210:AR$409,11)),"")</f>
        <v/>
      </c>
      <c r="AS12" t="str">
        <f>IFERROR(INDEX('幕间与结算'!$E$9:$E$208,SMALL(AS$210:AS$409,11)),"")</f>
        <v/>
      </c>
      <c r="AT12" t="str">
        <f>IFERROR(INDEX('幕间与结算'!$E$9:$E$208,SMALL(AT$210:AT$409,11)),"")</f>
        <v/>
      </c>
    </row>
    <row r="13">
      <c r="A13" t="str">
        <f>IF(TRIM('人物卡'!J25)="","","技能："&amp;SUBSTITUTE('人物卡'!D25,"：","")&amp;"（"&amp;TRIM('人物卡'!J25)&amp;"）")</f>
        <v/>
      </c>
      <c r="B13">
        <v>0</v>
      </c>
      <c r="H13" t="inlineStr">
        <is>
          <t>重要关系2</t>
        </is>
      </c>
      <c r="J13" t="inlineStr">
        <is>
          <t>12</t>
        </is>
      </c>
      <c r="K13" t="str">
        <f>IF('模组经历备忘录'!C19="","待命名模组",'模组经历备忘录'!C19)</f>
        <v>待命名模组</v>
      </c>
      <c r="L13" t="inlineStr">
        <is>
          <t>进行特训</t>
        </is>
      </c>
      <c r="M13" t="inlineStr">
        <is>
          <t>受过同一次创伤的幸存者</t>
        </is>
      </c>
      <c r="W13">
        <f>IF(H13="","",COUNTIF($H$2:H13,"?*"))</f>
        <v>12</v>
      </c>
      <c r="X13" t="str">
        <f>IFERROR(INDEX($H$2:$H$79,MATCH(12,$W$2:$W$79,0)),"")</f>
        <v>重要关系2</v>
      </c>
      <c r="AA13" t="str">
        <f>IFERROR(INDEX('幕间与结算'!$E$9:$E$208,SMALL(AA$210:AA$409,12)),"")</f>
        <v/>
      </c>
      <c r="AB13" t="str">
        <f>IFERROR(INDEX('幕间与结算'!$E$9:$E$208,SMALL(AB$210:AB$409,12)),"")</f>
        <v/>
      </c>
      <c r="AC13" t="str">
        <f>IFERROR(INDEX('幕间与结算'!$E$9:$E$208,SMALL(AC$210:AC$409,12)),"")</f>
        <v/>
      </c>
      <c r="AD13" t="str">
        <f>IFERROR(INDEX('幕间与结算'!$E$9:$E$208,SMALL(AD$210:AD$409,12)),"")</f>
        <v/>
      </c>
      <c r="AE13" t="str">
        <f>IFERROR(INDEX('幕间与结算'!$E$9:$E$208,SMALL(AE$210:AE$409,12)),"")</f>
        <v/>
      </c>
      <c r="AF13" t="str">
        <f>IFERROR(INDEX('幕间与结算'!$E$9:$E$208,SMALL(AF$210:AF$409,12)),"")</f>
        <v/>
      </c>
      <c r="AG13" t="str">
        <f>IFERROR(INDEX('幕间与结算'!$E$9:$E$208,SMALL(AG$210:AG$409,12)),"")</f>
        <v/>
      </c>
      <c r="AH13" t="str">
        <f>IFERROR(INDEX('幕间与结算'!$E$9:$E$208,SMALL(AH$210:AH$409,12)),"")</f>
        <v/>
      </c>
      <c r="AI13" t="str">
        <f>IFERROR(INDEX('幕间与结算'!$E$9:$E$208,SMALL(AI$210:AI$409,12)),"")</f>
        <v/>
      </c>
      <c r="AJ13" t="str">
        <f>IFERROR(INDEX('幕间与结算'!$E$9:$E$208,SMALL(AJ$210:AJ$409,12)),"")</f>
        <v/>
      </c>
      <c r="AK13" t="str">
        <f>IFERROR(INDEX('幕间与结算'!$E$9:$E$208,SMALL(AK$210:AK$409,12)),"")</f>
        <v/>
      </c>
      <c r="AL13" t="str">
        <f>IFERROR(INDEX('幕间与结算'!$E$9:$E$208,SMALL(AL$210:AL$409,12)),"")</f>
        <v/>
      </c>
      <c r="AM13" t="str">
        <f>IFERROR(INDEX('幕间与结算'!$E$9:$E$208,SMALL(AM$210:AM$409,12)),"")</f>
        <v/>
      </c>
      <c r="AN13" t="str">
        <f>IFERROR(INDEX('幕间与结算'!$E$9:$E$208,SMALL(AN$210:AN$409,12)),"")</f>
        <v/>
      </c>
      <c r="AO13" t="str">
        <f>IFERROR(INDEX('幕间与结算'!$E$9:$E$208,SMALL(AO$210:AO$409,12)),"")</f>
        <v/>
      </c>
      <c r="AP13" t="str">
        <f>IFERROR(INDEX('幕间与结算'!$E$9:$E$208,SMALL(AP$210:AP$409,12)),"")</f>
        <v/>
      </c>
      <c r="AQ13" t="str">
        <f>IFERROR(INDEX('幕间与结算'!$E$9:$E$208,SMALL(AQ$210:AQ$409,12)),"")</f>
        <v/>
      </c>
      <c r="AR13" t="str">
        <f>IFERROR(INDEX('幕间与结算'!$E$9:$E$208,SMALL(AR$210:AR$409,12)),"")</f>
        <v/>
      </c>
      <c r="AS13" t="str">
        <f>IFERROR(INDEX('幕间与结算'!$E$9:$E$208,SMALL(AS$210:AS$409,12)),"")</f>
        <v/>
      </c>
      <c r="AT13" t="str">
        <f>IFERROR(INDEX('幕间与结算'!$E$9:$E$208,SMALL(AT$210:AT$409,12)),"")</f>
        <v/>
      </c>
    </row>
    <row r="14">
      <c r="A14" t="str">
        <f>IF(TRIM('人物卡'!J26)="","","技能："&amp;SUBSTITUTE('人物卡'!D26,"：","")&amp;"（"&amp;TRIM('人物卡'!J26)&amp;"）")</f>
        <v/>
      </c>
      <c r="B14">
        <v>0</v>
      </c>
      <c r="H14" t="inlineStr">
        <is>
          <t>重要关系3</t>
        </is>
      </c>
      <c r="J14" t="inlineStr">
        <is>
          <t>13</t>
        </is>
      </c>
      <c r="K14" t="str">
        <f>IF('模组经历备忘录'!C20="","待命名模组",'模组经历备忘录'!C20)</f>
        <v>待命名模组</v>
      </c>
      <c r="L14" t="inlineStr">
        <is>
          <t>回顾案件</t>
        </is>
      </c>
      <c r="W14">
        <f>IF(H14="","",COUNTIF($H$2:H14,"?*"))</f>
        <v>13</v>
      </c>
      <c r="X14" t="str">
        <f>IFERROR(INDEX($H$2:$H$79,MATCH(13,$W$2:$W$79,0)),"")</f>
        <v>重要关系3</v>
      </c>
      <c r="AA14" t="str">
        <f>IFERROR(INDEX('幕间与结算'!$E$9:$E$208,SMALL(AA$210:AA$409,13)),"")</f>
        <v/>
      </c>
      <c r="AB14" t="str">
        <f>IFERROR(INDEX('幕间与结算'!$E$9:$E$208,SMALL(AB$210:AB$409,13)),"")</f>
        <v/>
      </c>
      <c r="AC14" t="str">
        <f>IFERROR(INDEX('幕间与结算'!$E$9:$E$208,SMALL(AC$210:AC$409,13)),"")</f>
        <v/>
      </c>
      <c r="AD14" t="str">
        <f>IFERROR(INDEX('幕间与结算'!$E$9:$E$208,SMALL(AD$210:AD$409,13)),"")</f>
        <v/>
      </c>
      <c r="AE14" t="str">
        <f>IFERROR(INDEX('幕间与结算'!$E$9:$E$208,SMALL(AE$210:AE$409,13)),"")</f>
        <v/>
      </c>
      <c r="AF14" t="str">
        <f>IFERROR(INDEX('幕间与结算'!$E$9:$E$208,SMALL(AF$210:AF$409,13)),"")</f>
        <v/>
      </c>
      <c r="AG14" t="str">
        <f>IFERROR(INDEX('幕间与结算'!$E$9:$E$208,SMALL(AG$210:AG$409,13)),"")</f>
        <v/>
      </c>
      <c r="AH14" t="str">
        <f>IFERROR(INDEX('幕间与结算'!$E$9:$E$208,SMALL(AH$210:AH$409,13)),"")</f>
        <v/>
      </c>
      <c r="AI14" t="str">
        <f>IFERROR(INDEX('幕间与结算'!$E$9:$E$208,SMALL(AI$210:AI$409,13)),"")</f>
        <v/>
      </c>
      <c r="AJ14" t="str">
        <f>IFERROR(INDEX('幕间与结算'!$E$9:$E$208,SMALL(AJ$210:AJ$409,13)),"")</f>
        <v/>
      </c>
      <c r="AK14" t="str">
        <f>IFERROR(INDEX('幕间与结算'!$E$9:$E$208,SMALL(AK$210:AK$409,13)),"")</f>
        <v/>
      </c>
      <c r="AL14" t="str">
        <f>IFERROR(INDEX('幕间与结算'!$E$9:$E$208,SMALL(AL$210:AL$409,13)),"")</f>
        <v/>
      </c>
      <c r="AM14" t="str">
        <f>IFERROR(INDEX('幕间与结算'!$E$9:$E$208,SMALL(AM$210:AM$409,13)),"")</f>
        <v/>
      </c>
      <c r="AN14" t="str">
        <f>IFERROR(INDEX('幕间与结算'!$E$9:$E$208,SMALL(AN$210:AN$409,13)),"")</f>
        <v/>
      </c>
      <c r="AO14" t="str">
        <f>IFERROR(INDEX('幕间与结算'!$E$9:$E$208,SMALL(AO$210:AO$409,13)),"")</f>
        <v/>
      </c>
      <c r="AP14" t="str">
        <f>IFERROR(INDEX('幕间与结算'!$E$9:$E$208,SMALL(AP$210:AP$409,13)),"")</f>
        <v/>
      </c>
      <c r="AQ14" t="str">
        <f>IFERROR(INDEX('幕间与结算'!$E$9:$E$208,SMALL(AQ$210:AQ$409,13)),"")</f>
        <v/>
      </c>
      <c r="AR14" t="str">
        <f>IFERROR(INDEX('幕间与结算'!$E$9:$E$208,SMALL(AR$210:AR$409,13)),"")</f>
        <v/>
      </c>
      <c r="AS14" t="str">
        <f>IFERROR(INDEX('幕间与结算'!$E$9:$E$208,SMALL(AS$210:AS$409,13)),"")</f>
        <v/>
      </c>
      <c r="AT14" t="str">
        <f>IFERROR(INDEX('幕间与结算'!$E$9:$E$208,SMALL(AT$210:AT$409,13)),"")</f>
        <v/>
      </c>
    </row>
    <row r="15">
      <c r="A15" t="str">
        <f>IF(TRIM('人物卡'!J27)="","","技能："&amp;SUBSTITUTE('人物卡'!D27,"：","")&amp;"（"&amp;TRIM('人物卡'!J27)&amp;"）")</f>
        <v/>
      </c>
      <c r="B15">
        <v>0</v>
      </c>
      <c r="H15" t="inlineStr">
        <is>
          <t>重要关系4</t>
        </is>
      </c>
      <c r="J15" t="inlineStr">
        <is>
          <t>14</t>
        </is>
      </c>
      <c r="K15" t="str">
        <f>IF('模组经历备忘录'!C21="","待命名模组",'模组经历备忘录'!C21)</f>
        <v>待命名模组</v>
      </c>
      <c r="L15" t="inlineStr">
        <is>
          <t>研究非自然知识</t>
        </is>
      </c>
      <c r="W15">
        <f>IF(H15="","",COUNTIF($H$2:H15,"?*"))</f>
        <v>14</v>
      </c>
      <c r="X15" t="str">
        <f>IFERROR(INDEX($H$2:$H$79,MATCH(14,$W$2:$W$79,0)),"")</f>
        <v>重要关系4</v>
      </c>
      <c r="AA15" t="str">
        <f>IFERROR(INDEX('幕间与结算'!$E$9:$E$208,SMALL(AA$210:AA$409,14)),"")</f>
        <v/>
      </c>
      <c r="AB15" t="str">
        <f>IFERROR(INDEX('幕间与结算'!$E$9:$E$208,SMALL(AB$210:AB$409,14)),"")</f>
        <v/>
      </c>
      <c r="AC15" t="str">
        <f>IFERROR(INDEX('幕间与结算'!$E$9:$E$208,SMALL(AC$210:AC$409,14)),"")</f>
        <v/>
      </c>
      <c r="AD15" t="str">
        <f>IFERROR(INDEX('幕间与结算'!$E$9:$E$208,SMALL(AD$210:AD$409,14)),"")</f>
        <v/>
      </c>
      <c r="AE15" t="str">
        <f>IFERROR(INDEX('幕间与结算'!$E$9:$E$208,SMALL(AE$210:AE$409,14)),"")</f>
        <v/>
      </c>
      <c r="AF15" t="str">
        <f>IFERROR(INDEX('幕间与结算'!$E$9:$E$208,SMALL(AF$210:AF$409,14)),"")</f>
        <v/>
      </c>
      <c r="AG15" t="str">
        <f>IFERROR(INDEX('幕间与结算'!$E$9:$E$208,SMALL(AG$210:AG$409,14)),"")</f>
        <v/>
      </c>
      <c r="AH15" t="str">
        <f>IFERROR(INDEX('幕间与结算'!$E$9:$E$208,SMALL(AH$210:AH$409,14)),"")</f>
        <v/>
      </c>
      <c r="AI15" t="str">
        <f>IFERROR(INDEX('幕间与结算'!$E$9:$E$208,SMALL(AI$210:AI$409,14)),"")</f>
        <v/>
      </c>
      <c r="AJ15" t="str">
        <f>IFERROR(INDEX('幕间与结算'!$E$9:$E$208,SMALL(AJ$210:AJ$409,14)),"")</f>
        <v/>
      </c>
      <c r="AK15" t="str">
        <f>IFERROR(INDEX('幕间与结算'!$E$9:$E$208,SMALL(AK$210:AK$409,14)),"")</f>
        <v/>
      </c>
      <c r="AL15" t="str">
        <f>IFERROR(INDEX('幕间与结算'!$E$9:$E$208,SMALL(AL$210:AL$409,14)),"")</f>
        <v/>
      </c>
      <c r="AM15" t="str">
        <f>IFERROR(INDEX('幕间与结算'!$E$9:$E$208,SMALL(AM$210:AM$409,14)),"")</f>
        <v/>
      </c>
      <c r="AN15" t="str">
        <f>IFERROR(INDEX('幕间与结算'!$E$9:$E$208,SMALL(AN$210:AN$409,14)),"")</f>
        <v/>
      </c>
      <c r="AO15" t="str">
        <f>IFERROR(INDEX('幕间与结算'!$E$9:$E$208,SMALL(AO$210:AO$409,14)),"")</f>
        <v/>
      </c>
      <c r="AP15" t="str">
        <f>IFERROR(INDEX('幕间与结算'!$E$9:$E$208,SMALL(AP$210:AP$409,14)),"")</f>
        <v/>
      </c>
      <c r="AQ15" t="str">
        <f>IFERROR(INDEX('幕间与结算'!$E$9:$E$208,SMALL(AQ$210:AQ$409,14)),"")</f>
        <v/>
      </c>
      <c r="AR15" t="str">
        <f>IFERROR(INDEX('幕间与结算'!$E$9:$E$208,SMALL(AR$210:AR$409,14)),"")</f>
        <v/>
      </c>
      <c r="AS15" t="str">
        <f>IFERROR(INDEX('幕间与结算'!$E$9:$E$208,SMALL(AS$210:AS$409,14)),"")</f>
        <v/>
      </c>
      <c r="AT15" t="str">
        <f>IFERROR(INDEX('幕间与结算'!$E$9:$E$208,SMALL(AT$210:AT$409,14)),"")</f>
        <v/>
      </c>
    </row>
    <row r="16">
      <c r="A16" t="str">
        <f>IF(TRIM('人物卡'!J28)="","","技能："&amp;SUBSTITUTE('人物卡'!D28,"：","")&amp;"（"&amp;TRIM('人物卡'!J28)&amp;"）")</f>
        <v/>
      </c>
      <c r="B16">
        <v>0</v>
      </c>
      <c r="H16" t="inlineStr">
        <is>
          <t>重要关系5</t>
        </is>
      </c>
      <c r="J16" t="inlineStr">
        <is>
          <t>15</t>
        </is>
      </c>
      <c r="K16" t="str">
        <f>IF('模组经历备忘录'!C22="","待命名模组",'模组经历备忘录'!C22)</f>
        <v>待命名模组</v>
      </c>
      <c r="L16" t="inlineStr">
        <is>
          <t>任务后变化记录</t>
        </is>
      </c>
      <c r="W16">
        <f>IF(H16="","",COUNTIF($H$2:H16,"?*"))</f>
        <v>15</v>
      </c>
      <c r="X16" t="str">
        <f>IFERROR(INDEX($H$2:$H$79,MATCH(15,$W$2:$W$79,0)),"")</f>
        <v>重要关系5</v>
      </c>
      <c r="AA16" t="str">
        <f>IFERROR(INDEX('幕间与结算'!$E$9:$E$208,SMALL(AA$210:AA$409,15)),"")</f>
        <v/>
      </c>
      <c r="AB16" t="str">
        <f>IFERROR(INDEX('幕间与结算'!$E$9:$E$208,SMALL(AB$210:AB$409,15)),"")</f>
        <v/>
      </c>
      <c r="AC16" t="str">
        <f>IFERROR(INDEX('幕间与结算'!$E$9:$E$208,SMALL(AC$210:AC$409,15)),"")</f>
        <v/>
      </c>
      <c r="AD16" t="str">
        <f>IFERROR(INDEX('幕间与结算'!$E$9:$E$208,SMALL(AD$210:AD$409,15)),"")</f>
        <v/>
      </c>
      <c r="AE16" t="str">
        <f>IFERROR(INDEX('幕间与结算'!$E$9:$E$208,SMALL(AE$210:AE$409,15)),"")</f>
        <v/>
      </c>
      <c r="AF16" t="str">
        <f>IFERROR(INDEX('幕间与结算'!$E$9:$E$208,SMALL(AF$210:AF$409,15)),"")</f>
        <v/>
      </c>
      <c r="AG16" t="str">
        <f>IFERROR(INDEX('幕间与结算'!$E$9:$E$208,SMALL(AG$210:AG$409,15)),"")</f>
        <v/>
      </c>
      <c r="AH16" t="str">
        <f>IFERROR(INDEX('幕间与结算'!$E$9:$E$208,SMALL(AH$210:AH$409,15)),"")</f>
        <v/>
      </c>
      <c r="AI16" t="str">
        <f>IFERROR(INDEX('幕间与结算'!$E$9:$E$208,SMALL(AI$210:AI$409,15)),"")</f>
        <v/>
      </c>
      <c r="AJ16" t="str">
        <f>IFERROR(INDEX('幕间与结算'!$E$9:$E$208,SMALL(AJ$210:AJ$409,15)),"")</f>
        <v/>
      </c>
      <c r="AK16" t="str">
        <f>IFERROR(INDEX('幕间与结算'!$E$9:$E$208,SMALL(AK$210:AK$409,15)),"")</f>
        <v/>
      </c>
      <c r="AL16" t="str">
        <f>IFERROR(INDEX('幕间与结算'!$E$9:$E$208,SMALL(AL$210:AL$409,15)),"")</f>
        <v/>
      </c>
      <c r="AM16" t="str">
        <f>IFERROR(INDEX('幕间与结算'!$E$9:$E$208,SMALL(AM$210:AM$409,15)),"")</f>
        <v/>
      </c>
      <c r="AN16" t="str">
        <f>IFERROR(INDEX('幕间与结算'!$E$9:$E$208,SMALL(AN$210:AN$409,15)),"")</f>
        <v/>
      </c>
      <c r="AO16" t="str">
        <f>IFERROR(INDEX('幕间与结算'!$E$9:$E$208,SMALL(AO$210:AO$409,15)),"")</f>
        <v/>
      </c>
      <c r="AP16" t="str">
        <f>IFERROR(INDEX('幕间与结算'!$E$9:$E$208,SMALL(AP$210:AP$409,15)),"")</f>
        <v/>
      </c>
      <c r="AQ16" t="str">
        <f>IFERROR(INDEX('幕间与结算'!$E$9:$E$208,SMALL(AQ$210:AQ$409,15)),"")</f>
        <v/>
      </c>
      <c r="AR16" t="str">
        <f>IFERROR(INDEX('幕间与结算'!$E$9:$E$208,SMALL(AR$210:AR$409,15)),"")</f>
        <v/>
      </c>
      <c r="AS16" t="str">
        <f>IFERROR(INDEX('幕间与结算'!$E$9:$E$208,SMALL(AS$210:AS$409,15)),"")</f>
        <v/>
      </c>
      <c r="AT16" t="str">
        <f>IFERROR(INDEX('幕间与结算'!$E$9:$E$208,SMALL(AT$210:AT$409,15)),"")</f>
        <v/>
      </c>
    </row>
    <row r="17">
      <c r="A17" t="str">
        <f>IF('人物卡'!D29="","","技能："&amp;'人物卡'!D29)</f>
        <v>技能：犯罪学</v>
      </c>
      <c r="B17">
        <v>0</v>
      </c>
      <c r="H17" t="inlineStr">
        <is>
          <t>重要关系6</t>
        </is>
      </c>
      <c r="J17" t="inlineStr">
        <is>
          <t>16</t>
        </is>
      </c>
      <c r="K17" t="str">
        <f>IF('模组经历备忘录'!C23="","待命名模组",'模组经历备忘录'!C23)</f>
        <v>待命名模组</v>
      </c>
      <c r="L17" t="inlineStr">
        <is>
          <t>暂时属性损失恢复</t>
        </is>
      </c>
      <c r="W17">
        <f>IF(H17="","",COUNTIF($H$2:H17,"?*"))</f>
        <v>16</v>
      </c>
      <c r="X17" t="str">
        <f>IFERROR(INDEX($H$2:$H$79,MATCH(16,$W$2:$W$79,0)),"")</f>
        <v>重要关系6</v>
      </c>
      <c r="AA17" t="str">
        <f>IFERROR(INDEX('幕间与结算'!$E$9:$E$208,SMALL(AA$210:AA$409,16)),"")</f>
        <v/>
      </c>
      <c r="AB17" t="str">
        <f>IFERROR(INDEX('幕间与结算'!$E$9:$E$208,SMALL(AB$210:AB$409,16)),"")</f>
        <v/>
      </c>
      <c r="AC17" t="str">
        <f>IFERROR(INDEX('幕间与结算'!$E$9:$E$208,SMALL(AC$210:AC$409,16)),"")</f>
        <v/>
      </c>
      <c r="AD17" t="str">
        <f>IFERROR(INDEX('幕间与结算'!$E$9:$E$208,SMALL(AD$210:AD$409,16)),"")</f>
        <v/>
      </c>
      <c r="AE17" t="str">
        <f>IFERROR(INDEX('幕间与结算'!$E$9:$E$208,SMALL(AE$210:AE$409,16)),"")</f>
        <v/>
      </c>
      <c r="AF17" t="str">
        <f>IFERROR(INDEX('幕间与结算'!$E$9:$E$208,SMALL(AF$210:AF$409,16)),"")</f>
        <v/>
      </c>
      <c r="AG17" t="str">
        <f>IFERROR(INDEX('幕间与结算'!$E$9:$E$208,SMALL(AG$210:AG$409,16)),"")</f>
        <v/>
      </c>
      <c r="AH17" t="str">
        <f>IFERROR(INDEX('幕间与结算'!$E$9:$E$208,SMALL(AH$210:AH$409,16)),"")</f>
        <v/>
      </c>
      <c r="AI17" t="str">
        <f>IFERROR(INDEX('幕间与结算'!$E$9:$E$208,SMALL(AI$210:AI$409,16)),"")</f>
        <v/>
      </c>
      <c r="AJ17" t="str">
        <f>IFERROR(INDEX('幕间与结算'!$E$9:$E$208,SMALL(AJ$210:AJ$409,16)),"")</f>
        <v/>
      </c>
      <c r="AK17" t="str">
        <f>IFERROR(INDEX('幕间与结算'!$E$9:$E$208,SMALL(AK$210:AK$409,16)),"")</f>
        <v/>
      </c>
      <c r="AL17" t="str">
        <f>IFERROR(INDEX('幕间与结算'!$E$9:$E$208,SMALL(AL$210:AL$409,16)),"")</f>
        <v/>
      </c>
      <c r="AM17" t="str">
        <f>IFERROR(INDEX('幕间与结算'!$E$9:$E$208,SMALL(AM$210:AM$409,16)),"")</f>
        <v/>
      </c>
      <c r="AN17" t="str">
        <f>IFERROR(INDEX('幕间与结算'!$E$9:$E$208,SMALL(AN$210:AN$409,16)),"")</f>
        <v/>
      </c>
      <c r="AO17" t="str">
        <f>IFERROR(INDEX('幕间与结算'!$E$9:$E$208,SMALL(AO$210:AO$409,16)),"")</f>
        <v/>
      </c>
      <c r="AP17" t="str">
        <f>IFERROR(INDEX('幕间与结算'!$E$9:$E$208,SMALL(AP$210:AP$409,16)),"")</f>
        <v/>
      </c>
      <c r="AQ17" t="str">
        <f>IFERROR(INDEX('幕间与结算'!$E$9:$E$208,SMALL(AQ$210:AQ$409,16)),"")</f>
        <v/>
      </c>
      <c r="AR17" t="str">
        <f>IFERROR(INDEX('幕间与结算'!$E$9:$E$208,SMALL(AR$210:AR$409,16)),"")</f>
        <v/>
      </c>
      <c r="AS17" t="str">
        <f>IFERROR(INDEX('幕间与结算'!$E$9:$E$208,SMALL(AS$210:AS$409,16)),"")</f>
        <v/>
      </c>
      <c r="AT17" t="str">
        <f>IFERROR(INDEX('幕间与结算'!$E$9:$E$208,SMALL(AT$210:AT$409,16)),"")</f>
        <v/>
      </c>
    </row>
    <row r="18">
      <c r="A18" t="str">
        <f>IF('人物卡'!D30="","","技能："&amp;'人物卡'!D30)</f>
        <v>技能：爆破</v>
      </c>
      <c r="B18">
        <v>0</v>
      </c>
      <c r="H18" t="inlineStr">
        <is>
          <t>重要关系7</t>
        </is>
      </c>
      <c r="J18" t="inlineStr">
        <is>
          <t>17</t>
        </is>
      </c>
      <c r="K18" t="str">
        <f>IF('模组经历备忘录'!C24="","待命名模组",'模组经历备忘录'!C24)</f>
        <v>待命名模组</v>
      </c>
      <c r="L18" t="inlineStr">
        <is>
          <t>永久性伤残</t>
        </is>
      </c>
      <c r="W18">
        <f>IF(H18="","",COUNTIF($H$2:H18,"?*"))</f>
        <v>17</v>
      </c>
      <c r="X18" t="str">
        <f>IFERROR(INDEX($H$2:$H$79,MATCH(17,$W$2:$W$79,0)),"")</f>
        <v>重要关系7</v>
      </c>
      <c r="AA18" t="str">
        <f>IFERROR(INDEX('幕间与结算'!$E$9:$E$208,SMALL(AA$210:AA$409,17)),"")</f>
        <v/>
      </c>
      <c r="AB18" t="str">
        <f>IFERROR(INDEX('幕间与结算'!$E$9:$E$208,SMALL(AB$210:AB$409,17)),"")</f>
        <v/>
      </c>
      <c r="AC18" t="str">
        <f>IFERROR(INDEX('幕间与结算'!$E$9:$E$208,SMALL(AC$210:AC$409,17)),"")</f>
        <v/>
      </c>
      <c r="AD18" t="str">
        <f>IFERROR(INDEX('幕间与结算'!$E$9:$E$208,SMALL(AD$210:AD$409,17)),"")</f>
        <v/>
      </c>
      <c r="AE18" t="str">
        <f>IFERROR(INDEX('幕间与结算'!$E$9:$E$208,SMALL(AE$210:AE$409,17)),"")</f>
        <v/>
      </c>
      <c r="AF18" t="str">
        <f>IFERROR(INDEX('幕间与结算'!$E$9:$E$208,SMALL(AF$210:AF$409,17)),"")</f>
        <v/>
      </c>
      <c r="AG18" t="str">
        <f>IFERROR(INDEX('幕间与结算'!$E$9:$E$208,SMALL(AG$210:AG$409,17)),"")</f>
        <v/>
      </c>
      <c r="AH18" t="str">
        <f>IFERROR(INDEX('幕间与结算'!$E$9:$E$208,SMALL(AH$210:AH$409,17)),"")</f>
        <v/>
      </c>
      <c r="AI18" t="str">
        <f>IFERROR(INDEX('幕间与结算'!$E$9:$E$208,SMALL(AI$210:AI$409,17)),"")</f>
        <v/>
      </c>
      <c r="AJ18" t="str">
        <f>IFERROR(INDEX('幕间与结算'!$E$9:$E$208,SMALL(AJ$210:AJ$409,17)),"")</f>
        <v/>
      </c>
      <c r="AK18" t="str">
        <f>IFERROR(INDEX('幕间与结算'!$E$9:$E$208,SMALL(AK$210:AK$409,17)),"")</f>
        <v/>
      </c>
      <c r="AL18" t="str">
        <f>IFERROR(INDEX('幕间与结算'!$E$9:$E$208,SMALL(AL$210:AL$409,17)),"")</f>
        <v/>
      </c>
      <c r="AM18" t="str">
        <f>IFERROR(INDEX('幕间与结算'!$E$9:$E$208,SMALL(AM$210:AM$409,17)),"")</f>
        <v/>
      </c>
      <c r="AN18" t="str">
        <f>IFERROR(INDEX('幕间与结算'!$E$9:$E$208,SMALL(AN$210:AN$409,17)),"")</f>
        <v/>
      </c>
      <c r="AO18" t="str">
        <f>IFERROR(INDEX('幕间与结算'!$E$9:$E$208,SMALL(AO$210:AO$409,17)),"")</f>
        <v/>
      </c>
      <c r="AP18" t="str">
        <f>IFERROR(INDEX('幕间与结算'!$E$9:$E$208,SMALL(AP$210:AP$409,17)),"")</f>
        <v/>
      </c>
      <c r="AQ18" t="str">
        <f>IFERROR(INDEX('幕间与结算'!$E$9:$E$208,SMALL(AQ$210:AQ$409,17)),"")</f>
        <v/>
      </c>
      <c r="AR18" t="str">
        <f>IFERROR(INDEX('幕间与结算'!$E$9:$E$208,SMALL(AR$210:AR$409,17)),"")</f>
        <v/>
      </c>
      <c r="AS18" t="str">
        <f>IFERROR(INDEX('幕间与结算'!$E$9:$E$208,SMALL(AS$210:AS$409,17)),"")</f>
        <v/>
      </c>
      <c r="AT18" t="str">
        <f>IFERROR(INDEX('幕间与结算'!$E$9:$E$208,SMALL(AT$210:AT$409,17)),"")</f>
        <v/>
      </c>
    </row>
    <row r="19">
      <c r="A19" t="str">
        <f>IF('人物卡'!D31="","","技能："&amp;'人物卡'!D31)</f>
        <v>技能：乔装</v>
      </c>
      <c r="B19">
        <v>0</v>
      </c>
      <c r="H19" t="inlineStr">
        <is>
          <t>无数值变化</t>
        </is>
      </c>
      <c r="J19" t="inlineStr">
        <is>
          <t>18</t>
        </is>
      </c>
      <c r="K19" t="str">
        <f>IF('模组经历备忘录'!C25="","待命名模组",'模组经历备忘录'!C25)</f>
        <v>待命名模组</v>
      </c>
      <c r="L19" t="inlineStr">
        <is>
          <t>适应暴力</t>
        </is>
      </c>
      <c r="W19">
        <f>IF(H19="","",COUNTIF($H$2:H19,"?*"))</f>
        <v>18</v>
      </c>
      <c r="X19" t="str">
        <f>IFERROR(INDEX($H$2:$H$79,MATCH(18,$W$2:$W$79,0)),"")</f>
        <v>无数值变化</v>
      </c>
      <c r="AA19" t="str">
        <f>IFERROR(INDEX('幕间与结算'!$E$9:$E$208,SMALL(AA$210:AA$409,18)),"")</f>
        <v/>
      </c>
      <c r="AB19" t="str">
        <f>IFERROR(INDEX('幕间与结算'!$E$9:$E$208,SMALL(AB$210:AB$409,18)),"")</f>
        <v/>
      </c>
      <c r="AC19" t="str">
        <f>IFERROR(INDEX('幕间与结算'!$E$9:$E$208,SMALL(AC$210:AC$409,18)),"")</f>
        <v/>
      </c>
      <c r="AD19" t="str">
        <f>IFERROR(INDEX('幕间与结算'!$E$9:$E$208,SMALL(AD$210:AD$409,18)),"")</f>
        <v/>
      </c>
      <c r="AE19" t="str">
        <f>IFERROR(INDEX('幕间与结算'!$E$9:$E$208,SMALL(AE$210:AE$409,18)),"")</f>
        <v/>
      </c>
      <c r="AF19" t="str">
        <f>IFERROR(INDEX('幕间与结算'!$E$9:$E$208,SMALL(AF$210:AF$409,18)),"")</f>
        <v/>
      </c>
      <c r="AG19" t="str">
        <f>IFERROR(INDEX('幕间与结算'!$E$9:$E$208,SMALL(AG$210:AG$409,18)),"")</f>
        <v/>
      </c>
      <c r="AH19" t="str">
        <f>IFERROR(INDEX('幕间与结算'!$E$9:$E$208,SMALL(AH$210:AH$409,18)),"")</f>
        <v/>
      </c>
      <c r="AI19" t="str">
        <f>IFERROR(INDEX('幕间与结算'!$E$9:$E$208,SMALL(AI$210:AI$409,18)),"")</f>
        <v/>
      </c>
      <c r="AJ19" t="str">
        <f>IFERROR(INDEX('幕间与结算'!$E$9:$E$208,SMALL(AJ$210:AJ$409,18)),"")</f>
        <v/>
      </c>
      <c r="AK19" t="str">
        <f>IFERROR(INDEX('幕间与结算'!$E$9:$E$208,SMALL(AK$210:AK$409,18)),"")</f>
        <v/>
      </c>
      <c r="AL19" t="str">
        <f>IFERROR(INDEX('幕间与结算'!$E$9:$E$208,SMALL(AL$210:AL$409,18)),"")</f>
        <v/>
      </c>
      <c r="AM19" t="str">
        <f>IFERROR(INDEX('幕间与结算'!$E$9:$E$208,SMALL(AM$210:AM$409,18)),"")</f>
        <v/>
      </c>
      <c r="AN19" t="str">
        <f>IFERROR(INDEX('幕间与结算'!$E$9:$E$208,SMALL(AN$210:AN$409,18)),"")</f>
        <v/>
      </c>
      <c r="AO19" t="str">
        <f>IFERROR(INDEX('幕间与结算'!$E$9:$E$208,SMALL(AO$210:AO$409,18)),"")</f>
        <v/>
      </c>
      <c r="AP19" t="str">
        <f>IFERROR(INDEX('幕间与结算'!$E$9:$E$208,SMALL(AP$210:AP$409,18)),"")</f>
        <v/>
      </c>
      <c r="AQ19" t="str">
        <f>IFERROR(INDEX('幕间与结算'!$E$9:$E$208,SMALL(AQ$210:AQ$409,18)),"")</f>
        <v/>
      </c>
      <c r="AR19" t="str">
        <f>IFERROR(INDEX('幕间与结算'!$E$9:$E$208,SMALL(AR$210:AR$409,18)),"")</f>
        <v/>
      </c>
      <c r="AS19" t="str">
        <f>IFERROR(INDEX('幕间与结算'!$E$9:$E$208,SMALL(AS$210:AS$409,18)),"")</f>
        <v/>
      </c>
      <c r="AT19" t="str">
        <f>IFERROR(INDEX('幕间与结算'!$E$9:$E$208,SMALL(AT$210:AT$409,18)),"")</f>
        <v/>
      </c>
    </row>
    <row r="20">
      <c r="A20" t="str">
        <f>IF('人物卡'!D32="","","技能："&amp;'人物卡'!D32)</f>
        <v>技能：闪避</v>
      </c>
      <c r="B20">
        <v>0</v>
      </c>
      <c r="H20" t="str">
        <f>A2</f>
        <v>技能：会计学</v>
      </c>
      <c r="J20" t="inlineStr">
        <is>
          <t>19</t>
        </is>
      </c>
      <c r="K20" t="str">
        <f>IF('模组经历备忘录'!C26="","待命名模组",'模组经历备忘录'!C26)</f>
        <v>待命名模组</v>
      </c>
      <c r="L20" t="inlineStr">
        <is>
          <t>适应无力感</t>
        </is>
      </c>
      <c r="W20">
        <f>IF(H20="","",COUNTIF($H$2:H20,"?*"))</f>
        <v>19</v>
      </c>
      <c r="X20" t="str">
        <f>IFERROR(INDEX($H$2:$H$79,MATCH(19,$W$2:$W$79,0)),"")</f>
        <v>技能：会计学</v>
      </c>
      <c r="AA20" t="str">
        <f>IFERROR(INDEX('幕间与结算'!$E$9:$E$208,SMALL(AA$210:AA$409,19)),"")</f>
        <v/>
      </c>
      <c r="AB20" t="str">
        <f>IFERROR(INDEX('幕间与结算'!$E$9:$E$208,SMALL(AB$210:AB$409,19)),"")</f>
        <v/>
      </c>
      <c r="AC20" t="str">
        <f>IFERROR(INDEX('幕间与结算'!$E$9:$E$208,SMALL(AC$210:AC$409,19)),"")</f>
        <v/>
      </c>
      <c r="AD20" t="str">
        <f>IFERROR(INDEX('幕间与结算'!$E$9:$E$208,SMALL(AD$210:AD$409,19)),"")</f>
        <v/>
      </c>
      <c r="AE20" t="str">
        <f>IFERROR(INDEX('幕间与结算'!$E$9:$E$208,SMALL(AE$210:AE$409,19)),"")</f>
        <v/>
      </c>
      <c r="AF20" t="str">
        <f>IFERROR(INDEX('幕间与结算'!$E$9:$E$208,SMALL(AF$210:AF$409,19)),"")</f>
        <v/>
      </c>
      <c r="AG20" t="str">
        <f>IFERROR(INDEX('幕间与结算'!$E$9:$E$208,SMALL(AG$210:AG$409,19)),"")</f>
        <v/>
      </c>
      <c r="AH20" t="str">
        <f>IFERROR(INDEX('幕间与结算'!$E$9:$E$208,SMALL(AH$210:AH$409,19)),"")</f>
        <v/>
      </c>
      <c r="AI20" t="str">
        <f>IFERROR(INDEX('幕间与结算'!$E$9:$E$208,SMALL(AI$210:AI$409,19)),"")</f>
        <v/>
      </c>
      <c r="AJ20" t="str">
        <f>IFERROR(INDEX('幕间与结算'!$E$9:$E$208,SMALL(AJ$210:AJ$409,19)),"")</f>
        <v/>
      </c>
      <c r="AK20" t="str">
        <f>IFERROR(INDEX('幕间与结算'!$E$9:$E$208,SMALL(AK$210:AK$409,19)),"")</f>
        <v/>
      </c>
      <c r="AL20" t="str">
        <f>IFERROR(INDEX('幕间与结算'!$E$9:$E$208,SMALL(AL$210:AL$409,19)),"")</f>
        <v/>
      </c>
      <c r="AM20" t="str">
        <f>IFERROR(INDEX('幕间与结算'!$E$9:$E$208,SMALL(AM$210:AM$409,19)),"")</f>
        <v/>
      </c>
      <c r="AN20" t="str">
        <f>IFERROR(INDEX('幕间与结算'!$E$9:$E$208,SMALL(AN$210:AN$409,19)),"")</f>
        <v/>
      </c>
      <c r="AO20" t="str">
        <f>IFERROR(INDEX('幕间与结算'!$E$9:$E$208,SMALL(AO$210:AO$409,19)),"")</f>
        <v/>
      </c>
      <c r="AP20" t="str">
        <f>IFERROR(INDEX('幕间与结算'!$E$9:$E$208,SMALL(AP$210:AP$409,19)),"")</f>
        <v/>
      </c>
      <c r="AQ20" t="str">
        <f>IFERROR(INDEX('幕间与结算'!$E$9:$E$208,SMALL(AQ$210:AQ$409,19)),"")</f>
        <v/>
      </c>
      <c r="AR20" t="str">
        <f>IFERROR(INDEX('幕间与结算'!$E$9:$E$208,SMALL(AR$210:AR$409,19)),"")</f>
        <v/>
      </c>
      <c r="AS20" t="str">
        <f>IFERROR(INDEX('幕间与结算'!$E$9:$E$208,SMALL(AS$210:AS$409,19)),"")</f>
        <v/>
      </c>
      <c r="AT20" t="str">
        <f>IFERROR(INDEX('幕间与结算'!$E$9:$E$208,SMALL(AT$210:AT$409,19)),"")</f>
        <v/>
      </c>
    </row>
    <row r="21">
      <c r="A21" t="str">
        <f>IF('人物卡'!D33="","","技能："&amp;'人物卡'!D33)</f>
        <v>技能：机动车驾驶</v>
      </c>
      <c r="B21">
        <v>0</v>
      </c>
      <c r="H21" t="str">
        <f>A3</f>
        <v>技能：警觉</v>
      </c>
      <c r="J21" t="inlineStr">
        <is>
          <t>20</t>
        </is>
      </c>
      <c r="K21" t="str">
        <f>IF('模组经历备忘录'!C27="","待命名模组",'模组经历备忘录'!C27)</f>
        <v>待命名模组</v>
      </c>
      <c r="L21" t="inlineStr">
        <is>
          <t>共度危机的DG关系</t>
        </is>
      </c>
      <c r="W21">
        <f>IF(H21="","",COUNTIF($H$2:H21,"?*"))</f>
        <v>20</v>
      </c>
      <c r="X21" t="str">
        <f>IFERROR(INDEX($H$2:$H$79,MATCH(20,$W$2:$W$79,0)),"")</f>
        <v>技能：警觉</v>
      </c>
      <c r="AA21" t="str">
        <f>IFERROR(INDEX('幕间与结算'!$E$9:$E$208,SMALL(AA$210:AA$409,20)),"")</f>
        <v/>
      </c>
      <c r="AB21" t="str">
        <f>IFERROR(INDEX('幕间与结算'!$E$9:$E$208,SMALL(AB$210:AB$409,20)),"")</f>
        <v/>
      </c>
      <c r="AC21" t="str">
        <f>IFERROR(INDEX('幕间与结算'!$E$9:$E$208,SMALL(AC$210:AC$409,20)),"")</f>
        <v/>
      </c>
      <c r="AD21" t="str">
        <f>IFERROR(INDEX('幕间与结算'!$E$9:$E$208,SMALL(AD$210:AD$409,20)),"")</f>
        <v/>
      </c>
      <c r="AE21" t="str">
        <f>IFERROR(INDEX('幕间与结算'!$E$9:$E$208,SMALL(AE$210:AE$409,20)),"")</f>
        <v/>
      </c>
      <c r="AF21" t="str">
        <f>IFERROR(INDEX('幕间与结算'!$E$9:$E$208,SMALL(AF$210:AF$409,20)),"")</f>
        <v/>
      </c>
      <c r="AG21" t="str">
        <f>IFERROR(INDEX('幕间与结算'!$E$9:$E$208,SMALL(AG$210:AG$409,20)),"")</f>
        <v/>
      </c>
      <c r="AH21" t="str">
        <f>IFERROR(INDEX('幕间与结算'!$E$9:$E$208,SMALL(AH$210:AH$409,20)),"")</f>
        <v/>
      </c>
      <c r="AI21" t="str">
        <f>IFERROR(INDEX('幕间与结算'!$E$9:$E$208,SMALL(AI$210:AI$409,20)),"")</f>
        <v/>
      </c>
      <c r="AJ21" t="str">
        <f>IFERROR(INDEX('幕间与结算'!$E$9:$E$208,SMALL(AJ$210:AJ$409,20)),"")</f>
        <v/>
      </c>
      <c r="AK21" t="str">
        <f>IFERROR(INDEX('幕间与结算'!$E$9:$E$208,SMALL(AK$210:AK$409,20)),"")</f>
        <v/>
      </c>
      <c r="AL21" t="str">
        <f>IFERROR(INDEX('幕间与结算'!$E$9:$E$208,SMALL(AL$210:AL$409,20)),"")</f>
        <v/>
      </c>
      <c r="AM21" t="str">
        <f>IFERROR(INDEX('幕间与结算'!$E$9:$E$208,SMALL(AM$210:AM$409,20)),"")</f>
        <v/>
      </c>
      <c r="AN21" t="str">
        <f>IFERROR(INDEX('幕间与结算'!$E$9:$E$208,SMALL(AN$210:AN$409,20)),"")</f>
        <v/>
      </c>
      <c r="AO21" t="str">
        <f>IFERROR(INDEX('幕间与结算'!$E$9:$E$208,SMALL(AO$210:AO$409,20)),"")</f>
        <v/>
      </c>
      <c r="AP21" t="str">
        <f>IFERROR(INDEX('幕间与结算'!$E$9:$E$208,SMALL(AP$210:AP$409,20)),"")</f>
        <v/>
      </c>
      <c r="AQ21" t="str">
        <f>IFERROR(INDEX('幕间与结算'!$E$9:$E$208,SMALL(AQ$210:AQ$409,20)),"")</f>
        <v/>
      </c>
      <c r="AR21" t="str">
        <f>IFERROR(INDEX('幕间与结算'!$E$9:$E$208,SMALL(AR$210:AR$409,20)),"")</f>
        <v/>
      </c>
      <c r="AS21" t="str">
        <f>IFERROR(INDEX('幕间与结算'!$E$9:$E$208,SMALL(AS$210:AS$409,20)),"")</f>
        <v/>
      </c>
      <c r="AT21" t="str">
        <f>IFERROR(INDEX('幕间与结算'!$E$9:$E$208,SMALL(AT$210:AT$409,20)),"")</f>
        <v/>
      </c>
    </row>
    <row r="22">
      <c r="A22" t="str">
        <f>IF('人物卡'!D34="","","技能："&amp;'人物卡'!D34)</f>
        <v>技能：射击</v>
      </c>
      <c r="B22">
        <v>0</v>
      </c>
      <c r="H22" t="str">
        <f>A4</f>
        <v>技能：人类学</v>
      </c>
      <c r="L22" t="inlineStr">
        <is>
          <t>被开除</t>
        </is>
      </c>
      <c r="W22">
        <f>IF(H22="","",COUNTIF($H$2:H22,"?*"))</f>
        <v>21</v>
      </c>
      <c r="X22" t="str">
        <f>IFERROR(INDEX($H$2:$H$79,MATCH(21,$W$2:$W$79,0)),"")</f>
        <v>技能：人类学</v>
      </c>
      <c r="AA22" t="str">
        <f>IFERROR(INDEX('幕间与结算'!$E$9:$E$208,SMALL(AA$210:AA$409,21)),"")</f>
        <v/>
      </c>
      <c r="AB22" t="str">
        <f>IFERROR(INDEX('幕间与结算'!$E$9:$E$208,SMALL(AB$210:AB$409,21)),"")</f>
        <v/>
      </c>
      <c r="AC22" t="str">
        <f>IFERROR(INDEX('幕间与结算'!$E$9:$E$208,SMALL(AC$210:AC$409,21)),"")</f>
        <v/>
      </c>
      <c r="AD22" t="str">
        <f>IFERROR(INDEX('幕间与结算'!$E$9:$E$208,SMALL(AD$210:AD$409,21)),"")</f>
        <v/>
      </c>
      <c r="AE22" t="str">
        <f>IFERROR(INDEX('幕间与结算'!$E$9:$E$208,SMALL(AE$210:AE$409,21)),"")</f>
        <v/>
      </c>
      <c r="AF22" t="str">
        <f>IFERROR(INDEX('幕间与结算'!$E$9:$E$208,SMALL(AF$210:AF$409,21)),"")</f>
        <v/>
      </c>
      <c r="AG22" t="str">
        <f>IFERROR(INDEX('幕间与结算'!$E$9:$E$208,SMALL(AG$210:AG$409,21)),"")</f>
        <v/>
      </c>
      <c r="AH22" t="str">
        <f>IFERROR(INDEX('幕间与结算'!$E$9:$E$208,SMALL(AH$210:AH$409,21)),"")</f>
        <v/>
      </c>
      <c r="AI22" t="str">
        <f>IFERROR(INDEX('幕间与结算'!$E$9:$E$208,SMALL(AI$210:AI$409,21)),"")</f>
        <v/>
      </c>
      <c r="AJ22" t="str">
        <f>IFERROR(INDEX('幕间与结算'!$E$9:$E$208,SMALL(AJ$210:AJ$409,21)),"")</f>
        <v/>
      </c>
      <c r="AK22" t="str">
        <f>IFERROR(INDEX('幕间与结算'!$E$9:$E$208,SMALL(AK$210:AK$409,21)),"")</f>
        <v/>
      </c>
      <c r="AL22" t="str">
        <f>IFERROR(INDEX('幕间与结算'!$E$9:$E$208,SMALL(AL$210:AL$409,21)),"")</f>
        <v/>
      </c>
      <c r="AM22" t="str">
        <f>IFERROR(INDEX('幕间与结算'!$E$9:$E$208,SMALL(AM$210:AM$409,21)),"")</f>
        <v/>
      </c>
      <c r="AN22" t="str">
        <f>IFERROR(INDEX('幕间与结算'!$E$9:$E$208,SMALL(AN$210:AN$409,21)),"")</f>
        <v/>
      </c>
      <c r="AO22" t="str">
        <f>IFERROR(INDEX('幕间与结算'!$E$9:$E$208,SMALL(AO$210:AO$409,21)),"")</f>
        <v/>
      </c>
      <c r="AP22" t="str">
        <f>IFERROR(INDEX('幕间与结算'!$E$9:$E$208,SMALL(AP$210:AP$409,21)),"")</f>
        <v/>
      </c>
      <c r="AQ22" t="str">
        <f>IFERROR(INDEX('幕间与结算'!$E$9:$E$208,SMALL(AQ$210:AQ$409,21)),"")</f>
        <v/>
      </c>
      <c r="AR22" t="str">
        <f>IFERROR(INDEX('幕间与结算'!$E$9:$E$208,SMALL(AR$210:AR$409,21)),"")</f>
        <v/>
      </c>
      <c r="AS22" t="str">
        <f>IFERROR(INDEX('幕间与结算'!$E$9:$E$208,SMALL(AS$210:AS$409,21)),"")</f>
        <v/>
      </c>
      <c r="AT22" t="str">
        <f>IFERROR(INDEX('幕间与结算'!$E$9:$E$208,SMALL(AT$210:AT$409,21)),"")</f>
        <v/>
      </c>
    </row>
    <row r="23">
      <c r="A23" t="str">
        <f>IF('人物卡'!D35="","","技能："&amp;'人物卡'!D35)</f>
        <v>技能：急救</v>
      </c>
      <c r="B23">
        <v>0</v>
      </c>
      <c r="H23" t="str">
        <f>A5</f>
        <v>技能：考古学</v>
      </c>
      <c r="L23" t="inlineStr">
        <is>
          <t>诉讼</t>
        </is>
      </c>
      <c r="W23">
        <f>IF(H23="","",COUNTIF($H$2:H23,"?*"))</f>
        <v>22</v>
      </c>
      <c r="X23" t="str">
        <f>IFERROR(INDEX($H$2:$H$79,MATCH(22,$W$2:$W$79,0)),"")</f>
        <v>技能：考古学</v>
      </c>
      <c r="AA23" t="str">
        <f>IFERROR(INDEX('幕间与结算'!$E$9:$E$208,SMALL(AA$210:AA$409,22)),"")</f>
        <v/>
      </c>
      <c r="AB23" t="str">
        <f>IFERROR(INDEX('幕间与结算'!$E$9:$E$208,SMALL(AB$210:AB$409,22)),"")</f>
        <v/>
      </c>
      <c r="AC23" t="str">
        <f>IFERROR(INDEX('幕间与结算'!$E$9:$E$208,SMALL(AC$210:AC$409,22)),"")</f>
        <v/>
      </c>
      <c r="AD23" t="str">
        <f>IFERROR(INDEX('幕间与结算'!$E$9:$E$208,SMALL(AD$210:AD$409,22)),"")</f>
        <v/>
      </c>
      <c r="AE23" t="str">
        <f>IFERROR(INDEX('幕间与结算'!$E$9:$E$208,SMALL(AE$210:AE$409,22)),"")</f>
        <v/>
      </c>
      <c r="AF23" t="str">
        <f>IFERROR(INDEX('幕间与结算'!$E$9:$E$208,SMALL(AF$210:AF$409,22)),"")</f>
        <v/>
      </c>
      <c r="AG23" t="str">
        <f>IFERROR(INDEX('幕间与结算'!$E$9:$E$208,SMALL(AG$210:AG$409,22)),"")</f>
        <v/>
      </c>
      <c r="AH23" t="str">
        <f>IFERROR(INDEX('幕间与结算'!$E$9:$E$208,SMALL(AH$210:AH$409,22)),"")</f>
        <v/>
      </c>
      <c r="AI23" t="str">
        <f>IFERROR(INDEX('幕间与结算'!$E$9:$E$208,SMALL(AI$210:AI$409,22)),"")</f>
        <v/>
      </c>
      <c r="AJ23" t="str">
        <f>IFERROR(INDEX('幕间与结算'!$E$9:$E$208,SMALL(AJ$210:AJ$409,22)),"")</f>
        <v/>
      </c>
      <c r="AK23" t="str">
        <f>IFERROR(INDEX('幕间与结算'!$E$9:$E$208,SMALL(AK$210:AK$409,22)),"")</f>
        <v/>
      </c>
      <c r="AL23" t="str">
        <f>IFERROR(INDEX('幕间与结算'!$E$9:$E$208,SMALL(AL$210:AL$409,22)),"")</f>
        <v/>
      </c>
      <c r="AM23" t="str">
        <f>IFERROR(INDEX('幕间与结算'!$E$9:$E$208,SMALL(AM$210:AM$409,22)),"")</f>
        <v/>
      </c>
      <c r="AN23" t="str">
        <f>IFERROR(INDEX('幕间与结算'!$E$9:$E$208,SMALL(AN$210:AN$409,22)),"")</f>
        <v/>
      </c>
      <c r="AO23" t="str">
        <f>IFERROR(INDEX('幕间与结算'!$E$9:$E$208,SMALL(AO$210:AO$409,22)),"")</f>
        <v/>
      </c>
      <c r="AP23" t="str">
        <f>IFERROR(INDEX('幕间与结算'!$E$9:$E$208,SMALL(AP$210:AP$409,22)),"")</f>
        <v/>
      </c>
      <c r="AQ23" t="str">
        <f>IFERROR(INDEX('幕间与结算'!$E$9:$E$208,SMALL(AQ$210:AQ$409,22)),"")</f>
        <v/>
      </c>
      <c r="AR23" t="str">
        <f>IFERROR(INDEX('幕间与结算'!$E$9:$E$208,SMALL(AR$210:AR$409,22)),"")</f>
        <v/>
      </c>
      <c r="AS23" t="str">
        <f>IFERROR(INDEX('幕间与结算'!$E$9:$E$208,SMALL(AS$210:AS$409,22)),"")</f>
        <v/>
      </c>
      <c r="AT23" t="str">
        <f>IFERROR(INDEX('幕间与结算'!$E$9:$E$208,SMALL(AT$210:AT$409,22)),"")</f>
        <v/>
      </c>
    </row>
    <row r="24">
      <c r="A24" t="str">
        <f>IF(TRIM('人物卡'!J36)="","","技能："&amp;SUBSTITUTE('人物卡'!D36,"：","")&amp;"（"&amp;TRIM('人物卡'!J36)&amp;"）")</f>
        <v/>
      </c>
      <c r="B24">
        <v>0</v>
      </c>
      <c r="H24" t="str">
        <f>A6</f>
        <v/>
      </c>
      <c r="L24" t="inlineStr">
        <is>
          <t>诊疗与休养</t>
        </is>
      </c>
      <c r="W24" t="str">
        <f>IF(H24="","",COUNTIF($H$2:H24,"?*"))</f>
        <v/>
      </c>
      <c r="X24" t="str">
        <f>IFERROR(INDEX($H$2:$H$79,MATCH(23,$W$2:$W$79,0)),"")</f>
        <v>技能：炮术</v>
      </c>
      <c r="AA24" t="str">
        <f>IFERROR(INDEX('幕间与结算'!$E$9:$E$208,SMALL(AA$210:AA$409,23)),"")</f>
        <v/>
      </c>
      <c r="AB24" t="str">
        <f>IFERROR(INDEX('幕间与结算'!$E$9:$E$208,SMALL(AB$210:AB$409,23)),"")</f>
        <v/>
      </c>
      <c r="AC24" t="str">
        <f>IFERROR(INDEX('幕间与结算'!$E$9:$E$208,SMALL(AC$210:AC$409,23)),"")</f>
        <v/>
      </c>
      <c r="AD24" t="str">
        <f>IFERROR(INDEX('幕间与结算'!$E$9:$E$208,SMALL(AD$210:AD$409,23)),"")</f>
        <v/>
      </c>
      <c r="AE24" t="str">
        <f>IFERROR(INDEX('幕间与结算'!$E$9:$E$208,SMALL(AE$210:AE$409,23)),"")</f>
        <v/>
      </c>
      <c r="AF24" t="str">
        <f>IFERROR(INDEX('幕间与结算'!$E$9:$E$208,SMALL(AF$210:AF$409,23)),"")</f>
        <v/>
      </c>
      <c r="AG24" t="str">
        <f>IFERROR(INDEX('幕间与结算'!$E$9:$E$208,SMALL(AG$210:AG$409,23)),"")</f>
        <v/>
      </c>
      <c r="AH24" t="str">
        <f>IFERROR(INDEX('幕间与结算'!$E$9:$E$208,SMALL(AH$210:AH$409,23)),"")</f>
        <v/>
      </c>
      <c r="AI24" t="str">
        <f>IFERROR(INDEX('幕间与结算'!$E$9:$E$208,SMALL(AI$210:AI$409,23)),"")</f>
        <v/>
      </c>
      <c r="AJ24" t="str">
        <f>IFERROR(INDEX('幕间与结算'!$E$9:$E$208,SMALL(AJ$210:AJ$409,23)),"")</f>
        <v/>
      </c>
      <c r="AK24" t="str">
        <f>IFERROR(INDEX('幕间与结算'!$E$9:$E$208,SMALL(AK$210:AK$409,23)),"")</f>
        <v/>
      </c>
      <c r="AL24" t="str">
        <f>IFERROR(INDEX('幕间与结算'!$E$9:$E$208,SMALL(AL$210:AL$409,23)),"")</f>
        <v/>
      </c>
      <c r="AM24" t="str">
        <f>IFERROR(INDEX('幕间与结算'!$E$9:$E$208,SMALL(AM$210:AM$409,23)),"")</f>
        <v/>
      </c>
      <c r="AN24" t="str">
        <f>IFERROR(INDEX('幕间与结算'!$E$9:$E$208,SMALL(AN$210:AN$409,23)),"")</f>
        <v/>
      </c>
      <c r="AO24" t="str">
        <f>IFERROR(INDEX('幕间与结算'!$E$9:$E$208,SMALL(AO$210:AO$409,23)),"")</f>
        <v/>
      </c>
      <c r="AP24" t="str">
        <f>IFERROR(INDEX('幕间与结算'!$E$9:$E$208,SMALL(AP$210:AP$409,23)),"")</f>
        <v/>
      </c>
      <c r="AQ24" t="str">
        <f>IFERROR(INDEX('幕间与结算'!$E$9:$E$208,SMALL(AQ$210:AQ$409,23)),"")</f>
        <v/>
      </c>
      <c r="AR24" t="str">
        <f>IFERROR(INDEX('幕间与结算'!$E$9:$E$208,SMALL(AR$210:AR$409,23)),"")</f>
        <v/>
      </c>
      <c r="AS24" t="str">
        <f>IFERROR(INDEX('幕间与结算'!$E$9:$E$208,SMALL(AS$210:AS$409,23)),"")</f>
        <v/>
      </c>
      <c r="AT24" t="str">
        <f>IFERROR(INDEX('幕间与结算'!$E$9:$E$208,SMALL(AT$210:AT$409,23)),"")</f>
        <v/>
      </c>
    </row>
    <row r="25">
      <c r="A25" t="str">
        <f>IF(TRIM('人物卡'!J37)="","","技能："&amp;SUBSTITUTE('人物卡'!D37,"：","")&amp;"（"&amp;TRIM('人物卡'!J37)&amp;"）")</f>
        <v/>
      </c>
      <c r="B25">
        <v>0</v>
      </c>
      <c r="H25" t="str">
        <f>A7</f>
        <v/>
      </c>
      <c r="W25" t="str">
        <f>IF(H25="","",COUNTIF($H$2:H25,"?*"))</f>
        <v/>
      </c>
      <c r="X25" t="str">
        <f>IFERROR(INDEX($H$2:$H$79,MATCH(24,$W$2:$W$79,0)),"")</f>
        <v>技能：运动</v>
      </c>
      <c r="AA25" t="str">
        <f>IFERROR(INDEX('幕间与结算'!$E$9:$E$208,SMALL(AA$210:AA$409,24)),"")</f>
        <v/>
      </c>
      <c r="AB25" t="str">
        <f>IFERROR(INDEX('幕间与结算'!$E$9:$E$208,SMALL(AB$210:AB$409,24)),"")</f>
        <v/>
      </c>
      <c r="AC25" t="str">
        <f>IFERROR(INDEX('幕间与结算'!$E$9:$E$208,SMALL(AC$210:AC$409,24)),"")</f>
        <v/>
      </c>
      <c r="AD25" t="str">
        <f>IFERROR(INDEX('幕间与结算'!$E$9:$E$208,SMALL(AD$210:AD$409,24)),"")</f>
        <v/>
      </c>
      <c r="AE25" t="str">
        <f>IFERROR(INDEX('幕间与结算'!$E$9:$E$208,SMALL(AE$210:AE$409,24)),"")</f>
        <v/>
      </c>
      <c r="AF25" t="str">
        <f>IFERROR(INDEX('幕间与结算'!$E$9:$E$208,SMALL(AF$210:AF$409,24)),"")</f>
        <v/>
      </c>
      <c r="AG25" t="str">
        <f>IFERROR(INDEX('幕间与结算'!$E$9:$E$208,SMALL(AG$210:AG$409,24)),"")</f>
        <v/>
      </c>
      <c r="AH25" t="str">
        <f>IFERROR(INDEX('幕间与结算'!$E$9:$E$208,SMALL(AH$210:AH$409,24)),"")</f>
        <v/>
      </c>
      <c r="AI25" t="str">
        <f>IFERROR(INDEX('幕间与结算'!$E$9:$E$208,SMALL(AI$210:AI$409,24)),"")</f>
        <v/>
      </c>
      <c r="AJ25" t="str">
        <f>IFERROR(INDEX('幕间与结算'!$E$9:$E$208,SMALL(AJ$210:AJ$409,24)),"")</f>
        <v/>
      </c>
      <c r="AK25" t="str">
        <f>IFERROR(INDEX('幕间与结算'!$E$9:$E$208,SMALL(AK$210:AK$409,24)),"")</f>
        <v/>
      </c>
      <c r="AL25" t="str">
        <f>IFERROR(INDEX('幕间与结算'!$E$9:$E$208,SMALL(AL$210:AL$409,24)),"")</f>
        <v/>
      </c>
      <c r="AM25" t="str">
        <f>IFERROR(INDEX('幕间与结算'!$E$9:$E$208,SMALL(AM$210:AM$409,24)),"")</f>
        <v/>
      </c>
      <c r="AN25" t="str">
        <f>IFERROR(INDEX('幕间与结算'!$E$9:$E$208,SMALL(AN$210:AN$409,24)),"")</f>
        <v/>
      </c>
      <c r="AO25" t="str">
        <f>IFERROR(INDEX('幕间与结算'!$E$9:$E$208,SMALL(AO$210:AO$409,24)),"")</f>
        <v/>
      </c>
      <c r="AP25" t="str">
        <f>IFERROR(INDEX('幕间与结算'!$E$9:$E$208,SMALL(AP$210:AP$409,24)),"")</f>
        <v/>
      </c>
      <c r="AQ25" t="str">
        <f>IFERROR(INDEX('幕间与结算'!$E$9:$E$208,SMALL(AQ$210:AQ$409,24)),"")</f>
        <v/>
      </c>
      <c r="AR25" t="str">
        <f>IFERROR(INDEX('幕间与结算'!$E$9:$E$208,SMALL(AR$210:AR$409,24)),"")</f>
        <v/>
      </c>
      <c r="AS25" t="str">
        <f>IFERROR(INDEX('幕间与结算'!$E$9:$E$208,SMALL(AS$210:AS$409,24)),"")</f>
        <v/>
      </c>
      <c r="AT25" t="str">
        <f>IFERROR(INDEX('幕间与结算'!$E$9:$E$208,SMALL(AT$210:AT$409,24)),"")</f>
        <v/>
      </c>
    </row>
    <row r="26">
      <c r="A26" t="str">
        <f>IF(TRIM('人物卡'!J38)="","","技能："&amp;SUBSTITUTE('人物卡'!D38,"：","")&amp;"（"&amp;TRIM('人物卡'!J38)&amp;"）")</f>
        <v/>
      </c>
      <c r="B26">
        <v>0</v>
      </c>
      <c r="H26" t="str">
        <f>A8</f>
        <v/>
      </c>
      <c r="W26" t="str">
        <f>IF(H26="","",COUNTIF($H$2:H26,"?*"))</f>
        <v/>
      </c>
      <c r="X26" t="str">
        <f>IFERROR(INDEX($H$2:$H$79,MATCH(25,$W$2:$W$79,0)),"")</f>
        <v>技能：行政</v>
      </c>
      <c r="AA26" t="str">
        <f>IFERROR(INDEX('幕间与结算'!$E$9:$E$208,SMALL(AA$210:AA$409,25)),"")</f>
        <v/>
      </c>
      <c r="AB26" t="str">
        <f>IFERROR(INDEX('幕间与结算'!$E$9:$E$208,SMALL(AB$210:AB$409,25)),"")</f>
        <v/>
      </c>
      <c r="AC26" t="str">
        <f>IFERROR(INDEX('幕间与结算'!$E$9:$E$208,SMALL(AC$210:AC$409,25)),"")</f>
        <v/>
      </c>
      <c r="AD26" t="str">
        <f>IFERROR(INDEX('幕间与结算'!$E$9:$E$208,SMALL(AD$210:AD$409,25)),"")</f>
        <v/>
      </c>
      <c r="AE26" t="str">
        <f>IFERROR(INDEX('幕间与结算'!$E$9:$E$208,SMALL(AE$210:AE$409,25)),"")</f>
        <v/>
      </c>
      <c r="AF26" t="str">
        <f>IFERROR(INDEX('幕间与结算'!$E$9:$E$208,SMALL(AF$210:AF$409,25)),"")</f>
        <v/>
      </c>
      <c r="AG26" t="str">
        <f>IFERROR(INDEX('幕间与结算'!$E$9:$E$208,SMALL(AG$210:AG$409,25)),"")</f>
        <v/>
      </c>
      <c r="AH26" t="str">
        <f>IFERROR(INDEX('幕间与结算'!$E$9:$E$208,SMALL(AH$210:AH$409,25)),"")</f>
        <v/>
      </c>
      <c r="AI26" t="str">
        <f>IFERROR(INDEX('幕间与结算'!$E$9:$E$208,SMALL(AI$210:AI$409,25)),"")</f>
        <v/>
      </c>
      <c r="AJ26" t="str">
        <f>IFERROR(INDEX('幕间与结算'!$E$9:$E$208,SMALL(AJ$210:AJ$409,25)),"")</f>
        <v/>
      </c>
      <c r="AK26" t="str">
        <f>IFERROR(INDEX('幕间与结算'!$E$9:$E$208,SMALL(AK$210:AK$409,25)),"")</f>
        <v/>
      </c>
      <c r="AL26" t="str">
        <f>IFERROR(INDEX('幕间与结算'!$E$9:$E$208,SMALL(AL$210:AL$409,25)),"")</f>
        <v/>
      </c>
      <c r="AM26" t="str">
        <f>IFERROR(INDEX('幕间与结算'!$E$9:$E$208,SMALL(AM$210:AM$409,25)),"")</f>
        <v/>
      </c>
      <c r="AN26" t="str">
        <f>IFERROR(INDEX('幕间与结算'!$E$9:$E$208,SMALL(AN$210:AN$409,25)),"")</f>
        <v/>
      </c>
      <c r="AO26" t="str">
        <f>IFERROR(INDEX('幕间与结算'!$E$9:$E$208,SMALL(AO$210:AO$409,25)),"")</f>
        <v/>
      </c>
      <c r="AP26" t="str">
        <f>IFERROR(INDEX('幕间与结算'!$E$9:$E$208,SMALL(AP$210:AP$409,25)),"")</f>
        <v/>
      </c>
      <c r="AQ26" t="str">
        <f>IFERROR(INDEX('幕间与结算'!$E$9:$E$208,SMALL(AQ$210:AQ$409,25)),"")</f>
        <v/>
      </c>
      <c r="AR26" t="str">
        <f>IFERROR(INDEX('幕间与结算'!$E$9:$E$208,SMALL(AR$210:AR$409,25)),"")</f>
        <v/>
      </c>
      <c r="AS26" t="str">
        <f>IFERROR(INDEX('幕间与结算'!$E$9:$E$208,SMALL(AS$210:AS$409,25)),"")</f>
        <v/>
      </c>
      <c r="AT26" t="str">
        <f>IFERROR(INDEX('幕间与结算'!$E$9:$E$208,SMALL(AT$210:AT$409,25)),"")</f>
        <v/>
      </c>
    </row>
    <row r="27">
      <c r="A27" t="str">
        <f>IF('人物卡'!D39="","","技能："&amp;'人物卡'!D39)</f>
        <v>技能：法证学</v>
      </c>
      <c r="B27">
        <v>0</v>
      </c>
      <c r="H27" t="str">
        <f>A9</f>
        <v>技能：炮术</v>
      </c>
      <c r="W27">
        <f>IF(H27="","",COUNTIF($H$2:H27,"?*"))</f>
        <v>23</v>
      </c>
      <c r="X27" t="str">
        <f>IFERROR(INDEX($H$2:$H$79,MATCH(26,$W$2:$W$79,0)),"")</f>
        <v>技能：计算机科学</v>
      </c>
      <c r="AA27" t="str">
        <f>IFERROR(INDEX('幕间与结算'!$E$9:$E$208,SMALL(AA$210:AA$409,26)),"")</f>
        <v/>
      </c>
      <c r="AB27" t="str">
        <f>IFERROR(INDEX('幕间与结算'!$E$9:$E$208,SMALL(AB$210:AB$409,26)),"")</f>
        <v/>
      </c>
      <c r="AC27" t="str">
        <f>IFERROR(INDEX('幕间与结算'!$E$9:$E$208,SMALL(AC$210:AC$409,26)),"")</f>
        <v/>
      </c>
      <c r="AD27" t="str">
        <f>IFERROR(INDEX('幕间与结算'!$E$9:$E$208,SMALL(AD$210:AD$409,26)),"")</f>
        <v/>
      </c>
      <c r="AE27" t="str">
        <f>IFERROR(INDEX('幕间与结算'!$E$9:$E$208,SMALL(AE$210:AE$409,26)),"")</f>
        <v/>
      </c>
      <c r="AF27" t="str">
        <f>IFERROR(INDEX('幕间与结算'!$E$9:$E$208,SMALL(AF$210:AF$409,26)),"")</f>
        <v/>
      </c>
      <c r="AG27" t="str">
        <f>IFERROR(INDEX('幕间与结算'!$E$9:$E$208,SMALL(AG$210:AG$409,26)),"")</f>
        <v/>
      </c>
      <c r="AH27" t="str">
        <f>IFERROR(INDEX('幕间与结算'!$E$9:$E$208,SMALL(AH$210:AH$409,26)),"")</f>
        <v/>
      </c>
      <c r="AI27" t="str">
        <f>IFERROR(INDEX('幕间与结算'!$E$9:$E$208,SMALL(AI$210:AI$409,26)),"")</f>
        <v/>
      </c>
      <c r="AJ27" t="str">
        <f>IFERROR(INDEX('幕间与结算'!$E$9:$E$208,SMALL(AJ$210:AJ$409,26)),"")</f>
        <v/>
      </c>
      <c r="AK27" t="str">
        <f>IFERROR(INDEX('幕间与结算'!$E$9:$E$208,SMALL(AK$210:AK$409,26)),"")</f>
        <v/>
      </c>
      <c r="AL27" t="str">
        <f>IFERROR(INDEX('幕间与结算'!$E$9:$E$208,SMALL(AL$210:AL$409,26)),"")</f>
        <v/>
      </c>
      <c r="AM27" t="str">
        <f>IFERROR(INDEX('幕间与结算'!$E$9:$E$208,SMALL(AM$210:AM$409,26)),"")</f>
        <v/>
      </c>
      <c r="AN27" t="str">
        <f>IFERROR(INDEX('幕间与结算'!$E$9:$E$208,SMALL(AN$210:AN$409,26)),"")</f>
        <v/>
      </c>
      <c r="AO27" t="str">
        <f>IFERROR(INDEX('幕间与结算'!$E$9:$E$208,SMALL(AO$210:AO$409,26)),"")</f>
        <v/>
      </c>
      <c r="AP27" t="str">
        <f>IFERROR(INDEX('幕间与结算'!$E$9:$E$208,SMALL(AP$210:AP$409,26)),"")</f>
        <v/>
      </c>
      <c r="AQ27" t="str">
        <f>IFERROR(INDEX('幕间与结算'!$E$9:$E$208,SMALL(AQ$210:AQ$409,26)),"")</f>
        <v/>
      </c>
      <c r="AR27" t="str">
        <f>IFERROR(INDEX('幕间与结算'!$E$9:$E$208,SMALL(AR$210:AR$409,26)),"")</f>
        <v/>
      </c>
      <c r="AS27" t="str">
        <f>IFERROR(INDEX('幕间与结算'!$E$9:$E$208,SMALL(AS$210:AS$409,26)),"")</f>
        <v/>
      </c>
      <c r="AT27" t="str">
        <f>IFERROR(INDEX('幕间与结算'!$E$9:$E$208,SMALL(AT$210:AT$409,26)),"")</f>
        <v/>
      </c>
    </row>
    <row r="28">
      <c r="A28" t="str">
        <f>IF('人物卡'!D40="","","技能："&amp;'人物卡'!D40)</f>
        <v>技能：重型机械</v>
      </c>
      <c r="B28">
        <v>0</v>
      </c>
      <c r="H28" t="str">
        <f>A10</f>
        <v>技能：运动</v>
      </c>
      <c r="W28">
        <f>IF(H28="","",COUNTIF($H$2:H28,"?*"))</f>
        <v>24</v>
      </c>
      <c r="X28" t="str">
        <f>IFERROR(INDEX($H$2:$H$79,MATCH(27,$W$2:$W$79,0)),"")</f>
        <v>技能：犯罪学</v>
      </c>
      <c r="AA28" t="str">
        <f>IFERROR(INDEX('幕间与结算'!$E$9:$E$208,SMALL(AA$210:AA$409,27)),"")</f>
        <v/>
      </c>
      <c r="AB28" t="str">
        <f>IFERROR(INDEX('幕间与结算'!$E$9:$E$208,SMALL(AB$210:AB$409,27)),"")</f>
        <v/>
      </c>
      <c r="AC28" t="str">
        <f>IFERROR(INDEX('幕间与结算'!$E$9:$E$208,SMALL(AC$210:AC$409,27)),"")</f>
        <v/>
      </c>
      <c r="AD28" t="str">
        <f>IFERROR(INDEX('幕间与结算'!$E$9:$E$208,SMALL(AD$210:AD$409,27)),"")</f>
        <v/>
      </c>
      <c r="AE28" t="str">
        <f>IFERROR(INDEX('幕间与结算'!$E$9:$E$208,SMALL(AE$210:AE$409,27)),"")</f>
        <v/>
      </c>
      <c r="AF28" t="str">
        <f>IFERROR(INDEX('幕间与结算'!$E$9:$E$208,SMALL(AF$210:AF$409,27)),"")</f>
        <v/>
      </c>
      <c r="AG28" t="str">
        <f>IFERROR(INDEX('幕间与结算'!$E$9:$E$208,SMALL(AG$210:AG$409,27)),"")</f>
        <v/>
      </c>
      <c r="AH28" t="str">
        <f>IFERROR(INDEX('幕间与结算'!$E$9:$E$208,SMALL(AH$210:AH$409,27)),"")</f>
        <v/>
      </c>
      <c r="AI28" t="str">
        <f>IFERROR(INDEX('幕间与结算'!$E$9:$E$208,SMALL(AI$210:AI$409,27)),"")</f>
        <v/>
      </c>
      <c r="AJ28" t="str">
        <f>IFERROR(INDEX('幕间与结算'!$E$9:$E$208,SMALL(AJ$210:AJ$409,27)),"")</f>
        <v/>
      </c>
      <c r="AK28" t="str">
        <f>IFERROR(INDEX('幕间与结算'!$E$9:$E$208,SMALL(AK$210:AK$409,27)),"")</f>
        <v/>
      </c>
      <c r="AL28" t="str">
        <f>IFERROR(INDEX('幕间与结算'!$E$9:$E$208,SMALL(AL$210:AL$409,27)),"")</f>
        <v/>
      </c>
      <c r="AM28" t="str">
        <f>IFERROR(INDEX('幕间与结算'!$E$9:$E$208,SMALL(AM$210:AM$409,27)),"")</f>
        <v/>
      </c>
      <c r="AN28" t="str">
        <f>IFERROR(INDEX('幕间与结算'!$E$9:$E$208,SMALL(AN$210:AN$409,27)),"")</f>
        <v/>
      </c>
      <c r="AO28" t="str">
        <f>IFERROR(INDEX('幕间与结算'!$E$9:$E$208,SMALL(AO$210:AO$409,27)),"")</f>
        <v/>
      </c>
      <c r="AP28" t="str">
        <f>IFERROR(INDEX('幕间与结算'!$E$9:$E$208,SMALL(AP$210:AP$409,27)),"")</f>
        <v/>
      </c>
      <c r="AQ28" t="str">
        <f>IFERROR(INDEX('幕间与结算'!$E$9:$E$208,SMALL(AQ$210:AQ$409,27)),"")</f>
        <v/>
      </c>
      <c r="AR28" t="str">
        <f>IFERROR(INDEX('幕间与结算'!$E$9:$E$208,SMALL(AR$210:AR$409,27)),"")</f>
        <v/>
      </c>
      <c r="AS28" t="str">
        <f>IFERROR(INDEX('幕间与结算'!$E$9:$E$208,SMALL(AS$210:AS$409,27)),"")</f>
        <v/>
      </c>
      <c r="AT28" t="str">
        <f>IFERROR(INDEX('幕间与结算'!$E$9:$E$208,SMALL(AT$210:AT$409,27)),"")</f>
        <v/>
      </c>
    </row>
    <row r="29">
      <c r="A29" t="str">
        <f>IF('人物卡'!D41="","","技能："&amp;'人物卡'!D41)</f>
        <v>技能：重型武器</v>
      </c>
      <c r="B29">
        <v>0</v>
      </c>
      <c r="H29" t="str">
        <f>A11</f>
        <v>技能：行政</v>
      </c>
      <c r="W29">
        <f>IF(H29="","",COUNTIF($H$2:H29,"?*"))</f>
        <v>25</v>
      </c>
      <c r="X29" t="str">
        <f>IFERROR(INDEX($H$2:$H$79,MATCH(28,$W$2:$W$79,0)),"")</f>
        <v>技能：爆破</v>
      </c>
      <c r="AA29" t="str">
        <f>IFERROR(INDEX('幕间与结算'!$E$9:$E$208,SMALL(AA$210:AA$409,28)),"")</f>
        <v/>
      </c>
      <c r="AB29" t="str">
        <f>IFERROR(INDEX('幕间与结算'!$E$9:$E$208,SMALL(AB$210:AB$409,28)),"")</f>
        <v/>
      </c>
      <c r="AC29" t="str">
        <f>IFERROR(INDEX('幕间与结算'!$E$9:$E$208,SMALL(AC$210:AC$409,28)),"")</f>
        <v/>
      </c>
      <c r="AD29" t="str">
        <f>IFERROR(INDEX('幕间与结算'!$E$9:$E$208,SMALL(AD$210:AD$409,28)),"")</f>
        <v/>
      </c>
      <c r="AE29" t="str">
        <f>IFERROR(INDEX('幕间与结算'!$E$9:$E$208,SMALL(AE$210:AE$409,28)),"")</f>
        <v/>
      </c>
      <c r="AF29" t="str">
        <f>IFERROR(INDEX('幕间与结算'!$E$9:$E$208,SMALL(AF$210:AF$409,28)),"")</f>
        <v/>
      </c>
      <c r="AG29" t="str">
        <f>IFERROR(INDEX('幕间与结算'!$E$9:$E$208,SMALL(AG$210:AG$409,28)),"")</f>
        <v/>
      </c>
      <c r="AH29" t="str">
        <f>IFERROR(INDEX('幕间与结算'!$E$9:$E$208,SMALL(AH$210:AH$409,28)),"")</f>
        <v/>
      </c>
      <c r="AI29" t="str">
        <f>IFERROR(INDEX('幕间与结算'!$E$9:$E$208,SMALL(AI$210:AI$409,28)),"")</f>
        <v/>
      </c>
      <c r="AJ29" t="str">
        <f>IFERROR(INDEX('幕间与结算'!$E$9:$E$208,SMALL(AJ$210:AJ$409,28)),"")</f>
        <v/>
      </c>
      <c r="AK29" t="str">
        <f>IFERROR(INDEX('幕间与结算'!$E$9:$E$208,SMALL(AK$210:AK$409,28)),"")</f>
        <v/>
      </c>
      <c r="AL29" t="str">
        <f>IFERROR(INDEX('幕间与结算'!$E$9:$E$208,SMALL(AL$210:AL$409,28)),"")</f>
        <v/>
      </c>
      <c r="AM29" t="str">
        <f>IFERROR(INDEX('幕间与结算'!$E$9:$E$208,SMALL(AM$210:AM$409,28)),"")</f>
        <v/>
      </c>
      <c r="AN29" t="str">
        <f>IFERROR(INDEX('幕间与结算'!$E$9:$E$208,SMALL(AN$210:AN$409,28)),"")</f>
        <v/>
      </c>
      <c r="AO29" t="str">
        <f>IFERROR(INDEX('幕间与结算'!$E$9:$E$208,SMALL(AO$210:AO$409,28)),"")</f>
        <v/>
      </c>
      <c r="AP29" t="str">
        <f>IFERROR(INDEX('幕间与结算'!$E$9:$E$208,SMALL(AP$210:AP$409,28)),"")</f>
        <v/>
      </c>
      <c r="AQ29" t="str">
        <f>IFERROR(INDEX('幕间与结算'!$E$9:$E$208,SMALL(AQ$210:AQ$409,28)),"")</f>
        <v/>
      </c>
      <c r="AR29" t="str">
        <f>IFERROR(INDEX('幕间与结算'!$E$9:$E$208,SMALL(AR$210:AR$409,28)),"")</f>
        <v/>
      </c>
      <c r="AS29" t="str">
        <f>IFERROR(INDEX('幕间与结算'!$E$9:$E$208,SMALL(AS$210:AS$409,28)),"")</f>
        <v/>
      </c>
      <c r="AT29" t="str">
        <f>IFERROR(INDEX('幕间与结算'!$E$9:$E$208,SMALL(AT$210:AT$409,28)),"")</f>
        <v/>
      </c>
    </row>
    <row r="30">
      <c r="A30" t="str">
        <f>IF('人物卡'!D42="","","技能："&amp;'人物卡'!D42)</f>
        <v>技能：历史</v>
      </c>
      <c r="B30">
        <v>0</v>
      </c>
      <c r="H30" t="str">
        <f>A12</f>
        <v>技能：计算机科学</v>
      </c>
      <c r="W30">
        <f>IF(H30="","",COUNTIF($H$2:H30,"?*"))</f>
        <v>26</v>
      </c>
      <c r="X30" t="str">
        <f>IFERROR(INDEX($H$2:$H$79,MATCH(29,$W$2:$W$79,0)),"")</f>
        <v>技能：乔装</v>
      </c>
      <c r="AA30" t="str">
        <f>IFERROR(INDEX('幕间与结算'!$E$9:$E$208,SMALL(AA$210:AA$409,29)),"")</f>
        <v/>
      </c>
      <c r="AB30" t="str">
        <f>IFERROR(INDEX('幕间与结算'!$E$9:$E$208,SMALL(AB$210:AB$409,29)),"")</f>
        <v/>
      </c>
      <c r="AC30" t="str">
        <f>IFERROR(INDEX('幕间与结算'!$E$9:$E$208,SMALL(AC$210:AC$409,29)),"")</f>
        <v/>
      </c>
      <c r="AD30" t="str">
        <f>IFERROR(INDEX('幕间与结算'!$E$9:$E$208,SMALL(AD$210:AD$409,29)),"")</f>
        <v/>
      </c>
      <c r="AE30" t="str">
        <f>IFERROR(INDEX('幕间与结算'!$E$9:$E$208,SMALL(AE$210:AE$409,29)),"")</f>
        <v/>
      </c>
      <c r="AF30" t="str">
        <f>IFERROR(INDEX('幕间与结算'!$E$9:$E$208,SMALL(AF$210:AF$409,29)),"")</f>
        <v/>
      </c>
      <c r="AG30" t="str">
        <f>IFERROR(INDEX('幕间与结算'!$E$9:$E$208,SMALL(AG$210:AG$409,29)),"")</f>
        <v/>
      </c>
      <c r="AH30" t="str">
        <f>IFERROR(INDEX('幕间与结算'!$E$9:$E$208,SMALL(AH$210:AH$409,29)),"")</f>
        <v/>
      </c>
      <c r="AI30" t="str">
        <f>IFERROR(INDEX('幕间与结算'!$E$9:$E$208,SMALL(AI$210:AI$409,29)),"")</f>
        <v/>
      </c>
      <c r="AJ30" t="str">
        <f>IFERROR(INDEX('幕间与结算'!$E$9:$E$208,SMALL(AJ$210:AJ$409,29)),"")</f>
        <v/>
      </c>
      <c r="AK30" t="str">
        <f>IFERROR(INDEX('幕间与结算'!$E$9:$E$208,SMALL(AK$210:AK$409,29)),"")</f>
        <v/>
      </c>
      <c r="AL30" t="str">
        <f>IFERROR(INDEX('幕间与结算'!$E$9:$E$208,SMALL(AL$210:AL$409,29)),"")</f>
        <v/>
      </c>
      <c r="AM30" t="str">
        <f>IFERROR(INDEX('幕间与结算'!$E$9:$E$208,SMALL(AM$210:AM$409,29)),"")</f>
        <v/>
      </c>
      <c r="AN30" t="str">
        <f>IFERROR(INDEX('幕间与结算'!$E$9:$E$208,SMALL(AN$210:AN$409,29)),"")</f>
        <v/>
      </c>
      <c r="AO30" t="str">
        <f>IFERROR(INDEX('幕间与结算'!$E$9:$E$208,SMALL(AO$210:AO$409,29)),"")</f>
        <v/>
      </c>
      <c r="AP30" t="str">
        <f>IFERROR(INDEX('幕间与结算'!$E$9:$E$208,SMALL(AP$210:AP$409,29)),"")</f>
        <v/>
      </c>
      <c r="AQ30" t="str">
        <f>IFERROR(INDEX('幕间与结算'!$E$9:$E$208,SMALL(AQ$210:AQ$409,29)),"")</f>
        <v/>
      </c>
      <c r="AR30" t="str">
        <f>IFERROR(INDEX('幕间与结算'!$E$9:$E$208,SMALL(AR$210:AR$409,29)),"")</f>
        <v/>
      </c>
      <c r="AS30" t="str">
        <f>IFERROR(INDEX('幕间与结算'!$E$9:$E$208,SMALL(AS$210:AS$409,29)),"")</f>
        <v/>
      </c>
      <c r="AT30" t="str">
        <f>IFERROR(INDEX('幕间与结算'!$E$9:$E$208,SMALL(AT$210:AT$409,29)),"")</f>
        <v/>
      </c>
    </row>
    <row r="31">
      <c r="A31" t="str">
        <f>IF('人物卡'!D43="","","技能："&amp;'人物卡'!D43)</f>
        <v>技能：人源情报</v>
      </c>
      <c r="B31">
        <v>0</v>
      </c>
      <c r="H31" t="str">
        <f>A13</f>
        <v/>
      </c>
      <c r="W31" t="str">
        <f>IF(H31="","",COUNTIF($H$2:H31,"?*"))</f>
        <v/>
      </c>
      <c r="X31" t="str">
        <f>IFERROR(INDEX($H$2:$H$79,MATCH(30,$W$2:$W$79,0)),"")</f>
        <v>技能：闪避</v>
      </c>
      <c r="AA31" t="str">
        <f>IFERROR(INDEX('幕间与结算'!$E$9:$E$208,SMALL(AA$210:AA$409,30)),"")</f>
        <v/>
      </c>
      <c r="AB31" t="str">
        <f>IFERROR(INDEX('幕间与结算'!$E$9:$E$208,SMALL(AB$210:AB$409,30)),"")</f>
        <v/>
      </c>
      <c r="AC31" t="str">
        <f>IFERROR(INDEX('幕间与结算'!$E$9:$E$208,SMALL(AC$210:AC$409,30)),"")</f>
        <v/>
      </c>
      <c r="AD31" t="str">
        <f>IFERROR(INDEX('幕间与结算'!$E$9:$E$208,SMALL(AD$210:AD$409,30)),"")</f>
        <v/>
      </c>
      <c r="AE31" t="str">
        <f>IFERROR(INDEX('幕间与结算'!$E$9:$E$208,SMALL(AE$210:AE$409,30)),"")</f>
        <v/>
      </c>
      <c r="AF31" t="str">
        <f>IFERROR(INDEX('幕间与结算'!$E$9:$E$208,SMALL(AF$210:AF$409,30)),"")</f>
        <v/>
      </c>
      <c r="AG31" t="str">
        <f>IFERROR(INDEX('幕间与结算'!$E$9:$E$208,SMALL(AG$210:AG$409,30)),"")</f>
        <v/>
      </c>
      <c r="AH31" t="str">
        <f>IFERROR(INDEX('幕间与结算'!$E$9:$E$208,SMALL(AH$210:AH$409,30)),"")</f>
        <v/>
      </c>
      <c r="AI31" t="str">
        <f>IFERROR(INDEX('幕间与结算'!$E$9:$E$208,SMALL(AI$210:AI$409,30)),"")</f>
        <v/>
      </c>
      <c r="AJ31" t="str">
        <f>IFERROR(INDEX('幕间与结算'!$E$9:$E$208,SMALL(AJ$210:AJ$409,30)),"")</f>
        <v/>
      </c>
      <c r="AK31" t="str">
        <f>IFERROR(INDEX('幕间与结算'!$E$9:$E$208,SMALL(AK$210:AK$409,30)),"")</f>
        <v/>
      </c>
      <c r="AL31" t="str">
        <f>IFERROR(INDEX('幕间与结算'!$E$9:$E$208,SMALL(AL$210:AL$409,30)),"")</f>
        <v/>
      </c>
      <c r="AM31" t="str">
        <f>IFERROR(INDEX('幕间与结算'!$E$9:$E$208,SMALL(AM$210:AM$409,30)),"")</f>
        <v/>
      </c>
      <c r="AN31" t="str">
        <f>IFERROR(INDEX('幕间与结算'!$E$9:$E$208,SMALL(AN$210:AN$409,30)),"")</f>
        <v/>
      </c>
      <c r="AO31" t="str">
        <f>IFERROR(INDEX('幕间与结算'!$E$9:$E$208,SMALL(AO$210:AO$409,30)),"")</f>
        <v/>
      </c>
      <c r="AP31" t="str">
        <f>IFERROR(INDEX('幕间与结算'!$E$9:$E$208,SMALL(AP$210:AP$409,30)),"")</f>
        <v/>
      </c>
      <c r="AQ31" t="str">
        <f>IFERROR(INDEX('幕间与结算'!$E$9:$E$208,SMALL(AQ$210:AQ$409,30)),"")</f>
        <v/>
      </c>
      <c r="AR31" t="str">
        <f>IFERROR(INDEX('幕间与结算'!$E$9:$E$208,SMALL(AR$210:AR$409,30)),"")</f>
        <v/>
      </c>
      <c r="AS31" t="str">
        <f>IFERROR(INDEX('幕间与结算'!$E$9:$E$208,SMALL(AS$210:AS$409,30)),"")</f>
        <v/>
      </c>
      <c r="AT31" t="str">
        <f>IFERROR(INDEX('幕间与结算'!$E$9:$E$208,SMALL(AT$210:AT$409,30)),"")</f>
        <v/>
      </c>
    </row>
    <row r="32">
      <c r="A32" t="str">
        <f>IF('人物卡'!AG14="","","技能："&amp;'人物卡'!AG14)</f>
        <v>技能：法律</v>
      </c>
      <c r="B32">
        <v>0</v>
      </c>
      <c r="H32" t="str">
        <f>A14</f>
        <v/>
      </c>
      <c r="W32" t="str">
        <f>IF(H32="","",COUNTIF($H$2:H32,"?*"))</f>
        <v/>
      </c>
      <c r="X32" t="str">
        <f>IFERROR(INDEX($H$2:$H$79,MATCH(31,$W$2:$W$79,0)),"")</f>
        <v>技能：机动车驾驶</v>
      </c>
      <c r="AA32" t="str">
        <f>IFERROR(INDEX('幕间与结算'!$E$9:$E$208,SMALL(AA$210:AA$409,31)),"")</f>
        <v/>
      </c>
      <c r="AB32" t="str">
        <f>IFERROR(INDEX('幕间与结算'!$E$9:$E$208,SMALL(AB$210:AB$409,31)),"")</f>
        <v/>
      </c>
      <c r="AC32" t="str">
        <f>IFERROR(INDEX('幕间与结算'!$E$9:$E$208,SMALL(AC$210:AC$409,31)),"")</f>
        <v/>
      </c>
      <c r="AD32" t="str">
        <f>IFERROR(INDEX('幕间与结算'!$E$9:$E$208,SMALL(AD$210:AD$409,31)),"")</f>
        <v/>
      </c>
      <c r="AE32" t="str">
        <f>IFERROR(INDEX('幕间与结算'!$E$9:$E$208,SMALL(AE$210:AE$409,31)),"")</f>
        <v/>
      </c>
      <c r="AF32" t="str">
        <f>IFERROR(INDEX('幕间与结算'!$E$9:$E$208,SMALL(AF$210:AF$409,31)),"")</f>
        <v/>
      </c>
      <c r="AG32" t="str">
        <f>IFERROR(INDEX('幕间与结算'!$E$9:$E$208,SMALL(AG$210:AG$409,31)),"")</f>
        <v/>
      </c>
      <c r="AH32" t="str">
        <f>IFERROR(INDEX('幕间与结算'!$E$9:$E$208,SMALL(AH$210:AH$409,31)),"")</f>
        <v/>
      </c>
      <c r="AI32" t="str">
        <f>IFERROR(INDEX('幕间与结算'!$E$9:$E$208,SMALL(AI$210:AI$409,31)),"")</f>
        <v/>
      </c>
      <c r="AJ32" t="str">
        <f>IFERROR(INDEX('幕间与结算'!$E$9:$E$208,SMALL(AJ$210:AJ$409,31)),"")</f>
        <v/>
      </c>
      <c r="AK32" t="str">
        <f>IFERROR(INDEX('幕间与结算'!$E$9:$E$208,SMALL(AK$210:AK$409,31)),"")</f>
        <v/>
      </c>
      <c r="AL32" t="str">
        <f>IFERROR(INDEX('幕间与结算'!$E$9:$E$208,SMALL(AL$210:AL$409,31)),"")</f>
        <v/>
      </c>
      <c r="AM32" t="str">
        <f>IFERROR(INDEX('幕间与结算'!$E$9:$E$208,SMALL(AM$210:AM$409,31)),"")</f>
        <v/>
      </c>
      <c r="AN32" t="str">
        <f>IFERROR(INDEX('幕间与结算'!$E$9:$E$208,SMALL(AN$210:AN$409,31)),"")</f>
        <v/>
      </c>
      <c r="AO32" t="str">
        <f>IFERROR(INDEX('幕间与结算'!$E$9:$E$208,SMALL(AO$210:AO$409,31)),"")</f>
        <v/>
      </c>
      <c r="AP32" t="str">
        <f>IFERROR(INDEX('幕间与结算'!$E$9:$E$208,SMALL(AP$210:AP$409,31)),"")</f>
        <v/>
      </c>
      <c r="AQ32" t="str">
        <f>IFERROR(INDEX('幕间与结算'!$E$9:$E$208,SMALL(AQ$210:AQ$409,31)),"")</f>
        <v/>
      </c>
      <c r="AR32" t="str">
        <f>IFERROR(INDEX('幕间与结算'!$E$9:$E$208,SMALL(AR$210:AR$409,31)),"")</f>
        <v/>
      </c>
      <c r="AS32" t="str">
        <f>IFERROR(INDEX('幕间与结算'!$E$9:$E$208,SMALL(AS$210:AS$409,31)),"")</f>
        <v/>
      </c>
      <c r="AT32" t="str">
        <f>IFERROR(INDEX('幕间与结算'!$E$9:$E$208,SMALL(AT$210:AT$409,31)),"")</f>
        <v/>
      </c>
    </row>
    <row r="33">
      <c r="A33" t="str">
        <f>IF('人物卡'!AG15="","","技能："&amp;'人物卡'!AG15)</f>
        <v>技能：医学</v>
      </c>
      <c r="B33">
        <v>0</v>
      </c>
      <c r="H33" t="str">
        <f>A15</f>
        <v/>
      </c>
      <c r="W33" t="str">
        <f>IF(H33="","",COUNTIF($H$2:H33,"?*"))</f>
        <v/>
      </c>
      <c r="X33" t="str">
        <f>IFERROR(INDEX($H$2:$H$79,MATCH(32,$W$2:$W$79,0)),"")</f>
        <v>技能：射击</v>
      </c>
      <c r="AA33" t="str">
        <f>IFERROR(INDEX('幕间与结算'!$E$9:$E$208,SMALL(AA$210:AA$409,32)),"")</f>
        <v/>
      </c>
      <c r="AB33" t="str">
        <f>IFERROR(INDEX('幕间与结算'!$E$9:$E$208,SMALL(AB$210:AB$409,32)),"")</f>
        <v/>
      </c>
      <c r="AC33" t="str">
        <f>IFERROR(INDEX('幕间与结算'!$E$9:$E$208,SMALL(AC$210:AC$409,32)),"")</f>
        <v/>
      </c>
      <c r="AD33" t="str">
        <f>IFERROR(INDEX('幕间与结算'!$E$9:$E$208,SMALL(AD$210:AD$409,32)),"")</f>
        <v/>
      </c>
      <c r="AE33" t="str">
        <f>IFERROR(INDEX('幕间与结算'!$E$9:$E$208,SMALL(AE$210:AE$409,32)),"")</f>
        <v/>
      </c>
      <c r="AF33" t="str">
        <f>IFERROR(INDEX('幕间与结算'!$E$9:$E$208,SMALL(AF$210:AF$409,32)),"")</f>
        <v/>
      </c>
      <c r="AG33" t="str">
        <f>IFERROR(INDEX('幕间与结算'!$E$9:$E$208,SMALL(AG$210:AG$409,32)),"")</f>
        <v/>
      </c>
      <c r="AH33" t="str">
        <f>IFERROR(INDEX('幕间与结算'!$E$9:$E$208,SMALL(AH$210:AH$409,32)),"")</f>
        <v/>
      </c>
      <c r="AI33" t="str">
        <f>IFERROR(INDEX('幕间与结算'!$E$9:$E$208,SMALL(AI$210:AI$409,32)),"")</f>
        <v/>
      </c>
      <c r="AJ33" t="str">
        <f>IFERROR(INDEX('幕间与结算'!$E$9:$E$208,SMALL(AJ$210:AJ$409,32)),"")</f>
        <v/>
      </c>
      <c r="AK33" t="str">
        <f>IFERROR(INDEX('幕间与结算'!$E$9:$E$208,SMALL(AK$210:AK$409,32)),"")</f>
        <v/>
      </c>
      <c r="AL33" t="str">
        <f>IFERROR(INDEX('幕间与结算'!$E$9:$E$208,SMALL(AL$210:AL$409,32)),"")</f>
        <v/>
      </c>
      <c r="AM33" t="str">
        <f>IFERROR(INDEX('幕间与结算'!$E$9:$E$208,SMALL(AM$210:AM$409,32)),"")</f>
        <v/>
      </c>
      <c r="AN33" t="str">
        <f>IFERROR(INDEX('幕间与结算'!$E$9:$E$208,SMALL(AN$210:AN$409,32)),"")</f>
        <v/>
      </c>
      <c r="AO33" t="str">
        <f>IFERROR(INDEX('幕间与结算'!$E$9:$E$208,SMALL(AO$210:AO$409,32)),"")</f>
        <v/>
      </c>
      <c r="AP33" t="str">
        <f>IFERROR(INDEX('幕间与结算'!$E$9:$E$208,SMALL(AP$210:AP$409,32)),"")</f>
        <v/>
      </c>
      <c r="AQ33" t="str">
        <f>IFERROR(INDEX('幕间与结算'!$E$9:$E$208,SMALL(AQ$210:AQ$409,32)),"")</f>
        <v/>
      </c>
      <c r="AR33" t="str">
        <f>IFERROR(INDEX('幕间与结算'!$E$9:$E$208,SMALL(AR$210:AR$409,32)),"")</f>
        <v/>
      </c>
      <c r="AS33" t="str">
        <f>IFERROR(INDEX('幕间与结算'!$E$9:$E$208,SMALL(AS$210:AS$409,32)),"")</f>
        <v/>
      </c>
      <c r="AT33" t="str">
        <f>IFERROR(INDEX('幕间与结算'!$E$9:$E$208,SMALL(AT$210:AT$409,32)),"")</f>
        <v/>
      </c>
    </row>
    <row r="34">
      <c r="A34" t="str">
        <f>IF('人物卡'!AG16="","","技能："&amp;'人物卡'!AG16)</f>
        <v>技能：近战武器</v>
      </c>
      <c r="B34">
        <v>0</v>
      </c>
      <c r="H34" t="str">
        <f>A16</f>
        <v/>
      </c>
      <c r="W34" t="str">
        <f>IF(H34="","",COUNTIF($H$2:H34,"?*"))</f>
        <v/>
      </c>
      <c r="X34" t="str">
        <f>IFERROR(INDEX($H$2:$H$79,MATCH(33,$W$2:$W$79,0)),"")</f>
        <v>技能：急救</v>
      </c>
      <c r="AA34" t="str">
        <f>IFERROR(INDEX('幕间与结算'!$E$9:$E$208,SMALL(AA$210:AA$409,33)),"")</f>
        <v/>
      </c>
      <c r="AB34" t="str">
        <f>IFERROR(INDEX('幕间与结算'!$E$9:$E$208,SMALL(AB$210:AB$409,33)),"")</f>
        <v/>
      </c>
      <c r="AC34" t="str">
        <f>IFERROR(INDEX('幕间与结算'!$E$9:$E$208,SMALL(AC$210:AC$409,33)),"")</f>
        <v/>
      </c>
      <c r="AD34" t="str">
        <f>IFERROR(INDEX('幕间与结算'!$E$9:$E$208,SMALL(AD$210:AD$409,33)),"")</f>
        <v/>
      </c>
      <c r="AE34" t="str">
        <f>IFERROR(INDEX('幕间与结算'!$E$9:$E$208,SMALL(AE$210:AE$409,33)),"")</f>
        <v/>
      </c>
      <c r="AF34" t="str">
        <f>IFERROR(INDEX('幕间与结算'!$E$9:$E$208,SMALL(AF$210:AF$409,33)),"")</f>
        <v/>
      </c>
      <c r="AG34" t="str">
        <f>IFERROR(INDEX('幕间与结算'!$E$9:$E$208,SMALL(AG$210:AG$409,33)),"")</f>
        <v/>
      </c>
      <c r="AH34" t="str">
        <f>IFERROR(INDEX('幕间与结算'!$E$9:$E$208,SMALL(AH$210:AH$409,33)),"")</f>
        <v/>
      </c>
      <c r="AI34" t="str">
        <f>IFERROR(INDEX('幕间与结算'!$E$9:$E$208,SMALL(AI$210:AI$409,33)),"")</f>
        <v/>
      </c>
      <c r="AJ34" t="str">
        <f>IFERROR(INDEX('幕间与结算'!$E$9:$E$208,SMALL(AJ$210:AJ$409,33)),"")</f>
        <v/>
      </c>
      <c r="AK34" t="str">
        <f>IFERROR(INDEX('幕间与结算'!$E$9:$E$208,SMALL(AK$210:AK$409,33)),"")</f>
        <v/>
      </c>
      <c r="AL34" t="str">
        <f>IFERROR(INDEX('幕间与结算'!$E$9:$E$208,SMALL(AL$210:AL$409,33)),"")</f>
        <v/>
      </c>
      <c r="AM34" t="str">
        <f>IFERROR(INDEX('幕间与结算'!$E$9:$E$208,SMALL(AM$210:AM$409,33)),"")</f>
        <v/>
      </c>
      <c r="AN34" t="str">
        <f>IFERROR(INDEX('幕间与结算'!$E$9:$E$208,SMALL(AN$210:AN$409,33)),"")</f>
        <v/>
      </c>
      <c r="AO34" t="str">
        <f>IFERROR(INDEX('幕间与结算'!$E$9:$E$208,SMALL(AO$210:AO$409,33)),"")</f>
        <v/>
      </c>
      <c r="AP34" t="str">
        <f>IFERROR(INDEX('幕间与结算'!$E$9:$E$208,SMALL(AP$210:AP$409,33)),"")</f>
        <v/>
      </c>
      <c r="AQ34" t="str">
        <f>IFERROR(INDEX('幕间与结算'!$E$9:$E$208,SMALL(AQ$210:AQ$409,33)),"")</f>
        <v/>
      </c>
      <c r="AR34" t="str">
        <f>IFERROR(INDEX('幕间与结算'!$E$9:$E$208,SMALL(AR$210:AR$409,33)),"")</f>
        <v/>
      </c>
      <c r="AS34" t="str">
        <f>IFERROR(INDEX('幕间与结算'!$E$9:$E$208,SMALL(AS$210:AS$409,33)),"")</f>
        <v/>
      </c>
      <c r="AT34" t="str">
        <f>IFERROR(INDEX('幕间与结算'!$E$9:$E$208,SMALL(AT$210:AT$409,33)),"")</f>
        <v/>
      </c>
    </row>
    <row r="35">
      <c r="A35" t="str">
        <f>IF(TRIM('人物卡'!AM17)="","","技能："&amp;SUBSTITUTE('人物卡'!AG17,"：","")&amp;"（"&amp;TRIM('人物卡'!AM17)&amp;"）")</f>
        <v/>
      </c>
      <c r="B35">
        <v>0</v>
      </c>
      <c r="H35" t="str">
        <f>A17</f>
        <v>技能：犯罪学</v>
      </c>
      <c r="W35">
        <f>IF(H35="","",COUNTIF($H$2:H35,"?*"))</f>
        <v>27</v>
      </c>
      <c r="X35" t="str">
        <f>IFERROR(INDEX($H$2:$H$79,MATCH(34,$W$2:$W$79,0)),"")</f>
        <v>技能：法证学</v>
      </c>
      <c r="AA35" t="str">
        <f>IFERROR(INDEX('幕间与结算'!$E$9:$E$208,SMALL(AA$210:AA$409,34)),"")</f>
        <v/>
      </c>
      <c r="AB35" t="str">
        <f>IFERROR(INDEX('幕间与结算'!$E$9:$E$208,SMALL(AB$210:AB$409,34)),"")</f>
        <v/>
      </c>
      <c r="AC35" t="str">
        <f>IFERROR(INDEX('幕间与结算'!$E$9:$E$208,SMALL(AC$210:AC$409,34)),"")</f>
        <v/>
      </c>
      <c r="AD35" t="str">
        <f>IFERROR(INDEX('幕间与结算'!$E$9:$E$208,SMALL(AD$210:AD$409,34)),"")</f>
        <v/>
      </c>
      <c r="AE35" t="str">
        <f>IFERROR(INDEX('幕间与结算'!$E$9:$E$208,SMALL(AE$210:AE$409,34)),"")</f>
        <v/>
      </c>
      <c r="AF35" t="str">
        <f>IFERROR(INDEX('幕间与结算'!$E$9:$E$208,SMALL(AF$210:AF$409,34)),"")</f>
        <v/>
      </c>
      <c r="AG35" t="str">
        <f>IFERROR(INDEX('幕间与结算'!$E$9:$E$208,SMALL(AG$210:AG$409,34)),"")</f>
        <v/>
      </c>
      <c r="AH35" t="str">
        <f>IFERROR(INDEX('幕间与结算'!$E$9:$E$208,SMALL(AH$210:AH$409,34)),"")</f>
        <v/>
      </c>
      <c r="AI35" t="str">
        <f>IFERROR(INDEX('幕间与结算'!$E$9:$E$208,SMALL(AI$210:AI$409,34)),"")</f>
        <v/>
      </c>
      <c r="AJ35" t="str">
        <f>IFERROR(INDEX('幕间与结算'!$E$9:$E$208,SMALL(AJ$210:AJ$409,34)),"")</f>
        <v/>
      </c>
      <c r="AK35" t="str">
        <f>IFERROR(INDEX('幕间与结算'!$E$9:$E$208,SMALL(AK$210:AK$409,34)),"")</f>
        <v/>
      </c>
      <c r="AL35" t="str">
        <f>IFERROR(INDEX('幕间与结算'!$E$9:$E$208,SMALL(AL$210:AL$409,34)),"")</f>
        <v/>
      </c>
      <c r="AM35" t="str">
        <f>IFERROR(INDEX('幕间与结算'!$E$9:$E$208,SMALL(AM$210:AM$409,34)),"")</f>
        <v/>
      </c>
      <c r="AN35" t="str">
        <f>IFERROR(INDEX('幕间与结算'!$E$9:$E$208,SMALL(AN$210:AN$409,34)),"")</f>
        <v/>
      </c>
      <c r="AO35" t="str">
        <f>IFERROR(INDEX('幕间与结算'!$E$9:$E$208,SMALL(AO$210:AO$409,34)),"")</f>
        <v/>
      </c>
      <c r="AP35" t="str">
        <f>IFERROR(INDEX('幕间与结算'!$E$9:$E$208,SMALL(AP$210:AP$409,34)),"")</f>
        <v/>
      </c>
      <c r="AQ35" t="str">
        <f>IFERROR(INDEX('幕间与结算'!$E$9:$E$208,SMALL(AQ$210:AQ$409,34)),"")</f>
        <v/>
      </c>
      <c r="AR35" t="str">
        <f>IFERROR(INDEX('幕间与结算'!$E$9:$E$208,SMALL(AR$210:AR$409,34)),"")</f>
        <v/>
      </c>
      <c r="AS35" t="str">
        <f>IFERROR(INDEX('幕间与结算'!$E$9:$E$208,SMALL(AS$210:AS$409,34)),"")</f>
        <v/>
      </c>
      <c r="AT35" t="str">
        <f>IFERROR(INDEX('幕间与结算'!$E$9:$E$208,SMALL(AT$210:AT$409,34)),"")</f>
        <v/>
      </c>
    </row>
    <row r="36">
      <c r="A36" t="str">
        <f>IF(TRIM('人物卡'!AM18)="","","技能："&amp;SUBSTITUTE('人物卡'!AG18,"：","")&amp;"（"&amp;TRIM('人物卡'!AM18)&amp;"）")</f>
        <v/>
      </c>
      <c r="B36">
        <v>0</v>
      </c>
      <c r="H36" t="str">
        <f>A18</f>
        <v>技能：爆破</v>
      </c>
      <c r="W36">
        <f>IF(H36="","",COUNTIF($H$2:H36,"?*"))</f>
        <v>28</v>
      </c>
      <c r="X36" t="str">
        <f>IFERROR(INDEX($H$2:$H$79,MATCH(35,$W$2:$W$79,0)),"")</f>
        <v>技能：重型机械</v>
      </c>
      <c r="AA36" t="str">
        <f>IFERROR(INDEX('幕间与结算'!$E$9:$E$208,SMALL(AA$210:AA$409,35)),"")</f>
        <v/>
      </c>
      <c r="AB36" t="str">
        <f>IFERROR(INDEX('幕间与结算'!$E$9:$E$208,SMALL(AB$210:AB$409,35)),"")</f>
        <v/>
      </c>
      <c r="AC36" t="str">
        <f>IFERROR(INDEX('幕间与结算'!$E$9:$E$208,SMALL(AC$210:AC$409,35)),"")</f>
        <v/>
      </c>
      <c r="AD36" t="str">
        <f>IFERROR(INDEX('幕间与结算'!$E$9:$E$208,SMALL(AD$210:AD$409,35)),"")</f>
        <v/>
      </c>
      <c r="AE36" t="str">
        <f>IFERROR(INDEX('幕间与结算'!$E$9:$E$208,SMALL(AE$210:AE$409,35)),"")</f>
        <v/>
      </c>
      <c r="AF36" t="str">
        <f>IFERROR(INDEX('幕间与结算'!$E$9:$E$208,SMALL(AF$210:AF$409,35)),"")</f>
        <v/>
      </c>
      <c r="AG36" t="str">
        <f>IFERROR(INDEX('幕间与结算'!$E$9:$E$208,SMALL(AG$210:AG$409,35)),"")</f>
        <v/>
      </c>
      <c r="AH36" t="str">
        <f>IFERROR(INDEX('幕间与结算'!$E$9:$E$208,SMALL(AH$210:AH$409,35)),"")</f>
        <v/>
      </c>
      <c r="AI36" t="str">
        <f>IFERROR(INDEX('幕间与结算'!$E$9:$E$208,SMALL(AI$210:AI$409,35)),"")</f>
        <v/>
      </c>
      <c r="AJ36" t="str">
        <f>IFERROR(INDEX('幕间与结算'!$E$9:$E$208,SMALL(AJ$210:AJ$409,35)),"")</f>
        <v/>
      </c>
      <c r="AK36" t="str">
        <f>IFERROR(INDEX('幕间与结算'!$E$9:$E$208,SMALL(AK$210:AK$409,35)),"")</f>
        <v/>
      </c>
      <c r="AL36" t="str">
        <f>IFERROR(INDEX('幕间与结算'!$E$9:$E$208,SMALL(AL$210:AL$409,35)),"")</f>
        <v/>
      </c>
      <c r="AM36" t="str">
        <f>IFERROR(INDEX('幕间与结算'!$E$9:$E$208,SMALL(AM$210:AM$409,35)),"")</f>
        <v/>
      </c>
      <c r="AN36" t="str">
        <f>IFERROR(INDEX('幕间与结算'!$E$9:$E$208,SMALL(AN$210:AN$409,35)),"")</f>
        <v/>
      </c>
      <c r="AO36" t="str">
        <f>IFERROR(INDEX('幕间与结算'!$E$9:$E$208,SMALL(AO$210:AO$409,35)),"")</f>
        <v/>
      </c>
      <c r="AP36" t="str">
        <f>IFERROR(INDEX('幕间与结算'!$E$9:$E$208,SMALL(AP$210:AP$409,35)),"")</f>
        <v/>
      </c>
      <c r="AQ36" t="str">
        <f>IFERROR(INDEX('幕间与结算'!$E$9:$E$208,SMALL(AQ$210:AQ$409,35)),"")</f>
        <v/>
      </c>
      <c r="AR36" t="str">
        <f>IFERROR(INDEX('幕间与结算'!$E$9:$E$208,SMALL(AR$210:AR$409,35)),"")</f>
        <v/>
      </c>
      <c r="AS36" t="str">
        <f>IFERROR(INDEX('幕间与结算'!$E$9:$E$208,SMALL(AS$210:AS$409,35)),"")</f>
        <v/>
      </c>
      <c r="AT36" t="str">
        <f>IFERROR(INDEX('幕间与结算'!$E$9:$E$208,SMALL(AT$210:AT$409,35)),"")</f>
        <v/>
      </c>
    </row>
    <row r="37">
      <c r="A37" t="str">
        <f>IF(TRIM('人物卡'!AM19)="","","技能："&amp;SUBSTITUTE('人物卡'!AG19,"：","")&amp;"（"&amp;TRIM('人物卡'!AM19)&amp;"）")</f>
        <v/>
      </c>
      <c r="B37">
        <v>0</v>
      </c>
      <c r="H37" t="str">
        <f>A19</f>
        <v>技能：乔装</v>
      </c>
      <c r="W37">
        <f>IF(H37="","",COUNTIF($H$2:H37,"?*"))</f>
        <v>29</v>
      </c>
      <c r="X37" t="str">
        <f>IFERROR(INDEX($H$2:$H$79,MATCH(36,$W$2:$W$79,0)),"")</f>
        <v>技能：重型武器</v>
      </c>
      <c r="AA37" t="str">
        <f>IFERROR(INDEX('幕间与结算'!$E$9:$E$208,SMALL(AA$210:AA$409,36)),"")</f>
        <v/>
      </c>
      <c r="AB37" t="str">
        <f>IFERROR(INDEX('幕间与结算'!$E$9:$E$208,SMALL(AB$210:AB$409,36)),"")</f>
        <v/>
      </c>
      <c r="AC37" t="str">
        <f>IFERROR(INDEX('幕间与结算'!$E$9:$E$208,SMALL(AC$210:AC$409,36)),"")</f>
        <v/>
      </c>
      <c r="AD37" t="str">
        <f>IFERROR(INDEX('幕间与结算'!$E$9:$E$208,SMALL(AD$210:AD$409,36)),"")</f>
        <v/>
      </c>
      <c r="AE37" t="str">
        <f>IFERROR(INDEX('幕间与结算'!$E$9:$E$208,SMALL(AE$210:AE$409,36)),"")</f>
        <v/>
      </c>
      <c r="AF37" t="str">
        <f>IFERROR(INDEX('幕间与结算'!$E$9:$E$208,SMALL(AF$210:AF$409,36)),"")</f>
        <v/>
      </c>
      <c r="AG37" t="str">
        <f>IFERROR(INDEX('幕间与结算'!$E$9:$E$208,SMALL(AG$210:AG$409,36)),"")</f>
        <v/>
      </c>
      <c r="AH37" t="str">
        <f>IFERROR(INDEX('幕间与结算'!$E$9:$E$208,SMALL(AH$210:AH$409,36)),"")</f>
        <v/>
      </c>
      <c r="AI37" t="str">
        <f>IFERROR(INDEX('幕间与结算'!$E$9:$E$208,SMALL(AI$210:AI$409,36)),"")</f>
        <v/>
      </c>
      <c r="AJ37" t="str">
        <f>IFERROR(INDEX('幕间与结算'!$E$9:$E$208,SMALL(AJ$210:AJ$409,36)),"")</f>
        <v/>
      </c>
      <c r="AK37" t="str">
        <f>IFERROR(INDEX('幕间与结算'!$E$9:$E$208,SMALL(AK$210:AK$409,36)),"")</f>
        <v/>
      </c>
      <c r="AL37" t="str">
        <f>IFERROR(INDEX('幕间与结算'!$E$9:$E$208,SMALL(AL$210:AL$409,36)),"")</f>
        <v/>
      </c>
      <c r="AM37" t="str">
        <f>IFERROR(INDEX('幕间与结算'!$E$9:$E$208,SMALL(AM$210:AM$409,36)),"")</f>
        <v/>
      </c>
      <c r="AN37" t="str">
        <f>IFERROR(INDEX('幕间与结算'!$E$9:$E$208,SMALL(AN$210:AN$409,36)),"")</f>
        <v/>
      </c>
      <c r="AO37" t="str">
        <f>IFERROR(INDEX('幕间与结算'!$E$9:$E$208,SMALL(AO$210:AO$409,36)),"")</f>
        <v/>
      </c>
      <c r="AP37" t="str">
        <f>IFERROR(INDEX('幕间与结算'!$E$9:$E$208,SMALL(AP$210:AP$409,36)),"")</f>
        <v/>
      </c>
      <c r="AQ37" t="str">
        <f>IFERROR(INDEX('幕间与结算'!$E$9:$E$208,SMALL(AQ$210:AQ$409,36)),"")</f>
        <v/>
      </c>
      <c r="AR37" t="str">
        <f>IFERROR(INDEX('幕间与结算'!$E$9:$E$208,SMALL(AR$210:AR$409,36)),"")</f>
        <v/>
      </c>
      <c r="AS37" t="str">
        <f>IFERROR(INDEX('幕间与结算'!$E$9:$E$208,SMALL(AS$210:AS$409,36)),"")</f>
        <v/>
      </c>
      <c r="AT37" t="str">
        <f>IFERROR(INDEX('幕间与结算'!$E$9:$E$208,SMALL(AT$210:AT$409,36)),"")</f>
        <v/>
      </c>
    </row>
    <row r="38">
      <c r="A38" t="str">
        <f>IF('人物卡'!AG20="","","技能："&amp;'人物卡'!AG20)</f>
        <v>技能：导航</v>
      </c>
      <c r="B38">
        <v>0</v>
      </c>
      <c r="H38" t="str">
        <f>A20</f>
        <v>技能：闪避</v>
      </c>
      <c r="W38">
        <f>IF(H38="","",COUNTIF($H$2:H38,"?*"))</f>
        <v>30</v>
      </c>
      <c r="X38" t="str">
        <f>IFERROR(INDEX($H$2:$H$79,MATCH(37,$W$2:$W$79,0)),"")</f>
        <v>技能：历史</v>
      </c>
      <c r="AA38" t="str">
        <f>IFERROR(INDEX('幕间与结算'!$E$9:$E$208,SMALL(AA$210:AA$409,37)),"")</f>
        <v/>
      </c>
      <c r="AB38" t="str">
        <f>IFERROR(INDEX('幕间与结算'!$E$9:$E$208,SMALL(AB$210:AB$409,37)),"")</f>
        <v/>
      </c>
      <c r="AC38" t="str">
        <f>IFERROR(INDEX('幕间与结算'!$E$9:$E$208,SMALL(AC$210:AC$409,37)),"")</f>
        <v/>
      </c>
      <c r="AD38" t="str">
        <f>IFERROR(INDEX('幕间与结算'!$E$9:$E$208,SMALL(AD$210:AD$409,37)),"")</f>
        <v/>
      </c>
      <c r="AE38" t="str">
        <f>IFERROR(INDEX('幕间与结算'!$E$9:$E$208,SMALL(AE$210:AE$409,37)),"")</f>
        <v/>
      </c>
      <c r="AF38" t="str">
        <f>IFERROR(INDEX('幕间与结算'!$E$9:$E$208,SMALL(AF$210:AF$409,37)),"")</f>
        <v/>
      </c>
      <c r="AG38" t="str">
        <f>IFERROR(INDEX('幕间与结算'!$E$9:$E$208,SMALL(AG$210:AG$409,37)),"")</f>
        <v/>
      </c>
      <c r="AH38" t="str">
        <f>IFERROR(INDEX('幕间与结算'!$E$9:$E$208,SMALL(AH$210:AH$409,37)),"")</f>
        <v/>
      </c>
      <c r="AI38" t="str">
        <f>IFERROR(INDEX('幕间与结算'!$E$9:$E$208,SMALL(AI$210:AI$409,37)),"")</f>
        <v/>
      </c>
      <c r="AJ38" t="str">
        <f>IFERROR(INDEX('幕间与结算'!$E$9:$E$208,SMALL(AJ$210:AJ$409,37)),"")</f>
        <v/>
      </c>
      <c r="AK38" t="str">
        <f>IFERROR(INDEX('幕间与结算'!$E$9:$E$208,SMALL(AK$210:AK$409,37)),"")</f>
        <v/>
      </c>
      <c r="AL38" t="str">
        <f>IFERROR(INDEX('幕间与结算'!$E$9:$E$208,SMALL(AL$210:AL$409,37)),"")</f>
        <v/>
      </c>
      <c r="AM38" t="str">
        <f>IFERROR(INDEX('幕间与结算'!$E$9:$E$208,SMALL(AM$210:AM$409,37)),"")</f>
        <v/>
      </c>
      <c r="AN38" t="str">
        <f>IFERROR(INDEX('幕间与结算'!$E$9:$E$208,SMALL(AN$210:AN$409,37)),"")</f>
        <v/>
      </c>
      <c r="AO38" t="str">
        <f>IFERROR(INDEX('幕间与结算'!$E$9:$E$208,SMALL(AO$210:AO$409,37)),"")</f>
        <v/>
      </c>
      <c r="AP38" t="str">
        <f>IFERROR(INDEX('幕间与结算'!$E$9:$E$208,SMALL(AP$210:AP$409,37)),"")</f>
        <v/>
      </c>
      <c r="AQ38" t="str">
        <f>IFERROR(INDEX('幕间与结算'!$E$9:$E$208,SMALL(AQ$210:AQ$409,37)),"")</f>
        <v/>
      </c>
      <c r="AR38" t="str">
        <f>IFERROR(INDEX('幕间与结算'!$E$9:$E$208,SMALL(AR$210:AR$409,37)),"")</f>
        <v/>
      </c>
      <c r="AS38" t="str">
        <f>IFERROR(INDEX('幕间与结算'!$E$9:$E$208,SMALL(AS$210:AS$409,37)),"")</f>
        <v/>
      </c>
      <c r="AT38" t="str">
        <f>IFERROR(INDEX('幕间与结算'!$E$9:$E$208,SMALL(AT$210:AT$409,37)),"")</f>
        <v/>
      </c>
    </row>
    <row r="39">
      <c r="A39" t="str">
        <f>IF('人物卡'!AG21="","","技能："&amp;'人物卡'!AG21)</f>
        <v>技能：神秘学</v>
      </c>
      <c r="B39">
        <v>0</v>
      </c>
      <c r="H39" t="str">
        <f>A21</f>
        <v>技能：机动车驾驶</v>
      </c>
      <c r="W39">
        <f>IF(H39="","",COUNTIF($H$2:H39,"?*"))</f>
        <v>31</v>
      </c>
      <c r="X39" t="str">
        <f>IFERROR(INDEX($H$2:$H$79,MATCH(38,$W$2:$W$79,0)),"")</f>
        <v>技能：人源情报</v>
      </c>
      <c r="AA39" t="str">
        <f>IFERROR(INDEX('幕间与结算'!$E$9:$E$208,SMALL(AA$210:AA$409,38)),"")</f>
        <v/>
      </c>
      <c r="AB39" t="str">
        <f>IFERROR(INDEX('幕间与结算'!$E$9:$E$208,SMALL(AB$210:AB$409,38)),"")</f>
        <v/>
      </c>
      <c r="AC39" t="str">
        <f>IFERROR(INDEX('幕间与结算'!$E$9:$E$208,SMALL(AC$210:AC$409,38)),"")</f>
        <v/>
      </c>
      <c r="AD39" t="str">
        <f>IFERROR(INDEX('幕间与结算'!$E$9:$E$208,SMALL(AD$210:AD$409,38)),"")</f>
        <v/>
      </c>
      <c r="AE39" t="str">
        <f>IFERROR(INDEX('幕间与结算'!$E$9:$E$208,SMALL(AE$210:AE$409,38)),"")</f>
        <v/>
      </c>
      <c r="AF39" t="str">
        <f>IFERROR(INDEX('幕间与结算'!$E$9:$E$208,SMALL(AF$210:AF$409,38)),"")</f>
        <v/>
      </c>
      <c r="AG39" t="str">
        <f>IFERROR(INDEX('幕间与结算'!$E$9:$E$208,SMALL(AG$210:AG$409,38)),"")</f>
        <v/>
      </c>
      <c r="AH39" t="str">
        <f>IFERROR(INDEX('幕间与结算'!$E$9:$E$208,SMALL(AH$210:AH$409,38)),"")</f>
        <v/>
      </c>
      <c r="AI39" t="str">
        <f>IFERROR(INDEX('幕间与结算'!$E$9:$E$208,SMALL(AI$210:AI$409,38)),"")</f>
        <v/>
      </c>
      <c r="AJ39" t="str">
        <f>IFERROR(INDEX('幕间与结算'!$E$9:$E$208,SMALL(AJ$210:AJ$409,38)),"")</f>
        <v/>
      </c>
      <c r="AK39" t="str">
        <f>IFERROR(INDEX('幕间与结算'!$E$9:$E$208,SMALL(AK$210:AK$409,38)),"")</f>
        <v/>
      </c>
      <c r="AL39" t="str">
        <f>IFERROR(INDEX('幕间与结算'!$E$9:$E$208,SMALL(AL$210:AL$409,38)),"")</f>
        <v/>
      </c>
      <c r="AM39" t="str">
        <f>IFERROR(INDEX('幕间与结算'!$E$9:$E$208,SMALL(AM$210:AM$409,38)),"")</f>
        <v/>
      </c>
      <c r="AN39" t="str">
        <f>IFERROR(INDEX('幕间与结算'!$E$9:$E$208,SMALL(AN$210:AN$409,38)),"")</f>
        <v/>
      </c>
      <c r="AO39" t="str">
        <f>IFERROR(INDEX('幕间与结算'!$E$9:$E$208,SMALL(AO$210:AO$409,38)),"")</f>
        <v/>
      </c>
      <c r="AP39" t="str">
        <f>IFERROR(INDEX('幕间与结算'!$E$9:$E$208,SMALL(AP$210:AP$409,38)),"")</f>
        <v/>
      </c>
      <c r="AQ39" t="str">
        <f>IFERROR(INDEX('幕间与结算'!$E$9:$E$208,SMALL(AQ$210:AQ$409,38)),"")</f>
        <v/>
      </c>
      <c r="AR39" t="str">
        <f>IFERROR(INDEX('幕间与结算'!$E$9:$E$208,SMALL(AR$210:AR$409,38)),"")</f>
        <v/>
      </c>
      <c r="AS39" t="str">
        <f>IFERROR(INDEX('幕间与结算'!$E$9:$E$208,SMALL(AS$210:AS$409,38)),"")</f>
        <v/>
      </c>
      <c r="AT39" t="str">
        <f>IFERROR(INDEX('幕间与结算'!$E$9:$E$208,SMALL(AT$210:AT$409,38)),"")</f>
        <v/>
      </c>
    </row>
    <row r="40">
      <c r="A40" t="str">
        <f>IF('人物卡'!AG22="","","技能："&amp;'人物卡'!AG22)</f>
        <v>技能：说服</v>
      </c>
      <c r="B40">
        <v>0</v>
      </c>
      <c r="H40" t="str">
        <f>A22</f>
        <v>技能：射击</v>
      </c>
      <c r="W40">
        <f>IF(H40="","",COUNTIF($H$2:H40,"?*"))</f>
        <v>32</v>
      </c>
      <c r="X40" t="str">
        <f>IFERROR(INDEX($H$2:$H$79,MATCH(39,$W$2:$W$79,0)),"")</f>
        <v>技能：法律</v>
      </c>
      <c r="AA40" t="str">
        <f>IFERROR(INDEX('幕间与结算'!$E$9:$E$208,SMALL(AA$210:AA$409,39)),"")</f>
        <v/>
      </c>
      <c r="AB40" t="str">
        <f>IFERROR(INDEX('幕间与结算'!$E$9:$E$208,SMALL(AB$210:AB$409,39)),"")</f>
        <v/>
      </c>
      <c r="AC40" t="str">
        <f>IFERROR(INDEX('幕间与结算'!$E$9:$E$208,SMALL(AC$210:AC$409,39)),"")</f>
        <v/>
      </c>
      <c r="AD40" t="str">
        <f>IFERROR(INDEX('幕间与结算'!$E$9:$E$208,SMALL(AD$210:AD$409,39)),"")</f>
        <v/>
      </c>
      <c r="AE40" t="str">
        <f>IFERROR(INDEX('幕间与结算'!$E$9:$E$208,SMALL(AE$210:AE$409,39)),"")</f>
        <v/>
      </c>
      <c r="AF40" t="str">
        <f>IFERROR(INDEX('幕间与结算'!$E$9:$E$208,SMALL(AF$210:AF$409,39)),"")</f>
        <v/>
      </c>
      <c r="AG40" t="str">
        <f>IFERROR(INDEX('幕间与结算'!$E$9:$E$208,SMALL(AG$210:AG$409,39)),"")</f>
        <v/>
      </c>
      <c r="AH40" t="str">
        <f>IFERROR(INDEX('幕间与结算'!$E$9:$E$208,SMALL(AH$210:AH$409,39)),"")</f>
        <v/>
      </c>
      <c r="AI40" t="str">
        <f>IFERROR(INDEX('幕间与结算'!$E$9:$E$208,SMALL(AI$210:AI$409,39)),"")</f>
        <v/>
      </c>
      <c r="AJ40" t="str">
        <f>IFERROR(INDEX('幕间与结算'!$E$9:$E$208,SMALL(AJ$210:AJ$409,39)),"")</f>
        <v/>
      </c>
      <c r="AK40" t="str">
        <f>IFERROR(INDEX('幕间与结算'!$E$9:$E$208,SMALL(AK$210:AK$409,39)),"")</f>
        <v/>
      </c>
      <c r="AL40" t="str">
        <f>IFERROR(INDEX('幕间与结算'!$E$9:$E$208,SMALL(AL$210:AL$409,39)),"")</f>
        <v/>
      </c>
      <c r="AM40" t="str">
        <f>IFERROR(INDEX('幕间与结算'!$E$9:$E$208,SMALL(AM$210:AM$409,39)),"")</f>
        <v/>
      </c>
      <c r="AN40" t="str">
        <f>IFERROR(INDEX('幕间与结算'!$E$9:$E$208,SMALL(AN$210:AN$409,39)),"")</f>
        <v/>
      </c>
      <c r="AO40" t="str">
        <f>IFERROR(INDEX('幕间与结算'!$E$9:$E$208,SMALL(AO$210:AO$409,39)),"")</f>
        <v/>
      </c>
      <c r="AP40" t="str">
        <f>IFERROR(INDEX('幕间与结算'!$E$9:$E$208,SMALL(AP$210:AP$409,39)),"")</f>
        <v/>
      </c>
      <c r="AQ40" t="str">
        <f>IFERROR(INDEX('幕间与结算'!$E$9:$E$208,SMALL(AQ$210:AQ$409,39)),"")</f>
        <v/>
      </c>
      <c r="AR40" t="str">
        <f>IFERROR(INDEX('幕间与结算'!$E$9:$E$208,SMALL(AR$210:AR$409,39)),"")</f>
        <v/>
      </c>
      <c r="AS40" t="str">
        <f>IFERROR(INDEX('幕间与结算'!$E$9:$E$208,SMALL(AS$210:AS$409,39)),"")</f>
        <v/>
      </c>
      <c r="AT40" t="str">
        <f>IFERROR(INDEX('幕间与结算'!$E$9:$E$208,SMALL(AT$210:AT$409,39)),"")</f>
        <v/>
      </c>
    </row>
    <row r="41">
      <c r="A41" t="str">
        <f>IF('人物卡'!AG23="","","技能："&amp;'人物卡'!AG23)</f>
        <v>技能：药学</v>
      </c>
      <c r="B41">
        <v>0</v>
      </c>
      <c r="H41" t="str">
        <f>A23</f>
        <v>技能：急救</v>
      </c>
      <c r="W41">
        <f>IF(H41="","",COUNTIF($H$2:H41,"?*"))</f>
        <v>33</v>
      </c>
      <c r="X41" t="str">
        <f>IFERROR(INDEX($H$2:$H$79,MATCH(40,$W$2:$W$79,0)),"")</f>
        <v>技能：医学</v>
      </c>
      <c r="AA41" t="str">
        <f>IFERROR(INDEX('幕间与结算'!$E$9:$E$208,SMALL(AA$210:AA$409,40)),"")</f>
        <v/>
      </c>
      <c r="AB41" t="str">
        <f>IFERROR(INDEX('幕间与结算'!$E$9:$E$208,SMALL(AB$210:AB$409,40)),"")</f>
        <v/>
      </c>
      <c r="AC41" t="str">
        <f>IFERROR(INDEX('幕间与结算'!$E$9:$E$208,SMALL(AC$210:AC$409,40)),"")</f>
        <v/>
      </c>
      <c r="AD41" t="str">
        <f>IFERROR(INDEX('幕间与结算'!$E$9:$E$208,SMALL(AD$210:AD$409,40)),"")</f>
        <v/>
      </c>
      <c r="AE41" t="str">
        <f>IFERROR(INDEX('幕间与结算'!$E$9:$E$208,SMALL(AE$210:AE$409,40)),"")</f>
        <v/>
      </c>
      <c r="AF41" t="str">
        <f>IFERROR(INDEX('幕间与结算'!$E$9:$E$208,SMALL(AF$210:AF$409,40)),"")</f>
        <v/>
      </c>
      <c r="AG41" t="str">
        <f>IFERROR(INDEX('幕间与结算'!$E$9:$E$208,SMALL(AG$210:AG$409,40)),"")</f>
        <v/>
      </c>
      <c r="AH41" t="str">
        <f>IFERROR(INDEX('幕间与结算'!$E$9:$E$208,SMALL(AH$210:AH$409,40)),"")</f>
        <v/>
      </c>
      <c r="AI41" t="str">
        <f>IFERROR(INDEX('幕间与结算'!$E$9:$E$208,SMALL(AI$210:AI$409,40)),"")</f>
        <v/>
      </c>
      <c r="AJ41" t="str">
        <f>IFERROR(INDEX('幕间与结算'!$E$9:$E$208,SMALL(AJ$210:AJ$409,40)),"")</f>
        <v/>
      </c>
      <c r="AK41" t="str">
        <f>IFERROR(INDEX('幕间与结算'!$E$9:$E$208,SMALL(AK$210:AK$409,40)),"")</f>
        <v/>
      </c>
      <c r="AL41" t="str">
        <f>IFERROR(INDEX('幕间与结算'!$E$9:$E$208,SMALL(AL$210:AL$409,40)),"")</f>
        <v/>
      </c>
      <c r="AM41" t="str">
        <f>IFERROR(INDEX('幕间与结算'!$E$9:$E$208,SMALL(AM$210:AM$409,40)),"")</f>
        <v/>
      </c>
      <c r="AN41" t="str">
        <f>IFERROR(INDEX('幕间与结算'!$E$9:$E$208,SMALL(AN$210:AN$409,40)),"")</f>
        <v/>
      </c>
      <c r="AO41" t="str">
        <f>IFERROR(INDEX('幕间与结算'!$E$9:$E$208,SMALL(AO$210:AO$409,40)),"")</f>
        <v/>
      </c>
      <c r="AP41" t="str">
        <f>IFERROR(INDEX('幕间与结算'!$E$9:$E$208,SMALL(AP$210:AP$409,40)),"")</f>
        <v/>
      </c>
      <c r="AQ41" t="str">
        <f>IFERROR(INDEX('幕间与结算'!$E$9:$E$208,SMALL(AQ$210:AQ$409,40)),"")</f>
        <v/>
      </c>
      <c r="AR41" t="str">
        <f>IFERROR(INDEX('幕间与结算'!$E$9:$E$208,SMALL(AR$210:AR$409,40)),"")</f>
        <v/>
      </c>
      <c r="AS41" t="str">
        <f>IFERROR(INDEX('幕间与结算'!$E$9:$E$208,SMALL(AS$210:AS$409,40)),"")</f>
        <v/>
      </c>
      <c r="AT41" t="str">
        <f>IFERROR(INDEX('幕间与结算'!$E$9:$E$208,SMALL(AT$210:AT$409,40)),"")</f>
        <v/>
      </c>
    </row>
    <row r="42">
      <c r="A42" t="str">
        <f>IF(TRIM('人物卡'!AM24)="","","技能："&amp;SUBSTITUTE('人物卡'!AG24,"：","")&amp;"（"&amp;TRIM('人物卡'!AM24)&amp;"）")</f>
        <v/>
      </c>
      <c r="B42">
        <v>0</v>
      </c>
      <c r="H42" t="str">
        <f>A24</f>
        <v/>
      </c>
      <c r="W42" t="str">
        <f>IF(H42="","",COUNTIF($H$2:H42,"?*"))</f>
        <v/>
      </c>
      <c r="X42" t="str">
        <f>IFERROR(INDEX($H$2:$H$79,MATCH(41,$W$2:$W$79,0)),"")</f>
        <v>技能：近战武器</v>
      </c>
      <c r="AA42" t="str">
        <f>IFERROR(INDEX('幕间与结算'!$E$9:$E$208,SMALL(AA$210:AA$409,41)),"")</f>
        <v/>
      </c>
      <c r="AB42" t="str">
        <f>IFERROR(INDEX('幕间与结算'!$E$9:$E$208,SMALL(AB$210:AB$409,41)),"")</f>
        <v/>
      </c>
      <c r="AC42" t="str">
        <f>IFERROR(INDEX('幕间与结算'!$E$9:$E$208,SMALL(AC$210:AC$409,41)),"")</f>
        <v/>
      </c>
      <c r="AD42" t="str">
        <f>IFERROR(INDEX('幕间与结算'!$E$9:$E$208,SMALL(AD$210:AD$409,41)),"")</f>
        <v/>
      </c>
      <c r="AE42" t="str">
        <f>IFERROR(INDEX('幕间与结算'!$E$9:$E$208,SMALL(AE$210:AE$409,41)),"")</f>
        <v/>
      </c>
      <c r="AF42" t="str">
        <f>IFERROR(INDEX('幕间与结算'!$E$9:$E$208,SMALL(AF$210:AF$409,41)),"")</f>
        <v/>
      </c>
      <c r="AG42" t="str">
        <f>IFERROR(INDEX('幕间与结算'!$E$9:$E$208,SMALL(AG$210:AG$409,41)),"")</f>
        <v/>
      </c>
      <c r="AH42" t="str">
        <f>IFERROR(INDEX('幕间与结算'!$E$9:$E$208,SMALL(AH$210:AH$409,41)),"")</f>
        <v/>
      </c>
      <c r="AI42" t="str">
        <f>IFERROR(INDEX('幕间与结算'!$E$9:$E$208,SMALL(AI$210:AI$409,41)),"")</f>
        <v/>
      </c>
      <c r="AJ42" t="str">
        <f>IFERROR(INDEX('幕间与结算'!$E$9:$E$208,SMALL(AJ$210:AJ$409,41)),"")</f>
        <v/>
      </c>
      <c r="AK42" t="str">
        <f>IFERROR(INDEX('幕间与结算'!$E$9:$E$208,SMALL(AK$210:AK$409,41)),"")</f>
        <v/>
      </c>
      <c r="AL42" t="str">
        <f>IFERROR(INDEX('幕间与结算'!$E$9:$E$208,SMALL(AL$210:AL$409,41)),"")</f>
        <v/>
      </c>
      <c r="AM42" t="str">
        <f>IFERROR(INDEX('幕间与结算'!$E$9:$E$208,SMALL(AM$210:AM$409,41)),"")</f>
        <v/>
      </c>
      <c r="AN42" t="str">
        <f>IFERROR(INDEX('幕间与结算'!$E$9:$E$208,SMALL(AN$210:AN$409,41)),"")</f>
        <v/>
      </c>
      <c r="AO42" t="str">
        <f>IFERROR(INDEX('幕间与结算'!$E$9:$E$208,SMALL(AO$210:AO$409,41)),"")</f>
        <v/>
      </c>
      <c r="AP42" t="str">
        <f>IFERROR(INDEX('幕间与结算'!$E$9:$E$208,SMALL(AP$210:AP$409,41)),"")</f>
        <v/>
      </c>
      <c r="AQ42" t="str">
        <f>IFERROR(INDEX('幕间与结算'!$E$9:$E$208,SMALL(AQ$210:AQ$409,41)),"")</f>
        <v/>
      </c>
      <c r="AR42" t="str">
        <f>IFERROR(INDEX('幕间与结算'!$E$9:$E$208,SMALL(AR$210:AR$409,41)),"")</f>
        <v/>
      </c>
      <c r="AS42" t="str">
        <f>IFERROR(INDEX('幕间与结算'!$E$9:$E$208,SMALL(AS$210:AS$409,41)),"")</f>
        <v/>
      </c>
      <c r="AT42" t="str">
        <f>IFERROR(INDEX('幕间与结算'!$E$9:$E$208,SMALL(AT$210:AT$409,41)),"")</f>
        <v/>
      </c>
    </row>
    <row r="43">
      <c r="A43" t="str">
        <f>IF(TRIM('人物卡'!AM25)="","","技能："&amp;SUBSTITUTE('人物卡'!AG25,"：","")&amp;"（"&amp;TRIM('人物卡'!AM25)&amp;"）")</f>
        <v/>
      </c>
      <c r="B43">
        <v>0</v>
      </c>
      <c r="H43" t="str">
        <f>A25</f>
        <v/>
      </c>
      <c r="W43" t="str">
        <f>IF(H43="","",COUNTIF($H$2:H43,"?*"))</f>
        <v/>
      </c>
      <c r="X43" t="str">
        <f>IFERROR(INDEX($H$2:$H$79,MATCH(42,$W$2:$W$79,0)),"")</f>
        <v>技能：导航</v>
      </c>
      <c r="AA43" t="str">
        <f>IFERROR(INDEX('幕间与结算'!$E$9:$E$208,SMALL(AA$210:AA$409,42)),"")</f>
        <v/>
      </c>
      <c r="AB43" t="str">
        <f>IFERROR(INDEX('幕间与结算'!$E$9:$E$208,SMALL(AB$210:AB$409,42)),"")</f>
        <v/>
      </c>
      <c r="AC43" t="str">
        <f>IFERROR(INDEX('幕间与结算'!$E$9:$E$208,SMALL(AC$210:AC$409,42)),"")</f>
        <v/>
      </c>
      <c r="AD43" t="str">
        <f>IFERROR(INDEX('幕间与结算'!$E$9:$E$208,SMALL(AD$210:AD$409,42)),"")</f>
        <v/>
      </c>
      <c r="AE43" t="str">
        <f>IFERROR(INDEX('幕间与结算'!$E$9:$E$208,SMALL(AE$210:AE$409,42)),"")</f>
        <v/>
      </c>
      <c r="AF43" t="str">
        <f>IFERROR(INDEX('幕间与结算'!$E$9:$E$208,SMALL(AF$210:AF$409,42)),"")</f>
        <v/>
      </c>
      <c r="AG43" t="str">
        <f>IFERROR(INDEX('幕间与结算'!$E$9:$E$208,SMALL(AG$210:AG$409,42)),"")</f>
        <v/>
      </c>
      <c r="AH43" t="str">
        <f>IFERROR(INDEX('幕间与结算'!$E$9:$E$208,SMALL(AH$210:AH$409,42)),"")</f>
        <v/>
      </c>
      <c r="AI43" t="str">
        <f>IFERROR(INDEX('幕间与结算'!$E$9:$E$208,SMALL(AI$210:AI$409,42)),"")</f>
        <v/>
      </c>
      <c r="AJ43" t="str">
        <f>IFERROR(INDEX('幕间与结算'!$E$9:$E$208,SMALL(AJ$210:AJ$409,42)),"")</f>
        <v/>
      </c>
      <c r="AK43" t="str">
        <f>IFERROR(INDEX('幕间与结算'!$E$9:$E$208,SMALL(AK$210:AK$409,42)),"")</f>
        <v/>
      </c>
      <c r="AL43" t="str">
        <f>IFERROR(INDEX('幕间与结算'!$E$9:$E$208,SMALL(AL$210:AL$409,42)),"")</f>
        <v/>
      </c>
      <c r="AM43" t="str">
        <f>IFERROR(INDEX('幕间与结算'!$E$9:$E$208,SMALL(AM$210:AM$409,42)),"")</f>
        <v/>
      </c>
      <c r="AN43" t="str">
        <f>IFERROR(INDEX('幕间与结算'!$E$9:$E$208,SMALL(AN$210:AN$409,42)),"")</f>
        <v/>
      </c>
      <c r="AO43" t="str">
        <f>IFERROR(INDEX('幕间与结算'!$E$9:$E$208,SMALL(AO$210:AO$409,42)),"")</f>
        <v/>
      </c>
      <c r="AP43" t="str">
        <f>IFERROR(INDEX('幕间与结算'!$E$9:$E$208,SMALL(AP$210:AP$409,42)),"")</f>
        <v/>
      </c>
      <c r="AQ43" t="str">
        <f>IFERROR(INDEX('幕间与结算'!$E$9:$E$208,SMALL(AQ$210:AQ$409,42)),"")</f>
        <v/>
      </c>
      <c r="AR43" t="str">
        <f>IFERROR(INDEX('幕间与结算'!$E$9:$E$208,SMALL(AR$210:AR$409,42)),"")</f>
        <v/>
      </c>
      <c r="AS43" t="str">
        <f>IFERROR(INDEX('幕间与结算'!$E$9:$E$208,SMALL(AS$210:AS$409,42)),"")</f>
        <v/>
      </c>
      <c r="AT43" t="str">
        <f>IFERROR(INDEX('幕间与结算'!$E$9:$E$208,SMALL(AT$210:AT$409,42)),"")</f>
        <v/>
      </c>
    </row>
    <row r="44">
      <c r="A44" t="str">
        <f>IF(TRIM('人物卡'!AM26)="","","技能："&amp;SUBSTITUTE('人物卡'!AG26,"：","")&amp;"（"&amp;TRIM('人物卡'!AM26)&amp;"）")</f>
        <v/>
      </c>
      <c r="B44">
        <v>0</v>
      </c>
      <c r="H44" t="str">
        <f>A26</f>
        <v/>
      </c>
      <c r="W44" t="str">
        <f>IF(H44="","",COUNTIF($H$2:H44,"?*"))</f>
        <v/>
      </c>
      <c r="X44" t="str">
        <f>IFERROR(INDEX($H$2:$H$79,MATCH(43,$W$2:$W$79,0)),"")</f>
        <v>技能：神秘学</v>
      </c>
      <c r="AA44" t="str">
        <f>IFERROR(INDEX('幕间与结算'!$E$9:$E$208,SMALL(AA$210:AA$409,43)),"")</f>
        <v/>
      </c>
      <c r="AB44" t="str">
        <f>IFERROR(INDEX('幕间与结算'!$E$9:$E$208,SMALL(AB$210:AB$409,43)),"")</f>
        <v/>
      </c>
      <c r="AC44" t="str">
        <f>IFERROR(INDEX('幕间与结算'!$E$9:$E$208,SMALL(AC$210:AC$409,43)),"")</f>
        <v/>
      </c>
      <c r="AD44" t="str">
        <f>IFERROR(INDEX('幕间与结算'!$E$9:$E$208,SMALL(AD$210:AD$409,43)),"")</f>
        <v/>
      </c>
      <c r="AE44" t="str">
        <f>IFERROR(INDEX('幕间与结算'!$E$9:$E$208,SMALL(AE$210:AE$409,43)),"")</f>
        <v/>
      </c>
      <c r="AF44" t="str">
        <f>IFERROR(INDEX('幕间与结算'!$E$9:$E$208,SMALL(AF$210:AF$409,43)),"")</f>
        <v/>
      </c>
      <c r="AG44" t="str">
        <f>IFERROR(INDEX('幕间与结算'!$E$9:$E$208,SMALL(AG$210:AG$409,43)),"")</f>
        <v/>
      </c>
      <c r="AH44" t="str">
        <f>IFERROR(INDEX('幕间与结算'!$E$9:$E$208,SMALL(AH$210:AH$409,43)),"")</f>
        <v/>
      </c>
      <c r="AI44" t="str">
        <f>IFERROR(INDEX('幕间与结算'!$E$9:$E$208,SMALL(AI$210:AI$409,43)),"")</f>
        <v/>
      </c>
      <c r="AJ44" t="str">
        <f>IFERROR(INDEX('幕间与结算'!$E$9:$E$208,SMALL(AJ$210:AJ$409,43)),"")</f>
        <v/>
      </c>
      <c r="AK44" t="str">
        <f>IFERROR(INDEX('幕间与结算'!$E$9:$E$208,SMALL(AK$210:AK$409,43)),"")</f>
        <v/>
      </c>
      <c r="AL44" t="str">
        <f>IFERROR(INDEX('幕间与结算'!$E$9:$E$208,SMALL(AL$210:AL$409,43)),"")</f>
        <v/>
      </c>
      <c r="AM44" t="str">
        <f>IFERROR(INDEX('幕间与结算'!$E$9:$E$208,SMALL(AM$210:AM$409,43)),"")</f>
        <v/>
      </c>
      <c r="AN44" t="str">
        <f>IFERROR(INDEX('幕间与结算'!$E$9:$E$208,SMALL(AN$210:AN$409,43)),"")</f>
        <v/>
      </c>
      <c r="AO44" t="str">
        <f>IFERROR(INDEX('幕间与结算'!$E$9:$E$208,SMALL(AO$210:AO$409,43)),"")</f>
        <v/>
      </c>
      <c r="AP44" t="str">
        <f>IFERROR(INDEX('幕间与结算'!$E$9:$E$208,SMALL(AP$210:AP$409,43)),"")</f>
        <v/>
      </c>
      <c r="AQ44" t="str">
        <f>IFERROR(INDEX('幕间与结算'!$E$9:$E$208,SMALL(AQ$210:AQ$409,43)),"")</f>
        <v/>
      </c>
      <c r="AR44" t="str">
        <f>IFERROR(INDEX('幕间与结算'!$E$9:$E$208,SMALL(AR$210:AR$409,43)),"")</f>
        <v/>
      </c>
      <c r="AS44" t="str">
        <f>IFERROR(INDEX('幕间与结算'!$E$9:$E$208,SMALL(AS$210:AS$409,43)),"")</f>
        <v/>
      </c>
      <c r="AT44" t="str">
        <f>IFERROR(INDEX('幕间与结算'!$E$9:$E$208,SMALL(AT$210:AT$409,43)),"")</f>
        <v/>
      </c>
    </row>
    <row r="45">
      <c r="A45" t="str">
        <f>IF('人物卡'!AG27="","","技能："&amp;'人物卡'!AG27)</f>
        <v>技能：精神治疗</v>
      </c>
      <c r="B45">
        <v>0</v>
      </c>
      <c r="H45" t="str">
        <f>A27</f>
        <v>技能：法证学</v>
      </c>
      <c r="W45">
        <f>IF(H45="","",COUNTIF($H$2:H45,"?*"))</f>
        <v>34</v>
      </c>
      <c r="X45" t="str">
        <f>IFERROR(INDEX($H$2:$H$79,MATCH(44,$W$2:$W$79,0)),"")</f>
        <v>技能：说服</v>
      </c>
      <c r="AA45" t="str">
        <f>IFERROR(INDEX('幕间与结算'!$E$9:$E$208,SMALL(AA$210:AA$409,44)),"")</f>
        <v/>
      </c>
      <c r="AB45" t="str">
        <f>IFERROR(INDEX('幕间与结算'!$E$9:$E$208,SMALL(AB$210:AB$409,44)),"")</f>
        <v/>
      </c>
      <c r="AC45" t="str">
        <f>IFERROR(INDEX('幕间与结算'!$E$9:$E$208,SMALL(AC$210:AC$409,44)),"")</f>
        <v/>
      </c>
      <c r="AD45" t="str">
        <f>IFERROR(INDEX('幕间与结算'!$E$9:$E$208,SMALL(AD$210:AD$409,44)),"")</f>
        <v/>
      </c>
      <c r="AE45" t="str">
        <f>IFERROR(INDEX('幕间与结算'!$E$9:$E$208,SMALL(AE$210:AE$409,44)),"")</f>
        <v/>
      </c>
      <c r="AF45" t="str">
        <f>IFERROR(INDEX('幕间与结算'!$E$9:$E$208,SMALL(AF$210:AF$409,44)),"")</f>
        <v/>
      </c>
      <c r="AG45" t="str">
        <f>IFERROR(INDEX('幕间与结算'!$E$9:$E$208,SMALL(AG$210:AG$409,44)),"")</f>
        <v/>
      </c>
      <c r="AH45" t="str">
        <f>IFERROR(INDEX('幕间与结算'!$E$9:$E$208,SMALL(AH$210:AH$409,44)),"")</f>
        <v/>
      </c>
      <c r="AI45" t="str">
        <f>IFERROR(INDEX('幕间与结算'!$E$9:$E$208,SMALL(AI$210:AI$409,44)),"")</f>
        <v/>
      </c>
      <c r="AJ45" t="str">
        <f>IFERROR(INDEX('幕间与结算'!$E$9:$E$208,SMALL(AJ$210:AJ$409,44)),"")</f>
        <v/>
      </c>
      <c r="AK45" t="str">
        <f>IFERROR(INDEX('幕间与结算'!$E$9:$E$208,SMALL(AK$210:AK$409,44)),"")</f>
        <v/>
      </c>
      <c r="AL45" t="str">
        <f>IFERROR(INDEX('幕间与结算'!$E$9:$E$208,SMALL(AL$210:AL$409,44)),"")</f>
        <v/>
      </c>
      <c r="AM45" t="str">
        <f>IFERROR(INDEX('幕间与结算'!$E$9:$E$208,SMALL(AM$210:AM$409,44)),"")</f>
        <v/>
      </c>
      <c r="AN45" t="str">
        <f>IFERROR(INDEX('幕间与结算'!$E$9:$E$208,SMALL(AN$210:AN$409,44)),"")</f>
        <v/>
      </c>
      <c r="AO45" t="str">
        <f>IFERROR(INDEX('幕间与结算'!$E$9:$E$208,SMALL(AO$210:AO$409,44)),"")</f>
        <v/>
      </c>
      <c r="AP45" t="str">
        <f>IFERROR(INDEX('幕间与结算'!$E$9:$E$208,SMALL(AP$210:AP$409,44)),"")</f>
        <v/>
      </c>
      <c r="AQ45" t="str">
        <f>IFERROR(INDEX('幕间与结算'!$E$9:$E$208,SMALL(AQ$210:AQ$409,44)),"")</f>
        <v/>
      </c>
      <c r="AR45" t="str">
        <f>IFERROR(INDEX('幕间与结算'!$E$9:$E$208,SMALL(AR$210:AR$409,44)),"")</f>
        <v/>
      </c>
      <c r="AS45" t="str">
        <f>IFERROR(INDEX('幕间与结算'!$E$9:$E$208,SMALL(AS$210:AS$409,44)),"")</f>
        <v/>
      </c>
      <c r="AT45" t="str">
        <f>IFERROR(INDEX('幕间与结算'!$E$9:$E$208,SMALL(AT$210:AT$409,44)),"")</f>
        <v/>
      </c>
    </row>
    <row r="46">
      <c r="A46" t="str">
        <f>IF('人物卡'!AG28="","","技能："&amp;'人物卡'!AG28)</f>
        <v>技能：骑术</v>
      </c>
      <c r="B46">
        <v>0</v>
      </c>
      <c r="H46" t="str">
        <f>A28</f>
        <v>技能：重型机械</v>
      </c>
      <c r="W46">
        <f>IF(H46="","",COUNTIF($H$2:H46,"?*"))</f>
        <v>35</v>
      </c>
      <c r="X46" t="str">
        <f>IFERROR(INDEX($H$2:$H$79,MATCH(45,$W$2:$W$79,0)),"")</f>
        <v>技能：药学</v>
      </c>
      <c r="AA46" t="str">
        <f>IFERROR(INDEX('幕间与结算'!$E$9:$E$208,SMALL(AA$210:AA$409,45)),"")</f>
        <v/>
      </c>
      <c r="AB46" t="str">
        <f>IFERROR(INDEX('幕间与结算'!$E$9:$E$208,SMALL(AB$210:AB$409,45)),"")</f>
        <v/>
      </c>
      <c r="AC46" t="str">
        <f>IFERROR(INDEX('幕间与结算'!$E$9:$E$208,SMALL(AC$210:AC$409,45)),"")</f>
        <v/>
      </c>
      <c r="AD46" t="str">
        <f>IFERROR(INDEX('幕间与结算'!$E$9:$E$208,SMALL(AD$210:AD$409,45)),"")</f>
        <v/>
      </c>
      <c r="AE46" t="str">
        <f>IFERROR(INDEX('幕间与结算'!$E$9:$E$208,SMALL(AE$210:AE$409,45)),"")</f>
        <v/>
      </c>
      <c r="AF46" t="str">
        <f>IFERROR(INDEX('幕间与结算'!$E$9:$E$208,SMALL(AF$210:AF$409,45)),"")</f>
        <v/>
      </c>
      <c r="AG46" t="str">
        <f>IFERROR(INDEX('幕间与结算'!$E$9:$E$208,SMALL(AG$210:AG$409,45)),"")</f>
        <v/>
      </c>
      <c r="AH46" t="str">
        <f>IFERROR(INDEX('幕间与结算'!$E$9:$E$208,SMALL(AH$210:AH$409,45)),"")</f>
        <v/>
      </c>
      <c r="AI46" t="str">
        <f>IFERROR(INDEX('幕间与结算'!$E$9:$E$208,SMALL(AI$210:AI$409,45)),"")</f>
        <v/>
      </c>
      <c r="AJ46" t="str">
        <f>IFERROR(INDEX('幕间与结算'!$E$9:$E$208,SMALL(AJ$210:AJ$409,45)),"")</f>
        <v/>
      </c>
      <c r="AK46" t="str">
        <f>IFERROR(INDEX('幕间与结算'!$E$9:$E$208,SMALL(AK$210:AK$409,45)),"")</f>
        <v/>
      </c>
      <c r="AL46" t="str">
        <f>IFERROR(INDEX('幕间与结算'!$E$9:$E$208,SMALL(AL$210:AL$409,45)),"")</f>
        <v/>
      </c>
      <c r="AM46" t="str">
        <f>IFERROR(INDEX('幕间与结算'!$E$9:$E$208,SMALL(AM$210:AM$409,45)),"")</f>
        <v/>
      </c>
      <c r="AN46" t="str">
        <f>IFERROR(INDEX('幕间与结算'!$E$9:$E$208,SMALL(AN$210:AN$409,45)),"")</f>
        <v/>
      </c>
      <c r="AO46" t="str">
        <f>IFERROR(INDEX('幕间与结算'!$E$9:$E$208,SMALL(AO$210:AO$409,45)),"")</f>
        <v/>
      </c>
      <c r="AP46" t="str">
        <f>IFERROR(INDEX('幕间与结算'!$E$9:$E$208,SMALL(AP$210:AP$409,45)),"")</f>
        <v/>
      </c>
      <c r="AQ46" t="str">
        <f>IFERROR(INDEX('幕间与结算'!$E$9:$E$208,SMALL(AQ$210:AQ$409,45)),"")</f>
        <v/>
      </c>
      <c r="AR46" t="str">
        <f>IFERROR(INDEX('幕间与结算'!$E$9:$E$208,SMALL(AR$210:AR$409,45)),"")</f>
        <v/>
      </c>
      <c r="AS46" t="str">
        <f>IFERROR(INDEX('幕间与结算'!$E$9:$E$208,SMALL(AS$210:AS$409,45)),"")</f>
        <v/>
      </c>
      <c r="AT46" t="str">
        <f>IFERROR(INDEX('幕间与结算'!$E$9:$E$208,SMALL(AT$210:AT$409,45)),"")</f>
        <v/>
      </c>
    </row>
    <row r="47">
      <c r="A47" t="str">
        <f>IF(TRIM('人物卡'!AM29)="","","技能："&amp;SUBSTITUTE('人物卡'!AG29,"：","")&amp;"（"&amp;TRIM('人物卡'!AM29)&amp;"）")</f>
        <v/>
      </c>
      <c r="B47">
        <v>0</v>
      </c>
      <c r="H47" t="str">
        <f>A29</f>
        <v>技能：重型武器</v>
      </c>
      <c r="W47">
        <f>IF(H47="","",COUNTIF($H$2:H47,"?*"))</f>
        <v>36</v>
      </c>
      <c r="X47" t="str">
        <f>IFERROR(INDEX($H$2:$H$79,MATCH(46,$W$2:$W$79,0)),"")</f>
        <v>技能：精神治疗</v>
      </c>
      <c r="AA47" t="str">
        <f>IFERROR(INDEX('幕间与结算'!$E$9:$E$208,SMALL(AA$210:AA$409,46)),"")</f>
        <v/>
      </c>
      <c r="AB47" t="str">
        <f>IFERROR(INDEX('幕间与结算'!$E$9:$E$208,SMALL(AB$210:AB$409,46)),"")</f>
        <v/>
      </c>
      <c r="AC47" t="str">
        <f>IFERROR(INDEX('幕间与结算'!$E$9:$E$208,SMALL(AC$210:AC$409,46)),"")</f>
        <v/>
      </c>
      <c r="AD47" t="str">
        <f>IFERROR(INDEX('幕间与结算'!$E$9:$E$208,SMALL(AD$210:AD$409,46)),"")</f>
        <v/>
      </c>
      <c r="AE47" t="str">
        <f>IFERROR(INDEX('幕间与结算'!$E$9:$E$208,SMALL(AE$210:AE$409,46)),"")</f>
        <v/>
      </c>
      <c r="AF47" t="str">
        <f>IFERROR(INDEX('幕间与结算'!$E$9:$E$208,SMALL(AF$210:AF$409,46)),"")</f>
        <v/>
      </c>
      <c r="AG47" t="str">
        <f>IFERROR(INDEX('幕间与结算'!$E$9:$E$208,SMALL(AG$210:AG$409,46)),"")</f>
        <v/>
      </c>
      <c r="AH47" t="str">
        <f>IFERROR(INDEX('幕间与结算'!$E$9:$E$208,SMALL(AH$210:AH$409,46)),"")</f>
        <v/>
      </c>
      <c r="AI47" t="str">
        <f>IFERROR(INDEX('幕间与结算'!$E$9:$E$208,SMALL(AI$210:AI$409,46)),"")</f>
        <v/>
      </c>
      <c r="AJ47" t="str">
        <f>IFERROR(INDEX('幕间与结算'!$E$9:$E$208,SMALL(AJ$210:AJ$409,46)),"")</f>
        <v/>
      </c>
      <c r="AK47" t="str">
        <f>IFERROR(INDEX('幕间与结算'!$E$9:$E$208,SMALL(AK$210:AK$409,46)),"")</f>
        <v/>
      </c>
      <c r="AL47" t="str">
        <f>IFERROR(INDEX('幕间与结算'!$E$9:$E$208,SMALL(AL$210:AL$409,46)),"")</f>
        <v/>
      </c>
      <c r="AM47" t="str">
        <f>IFERROR(INDEX('幕间与结算'!$E$9:$E$208,SMALL(AM$210:AM$409,46)),"")</f>
        <v/>
      </c>
      <c r="AN47" t="str">
        <f>IFERROR(INDEX('幕间与结算'!$E$9:$E$208,SMALL(AN$210:AN$409,46)),"")</f>
        <v/>
      </c>
      <c r="AO47" t="str">
        <f>IFERROR(INDEX('幕间与结算'!$E$9:$E$208,SMALL(AO$210:AO$409,46)),"")</f>
        <v/>
      </c>
      <c r="AP47" t="str">
        <f>IFERROR(INDEX('幕间与结算'!$E$9:$E$208,SMALL(AP$210:AP$409,46)),"")</f>
        <v/>
      </c>
      <c r="AQ47" t="str">
        <f>IFERROR(INDEX('幕间与结算'!$E$9:$E$208,SMALL(AQ$210:AQ$409,46)),"")</f>
        <v/>
      </c>
      <c r="AR47" t="str">
        <f>IFERROR(INDEX('幕间与结算'!$E$9:$E$208,SMALL(AR$210:AR$409,46)),"")</f>
        <v/>
      </c>
      <c r="AS47" t="str">
        <f>IFERROR(INDEX('幕间与结算'!$E$9:$E$208,SMALL(AS$210:AS$409,46)),"")</f>
        <v/>
      </c>
      <c r="AT47" t="str">
        <f>IFERROR(INDEX('幕间与结算'!$E$9:$E$208,SMALL(AT$210:AT$409,46)),"")</f>
        <v/>
      </c>
    </row>
    <row r="48">
      <c r="A48" t="str">
        <f>IF(TRIM('人物卡'!AM30)="","","技能："&amp;SUBSTITUTE('人物卡'!AG30,"：","")&amp;"（"&amp;TRIM('人物卡'!AM30)&amp;"）")</f>
        <v/>
      </c>
      <c r="B48">
        <v>0</v>
      </c>
      <c r="H48" t="str">
        <f>A30</f>
        <v>技能：历史</v>
      </c>
      <c r="W48">
        <f>IF(H48="","",COUNTIF($H$2:H48,"?*"))</f>
        <v>37</v>
      </c>
      <c r="X48" t="str">
        <f>IFERROR(INDEX($H$2:$H$79,MATCH(47,$W$2:$W$79,0)),"")</f>
        <v>技能：骑术</v>
      </c>
      <c r="AA48" t="str">
        <f>IFERROR(INDEX('幕间与结算'!$E$9:$E$208,SMALL(AA$210:AA$409,47)),"")</f>
        <v/>
      </c>
      <c r="AB48" t="str">
        <f>IFERROR(INDEX('幕间与结算'!$E$9:$E$208,SMALL(AB$210:AB$409,47)),"")</f>
        <v/>
      </c>
      <c r="AC48" t="str">
        <f>IFERROR(INDEX('幕间与结算'!$E$9:$E$208,SMALL(AC$210:AC$409,47)),"")</f>
        <v/>
      </c>
      <c r="AD48" t="str">
        <f>IFERROR(INDEX('幕间与结算'!$E$9:$E$208,SMALL(AD$210:AD$409,47)),"")</f>
        <v/>
      </c>
      <c r="AE48" t="str">
        <f>IFERROR(INDEX('幕间与结算'!$E$9:$E$208,SMALL(AE$210:AE$409,47)),"")</f>
        <v/>
      </c>
      <c r="AF48" t="str">
        <f>IFERROR(INDEX('幕间与结算'!$E$9:$E$208,SMALL(AF$210:AF$409,47)),"")</f>
        <v/>
      </c>
      <c r="AG48" t="str">
        <f>IFERROR(INDEX('幕间与结算'!$E$9:$E$208,SMALL(AG$210:AG$409,47)),"")</f>
        <v/>
      </c>
      <c r="AH48" t="str">
        <f>IFERROR(INDEX('幕间与结算'!$E$9:$E$208,SMALL(AH$210:AH$409,47)),"")</f>
        <v/>
      </c>
      <c r="AI48" t="str">
        <f>IFERROR(INDEX('幕间与结算'!$E$9:$E$208,SMALL(AI$210:AI$409,47)),"")</f>
        <v/>
      </c>
      <c r="AJ48" t="str">
        <f>IFERROR(INDEX('幕间与结算'!$E$9:$E$208,SMALL(AJ$210:AJ$409,47)),"")</f>
        <v/>
      </c>
      <c r="AK48" t="str">
        <f>IFERROR(INDEX('幕间与结算'!$E$9:$E$208,SMALL(AK$210:AK$409,47)),"")</f>
        <v/>
      </c>
      <c r="AL48" t="str">
        <f>IFERROR(INDEX('幕间与结算'!$E$9:$E$208,SMALL(AL$210:AL$409,47)),"")</f>
        <v/>
      </c>
      <c r="AM48" t="str">
        <f>IFERROR(INDEX('幕间与结算'!$E$9:$E$208,SMALL(AM$210:AM$409,47)),"")</f>
        <v/>
      </c>
      <c r="AN48" t="str">
        <f>IFERROR(INDEX('幕间与结算'!$E$9:$E$208,SMALL(AN$210:AN$409,47)),"")</f>
        <v/>
      </c>
      <c r="AO48" t="str">
        <f>IFERROR(INDEX('幕间与结算'!$E$9:$E$208,SMALL(AO$210:AO$409,47)),"")</f>
        <v/>
      </c>
      <c r="AP48" t="str">
        <f>IFERROR(INDEX('幕间与结算'!$E$9:$E$208,SMALL(AP$210:AP$409,47)),"")</f>
        <v/>
      </c>
      <c r="AQ48" t="str">
        <f>IFERROR(INDEX('幕间与结算'!$E$9:$E$208,SMALL(AQ$210:AQ$409,47)),"")</f>
        <v/>
      </c>
      <c r="AR48" t="str">
        <f>IFERROR(INDEX('幕间与结算'!$E$9:$E$208,SMALL(AR$210:AR$409,47)),"")</f>
        <v/>
      </c>
      <c r="AS48" t="str">
        <f>IFERROR(INDEX('幕间与结算'!$E$9:$E$208,SMALL(AS$210:AS$409,47)),"")</f>
        <v/>
      </c>
      <c r="AT48" t="str">
        <f>IFERROR(INDEX('幕间与结算'!$E$9:$E$208,SMALL(AT$210:AT$409,47)),"")</f>
        <v/>
      </c>
    </row>
    <row r="49">
      <c r="A49" t="str">
        <f>IF(TRIM('人物卡'!AM31)="","","技能："&amp;SUBSTITUTE('人物卡'!AG31,"：","")&amp;"（"&amp;TRIM('人物卡'!AM31)&amp;"）")</f>
        <v/>
      </c>
      <c r="B49">
        <v>0</v>
      </c>
      <c r="H49" t="str">
        <f>A31</f>
        <v>技能：人源情报</v>
      </c>
      <c r="W49">
        <f>IF(H49="","",COUNTIF($H$2:H49,"?*"))</f>
        <v>38</v>
      </c>
      <c r="X49" t="str">
        <f>IFERROR(INDEX($H$2:$H$79,MATCH(48,$W$2:$W$79,0)),"")</f>
        <v>技能：搜寻</v>
      </c>
      <c r="AA49" t="str">
        <f>IFERROR(INDEX('幕间与结算'!$E$9:$E$208,SMALL(AA$210:AA$409,48)),"")</f>
        <v/>
      </c>
      <c r="AB49" t="str">
        <f>IFERROR(INDEX('幕间与结算'!$E$9:$E$208,SMALL(AB$210:AB$409,48)),"")</f>
        <v/>
      </c>
      <c r="AC49" t="str">
        <f>IFERROR(INDEX('幕间与结算'!$E$9:$E$208,SMALL(AC$210:AC$409,48)),"")</f>
        <v/>
      </c>
      <c r="AD49" t="str">
        <f>IFERROR(INDEX('幕间与结算'!$E$9:$E$208,SMALL(AD$210:AD$409,48)),"")</f>
        <v/>
      </c>
      <c r="AE49" t="str">
        <f>IFERROR(INDEX('幕间与结算'!$E$9:$E$208,SMALL(AE$210:AE$409,48)),"")</f>
        <v/>
      </c>
      <c r="AF49" t="str">
        <f>IFERROR(INDEX('幕间与结算'!$E$9:$E$208,SMALL(AF$210:AF$409,48)),"")</f>
        <v/>
      </c>
      <c r="AG49" t="str">
        <f>IFERROR(INDEX('幕间与结算'!$E$9:$E$208,SMALL(AG$210:AG$409,48)),"")</f>
        <v/>
      </c>
      <c r="AH49" t="str">
        <f>IFERROR(INDEX('幕间与结算'!$E$9:$E$208,SMALL(AH$210:AH$409,48)),"")</f>
        <v/>
      </c>
      <c r="AI49" t="str">
        <f>IFERROR(INDEX('幕间与结算'!$E$9:$E$208,SMALL(AI$210:AI$409,48)),"")</f>
        <v/>
      </c>
      <c r="AJ49" t="str">
        <f>IFERROR(INDEX('幕间与结算'!$E$9:$E$208,SMALL(AJ$210:AJ$409,48)),"")</f>
        <v/>
      </c>
      <c r="AK49" t="str">
        <f>IFERROR(INDEX('幕间与结算'!$E$9:$E$208,SMALL(AK$210:AK$409,48)),"")</f>
        <v/>
      </c>
      <c r="AL49" t="str">
        <f>IFERROR(INDEX('幕间与结算'!$E$9:$E$208,SMALL(AL$210:AL$409,48)),"")</f>
        <v/>
      </c>
      <c r="AM49" t="str">
        <f>IFERROR(INDEX('幕间与结算'!$E$9:$E$208,SMALL(AM$210:AM$409,48)),"")</f>
        <v/>
      </c>
      <c r="AN49" t="str">
        <f>IFERROR(INDEX('幕间与结算'!$E$9:$E$208,SMALL(AN$210:AN$409,48)),"")</f>
        <v/>
      </c>
      <c r="AO49" t="str">
        <f>IFERROR(INDEX('幕间与结算'!$E$9:$E$208,SMALL(AO$210:AO$409,48)),"")</f>
        <v/>
      </c>
      <c r="AP49" t="str">
        <f>IFERROR(INDEX('幕间与结算'!$E$9:$E$208,SMALL(AP$210:AP$409,48)),"")</f>
        <v/>
      </c>
      <c r="AQ49" t="str">
        <f>IFERROR(INDEX('幕间与结算'!$E$9:$E$208,SMALL(AQ$210:AQ$409,48)),"")</f>
        <v/>
      </c>
      <c r="AR49" t="str">
        <f>IFERROR(INDEX('幕间与结算'!$E$9:$E$208,SMALL(AR$210:AR$409,48)),"")</f>
        <v/>
      </c>
      <c r="AS49" t="str">
        <f>IFERROR(INDEX('幕间与结算'!$E$9:$E$208,SMALL(AS$210:AS$409,48)),"")</f>
        <v/>
      </c>
      <c r="AT49" t="str">
        <f>IFERROR(INDEX('幕间与结算'!$E$9:$E$208,SMALL(AT$210:AT$409,48)),"")</f>
        <v/>
      </c>
    </row>
    <row r="50">
      <c r="A50" t="str">
        <f>IF('人物卡'!AG32="","","技能："&amp;'人物卡'!AG32)</f>
        <v>技能：搜寻</v>
      </c>
      <c r="B50">
        <v>0</v>
      </c>
      <c r="H50" t="str">
        <f>A32</f>
        <v>技能：法律</v>
      </c>
      <c r="W50">
        <f>IF(H50="","",COUNTIF($H$2:H50,"?*"))</f>
        <v>39</v>
      </c>
      <c r="X50" t="str">
        <f>IFERROR(INDEX($H$2:$H$79,MATCH(49,$W$2:$W$79,0)),"")</f>
        <v>技能：信号情报</v>
      </c>
      <c r="AA50" t="str">
        <f>IFERROR(INDEX('幕间与结算'!$E$9:$E$208,SMALL(AA$210:AA$409,49)),"")</f>
        <v/>
      </c>
      <c r="AB50" t="str">
        <f>IFERROR(INDEX('幕间与结算'!$E$9:$E$208,SMALL(AB$210:AB$409,49)),"")</f>
        <v/>
      </c>
      <c r="AC50" t="str">
        <f>IFERROR(INDEX('幕间与结算'!$E$9:$E$208,SMALL(AC$210:AC$409,49)),"")</f>
        <v/>
      </c>
      <c r="AD50" t="str">
        <f>IFERROR(INDEX('幕间与结算'!$E$9:$E$208,SMALL(AD$210:AD$409,49)),"")</f>
        <v/>
      </c>
      <c r="AE50" t="str">
        <f>IFERROR(INDEX('幕间与结算'!$E$9:$E$208,SMALL(AE$210:AE$409,49)),"")</f>
        <v/>
      </c>
      <c r="AF50" t="str">
        <f>IFERROR(INDEX('幕间与结算'!$E$9:$E$208,SMALL(AF$210:AF$409,49)),"")</f>
        <v/>
      </c>
      <c r="AG50" t="str">
        <f>IFERROR(INDEX('幕间与结算'!$E$9:$E$208,SMALL(AG$210:AG$409,49)),"")</f>
        <v/>
      </c>
      <c r="AH50" t="str">
        <f>IFERROR(INDEX('幕间与结算'!$E$9:$E$208,SMALL(AH$210:AH$409,49)),"")</f>
        <v/>
      </c>
      <c r="AI50" t="str">
        <f>IFERROR(INDEX('幕间与结算'!$E$9:$E$208,SMALL(AI$210:AI$409,49)),"")</f>
        <v/>
      </c>
      <c r="AJ50" t="str">
        <f>IFERROR(INDEX('幕间与结算'!$E$9:$E$208,SMALL(AJ$210:AJ$409,49)),"")</f>
        <v/>
      </c>
      <c r="AK50" t="str">
        <f>IFERROR(INDEX('幕间与结算'!$E$9:$E$208,SMALL(AK$210:AK$409,49)),"")</f>
        <v/>
      </c>
      <c r="AL50" t="str">
        <f>IFERROR(INDEX('幕间与结算'!$E$9:$E$208,SMALL(AL$210:AL$409,49)),"")</f>
        <v/>
      </c>
      <c r="AM50" t="str">
        <f>IFERROR(INDEX('幕间与结算'!$E$9:$E$208,SMALL(AM$210:AM$409,49)),"")</f>
        <v/>
      </c>
      <c r="AN50" t="str">
        <f>IFERROR(INDEX('幕间与结算'!$E$9:$E$208,SMALL(AN$210:AN$409,49)),"")</f>
        <v/>
      </c>
      <c r="AO50" t="str">
        <f>IFERROR(INDEX('幕间与结算'!$E$9:$E$208,SMALL(AO$210:AO$409,49)),"")</f>
        <v/>
      </c>
      <c r="AP50" t="str">
        <f>IFERROR(INDEX('幕间与结算'!$E$9:$E$208,SMALL(AP$210:AP$409,49)),"")</f>
        <v/>
      </c>
      <c r="AQ50" t="str">
        <f>IFERROR(INDEX('幕间与结算'!$E$9:$E$208,SMALL(AQ$210:AQ$409,49)),"")</f>
        <v/>
      </c>
      <c r="AR50" t="str">
        <f>IFERROR(INDEX('幕间与结算'!$E$9:$E$208,SMALL(AR$210:AR$409,49)),"")</f>
        <v/>
      </c>
      <c r="AS50" t="str">
        <f>IFERROR(INDEX('幕间与结算'!$E$9:$E$208,SMALL(AS$210:AS$409,49)),"")</f>
        <v/>
      </c>
      <c r="AT50" t="str">
        <f>IFERROR(INDEX('幕间与结算'!$E$9:$E$208,SMALL(AT$210:AT$409,49)),"")</f>
        <v/>
      </c>
    </row>
    <row r="51">
      <c r="A51" t="str">
        <f>IF('人物卡'!AG33="","","技能："&amp;'人物卡'!AG33)</f>
        <v>技能：信号情报</v>
      </c>
      <c r="B51">
        <v>0</v>
      </c>
      <c r="H51" t="str">
        <f>A33</f>
        <v>技能：医学</v>
      </c>
      <c r="W51">
        <f>IF(H51="","",COUNTIF($H$2:H51,"?*"))</f>
        <v>40</v>
      </c>
      <c r="X51" t="str">
        <f>IFERROR(INDEX($H$2:$H$79,MATCH(50,$W$2:$W$79,0)),"")</f>
        <v>技能：潜藏</v>
      </c>
      <c r="AA51" t="str">
        <f>IFERROR(INDEX('幕间与结算'!$E$9:$E$208,SMALL(AA$210:AA$409,50)),"")</f>
        <v/>
      </c>
      <c r="AB51" t="str">
        <f>IFERROR(INDEX('幕间与结算'!$E$9:$E$208,SMALL(AB$210:AB$409,50)),"")</f>
        <v/>
      </c>
      <c r="AC51" t="str">
        <f>IFERROR(INDEX('幕间与结算'!$E$9:$E$208,SMALL(AC$210:AC$409,50)),"")</f>
        <v/>
      </c>
      <c r="AD51" t="str">
        <f>IFERROR(INDEX('幕间与结算'!$E$9:$E$208,SMALL(AD$210:AD$409,50)),"")</f>
        <v/>
      </c>
      <c r="AE51" t="str">
        <f>IFERROR(INDEX('幕间与结算'!$E$9:$E$208,SMALL(AE$210:AE$409,50)),"")</f>
        <v/>
      </c>
      <c r="AF51" t="str">
        <f>IFERROR(INDEX('幕间与结算'!$E$9:$E$208,SMALL(AF$210:AF$409,50)),"")</f>
        <v/>
      </c>
      <c r="AG51" t="str">
        <f>IFERROR(INDEX('幕间与结算'!$E$9:$E$208,SMALL(AG$210:AG$409,50)),"")</f>
        <v/>
      </c>
      <c r="AH51" t="str">
        <f>IFERROR(INDEX('幕间与结算'!$E$9:$E$208,SMALL(AH$210:AH$409,50)),"")</f>
        <v/>
      </c>
      <c r="AI51" t="str">
        <f>IFERROR(INDEX('幕间与结算'!$E$9:$E$208,SMALL(AI$210:AI$409,50)),"")</f>
        <v/>
      </c>
      <c r="AJ51" t="str">
        <f>IFERROR(INDEX('幕间与结算'!$E$9:$E$208,SMALL(AJ$210:AJ$409,50)),"")</f>
        <v/>
      </c>
      <c r="AK51" t="str">
        <f>IFERROR(INDEX('幕间与结算'!$E$9:$E$208,SMALL(AK$210:AK$409,50)),"")</f>
        <v/>
      </c>
      <c r="AL51" t="str">
        <f>IFERROR(INDEX('幕间与结算'!$E$9:$E$208,SMALL(AL$210:AL$409,50)),"")</f>
        <v/>
      </c>
      <c r="AM51" t="str">
        <f>IFERROR(INDEX('幕间与结算'!$E$9:$E$208,SMALL(AM$210:AM$409,50)),"")</f>
        <v/>
      </c>
      <c r="AN51" t="str">
        <f>IFERROR(INDEX('幕间与结算'!$E$9:$E$208,SMALL(AN$210:AN$409,50)),"")</f>
        <v/>
      </c>
      <c r="AO51" t="str">
        <f>IFERROR(INDEX('幕间与结算'!$E$9:$E$208,SMALL(AO$210:AO$409,50)),"")</f>
        <v/>
      </c>
      <c r="AP51" t="str">
        <f>IFERROR(INDEX('幕间与结算'!$E$9:$E$208,SMALL(AP$210:AP$409,50)),"")</f>
        <v/>
      </c>
      <c r="AQ51" t="str">
        <f>IFERROR(INDEX('幕间与结算'!$E$9:$E$208,SMALL(AQ$210:AQ$409,50)),"")</f>
        <v/>
      </c>
      <c r="AR51" t="str">
        <f>IFERROR(INDEX('幕间与结算'!$E$9:$E$208,SMALL(AR$210:AR$409,50)),"")</f>
        <v/>
      </c>
      <c r="AS51" t="str">
        <f>IFERROR(INDEX('幕间与结算'!$E$9:$E$208,SMALL(AS$210:AS$409,50)),"")</f>
        <v/>
      </c>
      <c r="AT51" t="str">
        <f>IFERROR(INDEX('幕间与结算'!$E$9:$E$208,SMALL(AT$210:AT$409,50)),"")</f>
        <v/>
      </c>
    </row>
    <row r="52">
      <c r="A52" t="str">
        <f>IF('人物卡'!AG34="","","技能："&amp;'人物卡'!AG34)</f>
        <v>技能：潜藏</v>
      </c>
      <c r="B52">
        <v>0</v>
      </c>
      <c r="H52" t="str">
        <f>A34</f>
        <v>技能：近战武器</v>
      </c>
      <c r="W52">
        <f>IF(H52="","",COUNTIF($H$2:H52,"?*"))</f>
        <v>41</v>
      </c>
      <c r="X52" t="str">
        <f>IFERROR(INDEX($H$2:$H$79,MATCH(51,$W$2:$W$79,0)),"")</f>
        <v>技能：手术</v>
      </c>
      <c r="AA52" t="str">
        <f>IFERROR(INDEX('幕间与结算'!$E$9:$E$208,SMALL(AA$210:AA$409,51)),"")</f>
        <v/>
      </c>
      <c r="AB52" t="str">
        <f>IFERROR(INDEX('幕间与结算'!$E$9:$E$208,SMALL(AB$210:AB$409,51)),"")</f>
        <v/>
      </c>
      <c r="AC52" t="str">
        <f>IFERROR(INDEX('幕间与结算'!$E$9:$E$208,SMALL(AC$210:AC$409,51)),"")</f>
        <v/>
      </c>
      <c r="AD52" t="str">
        <f>IFERROR(INDEX('幕间与结算'!$E$9:$E$208,SMALL(AD$210:AD$409,51)),"")</f>
        <v/>
      </c>
      <c r="AE52" t="str">
        <f>IFERROR(INDEX('幕间与结算'!$E$9:$E$208,SMALL(AE$210:AE$409,51)),"")</f>
        <v/>
      </c>
      <c r="AF52" t="str">
        <f>IFERROR(INDEX('幕间与结算'!$E$9:$E$208,SMALL(AF$210:AF$409,51)),"")</f>
        <v/>
      </c>
      <c r="AG52" t="str">
        <f>IFERROR(INDEX('幕间与结算'!$E$9:$E$208,SMALL(AG$210:AG$409,51)),"")</f>
        <v/>
      </c>
      <c r="AH52" t="str">
        <f>IFERROR(INDEX('幕间与结算'!$E$9:$E$208,SMALL(AH$210:AH$409,51)),"")</f>
        <v/>
      </c>
      <c r="AI52" t="str">
        <f>IFERROR(INDEX('幕间与结算'!$E$9:$E$208,SMALL(AI$210:AI$409,51)),"")</f>
        <v/>
      </c>
      <c r="AJ52" t="str">
        <f>IFERROR(INDEX('幕间与结算'!$E$9:$E$208,SMALL(AJ$210:AJ$409,51)),"")</f>
        <v/>
      </c>
      <c r="AK52" t="str">
        <f>IFERROR(INDEX('幕间与结算'!$E$9:$E$208,SMALL(AK$210:AK$409,51)),"")</f>
        <v/>
      </c>
      <c r="AL52" t="str">
        <f>IFERROR(INDEX('幕间与结算'!$E$9:$E$208,SMALL(AL$210:AL$409,51)),"")</f>
        <v/>
      </c>
      <c r="AM52" t="str">
        <f>IFERROR(INDEX('幕间与结算'!$E$9:$E$208,SMALL(AM$210:AM$409,51)),"")</f>
        <v/>
      </c>
      <c r="AN52" t="str">
        <f>IFERROR(INDEX('幕间与结算'!$E$9:$E$208,SMALL(AN$210:AN$409,51)),"")</f>
        <v/>
      </c>
      <c r="AO52" t="str">
        <f>IFERROR(INDEX('幕间与结算'!$E$9:$E$208,SMALL(AO$210:AO$409,51)),"")</f>
        <v/>
      </c>
      <c r="AP52" t="str">
        <f>IFERROR(INDEX('幕间与结算'!$E$9:$E$208,SMALL(AP$210:AP$409,51)),"")</f>
        <v/>
      </c>
      <c r="AQ52" t="str">
        <f>IFERROR(INDEX('幕间与结算'!$E$9:$E$208,SMALL(AQ$210:AQ$409,51)),"")</f>
        <v/>
      </c>
      <c r="AR52" t="str">
        <f>IFERROR(INDEX('幕间与结算'!$E$9:$E$208,SMALL(AR$210:AR$409,51)),"")</f>
        <v/>
      </c>
      <c r="AS52" t="str">
        <f>IFERROR(INDEX('幕间与结算'!$E$9:$E$208,SMALL(AS$210:AS$409,51)),"")</f>
        <v/>
      </c>
      <c r="AT52" t="str">
        <f>IFERROR(INDEX('幕间与结算'!$E$9:$E$208,SMALL(AT$210:AT$409,51)),"")</f>
        <v/>
      </c>
    </row>
    <row r="53">
      <c r="A53" t="str">
        <f>IF('人物卡'!AG35="","","技能："&amp;'人物卡'!AG35)</f>
        <v>技能：手术</v>
      </c>
      <c r="B53">
        <v>0</v>
      </c>
      <c r="H53" t="str">
        <f>A35</f>
        <v/>
      </c>
      <c r="W53" t="str">
        <f>IF(H53="","",COUNTIF($H$2:H53,"?*"))</f>
        <v/>
      </c>
      <c r="X53" t="str">
        <f>IFERROR(INDEX($H$2:$H$79,MATCH(52,$W$2:$W$79,0)),"")</f>
        <v>技能：生存</v>
      </c>
      <c r="AA53" t="str">
        <f>IFERROR(INDEX('幕间与结算'!$E$9:$E$208,SMALL(AA$210:AA$409,52)),"")</f>
        <v/>
      </c>
      <c r="AB53" t="str">
        <f>IFERROR(INDEX('幕间与结算'!$E$9:$E$208,SMALL(AB$210:AB$409,52)),"")</f>
        <v/>
      </c>
      <c r="AC53" t="str">
        <f>IFERROR(INDEX('幕间与结算'!$E$9:$E$208,SMALL(AC$210:AC$409,52)),"")</f>
        <v/>
      </c>
      <c r="AD53" t="str">
        <f>IFERROR(INDEX('幕间与结算'!$E$9:$E$208,SMALL(AD$210:AD$409,52)),"")</f>
        <v/>
      </c>
      <c r="AE53" t="str">
        <f>IFERROR(INDEX('幕间与结算'!$E$9:$E$208,SMALL(AE$210:AE$409,52)),"")</f>
        <v/>
      </c>
      <c r="AF53" t="str">
        <f>IFERROR(INDEX('幕间与结算'!$E$9:$E$208,SMALL(AF$210:AF$409,52)),"")</f>
        <v/>
      </c>
      <c r="AG53" t="str">
        <f>IFERROR(INDEX('幕间与结算'!$E$9:$E$208,SMALL(AG$210:AG$409,52)),"")</f>
        <v/>
      </c>
      <c r="AH53" t="str">
        <f>IFERROR(INDEX('幕间与结算'!$E$9:$E$208,SMALL(AH$210:AH$409,52)),"")</f>
        <v/>
      </c>
      <c r="AI53" t="str">
        <f>IFERROR(INDEX('幕间与结算'!$E$9:$E$208,SMALL(AI$210:AI$409,52)),"")</f>
        <v/>
      </c>
      <c r="AJ53" t="str">
        <f>IFERROR(INDEX('幕间与结算'!$E$9:$E$208,SMALL(AJ$210:AJ$409,52)),"")</f>
        <v/>
      </c>
      <c r="AK53" t="str">
        <f>IFERROR(INDEX('幕间与结算'!$E$9:$E$208,SMALL(AK$210:AK$409,52)),"")</f>
        <v/>
      </c>
      <c r="AL53" t="str">
        <f>IFERROR(INDEX('幕间与结算'!$E$9:$E$208,SMALL(AL$210:AL$409,52)),"")</f>
        <v/>
      </c>
      <c r="AM53" t="str">
        <f>IFERROR(INDEX('幕间与结算'!$E$9:$E$208,SMALL(AM$210:AM$409,52)),"")</f>
        <v/>
      </c>
      <c r="AN53" t="str">
        <f>IFERROR(INDEX('幕间与结算'!$E$9:$E$208,SMALL(AN$210:AN$409,52)),"")</f>
        <v/>
      </c>
      <c r="AO53" t="str">
        <f>IFERROR(INDEX('幕间与结算'!$E$9:$E$208,SMALL(AO$210:AO$409,52)),"")</f>
        <v/>
      </c>
      <c r="AP53" t="str">
        <f>IFERROR(INDEX('幕间与结算'!$E$9:$E$208,SMALL(AP$210:AP$409,52)),"")</f>
        <v/>
      </c>
      <c r="AQ53" t="str">
        <f>IFERROR(INDEX('幕间与结算'!$E$9:$E$208,SMALL(AQ$210:AQ$409,52)),"")</f>
        <v/>
      </c>
      <c r="AR53" t="str">
        <f>IFERROR(INDEX('幕间与结算'!$E$9:$E$208,SMALL(AR$210:AR$409,52)),"")</f>
        <v/>
      </c>
      <c r="AS53" t="str">
        <f>IFERROR(INDEX('幕间与结算'!$E$9:$E$208,SMALL(AS$210:AS$409,52)),"")</f>
        <v/>
      </c>
      <c r="AT53" t="str">
        <f>IFERROR(INDEX('幕间与结算'!$E$9:$E$208,SMALL(AT$210:AT$409,52)),"")</f>
        <v/>
      </c>
    </row>
    <row r="54">
      <c r="A54" t="str">
        <f>IF('人物卡'!AG36="","","技能："&amp;'人物卡'!AG36)</f>
        <v>技能：生存</v>
      </c>
      <c r="B54">
        <v>0</v>
      </c>
      <c r="H54" t="str">
        <f>A36</f>
        <v/>
      </c>
      <c r="W54" t="str">
        <f>IF(H54="","",COUNTIF($H$2:H54,"?*"))</f>
        <v/>
      </c>
      <c r="X54" t="str">
        <f>IFERROR(INDEX($H$2:$H$79,MATCH(53,$W$2:$W$79,0)),"")</f>
        <v>技能：游泳</v>
      </c>
      <c r="AA54" t="str">
        <f>IFERROR(INDEX('幕间与结算'!$E$9:$E$208,SMALL(AA$210:AA$409,53)),"")</f>
        <v/>
      </c>
      <c r="AB54" t="str">
        <f>IFERROR(INDEX('幕间与结算'!$E$9:$E$208,SMALL(AB$210:AB$409,53)),"")</f>
        <v/>
      </c>
      <c r="AC54" t="str">
        <f>IFERROR(INDEX('幕间与结算'!$E$9:$E$208,SMALL(AC$210:AC$409,53)),"")</f>
        <v/>
      </c>
      <c r="AD54" t="str">
        <f>IFERROR(INDEX('幕间与结算'!$E$9:$E$208,SMALL(AD$210:AD$409,53)),"")</f>
        <v/>
      </c>
      <c r="AE54" t="str">
        <f>IFERROR(INDEX('幕间与结算'!$E$9:$E$208,SMALL(AE$210:AE$409,53)),"")</f>
        <v/>
      </c>
      <c r="AF54" t="str">
        <f>IFERROR(INDEX('幕间与结算'!$E$9:$E$208,SMALL(AF$210:AF$409,53)),"")</f>
        <v/>
      </c>
      <c r="AG54" t="str">
        <f>IFERROR(INDEX('幕间与结算'!$E$9:$E$208,SMALL(AG$210:AG$409,53)),"")</f>
        <v/>
      </c>
      <c r="AH54" t="str">
        <f>IFERROR(INDEX('幕间与结算'!$E$9:$E$208,SMALL(AH$210:AH$409,53)),"")</f>
        <v/>
      </c>
      <c r="AI54" t="str">
        <f>IFERROR(INDEX('幕间与结算'!$E$9:$E$208,SMALL(AI$210:AI$409,53)),"")</f>
        <v/>
      </c>
      <c r="AJ54" t="str">
        <f>IFERROR(INDEX('幕间与结算'!$E$9:$E$208,SMALL(AJ$210:AJ$409,53)),"")</f>
        <v/>
      </c>
      <c r="AK54" t="str">
        <f>IFERROR(INDEX('幕间与结算'!$E$9:$E$208,SMALL(AK$210:AK$409,53)),"")</f>
        <v/>
      </c>
      <c r="AL54" t="str">
        <f>IFERROR(INDEX('幕间与结算'!$E$9:$E$208,SMALL(AL$210:AL$409,53)),"")</f>
        <v/>
      </c>
      <c r="AM54" t="str">
        <f>IFERROR(INDEX('幕间与结算'!$E$9:$E$208,SMALL(AM$210:AM$409,53)),"")</f>
        <v/>
      </c>
      <c r="AN54" t="str">
        <f>IFERROR(INDEX('幕间与结算'!$E$9:$E$208,SMALL(AN$210:AN$409,53)),"")</f>
        <v/>
      </c>
      <c r="AO54" t="str">
        <f>IFERROR(INDEX('幕间与结算'!$E$9:$E$208,SMALL(AO$210:AO$409,53)),"")</f>
        <v/>
      </c>
      <c r="AP54" t="str">
        <f>IFERROR(INDEX('幕间与结算'!$E$9:$E$208,SMALL(AP$210:AP$409,53)),"")</f>
        <v/>
      </c>
      <c r="AQ54" t="str">
        <f>IFERROR(INDEX('幕间与结算'!$E$9:$E$208,SMALL(AQ$210:AQ$409,53)),"")</f>
        <v/>
      </c>
      <c r="AR54" t="str">
        <f>IFERROR(INDEX('幕间与结算'!$E$9:$E$208,SMALL(AR$210:AR$409,53)),"")</f>
        <v/>
      </c>
      <c r="AS54" t="str">
        <f>IFERROR(INDEX('幕间与结算'!$E$9:$E$208,SMALL(AS$210:AS$409,53)),"")</f>
        <v/>
      </c>
      <c r="AT54" t="str">
        <f>IFERROR(INDEX('幕间与结算'!$E$9:$E$208,SMALL(AT$210:AT$409,53)),"")</f>
        <v/>
      </c>
    </row>
    <row r="55">
      <c r="A55" t="str">
        <f>IF('人物卡'!AG37="","","技能："&amp;'人物卡'!AG37)</f>
        <v>技能：游泳</v>
      </c>
      <c r="B55">
        <v>0</v>
      </c>
      <c r="H55" t="str">
        <f>A37</f>
        <v/>
      </c>
      <c r="W55" t="str">
        <f>IF(H55="","",COUNTIF($H$2:H55,"?*"))</f>
        <v/>
      </c>
      <c r="X55" t="str">
        <f>IFERROR(INDEX($H$2:$H$79,MATCH(54,$W$2:$W$79,0)),"")</f>
        <v>技能：徒手搏斗</v>
      </c>
      <c r="AA55" t="str">
        <f>IFERROR(INDEX('幕间与结算'!$E$9:$E$208,SMALL(AA$210:AA$409,54)),"")</f>
        <v/>
      </c>
      <c r="AB55" t="str">
        <f>IFERROR(INDEX('幕间与结算'!$E$9:$E$208,SMALL(AB$210:AB$409,54)),"")</f>
        <v/>
      </c>
      <c r="AC55" t="str">
        <f>IFERROR(INDEX('幕间与结算'!$E$9:$E$208,SMALL(AC$210:AC$409,54)),"")</f>
        <v/>
      </c>
      <c r="AD55" t="str">
        <f>IFERROR(INDEX('幕间与结算'!$E$9:$E$208,SMALL(AD$210:AD$409,54)),"")</f>
        <v/>
      </c>
      <c r="AE55" t="str">
        <f>IFERROR(INDEX('幕间与结算'!$E$9:$E$208,SMALL(AE$210:AE$409,54)),"")</f>
        <v/>
      </c>
      <c r="AF55" t="str">
        <f>IFERROR(INDEX('幕间与结算'!$E$9:$E$208,SMALL(AF$210:AF$409,54)),"")</f>
        <v/>
      </c>
      <c r="AG55" t="str">
        <f>IFERROR(INDEX('幕间与结算'!$E$9:$E$208,SMALL(AG$210:AG$409,54)),"")</f>
        <v/>
      </c>
      <c r="AH55" t="str">
        <f>IFERROR(INDEX('幕间与结算'!$E$9:$E$208,SMALL(AH$210:AH$409,54)),"")</f>
        <v/>
      </c>
      <c r="AI55" t="str">
        <f>IFERROR(INDEX('幕间与结算'!$E$9:$E$208,SMALL(AI$210:AI$409,54)),"")</f>
        <v/>
      </c>
      <c r="AJ55" t="str">
        <f>IFERROR(INDEX('幕间与结算'!$E$9:$E$208,SMALL(AJ$210:AJ$409,54)),"")</f>
        <v/>
      </c>
      <c r="AK55" t="str">
        <f>IFERROR(INDEX('幕间与结算'!$E$9:$E$208,SMALL(AK$210:AK$409,54)),"")</f>
        <v/>
      </c>
      <c r="AL55" t="str">
        <f>IFERROR(INDEX('幕间与结算'!$E$9:$E$208,SMALL(AL$210:AL$409,54)),"")</f>
        <v/>
      </c>
      <c r="AM55" t="str">
        <f>IFERROR(INDEX('幕间与结算'!$E$9:$E$208,SMALL(AM$210:AM$409,54)),"")</f>
        <v/>
      </c>
      <c r="AN55" t="str">
        <f>IFERROR(INDEX('幕间与结算'!$E$9:$E$208,SMALL(AN$210:AN$409,54)),"")</f>
        <v/>
      </c>
      <c r="AO55" t="str">
        <f>IFERROR(INDEX('幕间与结算'!$E$9:$E$208,SMALL(AO$210:AO$409,54)),"")</f>
        <v/>
      </c>
      <c r="AP55" t="str">
        <f>IFERROR(INDEX('幕间与结算'!$E$9:$E$208,SMALL(AP$210:AP$409,54)),"")</f>
        <v/>
      </c>
      <c r="AQ55" t="str">
        <f>IFERROR(INDEX('幕间与结算'!$E$9:$E$208,SMALL(AQ$210:AQ$409,54)),"")</f>
        <v/>
      </c>
      <c r="AR55" t="str">
        <f>IFERROR(INDEX('幕间与结算'!$E$9:$E$208,SMALL(AR$210:AR$409,54)),"")</f>
        <v/>
      </c>
      <c r="AS55" t="str">
        <f>IFERROR(INDEX('幕间与结算'!$E$9:$E$208,SMALL(AS$210:AS$409,54)),"")</f>
        <v/>
      </c>
      <c r="AT55" t="str">
        <f>IFERROR(INDEX('幕间与结算'!$E$9:$E$208,SMALL(AT$210:AT$409,54)),"")</f>
        <v/>
      </c>
    </row>
    <row r="56">
      <c r="A56" t="str">
        <f>IF('人物卡'!AG38="","","技能："&amp;'人物卡'!AG38)</f>
        <v>技能：徒手搏斗</v>
      </c>
      <c r="B56">
        <v>0</v>
      </c>
      <c r="H56" t="str">
        <f>A38</f>
        <v>技能：导航</v>
      </c>
      <c r="W56">
        <f>IF(H56="","",COUNTIF($H$2:H56,"?*"))</f>
        <v>42</v>
      </c>
      <c r="X56" t="str">
        <f>IFERROR(INDEX($H$2:$H$79,MATCH(55,$W$2:$W$79,0)),"")</f>
        <v>技能：非自然知识</v>
      </c>
      <c r="AA56" t="str">
        <f>IFERROR(INDEX('幕间与结算'!$E$9:$E$208,SMALL(AA$210:AA$409,55)),"")</f>
        <v/>
      </c>
      <c r="AB56" t="str">
        <f>IFERROR(INDEX('幕间与结算'!$E$9:$E$208,SMALL(AB$210:AB$409,55)),"")</f>
        <v/>
      </c>
      <c r="AC56" t="str">
        <f>IFERROR(INDEX('幕间与结算'!$E$9:$E$208,SMALL(AC$210:AC$409,55)),"")</f>
        <v/>
      </c>
      <c r="AD56" t="str">
        <f>IFERROR(INDEX('幕间与结算'!$E$9:$E$208,SMALL(AD$210:AD$409,55)),"")</f>
        <v/>
      </c>
      <c r="AE56" t="str">
        <f>IFERROR(INDEX('幕间与结算'!$E$9:$E$208,SMALL(AE$210:AE$409,55)),"")</f>
        <v/>
      </c>
      <c r="AF56" t="str">
        <f>IFERROR(INDEX('幕间与结算'!$E$9:$E$208,SMALL(AF$210:AF$409,55)),"")</f>
        <v/>
      </c>
      <c r="AG56" t="str">
        <f>IFERROR(INDEX('幕间与结算'!$E$9:$E$208,SMALL(AG$210:AG$409,55)),"")</f>
        <v/>
      </c>
      <c r="AH56" t="str">
        <f>IFERROR(INDEX('幕间与结算'!$E$9:$E$208,SMALL(AH$210:AH$409,55)),"")</f>
        <v/>
      </c>
      <c r="AI56" t="str">
        <f>IFERROR(INDEX('幕间与结算'!$E$9:$E$208,SMALL(AI$210:AI$409,55)),"")</f>
        <v/>
      </c>
      <c r="AJ56" t="str">
        <f>IFERROR(INDEX('幕间与结算'!$E$9:$E$208,SMALL(AJ$210:AJ$409,55)),"")</f>
        <v/>
      </c>
      <c r="AK56" t="str">
        <f>IFERROR(INDEX('幕间与结算'!$E$9:$E$208,SMALL(AK$210:AK$409,55)),"")</f>
        <v/>
      </c>
      <c r="AL56" t="str">
        <f>IFERROR(INDEX('幕间与结算'!$E$9:$E$208,SMALL(AL$210:AL$409,55)),"")</f>
        <v/>
      </c>
      <c r="AM56" t="str">
        <f>IFERROR(INDEX('幕间与结算'!$E$9:$E$208,SMALL(AM$210:AM$409,55)),"")</f>
        <v/>
      </c>
      <c r="AN56" t="str">
        <f>IFERROR(INDEX('幕间与结算'!$E$9:$E$208,SMALL(AN$210:AN$409,55)),"")</f>
        <v/>
      </c>
      <c r="AO56" t="str">
        <f>IFERROR(INDEX('幕间与结算'!$E$9:$E$208,SMALL(AO$210:AO$409,55)),"")</f>
        <v/>
      </c>
      <c r="AP56" t="str">
        <f>IFERROR(INDEX('幕间与结算'!$E$9:$E$208,SMALL(AP$210:AP$409,55)),"")</f>
        <v/>
      </c>
      <c r="AQ56" t="str">
        <f>IFERROR(INDEX('幕间与结算'!$E$9:$E$208,SMALL(AQ$210:AQ$409,55)),"")</f>
        <v/>
      </c>
      <c r="AR56" t="str">
        <f>IFERROR(INDEX('幕间与结算'!$E$9:$E$208,SMALL(AR$210:AR$409,55)),"")</f>
        <v/>
      </c>
      <c r="AS56" t="str">
        <f>IFERROR(INDEX('幕间与结算'!$E$9:$E$208,SMALL(AS$210:AS$409,55)),"")</f>
        <v/>
      </c>
      <c r="AT56" t="str">
        <f>IFERROR(INDEX('幕间与结算'!$E$9:$E$208,SMALL(AT$210:AT$409,55)),"")</f>
        <v/>
      </c>
    </row>
    <row r="57">
      <c r="A57" t="str">
        <f>IF('人物卡'!AG39="","","技能："&amp;'人物卡'!AG39)</f>
        <v>技能：非自然知识</v>
      </c>
      <c r="B57">
        <v>0</v>
      </c>
      <c r="H57" t="str">
        <f>A39</f>
        <v>技能：神秘学</v>
      </c>
      <c r="W57">
        <f>IF(H57="","",COUNTIF($H$2:H57,"?*"))</f>
        <v>43</v>
      </c>
      <c r="X57" t="str">
        <f>IFERROR(INDEX($H$2:$H$79,MATCH(56,$W$2:$W$79,0)),"")</f>
        <v/>
      </c>
      <c r="AA57" t="str">
        <f>IFERROR(INDEX('幕间与结算'!$E$9:$E$208,SMALL(AA$210:AA$409,56)),"")</f>
        <v/>
      </c>
      <c r="AB57" t="str">
        <f>IFERROR(INDEX('幕间与结算'!$E$9:$E$208,SMALL(AB$210:AB$409,56)),"")</f>
        <v/>
      </c>
      <c r="AC57" t="str">
        <f>IFERROR(INDEX('幕间与结算'!$E$9:$E$208,SMALL(AC$210:AC$409,56)),"")</f>
        <v/>
      </c>
      <c r="AD57" t="str">
        <f>IFERROR(INDEX('幕间与结算'!$E$9:$E$208,SMALL(AD$210:AD$409,56)),"")</f>
        <v/>
      </c>
      <c r="AE57" t="str">
        <f>IFERROR(INDEX('幕间与结算'!$E$9:$E$208,SMALL(AE$210:AE$409,56)),"")</f>
        <v/>
      </c>
      <c r="AF57" t="str">
        <f>IFERROR(INDEX('幕间与结算'!$E$9:$E$208,SMALL(AF$210:AF$409,56)),"")</f>
        <v/>
      </c>
      <c r="AG57" t="str">
        <f>IFERROR(INDEX('幕间与结算'!$E$9:$E$208,SMALL(AG$210:AG$409,56)),"")</f>
        <v/>
      </c>
      <c r="AH57" t="str">
        <f>IFERROR(INDEX('幕间与结算'!$E$9:$E$208,SMALL(AH$210:AH$409,56)),"")</f>
        <v/>
      </c>
      <c r="AI57" t="str">
        <f>IFERROR(INDEX('幕间与结算'!$E$9:$E$208,SMALL(AI$210:AI$409,56)),"")</f>
        <v/>
      </c>
      <c r="AJ57" t="str">
        <f>IFERROR(INDEX('幕间与结算'!$E$9:$E$208,SMALL(AJ$210:AJ$409,56)),"")</f>
        <v/>
      </c>
      <c r="AK57" t="str">
        <f>IFERROR(INDEX('幕间与结算'!$E$9:$E$208,SMALL(AK$210:AK$409,56)),"")</f>
        <v/>
      </c>
      <c r="AL57" t="str">
        <f>IFERROR(INDEX('幕间与结算'!$E$9:$E$208,SMALL(AL$210:AL$409,56)),"")</f>
        <v/>
      </c>
      <c r="AM57" t="str">
        <f>IFERROR(INDEX('幕间与结算'!$E$9:$E$208,SMALL(AM$210:AM$409,56)),"")</f>
        <v/>
      </c>
      <c r="AN57" t="str">
        <f>IFERROR(INDEX('幕间与结算'!$E$9:$E$208,SMALL(AN$210:AN$409,56)),"")</f>
        <v/>
      </c>
      <c r="AO57" t="str">
        <f>IFERROR(INDEX('幕间与结算'!$E$9:$E$208,SMALL(AO$210:AO$409,56)),"")</f>
        <v/>
      </c>
      <c r="AP57" t="str">
        <f>IFERROR(INDEX('幕间与结算'!$E$9:$E$208,SMALL(AP$210:AP$409,56)),"")</f>
        <v/>
      </c>
      <c r="AQ57" t="str">
        <f>IFERROR(INDEX('幕间与结算'!$E$9:$E$208,SMALL(AQ$210:AQ$409,56)),"")</f>
        <v/>
      </c>
      <c r="AR57" t="str">
        <f>IFERROR(INDEX('幕间与结算'!$E$9:$E$208,SMALL(AR$210:AR$409,56)),"")</f>
        <v/>
      </c>
      <c r="AS57" t="str">
        <f>IFERROR(INDEX('幕间与结算'!$E$9:$E$208,SMALL(AS$210:AS$409,56)),"")</f>
        <v/>
      </c>
      <c r="AT57" t="str">
        <f>IFERROR(INDEX('幕间与结算'!$E$9:$E$208,SMALL(AT$210:AT$409,56)),"")</f>
        <v/>
      </c>
    </row>
    <row r="58">
      <c r="A58" t="str">
        <f>IF('人物卡'!AG40="","","技能："&amp;'人物卡'!AG40)</f>
        <v/>
      </c>
      <c r="B58">
        <v>0</v>
      </c>
      <c r="H58" t="str">
        <f>A40</f>
        <v>技能：说服</v>
      </c>
      <c r="W58">
        <f>IF(H58="","",COUNTIF($H$2:H58,"?*"))</f>
        <v>44</v>
      </c>
      <c r="X58" t="str">
        <f>IFERROR(INDEX($H$2:$H$79,MATCH(57,$W$2:$W$79,0)),"")</f>
        <v/>
      </c>
      <c r="AA58" t="str">
        <f>IFERROR(INDEX('幕间与结算'!$E$9:$E$208,SMALL(AA$210:AA$409,57)),"")</f>
        <v/>
      </c>
      <c r="AB58" t="str">
        <f>IFERROR(INDEX('幕间与结算'!$E$9:$E$208,SMALL(AB$210:AB$409,57)),"")</f>
        <v/>
      </c>
      <c r="AC58" t="str">
        <f>IFERROR(INDEX('幕间与结算'!$E$9:$E$208,SMALL(AC$210:AC$409,57)),"")</f>
        <v/>
      </c>
      <c r="AD58" t="str">
        <f>IFERROR(INDEX('幕间与结算'!$E$9:$E$208,SMALL(AD$210:AD$409,57)),"")</f>
        <v/>
      </c>
      <c r="AE58" t="str">
        <f>IFERROR(INDEX('幕间与结算'!$E$9:$E$208,SMALL(AE$210:AE$409,57)),"")</f>
        <v/>
      </c>
      <c r="AF58" t="str">
        <f>IFERROR(INDEX('幕间与结算'!$E$9:$E$208,SMALL(AF$210:AF$409,57)),"")</f>
        <v/>
      </c>
      <c r="AG58" t="str">
        <f>IFERROR(INDEX('幕间与结算'!$E$9:$E$208,SMALL(AG$210:AG$409,57)),"")</f>
        <v/>
      </c>
      <c r="AH58" t="str">
        <f>IFERROR(INDEX('幕间与结算'!$E$9:$E$208,SMALL(AH$210:AH$409,57)),"")</f>
        <v/>
      </c>
      <c r="AI58" t="str">
        <f>IFERROR(INDEX('幕间与结算'!$E$9:$E$208,SMALL(AI$210:AI$409,57)),"")</f>
        <v/>
      </c>
      <c r="AJ58" t="str">
        <f>IFERROR(INDEX('幕间与结算'!$E$9:$E$208,SMALL(AJ$210:AJ$409,57)),"")</f>
        <v/>
      </c>
      <c r="AK58" t="str">
        <f>IFERROR(INDEX('幕间与结算'!$E$9:$E$208,SMALL(AK$210:AK$409,57)),"")</f>
        <v/>
      </c>
      <c r="AL58" t="str">
        <f>IFERROR(INDEX('幕间与结算'!$E$9:$E$208,SMALL(AL$210:AL$409,57)),"")</f>
        <v/>
      </c>
      <c r="AM58" t="str">
        <f>IFERROR(INDEX('幕间与结算'!$E$9:$E$208,SMALL(AM$210:AM$409,57)),"")</f>
        <v/>
      </c>
      <c r="AN58" t="str">
        <f>IFERROR(INDEX('幕间与结算'!$E$9:$E$208,SMALL(AN$210:AN$409,57)),"")</f>
        <v/>
      </c>
      <c r="AO58" t="str">
        <f>IFERROR(INDEX('幕间与结算'!$E$9:$E$208,SMALL(AO$210:AO$409,57)),"")</f>
        <v/>
      </c>
      <c r="AP58" t="str">
        <f>IFERROR(INDEX('幕间与结算'!$E$9:$E$208,SMALL(AP$210:AP$409,57)),"")</f>
        <v/>
      </c>
      <c r="AQ58" t="str">
        <f>IFERROR(INDEX('幕间与结算'!$E$9:$E$208,SMALL(AQ$210:AQ$409,57)),"")</f>
        <v/>
      </c>
      <c r="AR58" t="str">
        <f>IFERROR(INDEX('幕间与结算'!$E$9:$E$208,SMALL(AR$210:AR$409,57)),"")</f>
        <v/>
      </c>
      <c r="AS58" t="str">
        <f>IFERROR(INDEX('幕间与结算'!$E$9:$E$208,SMALL(AS$210:AS$409,57)),"")</f>
        <v/>
      </c>
      <c r="AT58" t="str">
        <f>IFERROR(INDEX('幕间与结算'!$E$9:$E$208,SMALL(AT$210:AT$409,57)),"")</f>
        <v/>
      </c>
    </row>
    <row r="59">
      <c r="A59" t="str">
        <f>IF('人物卡'!AG41="","","技能："&amp;'人物卡'!AG41)</f>
        <v/>
      </c>
      <c r="B59">
        <v>0</v>
      </c>
      <c r="H59" t="str">
        <f>A41</f>
        <v>技能：药学</v>
      </c>
      <c r="W59">
        <f>IF(H59="","",COUNTIF($H$2:H59,"?*"))</f>
        <v>45</v>
      </c>
      <c r="X59" t="str">
        <f>IFERROR(INDEX($H$2:$H$79,MATCH(58,$W$2:$W$79,0)),"")</f>
        <v/>
      </c>
      <c r="AA59" t="str">
        <f>IFERROR(INDEX('幕间与结算'!$E$9:$E$208,SMALL(AA$210:AA$409,58)),"")</f>
        <v/>
      </c>
      <c r="AB59" t="str">
        <f>IFERROR(INDEX('幕间与结算'!$E$9:$E$208,SMALL(AB$210:AB$409,58)),"")</f>
        <v/>
      </c>
      <c r="AC59" t="str">
        <f>IFERROR(INDEX('幕间与结算'!$E$9:$E$208,SMALL(AC$210:AC$409,58)),"")</f>
        <v/>
      </c>
      <c r="AD59" t="str">
        <f>IFERROR(INDEX('幕间与结算'!$E$9:$E$208,SMALL(AD$210:AD$409,58)),"")</f>
        <v/>
      </c>
      <c r="AE59" t="str">
        <f>IFERROR(INDEX('幕间与结算'!$E$9:$E$208,SMALL(AE$210:AE$409,58)),"")</f>
        <v/>
      </c>
      <c r="AF59" t="str">
        <f>IFERROR(INDEX('幕间与结算'!$E$9:$E$208,SMALL(AF$210:AF$409,58)),"")</f>
        <v/>
      </c>
      <c r="AG59" t="str">
        <f>IFERROR(INDEX('幕间与结算'!$E$9:$E$208,SMALL(AG$210:AG$409,58)),"")</f>
        <v/>
      </c>
      <c r="AH59" t="str">
        <f>IFERROR(INDEX('幕间与结算'!$E$9:$E$208,SMALL(AH$210:AH$409,58)),"")</f>
        <v/>
      </c>
      <c r="AI59" t="str">
        <f>IFERROR(INDEX('幕间与结算'!$E$9:$E$208,SMALL(AI$210:AI$409,58)),"")</f>
        <v/>
      </c>
      <c r="AJ59" t="str">
        <f>IFERROR(INDEX('幕间与结算'!$E$9:$E$208,SMALL(AJ$210:AJ$409,58)),"")</f>
        <v/>
      </c>
      <c r="AK59" t="str">
        <f>IFERROR(INDEX('幕间与结算'!$E$9:$E$208,SMALL(AK$210:AK$409,58)),"")</f>
        <v/>
      </c>
      <c r="AL59" t="str">
        <f>IFERROR(INDEX('幕间与结算'!$E$9:$E$208,SMALL(AL$210:AL$409,58)),"")</f>
        <v/>
      </c>
      <c r="AM59" t="str">
        <f>IFERROR(INDEX('幕间与结算'!$E$9:$E$208,SMALL(AM$210:AM$409,58)),"")</f>
        <v/>
      </c>
      <c r="AN59" t="str">
        <f>IFERROR(INDEX('幕间与结算'!$E$9:$E$208,SMALL(AN$210:AN$409,58)),"")</f>
        <v/>
      </c>
      <c r="AO59" t="str">
        <f>IFERROR(INDEX('幕间与结算'!$E$9:$E$208,SMALL(AO$210:AO$409,58)),"")</f>
        <v/>
      </c>
      <c r="AP59" t="str">
        <f>IFERROR(INDEX('幕间与结算'!$E$9:$E$208,SMALL(AP$210:AP$409,58)),"")</f>
        <v/>
      </c>
      <c r="AQ59" t="str">
        <f>IFERROR(INDEX('幕间与结算'!$E$9:$E$208,SMALL(AQ$210:AQ$409,58)),"")</f>
        <v/>
      </c>
      <c r="AR59" t="str">
        <f>IFERROR(INDEX('幕间与结算'!$E$9:$E$208,SMALL(AR$210:AR$409,58)),"")</f>
        <v/>
      </c>
      <c r="AS59" t="str">
        <f>IFERROR(INDEX('幕间与结算'!$E$9:$E$208,SMALL(AS$210:AS$409,58)),"")</f>
        <v/>
      </c>
      <c r="AT59" t="str">
        <f>IFERROR(INDEX('幕间与结算'!$E$9:$E$208,SMALL(AT$210:AT$409,58)),"")</f>
        <v/>
      </c>
    </row>
    <row r="60">
      <c r="A60" t="str">
        <f>IF('人物卡'!AG42="","","技能："&amp;'人物卡'!AG42)</f>
        <v/>
      </c>
      <c r="B60">
        <v>0</v>
      </c>
      <c r="H60" t="str">
        <f>A42</f>
        <v/>
      </c>
      <c r="W60" t="str">
        <f>IF(H60="","",COUNTIF($H$2:H60,"?*"))</f>
        <v/>
      </c>
      <c r="X60" t="str">
        <f>IFERROR(INDEX($H$2:$H$79,MATCH(59,$W$2:$W$79,0)),"")</f>
        <v/>
      </c>
      <c r="AA60" t="str">
        <f>IFERROR(INDEX('幕间与结算'!$E$9:$E$208,SMALL(AA$210:AA$409,59)),"")</f>
        <v/>
      </c>
      <c r="AB60" t="str">
        <f>IFERROR(INDEX('幕间与结算'!$E$9:$E$208,SMALL(AB$210:AB$409,59)),"")</f>
        <v/>
      </c>
      <c r="AC60" t="str">
        <f>IFERROR(INDEX('幕间与结算'!$E$9:$E$208,SMALL(AC$210:AC$409,59)),"")</f>
        <v/>
      </c>
      <c r="AD60" t="str">
        <f>IFERROR(INDEX('幕间与结算'!$E$9:$E$208,SMALL(AD$210:AD$409,59)),"")</f>
        <v/>
      </c>
      <c r="AE60" t="str">
        <f>IFERROR(INDEX('幕间与结算'!$E$9:$E$208,SMALL(AE$210:AE$409,59)),"")</f>
        <v/>
      </c>
      <c r="AF60" t="str">
        <f>IFERROR(INDEX('幕间与结算'!$E$9:$E$208,SMALL(AF$210:AF$409,59)),"")</f>
        <v/>
      </c>
      <c r="AG60" t="str">
        <f>IFERROR(INDEX('幕间与结算'!$E$9:$E$208,SMALL(AG$210:AG$409,59)),"")</f>
        <v/>
      </c>
      <c r="AH60" t="str">
        <f>IFERROR(INDEX('幕间与结算'!$E$9:$E$208,SMALL(AH$210:AH$409,59)),"")</f>
        <v/>
      </c>
      <c r="AI60" t="str">
        <f>IFERROR(INDEX('幕间与结算'!$E$9:$E$208,SMALL(AI$210:AI$409,59)),"")</f>
        <v/>
      </c>
      <c r="AJ60" t="str">
        <f>IFERROR(INDEX('幕间与结算'!$E$9:$E$208,SMALL(AJ$210:AJ$409,59)),"")</f>
        <v/>
      </c>
      <c r="AK60" t="str">
        <f>IFERROR(INDEX('幕间与结算'!$E$9:$E$208,SMALL(AK$210:AK$409,59)),"")</f>
        <v/>
      </c>
      <c r="AL60" t="str">
        <f>IFERROR(INDEX('幕间与结算'!$E$9:$E$208,SMALL(AL$210:AL$409,59)),"")</f>
        <v/>
      </c>
      <c r="AM60" t="str">
        <f>IFERROR(INDEX('幕间与结算'!$E$9:$E$208,SMALL(AM$210:AM$409,59)),"")</f>
        <v/>
      </c>
      <c r="AN60" t="str">
        <f>IFERROR(INDEX('幕间与结算'!$E$9:$E$208,SMALL(AN$210:AN$409,59)),"")</f>
        <v/>
      </c>
      <c r="AO60" t="str">
        <f>IFERROR(INDEX('幕间与结算'!$E$9:$E$208,SMALL(AO$210:AO$409,59)),"")</f>
        <v/>
      </c>
      <c r="AP60" t="str">
        <f>IFERROR(INDEX('幕间与结算'!$E$9:$E$208,SMALL(AP$210:AP$409,59)),"")</f>
        <v/>
      </c>
      <c r="AQ60" t="str">
        <f>IFERROR(INDEX('幕间与结算'!$E$9:$E$208,SMALL(AQ$210:AQ$409,59)),"")</f>
        <v/>
      </c>
      <c r="AR60" t="str">
        <f>IFERROR(INDEX('幕间与结算'!$E$9:$E$208,SMALL(AR$210:AR$409,59)),"")</f>
        <v/>
      </c>
      <c r="AS60" t="str">
        <f>IFERROR(INDEX('幕间与结算'!$E$9:$E$208,SMALL(AS$210:AS$409,59)),"")</f>
        <v/>
      </c>
      <c r="AT60" t="str">
        <f>IFERROR(INDEX('幕间与结算'!$E$9:$E$208,SMALL(AT$210:AT$409,59)),"")</f>
        <v/>
      </c>
    </row>
    <row r="61">
      <c r="A61" t="str">
        <f>IF('人物卡'!AG43="","","技能："&amp;'人物卡'!AG43)</f>
        <v/>
      </c>
      <c r="B61">
        <v>0</v>
      </c>
      <c r="H61" t="str">
        <f>A43</f>
        <v/>
      </c>
      <c r="W61" t="str">
        <f>IF(H61="","",COUNTIF($H$2:H61,"?*"))</f>
        <v/>
      </c>
      <c r="X61" t="str">
        <f>IFERROR(INDEX($H$2:$H$79,MATCH(60,$W$2:$W$79,0)),"")</f>
        <v/>
      </c>
      <c r="AA61" t="str">
        <f>IFERROR(INDEX('幕间与结算'!$E$9:$E$208,SMALL(AA$210:AA$409,60)),"")</f>
        <v/>
      </c>
      <c r="AB61" t="str">
        <f>IFERROR(INDEX('幕间与结算'!$E$9:$E$208,SMALL(AB$210:AB$409,60)),"")</f>
        <v/>
      </c>
      <c r="AC61" t="str">
        <f>IFERROR(INDEX('幕间与结算'!$E$9:$E$208,SMALL(AC$210:AC$409,60)),"")</f>
        <v/>
      </c>
      <c r="AD61" t="str">
        <f>IFERROR(INDEX('幕间与结算'!$E$9:$E$208,SMALL(AD$210:AD$409,60)),"")</f>
        <v/>
      </c>
      <c r="AE61" t="str">
        <f>IFERROR(INDEX('幕间与结算'!$E$9:$E$208,SMALL(AE$210:AE$409,60)),"")</f>
        <v/>
      </c>
      <c r="AF61" t="str">
        <f>IFERROR(INDEX('幕间与结算'!$E$9:$E$208,SMALL(AF$210:AF$409,60)),"")</f>
        <v/>
      </c>
      <c r="AG61" t="str">
        <f>IFERROR(INDEX('幕间与结算'!$E$9:$E$208,SMALL(AG$210:AG$409,60)),"")</f>
        <v/>
      </c>
      <c r="AH61" t="str">
        <f>IFERROR(INDEX('幕间与结算'!$E$9:$E$208,SMALL(AH$210:AH$409,60)),"")</f>
        <v/>
      </c>
      <c r="AI61" t="str">
        <f>IFERROR(INDEX('幕间与结算'!$E$9:$E$208,SMALL(AI$210:AI$409,60)),"")</f>
        <v/>
      </c>
      <c r="AJ61" t="str">
        <f>IFERROR(INDEX('幕间与结算'!$E$9:$E$208,SMALL(AJ$210:AJ$409,60)),"")</f>
        <v/>
      </c>
      <c r="AK61" t="str">
        <f>IFERROR(INDEX('幕间与结算'!$E$9:$E$208,SMALL(AK$210:AK$409,60)),"")</f>
        <v/>
      </c>
      <c r="AL61" t="str">
        <f>IFERROR(INDEX('幕间与结算'!$E$9:$E$208,SMALL(AL$210:AL$409,60)),"")</f>
        <v/>
      </c>
      <c r="AM61" t="str">
        <f>IFERROR(INDEX('幕间与结算'!$E$9:$E$208,SMALL(AM$210:AM$409,60)),"")</f>
        <v/>
      </c>
      <c r="AN61" t="str">
        <f>IFERROR(INDEX('幕间与结算'!$E$9:$E$208,SMALL(AN$210:AN$409,60)),"")</f>
        <v/>
      </c>
      <c r="AO61" t="str">
        <f>IFERROR(INDEX('幕间与结算'!$E$9:$E$208,SMALL(AO$210:AO$409,60)),"")</f>
        <v/>
      </c>
      <c r="AP61" t="str">
        <f>IFERROR(INDEX('幕间与结算'!$E$9:$E$208,SMALL(AP$210:AP$409,60)),"")</f>
        <v/>
      </c>
      <c r="AQ61" t="str">
        <f>IFERROR(INDEX('幕间与结算'!$E$9:$E$208,SMALL(AQ$210:AQ$409,60)),"")</f>
        <v/>
      </c>
      <c r="AR61" t="str">
        <f>IFERROR(INDEX('幕间与结算'!$E$9:$E$208,SMALL(AR$210:AR$409,60)),"")</f>
        <v/>
      </c>
      <c r="AS61" t="str">
        <f>IFERROR(INDEX('幕间与结算'!$E$9:$E$208,SMALL(AS$210:AS$409,60)),"")</f>
        <v/>
      </c>
      <c r="AT61" t="str">
        <f>IFERROR(INDEX('幕间与结算'!$E$9:$E$208,SMALL(AT$210:AT$409,60)),"")</f>
        <v/>
      </c>
    </row>
    <row r="62">
      <c r="H62" t="str">
        <f>A44</f>
        <v/>
      </c>
      <c r="W62" t="str">
        <f>IF(H62="","",COUNTIF($H$2:H62,"?*"))</f>
        <v/>
      </c>
      <c r="X62" t="str">
        <f>IFERROR(INDEX($H$2:$H$79,MATCH(61,$W$2:$W$79,0)),"")</f>
        <v/>
      </c>
      <c r="AA62" t="str">
        <f>IFERROR(INDEX('幕间与结算'!$E$9:$E$208,SMALL(AA$210:AA$409,61)),"")</f>
        <v/>
      </c>
      <c r="AB62" t="str">
        <f>IFERROR(INDEX('幕间与结算'!$E$9:$E$208,SMALL(AB$210:AB$409,61)),"")</f>
        <v/>
      </c>
      <c r="AC62" t="str">
        <f>IFERROR(INDEX('幕间与结算'!$E$9:$E$208,SMALL(AC$210:AC$409,61)),"")</f>
        <v/>
      </c>
      <c r="AD62" t="str">
        <f>IFERROR(INDEX('幕间与结算'!$E$9:$E$208,SMALL(AD$210:AD$409,61)),"")</f>
        <v/>
      </c>
      <c r="AE62" t="str">
        <f>IFERROR(INDEX('幕间与结算'!$E$9:$E$208,SMALL(AE$210:AE$409,61)),"")</f>
        <v/>
      </c>
      <c r="AF62" t="str">
        <f>IFERROR(INDEX('幕间与结算'!$E$9:$E$208,SMALL(AF$210:AF$409,61)),"")</f>
        <v/>
      </c>
      <c r="AG62" t="str">
        <f>IFERROR(INDEX('幕间与结算'!$E$9:$E$208,SMALL(AG$210:AG$409,61)),"")</f>
        <v/>
      </c>
      <c r="AH62" t="str">
        <f>IFERROR(INDEX('幕间与结算'!$E$9:$E$208,SMALL(AH$210:AH$409,61)),"")</f>
        <v/>
      </c>
      <c r="AI62" t="str">
        <f>IFERROR(INDEX('幕间与结算'!$E$9:$E$208,SMALL(AI$210:AI$409,61)),"")</f>
        <v/>
      </c>
      <c r="AJ62" t="str">
        <f>IFERROR(INDEX('幕间与结算'!$E$9:$E$208,SMALL(AJ$210:AJ$409,61)),"")</f>
        <v/>
      </c>
      <c r="AK62" t="str">
        <f>IFERROR(INDEX('幕间与结算'!$E$9:$E$208,SMALL(AK$210:AK$409,61)),"")</f>
        <v/>
      </c>
      <c r="AL62" t="str">
        <f>IFERROR(INDEX('幕间与结算'!$E$9:$E$208,SMALL(AL$210:AL$409,61)),"")</f>
        <v/>
      </c>
      <c r="AM62" t="str">
        <f>IFERROR(INDEX('幕间与结算'!$E$9:$E$208,SMALL(AM$210:AM$409,61)),"")</f>
        <v/>
      </c>
      <c r="AN62" t="str">
        <f>IFERROR(INDEX('幕间与结算'!$E$9:$E$208,SMALL(AN$210:AN$409,61)),"")</f>
        <v/>
      </c>
      <c r="AO62" t="str">
        <f>IFERROR(INDEX('幕间与结算'!$E$9:$E$208,SMALL(AO$210:AO$409,61)),"")</f>
        <v/>
      </c>
      <c r="AP62" t="str">
        <f>IFERROR(INDEX('幕间与结算'!$E$9:$E$208,SMALL(AP$210:AP$409,61)),"")</f>
        <v/>
      </c>
      <c r="AQ62" t="str">
        <f>IFERROR(INDEX('幕间与结算'!$E$9:$E$208,SMALL(AQ$210:AQ$409,61)),"")</f>
        <v/>
      </c>
      <c r="AR62" t="str">
        <f>IFERROR(INDEX('幕间与结算'!$E$9:$E$208,SMALL(AR$210:AR$409,61)),"")</f>
        <v/>
      </c>
      <c r="AS62" t="str">
        <f>IFERROR(INDEX('幕间与结算'!$E$9:$E$208,SMALL(AS$210:AS$409,61)),"")</f>
        <v/>
      </c>
      <c r="AT62" t="str">
        <f>IFERROR(INDEX('幕间与结算'!$E$9:$E$208,SMALL(AT$210:AT$409,61)),"")</f>
        <v/>
      </c>
    </row>
    <row r="63">
      <c r="H63" t="str">
        <f>A45</f>
        <v>技能：精神治疗</v>
      </c>
      <c r="W63">
        <f>IF(H63="","",COUNTIF($H$2:H63,"?*"))</f>
        <v>46</v>
      </c>
      <c r="X63" t="str">
        <f>IFERROR(INDEX($H$2:$H$79,MATCH(62,$W$2:$W$79,0)),"")</f>
        <v/>
      </c>
      <c r="AA63" t="str">
        <f>IFERROR(INDEX('幕间与结算'!$E$9:$E$208,SMALL(AA$210:AA$409,62)),"")</f>
        <v/>
      </c>
      <c r="AB63" t="str">
        <f>IFERROR(INDEX('幕间与结算'!$E$9:$E$208,SMALL(AB$210:AB$409,62)),"")</f>
        <v/>
      </c>
      <c r="AC63" t="str">
        <f>IFERROR(INDEX('幕间与结算'!$E$9:$E$208,SMALL(AC$210:AC$409,62)),"")</f>
        <v/>
      </c>
      <c r="AD63" t="str">
        <f>IFERROR(INDEX('幕间与结算'!$E$9:$E$208,SMALL(AD$210:AD$409,62)),"")</f>
        <v/>
      </c>
      <c r="AE63" t="str">
        <f>IFERROR(INDEX('幕间与结算'!$E$9:$E$208,SMALL(AE$210:AE$409,62)),"")</f>
        <v/>
      </c>
      <c r="AF63" t="str">
        <f>IFERROR(INDEX('幕间与结算'!$E$9:$E$208,SMALL(AF$210:AF$409,62)),"")</f>
        <v/>
      </c>
      <c r="AG63" t="str">
        <f>IFERROR(INDEX('幕间与结算'!$E$9:$E$208,SMALL(AG$210:AG$409,62)),"")</f>
        <v/>
      </c>
      <c r="AH63" t="str">
        <f>IFERROR(INDEX('幕间与结算'!$E$9:$E$208,SMALL(AH$210:AH$409,62)),"")</f>
        <v/>
      </c>
      <c r="AI63" t="str">
        <f>IFERROR(INDEX('幕间与结算'!$E$9:$E$208,SMALL(AI$210:AI$409,62)),"")</f>
        <v/>
      </c>
      <c r="AJ63" t="str">
        <f>IFERROR(INDEX('幕间与结算'!$E$9:$E$208,SMALL(AJ$210:AJ$409,62)),"")</f>
        <v/>
      </c>
      <c r="AK63" t="str">
        <f>IFERROR(INDEX('幕间与结算'!$E$9:$E$208,SMALL(AK$210:AK$409,62)),"")</f>
        <v/>
      </c>
      <c r="AL63" t="str">
        <f>IFERROR(INDEX('幕间与结算'!$E$9:$E$208,SMALL(AL$210:AL$409,62)),"")</f>
        <v/>
      </c>
      <c r="AM63" t="str">
        <f>IFERROR(INDEX('幕间与结算'!$E$9:$E$208,SMALL(AM$210:AM$409,62)),"")</f>
        <v/>
      </c>
      <c r="AN63" t="str">
        <f>IFERROR(INDEX('幕间与结算'!$E$9:$E$208,SMALL(AN$210:AN$409,62)),"")</f>
        <v/>
      </c>
      <c r="AO63" t="str">
        <f>IFERROR(INDEX('幕间与结算'!$E$9:$E$208,SMALL(AO$210:AO$409,62)),"")</f>
        <v/>
      </c>
      <c r="AP63" t="str">
        <f>IFERROR(INDEX('幕间与结算'!$E$9:$E$208,SMALL(AP$210:AP$409,62)),"")</f>
        <v/>
      </c>
      <c r="AQ63" t="str">
        <f>IFERROR(INDEX('幕间与结算'!$E$9:$E$208,SMALL(AQ$210:AQ$409,62)),"")</f>
        <v/>
      </c>
      <c r="AR63" t="str">
        <f>IFERROR(INDEX('幕间与结算'!$E$9:$E$208,SMALL(AR$210:AR$409,62)),"")</f>
        <v/>
      </c>
      <c r="AS63" t="str">
        <f>IFERROR(INDEX('幕间与结算'!$E$9:$E$208,SMALL(AS$210:AS$409,62)),"")</f>
        <v/>
      </c>
      <c r="AT63" t="str">
        <f>IFERROR(INDEX('幕间与结算'!$E$9:$E$208,SMALL(AT$210:AT$409,62)),"")</f>
        <v/>
      </c>
    </row>
    <row r="64">
      <c r="H64" t="str">
        <f>A46</f>
        <v>技能：骑术</v>
      </c>
      <c r="W64">
        <f>IF(H64="","",COUNTIF($H$2:H64,"?*"))</f>
        <v>47</v>
      </c>
      <c r="X64" t="str">
        <f>IFERROR(INDEX($H$2:$H$79,MATCH(63,$W$2:$W$79,0)),"")</f>
        <v/>
      </c>
      <c r="AA64" t="str">
        <f>IFERROR(INDEX('幕间与结算'!$E$9:$E$208,SMALL(AA$210:AA$409,63)),"")</f>
        <v/>
      </c>
      <c r="AB64" t="str">
        <f>IFERROR(INDEX('幕间与结算'!$E$9:$E$208,SMALL(AB$210:AB$409,63)),"")</f>
        <v/>
      </c>
      <c r="AC64" t="str">
        <f>IFERROR(INDEX('幕间与结算'!$E$9:$E$208,SMALL(AC$210:AC$409,63)),"")</f>
        <v/>
      </c>
      <c r="AD64" t="str">
        <f>IFERROR(INDEX('幕间与结算'!$E$9:$E$208,SMALL(AD$210:AD$409,63)),"")</f>
        <v/>
      </c>
      <c r="AE64" t="str">
        <f>IFERROR(INDEX('幕间与结算'!$E$9:$E$208,SMALL(AE$210:AE$409,63)),"")</f>
        <v/>
      </c>
      <c r="AF64" t="str">
        <f>IFERROR(INDEX('幕间与结算'!$E$9:$E$208,SMALL(AF$210:AF$409,63)),"")</f>
        <v/>
      </c>
      <c r="AG64" t="str">
        <f>IFERROR(INDEX('幕间与结算'!$E$9:$E$208,SMALL(AG$210:AG$409,63)),"")</f>
        <v/>
      </c>
      <c r="AH64" t="str">
        <f>IFERROR(INDEX('幕间与结算'!$E$9:$E$208,SMALL(AH$210:AH$409,63)),"")</f>
        <v/>
      </c>
      <c r="AI64" t="str">
        <f>IFERROR(INDEX('幕间与结算'!$E$9:$E$208,SMALL(AI$210:AI$409,63)),"")</f>
        <v/>
      </c>
      <c r="AJ64" t="str">
        <f>IFERROR(INDEX('幕间与结算'!$E$9:$E$208,SMALL(AJ$210:AJ$409,63)),"")</f>
        <v/>
      </c>
      <c r="AK64" t="str">
        <f>IFERROR(INDEX('幕间与结算'!$E$9:$E$208,SMALL(AK$210:AK$409,63)),"")</f>
        <v/>
      </c>
      <c r="AL64" t="str">
        <f>IFERROR(INDEX('幕间与结算'!$E$9:$E$208,SMALL(AL$210:AL$409,63)),"")</f>
        <v/>
      </c>
      <c r="AM64" t="str">
        <f>IFERROR(INDEX('幕间与结算'!$E$9:$E$208,SMALL(AM$210:AM$409,63)),"")</f>
        <v/>
      </c>
      <c r="AN64" t="str">
        <f>IFERROR(INDEX('幕间与结算'!$E$9:$E$208,SMALL(AN$210:AN$409,63)),"")</f>
        <v/>
      </c>
      <c r="AO64" t="str">
        <f>IFERROR(INDEX('幕间与结算'!$E$9:$E$208,SMALL(AO$210:AO$409,63)),"")</f>
        <v/>
      </c>
      <c r="AP64" t="str">
        <f>IFERROR(INDEX('幕间与结算'!$E$9:$E$208,SMALL(AP$210:AP$409,63)),"")</f>
        <v/>
      </c>
      <c r="AQ64" t="str">
        <f>IFERROR(INDEX('幕间与结算'!$E$9:$E$208,SMALL(AQ$210:AQ$409,63)),"")</f>
        <v/>
      </c>
      <c r="AR64" t="str">
        <f>IFERROR(INDEX('幕间与结算'!$E$9:$E$208,SMALL(AR$210:AR$409,63)),"")</f>
        <v/>
      </c>
      <c r="AS64" t="str">
        <f>IFERROR(INDEX('幕间与结算'!$E$9:$E$208,SMALL(AS$210:AS$409,63)),"")</f>
        <v/>
      </c>
      <c r="AT64" t="str">
        <f>IFERROR(INDEX('幕间与结算'!$E$9:$E$208,SMALL(AT$210:AT$409,63)),"")</f>
        <v/>
      </c>
    </row>
    <row r="65">
      <c r="H65" t="str">
        <f>A47</f>
        <v/>
      </c>
      <c r="W65" t="str">
        <f>IF(H65="","",COUNTIF($H$2:H65,"?*"))</f>
        <v/>
      </c>
      <c r="X65" t="str">
        <f>IFERROR(INDEX($H$2:$H$79,MATCH(64,$W$2:$W$79,0)),"")</f>
        <v/>
      </c>
      <c r="AA65" t="str">
        <f>IFERROR(INDEX('幕间与结算'!$E$9:$E$208,SMALL(AA$210:AA$409,64)),"")</f>
        <v/>
      </c>
      <c r="AB65" t="str">
        <f>IFERROR(INDEX('幕间与结算'!$E$9:$E$208,SMALL(AB$210:AB$409,64)),"")</f>
        <v/>
      </c>
      <c r="AC65" t="str">
        <f>IFERROR(INDEX('幕间与结算'!$E$9:$E$208,SMALL(AC$210:AC$409,64)),"")</f>
        <v/>
      </c>
      <c r="AD65" t="str">
        <f>IFERROR(INDEX('幕间与结算'!$E$9:$E$208,SMALL(AD$210:AD$409,64)),"")</f>
        <v/>
      </c>
      <c r="AE65" t="str">
        <f>IFERROR(INDEX('幕间与结算'!$E$9:$E$208,SMALL(AE$210:AE$409,64)),"")</f>
        <v/>
      </c>
      <c r="AF65" t="str">
        <f>IFERROR(INDEX('幕间与结算'!$E$9:$E$208,SMALL(AF$210:AF$409,64)),"")</f>
        <v/>
      </c>
      <c r="AG65" t="str">
        <f>IFERROR(INDEX('幕间与结算'!$E$9:$E$208,SMALL(AG$210:AG$409,64)),"")</f>
        <v/>
      </c>
      <c r="AH65" t="str">
        <f>IFERROR(INDEX('幕间与结算'!$E$9:$E$208,SMALL(AH$210:AH$409,64)),"")</f>
        <v/>
      </c>
      <c r="AI65" t="str">
        <f>IFERROR(INDEX('幕间与结算'!$E$9:$E$208,SMALL(AI$210:AI$409,64)),"")</f>
        <v/>
      </c>
      <c r="AJ65" t="str">
        <f>IFERROR(INDEX('幕间与结算'!$E$9:$E$208,SMALL(AJ$210:AJ$409,64)),"")</f>
        <v/>
      </c>
      <c r="AK65" t="str">
        <f>IFERROR(INDEX('幕间与结算'!$E$9:$E$208,SMALL(AK$210:AK$409,64)),"")</f>
        <v/>
      </c>
      <c r="AL65" t="str">
        <f>IFERROR(INDEX('幕间与结算'!$E$9:$E$208,SMALL(AL$210:AL$409,64)),"")</f>
        <v/>
      </c>
      <c r="AM65" t="str">
        <f>IFERROR(INDEX('幕间与结算'!$E$9:$E$208,SMALL(AM$210:AM$409,64)),"")</f>
        <v/>
      </c>
      <c r="AN65" t="str">
        <f>IFERROR(INDEX('幕间与结算'!$E$9:$E$208,SMALL(AN$210:AN$409,64)),"")</f>
        <v/>
      </c>
      <c r="AO65" t="str">
        <f>IFERROR(INDEX('幕间与结算'!$E$9:$E$208,SMALL(AO$210:AO$409,64)),"")</f>
        <v/>
      </c>
      <c r="AP65" t="str">
        <f>IFERROR(INDEX('幕间与结算'!$E$9:$E$208,SMALL(AP$210:AP$409,64)),"")</f>
        <v/>
      </c>
      <c r="AQ65" t="str">
        <f>IFERROR(INDEX('幕间与结算'!$E$9:$E$208,SMALL(AQ$210:AQ$409,64)),"")</f>
        <v/>
      </c>
      <c r="AR65" t="str">
        <f>IFERROR(INDEX('幕间与结算'!$E$9:$E$208,SMALL(AR$210:AR$409,64)),"")</f>
        <v/>
      </c>
      <c r="AS65" t="str">
        <f>IFERROR(INDEX('幕间与结算'!$E$9:$E$208,SMALL(AS$210:AS$409,64)),"")</f>
        <v/>
      </c>
      <c r="AT65" t="str">
        <f>IFERROR(INDEX('幕间与结算'!$E$9:$E$208,SMALL(AT$210:AT$409,64)),"")</f>
        <v/>
      </c>
    </row>
    <row r="66">
      <c r="H66" t="str">
        <f>A48</f>
        <v/>
      </c>
      <c r="W66" t="str">
        <f>IF(H66="","",COUNTIF($H$2:H66,"?*"))</f>
        <v/>
      </c>
      <c r="X66" t="str">
        <f>IFERROR(INDEX($H$2:$H$79,MATCH(65,$W$2:$W$79,0)),"")</f>
        <v/>
      </c>
      <c r="AA66" t="str">
        <f>IFERROR(INDEX('幕间与结算'!$E$9:$E$208,SMALL(AA$210:AA$409,65)),"")</f>
        <v/>
      </c>
      <c r="AB66" t="str">
        <f>IFERROR(INDEX('幕间与结算'!$E$9:$E$208,SMALL(AB$210:AB$409,65)),"")</f>
        <v/>
      </c>
      <c r="AC66" t="str">
        <f>IFERROR(INDEX('幕间与结算'!$E$9:$E$208,SMALL(AC$210:AC$409,65)),"")</f>
        <v/>
      </c>
      <c r="AD66" t="str">
        <f>IFERROR(INDEX('幕间与结算'!$E$9:$E$208,SMALL(AD$210:AD$409,65)),"")</f>
        <v/>
      </c>
      <c r="AE66" t="str">
        <f>IFERROR(INDEX('幕间与结算'!$E$9:$E$208,SMALL(AE$210:AE$409,65)),"")</f>
        <v/>
      </c>
      <c r="AF66" t="str">
        <f>IFERROR(INDEX('幕间与结算'!$E$9:$E$208,SMALL(AF$210:AF$409,65)),"")</f>
        <v/>
      </c>
      <c r="AG66" t="str">
        <f>IFERROR(INDEX('幕间与结算'!$E$9:$E$208,SMALL(AG$210:AG$409,65)),"")</f>
        <v/>
      </c>
      <c r="AH66" t="str">
        <f>IFERROR(INDEX('幕间与结算'!$E$9:$E$208,SMALL(AH$210:AH$409,65)),"")</f>
        <v/>
      </c>
      <c r="AI66" t="str">
        <f>IFERROR(INDEX('幕间与结算'!$E$9:$E$208,SMALL(AI$210:AI$409,65)),"")</f>
        <v/>
      </c>
      <c r="AJ66" t="str">
        <f>IFERROR(INDEX('幕间与结算'!$E$9:$E$208,SMALL(AJ$210:AJ$409,65)),"")</f>
        <v/>
      </c>
      <c r="AK66" t="str">
        <f>IFERROR(INDEX('幕间与结算'!$E$9:$E$208,SMALL(AK$210:AK$409,65)),"")</f>
        <v/>
      </c>
      <c r="AL66" t="str">
        <f>IFERROR(INDEX('幕间与结算'!$E$9:$E$208,SMALL(AL$210:AL$409,65)),"")</f>
        <v/>
      </c>
      <c r="AM66" t="str">
        <f>IFERROR(INDEX('幕间与结算'!$E$9:$E$208,SMALL(AM$210:AM$409,65)),"")</f>
        <v/>
      </c>
      <c r="AN66" t="str">
        <f>IFERROR(INDEX('幕间与结算'!$E$9:$E$208,SMALL(AN$210:AN$409,65)),"")</f>
        <v/>
      </c>
      <c r="AO66" t="str">
        <f>IFERROR(INDEX('幕间与结算'!$E$9:$E$208,SMALL(AO$210:AO$409,65)),"")</f>
        <v/>
      </c>
      <c r="AP66" t="str">
        <f>IFERROR(INDEX('幕间与结算'!$E$9:$E$208,SMALL(AP$210:AP$409,65)),"")</f>
        <v/>
      </c>
      <c r="AQ66" t="str">
        <f>IFERROR(INDEX('幕间与结算'!$E$9:$E$208,SMALL(AQ$210:AQ$409,65)),"")</f>
        <v/>
      </c>
      <c r="AR66" t="str">
        <f>IFERROR(INDEX('幕间与结算'!$E$9:$E$208,SMALL(AR$210:AR$409,65)),"")</f>
        <v/>
      </c>
      <c r="AS66" t="str">
        <f>IFERROR(INDEX('幕间与结算'!$E$9:$E$208,SMALL(AS$210:AS$409,65)),"")</f>
        <v/>
      </c>
      <c r="AT66" t="str">
        <f>IFERROR(INDEX('幕间与结算'!$E$9:$E$208,SMALL(AT$210:AT$409,65)),"")</f>
        <v/>
      </c>
    </row>
    <row r="67">
      <c r="H67" t="str">
        <f>A49</f>
        <v/>
      </c>
      <c r="W67" t="str">
        <f>IF(H67="","",COUNTIF($H$2:H67,"?*"))</f>
        <v/>
      </c>
      <c r="X67" t="str">
        <f>IFERROR(INDEX($H$2:$H$79,MATCH(66,$W$2:$W$79,0)),"")</f>
        <v/>
      </c>
      <c r="AA67" t="str">
        <f>IFERROR(INDEX('幕间与结算'!$E$9:$E$208,SMALL(AA$210:AA$409,66)),"")</f>
        <v/>
      </c>
      <c r="AB67" t="str">
        <f>IFERROR(INDEX('幕间与结算'!$E$9:$E$208,SMALL(AB$210:AB$409,66)),"")</f>
        <v/>
      </c>
      <c r="AC67" t="str">
        <f>IFERROR(INDEX('幕间与结算'!$E$9:$E$208,SMALL(AC$210:AC$409,66)),"")</f>
        <v/>
      </c>
      <c r="AD67" t="str">
        <f>IFERROR(INDEX('幕间与结算'!$E$9:$E$208,SMALL(AD$210:AD$409,66)),"")</f>
        <v/>
      </c>
      <c r="AE67" t="str">
        <f>IFERROR(INDEX('幕间与结算'!$E$9:$E$208,SMALL(AE$210:AE$409,66)),"")</f>
        <v/>
      </c>
      <c r="AF67" t="str">
        <f>IFERROR(INDEX('幕间与结算'!$E$9:$E$208,SMALL(AF$210:AF$409,66)),"")</f>
        <v/>
      </c>
      <c r="AG67" t="str">
        <f>IFERROR(INDEX('幕间与结算'!$E$9:$E$208,SMALL(AG$210:AG$409,66)),"")</f>
        <v/>
      </c>
      <c r="AH67" t="str">
        <f>IFERROR(INDEX('幕间与结算'!$E$9:$E$208,SMALL(AH$210:AH$409,66)),"")</f>
        <v/>
      </c>
      <c r="AI67" t="str">
        <f>IFERROR(INDEX('幕间与结算'!$E$9:$E$208,SMALL(AI$210:AI$409,66)),"")</f>
        <v/>
      </c>
      <c r="AJ67" t="str">
        <f>IFERROR(INDEX('幕间与结算'!$E$9:$E$208,SMALL(AJ$210:AJ$409,66)),"")</f>
        <v/>
      </c>
      <c r="AK67" t="str">
        <f>IFERROR(INDEX('幕间与结算'!$E$9:$E$208,SMALL(AK$210:AK$409,66)),"")</f>
        <v/>
      </c>
      <c r="AL67" t="str">
        <f>IFERROR(INDEX('幕间与结算'!$E$9:$E$208,SMALL(AL$210:AL$409,66)),"")</f>
        <v/>
      </c>
      <c r="AM67" t="str">
        <f>IFERROR(INDEX('幕间与结算'!$E$9:$E$208,SMALL(AM$210:AM$409,66)),"")</f>
        <v/>
      </c>
      <c r="AN67" t="str">
        <f>IFERROR(INDEX('幕间与结算'!$E$9:$E$208,SMALL(AN$210:AN$409,66)),"")</f>
        <v/>
      </c>
      <c r="AO67" t="str">
        <f>IFERROR(INDEX('幕间与结算'!$E$9:$E$208,SMALL(AO$210:AO$409,66)),"")</f>
        <v/>
      </c>
      <c r="AP67" t="str">
        <f>IFERROR(INDEX('幕间与结算'!$E$9:$E$208,SMALL(AP$210:AP$409,66)),"")</f>
        <v/>
      </c>
      <c r="AQ67" t="str">
        <f>IFERROR(INDEX('幕间与结算'!$E$9:$E$208,SMALL(AQ$210:AQ$409,66)),"")</f>
        <v/>
      </c>
      <c r="AR67" t="str">
        <f>IFERROR(INDEX('幕间与结算'!$E$9:$E$208,SMALL(AR$210:AR$409,66)),"")</f>
        <v/>
      </c>
      <c r="AS67" t="str">
        <f>IFERROR(INDEX('幕间与结算'!$E$9:$E$208,SMALL(AS$210:AS$409,66)),"")</f>
        <v/>
      </c>
      <c r="AT67" t="str">
        <f>IFERROR(INDEX('幕间与结算'!$E$9:$E$208,SMALL(AT$210:AT$409,66)),"")</f>
        <v/>
      </c>
    </row>
    <row r="68">
      <c r="H68" t="str">
        <f>A50</f>
        <v>技能：搜寻</v>
      </c>
      <c r="W68">
        <f>IF(H68="","",COUNTIF($H$2:H68,"?*"))</f>
        <v>48</v>
      </c>
      <c r="X68" t="str">
        <f>IFERROR(INDEX($H$2:$H$79,MATCH(67,$W$2:$W$79,0)),"")</f>
        <v/>
      </c>
      <c r="AA68" t="str">
        <f>IFERROR(INDEX('幕间与结算'!$E$9:$E$208,SMALL(AA$210:AA$409,67)),"")</f>
        <v/>
      </c>
      <c r="AB68" t="str">
        <f>IFERROR(INDEX('幕间与结算'!$E$9:$E$208,SMALL(AB$210:AB$409,67)),"")</f>
        <v/>
      </c>
      <c r="AC68" t="str">
        <f>IFERROR(INDEX('幕间与结算'!$E$9:$E$208,SMALL(AC$210:AC$409,67)),"")</f>
        <v/>
      </c>
      <c r="AD68" t="str">
        <f>IFERROR(INDEX('幕间与结算'!$E$9:$E$208,SMALL(AD$210:AD$409,67)),"")</f>
        <v/>
      </c>
      <c r="AE68" t="str">
        <f>IFERROR(INDEX('幕间与结算'!$E$9:$E$208,SMALL(AE$210:AE$409,67)),"")</f>
        <v/>
      </c>
      <c r="AF68" t="str">
        <f>IFERROR(INDEX('幕间与结算'!$E$9:$E$208,SMALL(AF$210:AF$409,67)),"")</f>
        <v/>
      </c>
      <c r="AG68" t="str">
        <f>IFERROR(INDEX('幕间与结算'!$E$9:$E$208,SMALL(AG$210:AG$409,67)),"")</f>
        <v/>
      </c>
      <c r="AH68" t="str">
        <f>IFERROR(INDEX('幕间与结算'!$E$9:$E$208,SMALL(AH$210:AH$409,67)),"")</f>
        <v/>
      </c>
      <c r="AI68" t="str">
        <f>IFERROR(INDEX('幕间与结算'!$E$9:$E$208,SMALL(AI$210:AI$409,67)),"")</f>
        <v/>
      </c>
      <c r="AJ68" t="str">
        <f>IFERROR(INDEX('幕间与结算'!$E$9:$E$208,SMALL(AJ$210:AJ$409,67)),"")</f>
        <v/>
      </c>
      <c r="AK68" t="str">
        <f>IFERROR(INDEX('幕间与结算'!$E$9:$E$208,SMALL(AK$210:AK$409,67)),"")</f>
        <v/>
      </c>
      <c r="AL68" t="str">
        <f>IFERROR(INDEX('幕间与结算'!$E$9:$E$208,SMALL(AL$210:AL$409,67)),"")</f>
        <v/>
      </c>
      <c r="AM68" t="str">
        <f>IFERROR(INDEX('幕间与结算'!$E$9:$E$208,SMALL(AM$210:AM$409,67)),"")</f>
        <v/>
      </c>
      <c r="AN68" t="str">
        <f>IFERROR(INDEX('幕间与结算'!$E$9:$E$208,SMALL(AN$210:AN$409,67)),"")</f>
        <v/>
      </c>
      <c r="AO68" t="str">
        <f>IFERROR(INDEX('幕间与结算'!$E$9:$E$208,SMALL(AO$210:AO$409,67)),"")</f>
        <v/>
      </c>
      <c r="AP68" t="str">
        <f>IFERROR(INDEX('幕间与结算'!$E$9:$E$208,SMALL(AP$210:AP$409,67)),"")</f>
        <v/>
      </c>
      <c r="AQ68" t="str">
        <f>IFERROR(INDEX('幕间与结算'!$E$9:$E$208,SMALL(AQ$210:AQ$409,67)),"")</f>
        <v/>
      </c>
      <c r="AR68" t="str">
        <f>IFERROR(INDEX('幕间与结算'!$E$9:$E$208,SMALL(AR$210:AR$409,67)),"")</f>
        <v/>
      </c>
      <c r="AS68" t="str">
        <f>IFERROR(INDEX('幕间与结算'!$E$9:$E$208,SMALL(AS$210:AS$409,67)),"")</f>
        <v/>
      </c>
      <c r="AT68" t="str">
        <f>IFERROR(INDEX('幕间与结算'!$E$9:$E$208,SMALL(AT$210:AT$409,67)),"")</f>
        <v/>
      </c>
    </row>
    <row r="69">
      <c r="H69" t="str">
        <f>A51</f>
        <v>技能：信号情报</v>
      </c>
      <c r="W69">
        <f>IF(H69="","",COUNTIF($H$2:H69,"?*"))</f>
        <v>49</v>
      </c>
      <c r="X69" t="str">
        <f>IFERROR(INDEX($H$2:$H$79,MATCH(68,$W$2:$W$79,0)),"")</f>
        <v/>
      </c>
      <c r="AA69" t="str">
        <f>IFERROR(INDEX('幕间与结算'!$E$9:$E$208,SMALL(AA$210:AA$409,68)),"")</f>
        <v/>
      </c>
      <c r="AB69" t="str">
        <f>IFERROR(INDEX('幕间与结算'!$E$9:$E$208,SMALL(AB$210:AB$409,68)),"")</f>
        <v/>
      </c>
      <c r="AC69" t="str">
        <f>IFERROR(INDEX('幕间与结算'!$E$9:$E$208,SMALL(AC$210:AC$409,68)),"")</f>
        <v/>
      </c>
      <c r="AD69" t="str">
        <f>IFERROR(INDEX('幕间与结算'!$E$9:$E$208,SMALL(AD$210:AD$409,68)),"")</f>
        <v/>
      </c>
      <c r="AE69" t="str">
        <f>IFERROR(INDEX('幕间与结算'!$E$9:$E$208,SMALL(AE$210:AE$409,68)),"")</f>
        <v/>
      </c>
      <c r="AF69" t="str">
        <f>IFERROR(INDEX('幕间与结算'!$E$9:$E$208,SMALL(AF$210:AF$409,68)),"")</f>
        <v/>
      </c>
      <c r="AG69" t="str">
        <f>IFERROR(INDEX('幕间与结算'!$E$9:$E$208,SMALL(AG$210:AG$409,68)),"")</f>
        <v/>
      </c>
      <c r="AH69" t="str">
        <f>IFERROR(INDEX('幕间与结算'!$E$9:$E$208,SMALL(AH$210:AH$409,68)),"")</f>
        <v/>
      </c>
      <c r="AI69" t="str">
        <f>IFERROR(INDEX('幕间与结算'!$E$9:$E$208,SMALL(AI$210:AI$409,68)),"")</f>
        <v/>
      </c>
      <c r="AJ69" t="str">
        <f>IFERROR(INDEX('幕间与结算'!$E$9:$E$208,SMALL(AJ$210:AJ$409,68)),"")</f>
        <v/>
      </c>
      <c r="AK69" t="str">
        <f>IFERROR(INDEX('幕间与结算'!$E$9:$E$208,SMALL(AK$210:AK$409,68)),"")</f>
        <v/>
      </c>
      <c r="AL69" t="str">
        <f>IFERROR(INDEX('幕间与结算'!$E$9:$E$208,SMALL(AL$210:AL$409,68)),"")</f>
        <v/>
      </c>
      <c r="AM69" t="str">
        <f>IFERROR(INDEX('幕间与结算'!$E$9:$E$208,SMALL(AM$210:AM$409,68)),"")</f>
        <v/>
      </c>
      <c r="AN69" t="str">
        <f>IFERROR(INDEX('幕间与结算'!$E$9:$E$208,SMALL(AN$210:AN$409,68)),"")</f>
        <v/>
      </c>
      <c r="AO69" t="str">
        <f>IFERROR(INDEX('幕间与结算'!$E$9:$E$208,SMALL(AO$210:AO$409,68)),"")</f>
        <v/>
      </c>
      <c r="AP69" t="str">
        <f>IFERROR(INDEX('幕间与结算'!$E$9:$E$208,SMALL(AP$210:AP$409,68)),"")</f>
        <v/>
      </c>
      <c r="AQ69" t="str">
        <f>IFERROR(INDEX('幕间与结算'!$E$9:$E$208,SMALL(AQ$210:AQ$409,68)),"")</f>
        <v/>
      </c>
      <c r="AR69" t="str">
        <f>IFERROR(INDEX('幕间与结算'!$E$9:$E$208,SMALL(AR$210:AR$409,68)),"")</f>
        <v/>
      </c>
      <c r="AS69" t="str">
        <f>IFERROR(INDEX('幕间与结算'!$E$9:$E$208,SMALL(AS$210:AS$409,68)),"")</f>
        <v/>
      </c>
      <c r="AT69" t="str">
        <f>IFERROR(INDEX('幕间与结算'!$E$9:$E$208,SMALL(AT$210:AT$409,68)),"")</f>
        <v/>
      </c>
    </row>
    <row r="70">
      <c r="H70" t="str">
        <f>A52</f>
        <v>技能：潜藏</v>
      </c>
      <c r="W70">
        <f>IF(H70="","",COUNTIF($H$2:H70,"?*"))</f>
        <v>50</v>
      </c>
      <c r="X70" t="str">
        <f>IFERROR(INDEX($H$2:$H$79,MATCH(69,$W$2:$W$79,0)),"")</f>
        <v/>
      </c>
      <c r="AA70" t="str">
        <f>IFERROR(INDEX('幕间与结算'!$E$9:$E$208,SMALL(AA$210:AA$409,69)),"")</f>
        <v/>
      </c>
      <c r="AB70" t="str">
        <f>IFERROR(INDEX('幕间与结算'!$E$9:$E$208,SMALL(AB$210:AB$409,69)),"")</f>
        <v/>
      </c>
      <c r="AC70" t="str">
        <f>IFERROR(INDEX('幕间与结算'!$E$9:$E$208,SMALL(AC$210:AC$409,69)),"")</f>
        <v/>
      </c>
      <c r="AD70" t="str">
        <f>IFERROR(INDEX('幕间与结算'!$E$9:$E$208,SMALL(AD$210:AD$409,69)),"")</f>
        <v/>
      </c>
      <c r="AE70" t="str">
        <f>IFERROR(INDEX('幕间与结算'!$E$9:$E$208,SMALL(AE$210:AE$409,69)),"")</f>
        <v/>
      </c>
      <c r="AF70" t="str">
        <f>IFERROR(INDEX('幕间与结算'!$E$9:$E$208,SMALL(AF$210:AF$409,69)),"")</f>
        <v/>
      </c>
      <c r="AG70" t="str">
        <f>IFERROR(INDEX('幕间与结算'!$E$9:$E$208,SMALL(AG$210:AG$409,69)),"")</f>
        <v/>
      </c>
      <c r="AH70" t="str">
        <f>IFERROR(INDEX('幕间与结算'!$E$9:$E$208,SMALL(AH$210:AH$409,69)),"")</f>
        <v/>
      </c>
      <c r="AI70" t="str">
        <f>IFERROR(INDEX('幕间与结算'!$E$9:$E$208,SMALL(AI$210:AI$409,69)),"")</f>
        <v/>
      </c>
      <c r="AJ70" t="str">
        <f>IFERROR(INDEX('幕间与结算'!$E$9:$E$208,SMALL(AJ$210:AJ$409,69)),"")</f>
        <v/>
      </c>
      <c r="AK70" t="str">
        <f>IFERROR(INDEX('幕间与结算'!$E$9:$E$208,SMALL(AK$210:AK$409,69)),"")</f>
        <v/>
      </c>
      <c r="AL70" t="str">
        <f>IFERROR(INDEX('幕间与结算'!$E$9:$E$208,SMALL(AL$210:AL$409,69)),"")</f>
        <v/>
      </c>
      <c r="AM70" t="str">
        <f>IFERROR(INDEX('幕间与结算'!$E$9:$E$208,SMALL(AM$210:AM$409,69)),"")</f>
        <v/>
      </c>
      <c r="AN70" t="str">
        <f>IFERROR(INDEX('幕间与结算'!$E$9:$E$208,SMALL(AN$210:AN$409,69)),"")</f>
        <v/>
      </c>
      <c r="AO70" t="str">
        <f>IFERROR(INDEX('幕间与结算'!$E$9:$E$208,SMALL(AO$210:AO$409,69)),"")</f>
        <v/>
      </c>
      <c r="AP70" t="str">
        <f>IFERROR(INDEX('幕间与结算'!$E$9:$E$208,SMALL(AP$210:AP$409,69)),"")</f>
        <v/>
      </c>
      <c r="AQ70" t="str">
        <f>IFERROR(INDEX('幕间与结算'!$E$9:$E$208,SMALL(AQ$210:AQ$409,69)),"")</f>
        <v/>
      </c>
      <c r="AR70" t="str">
        <f>IFERROR(INDEX('幕间与结算'!$E$9:$E$208,SMALL(AR$210:AR$409,69)),"")</f>
        <v/>
      </c>
      <c r="AS70" t="str">
        <f>IFERROR(INDEX('幕间与结算'!$E$9:$E$208,SMALL(AS$210:AS$409,69)),"")</f>
        <v/>
      </c>
      <c r="AT70" t="str">
        <f>IFERROR(INDEX('幕间与结算'!$E$9:$E$208,SMALL(AT$210:AT$409,69)),"")</f>
        <v/>
      </c>
    </row>
    <row r="71">
      <c r="H71" t="str">
        <f>A53</f>
        <v>技能：手术</v>
      </c>
      <c r="W71">
        <f>IF(H71="","",COUNTIF($H$2:H71,"?*"))</f>
        <v>51</v>
      </c>
      <c r="X71" t="str">
        <f>IFERROR(INDEX($H$2:$H$79,MATCH(70,$W$2:$W$79,0)),"")</f>
        <v/>
      </c>
      <c r="AA71" t="str">
        <f>IFERROR(INDEX('幕间与结算'!$E$9:$E$208,SMALL(AA$210:AA$409,70)),"")</f>
        <v/>
      </c>
      <c r="AB71" t="str">
        <f>IFERROR(INDEX('幕间与结算'!$E$9:$E$208,SMALL(AB$210:AB$409,70)),"")</f>
        <v/>
      </c>
      <c r="AC71" t="str">
        <f>IFERROR(INDEX('幕间与结算'!$E$9:$E$208,SMALL(AC$210:AC$409,70)),"")</f>
        <v/>
      </c>
      <c r="AD71" t="str">
        <f>IFERROR(INDEX('幕间与结算'!$E$9:$E$208,SMALL(AD$210:AD$409,70)),"")</f>
        <v/>
      </c>
      <c r="AE71" t="str">
        <f>IFERROR(INDEX('幕间与结算'!$E$9:$E$208,SMALL(AE$210:AE$409,70)),"")</f>
        <v/>
      </c>
      <c r="AF71" t="str">
        <f>IFERROR(INDEX('幕间与结算'!$E$9:$E$208,SMALL(AF$210:AF$409,70)),"")</f>
        <v/>
      </c>
      <c r="AG71" t="str">
        <f>IFERROR(INDEX('幕间与结算'!$E$9:$E$208,SMALL(AG$210:AG$409,70)),"")</f>
        <v/>
      </c>
      <c r="AH71" t="str">
        <f>IFERROR(INDEX('幕间与结算'!$E$9:$E$208,SMALL(AH$210:AH$409,70)),"")</f>
        <v/>
      </c>
      <c r="AI71" t="str">
        <f>IFERROR(INDEX('幕间与结算'!$E$9:$E$208,SMALL(AI$210:AI$409,70)),"")</f>
        <v/>
      </c>
      <c r="AJ71" t="str">
        <f>IFERROR(INDEX('幕间与结算'!$E$9:$E$208,SMALL(AJ$210:AJ$409,70)),"")</f>
        <v/>
      </c>
      <c r="AK71" t="str">
        <f>IFERROR(INDEX('幕间与结算'!$E$9:$E$208,SMALL(AK$210:AK$409,70)),"")</f>
        <v/>
      </c>
      <c r="AL71" t="str">
        <f>IFERROR(INDEX('幕间与结算'!$E$9:$E$208,SMALL(AL$210:AL$409,70)),"")</f>
        <v/>
      </c>
      <c r="AM71" t="str">
        <f>IFERROR(INDEX('幕间与结算'!$E$9:$E$208,SMALL(AM$210:AM$409,70)),"")</f>
        <v/>
      </c>
      <c r="AN71" t="str">
        <f>IFERROR(INDEX('幕间与结算'!$E$9:$E$208,SMALL(AN$210:AN$409,70)),"")</f>
        <v/>
      </c>
      <c r="AO71" t="str">
        <f>IFERROR(INDEX('幕间与结算'!$E$9:$E$208,SMALL(AO$210:AO$409,70)),"")</f>
        <v/>
      </c>
      <c r="AP71" t="str">
        <f>IFERROR(INDEX('幕间与结算'!$E$9:$E$208,SMALL(AP$210:AP$409,70)),"")</f>
        <v/>
      </c>
      <c r="AQ71" t="str">
        <f>IFERROR(INDEX('幕间与结算'!$E$9:$E$208,SMALL(AQ$210:AQ$409,70)),"")</f>
        <v/>
      </c>
      <c r="AR71" t="str">
        <f>IFERROR(INDEX('幕间与结算'!$E$9:$E$208,SMALL(AR$210:AR$409,70)),"")</f>
        <v/>
      </c>
      <c r="AS71" t="str">
        <f>IFERROR(INDEX('幕间与结算'!$E$9:$E$208,SMALL(AS$210:AS$409,70)),"")</f>
        <v/>
      </c>
      <c r="AT71" t="str">
        <f>IFERROR(INDEX('幕间与结算'!$E$9:$E$208,SMALL(AT$210:AT$409,70)),"")</f>
        <v/>
      </c>
    </row>
    <row r="72">
      <c r="H72" t="str">
        <f>A54</f>
        <v>技能：生存</v>
      </c>
      <c r="W72">
        <f>IF(H72="","",COUNTIF($H$2:H72,"?*"))</f>
        <v>52</v>
      </c>
      <c r="X72" t="str">
        <f>IFERROR(INDEX($H$2:$H$79,MATCH(71,$W$2:$W$79,0)),"")</f>
        <v/>
      </c>
      <c r="AA72" t="str">
        <f>IFERROR(INDEX('幕间与结算'!$E$9:$E$208,SMALL(AA$210:AA$409,71)),"")</f>
        <v/>
      </c>
      <c r="AB72" t="str">
        <f>IFERROR(INDEX('幕间与结算'!$E$9:$E$208,SMALL(AB$210:AB$409,71)),"")</f>
        <v/>
      </c>
      <c r="AC72" t="str">
        <f>IFERROR(INDEX('幕间与结算'!$E$9:$E$208,SMALL(AC$210:AC$409,71)),"")</f>
        <v/>
      </c>
      <c r="AD72" t="str">
        <f>IFERROR(INDEX('幕间与结算'!$E$9:$E$208,SMALL(AD$210:AD$409,71)),"")</f>
        <v/>
      </c>
      <c r="AE72" t="str">
        <f>IFERROR(INDEX('幕间与结算'!$E$9:$E$208,SMALL(AE$210:AE$409,71)),"")</f>
        <v/>
      </c>
      <c r="AF72" t="str">
        <f>IFERROR(INDEX('幕间与结算'!$E$9:$E$208,SMALL(AF$210:AF$409,71)),"")</f>
        <v/>
      </c>
      <c r="AG72" t="str">
        <f>IFERROR(INDEX('幕间与结算'!$E$9:$E$208,SMALL(AG$210:AG$409,71)),"")</f>
        <v/>
      </c>
      <c r="AH72" t="str">
        <f>IFERROR(INDEX('幕间与结算'!$E$9:$E$208,SMALL(AH$210:AH$409,71)),"")</f>
        <v/>
      </c>
      <c r="AI72" t="str">
        <f>IFERROR(INDEX('幕间与结算'!$E$9:$E$208,SMALL(AI$210:AI$409,71)),"")</f>
        <v/>
      </c>
      <c r="AJ72" t="str">
        <f>IFERROR(INDEX('幕间与结算'!$E$9:$E$208,SMALL(AJ$210:AJ$409,71)),"")</f>
        <v/>
      </c>
      <c r="AK72" t="str">
        <f>IFERROR(INDEX('幕间与结算'!$E$9:$E$208,SMALL(AK$210:AK$409,71)),"")</f>
        <v/>
      </c>
      <c r="AL72" t="str">
        <f>IFERROR(INDEX('幕间与结算'!$E$9:$E$208,SMALL(AL$210:AL$409,71)),"")</f>
        <v/>
      </c>
      <c r="AM72" t="str">
        <f>IFERROR(INDEX('幕间与结算'!$E$9:$E$208,SMALL(AM$210:AM$409,71)),"")</f>
        <v/>
      </c>
      <c r="AN72" t="str">
        <f>IFERROR(INDEX('幕间与结算'!$E$9:$E$208,SMALL(AN$210:AN$409,71)),"")</f>
        <v/>
      </c>
      <c r="AO72" t="str">
        <f>IFERROR(INDEX('幕间与结算'!$E$9:$E$208,SMALL(AO$210:AO$409,71)),"")</f>
        <v/>
      </c>
      <c r="AP72" t="str">
        <f>IFERROR(INDEX('幕间与结算'!$E$9:$E$208,SMALL(AP$210:AP$409,71)),"")</f>
        <v/>
      </c>
      <c r="AQ72" t="str">
        <f>IFERROR(INDEX('幕间与结算'!$E$9:$E$208,SMALL(AQ$210:AQ$409,71)),"")</f>
        <v/>
      </c>
      <c r="AR72" t="str">
        <f>IFERROR(INDEX('幕间与结算'!$E$9:$E$208,SMALL(AR$210:AR$409,71)),"")</f>
        <v/>
      </c>
      <c r="AS72" t="str">
        <f>IFERROR(INDEX('幕间与结算'!$E$9:$E$208,SMALL(AS$210:AS$409,71)),"")</f>
        <v/>
      </c>
      <c r="AT72" t="str">
        <f>IFERROR(INDEX('幕间与结算'!$E$9:$E$208,SMALL(AT$210:AT$409,71)),"")</f>
        <v/>
      </c>
    </row>
    <row r="73">
      <c r="H73" t="str">
        <f>A55</f>
        <v>技能：游泳</v>
      </c>
      <c r="W73">
        <f>IF(H73="","",COUNTIF($H$2:H73,"?*"))</f>
        <v>53</v>
      </c>
      <c r="X73" t="str">
        <f>IFERROR(INDEX($H$2:$H$79,MATCH(72,$W$2:$W$79,0)),"")</f>
        <v/>
      </c>
      <c r="AA73" t="str">
        <f>IFERROR(INDEX('幕间与结算'!$E$9:$E$208,SMALL(AA$210:AA$409,72)),"")</f>
        <v/>
      </c>
      <c r="AB73" t="str">
        <f>IFERROR(INDEX('幕间与结算'!$E$9:$E$208,SMALL(AB$210:AB$409,72)),"")</f>
        <v/>
      </c>
      <c r="AC73" t="str">
        <f>IFERROR(INDEX('幕间与结算'!$E$9:$E$208,SMALL(AC$210:AC$409,72)),"")</f>
        <v/>
      </c>
      <c r="AD73" t="str">
        <f>IFERROR(INDEX('幕间与结算'!$E$9:$E$208,SMALL(AD$210:AD$409,72)),"")</f>
        <v/>
      </c>
      <c r="AE73" t="str">
        <f>IFERROR(INDEX('幕间与结算'!$E$9:$E$208,SMALL(AE$210:AE$409,72)),"")</f>
        <v/>
      </c>
      <c r="AF73" t="str">
        <f>IFERROR(INDEX('幕间与结算'!$E$9:$E$208,SMALL(AF$210:AF$409,72)),"")</f>
        <v/>
      </c>
      <c r="AG73" t="str">
        <f>IFERROR(INDEX('幕间与结算'!$E$9:$E$208,SMALL(AG$210:AG$409,72)),"")</f>
        <v/>
      </c>
      <c r="AH73" t="str">
        <f>IFERROR(INDEX('幕间与结算'!$E$9:$E$208,SMALL(AH$210:AH$409,72)),"")</f>
        <v/>
      </c>
      <c r="AI73" t="str">
        <f>IFERROR(INDEX('幕间与结算'!$E$9:$E$208,SMALL(AI$210:AI$409,72)),"")</f>
        <v/>
      </c>
      <c r="AJ73" t="str">
        <f>IFERROR(INDEX('幕间与结算'!$E$9:$E$208,SMALL(AJ$210:AJ$409,72)),"")</f>
        <v/>
      </c>
      <c r="AK73" t="str">
        <f>IFERROR(INDEX('幕间与结算'!$E$9:$E$208,SMALL(AK$210:AK$409,72)),"")</f>
        <v/>
      </c>
      <c r="AL73" t="str">
        <f>IFERROR(INDEX('幕间与结算'!$E$9:$E$208,SMALL(AL$210:AL$409,72)),"")</f>
        <v/>
      </c>
      <c r="AM73" t="str">
        <f>IFERROR(INDEX('幕间与结算'!$E$9:$E$208,SMALL(AM$210:AM$409,72)),"")</f>
        <v/>
      </c>
      <c r="AN73" t="str">
        <f>IFERROR(INDEX('幕间与结算'!$E$9:$E$208,SMALL(AN$210:AN$409,72)),"")</f>
        <v/>
      </c>
      <c r="AO73" t="str">
        <f>IFERROR(INDEX('幕间与结算'!$E$9:$E$208,SMALL(AO$210:AO$409,72)),"")</f>
        <v/>
      </c>
      <c r="AP73" t="str">
        <f>IFERROR(INDEX('幕间与结算'!$E$9:$E$208,SMALL(AP$210:AP$409,72)),"")</f>
        <v/>
      </c>
      <c r="AQ73" t="str">
        <f>IFERROR(INDEX('幕间与结算'!$E$9:$E$208,SMALL(AQ$210:AQ$409,72)),"")</f>
        <v/>
      </c>
      <c r="AR73" t="str">
        <f>IFERROR(INDEX('幕间与结算'!$E$9:$E$208,SMALL(AR$210:AR$409,72)),"")</f>
        <v/>
      </c>
      <c r="AS73" t="str">
        <f>IFERROR(INDEX('幕间与结算'!$E$9:$E$208,SMALL(AS$210:AS$409,72)),"")</f>
        <v/>
      </c>
      <c r="AT73" t="str">
        <f>IFERROR(INDEX('幕间与结算'!$E$9:$E$208,SMALL(AT$210:AT$409,72)),"")</f>
        <v/>
      </c>
    </row>
    <row r="74">
      <c r="H74" t="str">
        <f>A56</f>
        <v>技能：徒手搏斗</v>
      </c>
      <c r="W74">
        <f>IF(H74="","",COUNTIF($H$2:H74,"?*"))</f>
        <v>54</v>
      </c>
      <c r="X74" t="str">
        <f>IFERROR(INDEX($H$2:$H$79,MATCH(73,$W$2:$W$79,0)),"")</f>
        <v/>
      </c>
      <c r="AA74" t="str">
        <f>IFERROR(INDEX('幕间与结算'!$E$9:$E$208,SMALL(AA$210:AA$409,73)),"")</f>
        <v/>
      </c>
      <c r="AB74" t="str">
        <f>IFERROR(INDEX('幕间与结算'!$E$9:$E$208,SMALL(AB$210:AB$409,73)),"")</f>
        <v/>
      </c>
      <c r="AC74" t="str">
        <f>IFERROR(INDEX('幕间与结算'!$E$9:$E$208,SMALL(AC$210:AC$409,73)),"")</f>
        <v/>
      </c>
      <c r="AD74" t="str">
        <f>IFERROR(INDEX('幕间与结算'!$E$9:$E$208,SMALL(AD$210:AD$409,73)),"")</f>
        <v/>
      </c>
      <c r="AE74" t="str">
        <f>IFERROR(INDEX('幕间与结算'!$E$9:$E$208,SMALL(AE$210:AE$409,73)),"")</f>
        <v/>
      </c>
      <c r="AF74" t="str">
        <f>IFERROR(INDEX('幕间与结算'!$E$9:$E$208,SMALL(AF$210:AF$409,73)),"")</f>
        <v/>
      </c>
      <c r="AG74" t="str">
        <f>IFERROR(INDEX('幕间与结算'!$E$9:$E$208,SMALL(AG$210:AG$409,73)),"")</f>
        <v/>
      </c>
      <c r="AH74" t="str">
        <f>IFERROR(INDEX('幕间与结算'!$E$9:$E$208,SMALL(AH$210:AH$409,73)),"")</f>
        <v/>
      </c>
      <c r="AI74" t="str">
        <f>IFERROR(INDEX('幕间与结算'!$E$9:$E$208,SMALL(AI$210:AI$409,73)),"")</f>
        <v/>
      </c>
      <c r="AJ74" t="str">
        <f>IFERROR(INDEX('幕间与结算'!$E$9:$E$208,SMALL(AJ$210:AJ$409,73)),"")</f>
        <v/>
      </c>
      <c r="AK74" t="str">
        <f>IFERROR(INDEX('幕间与结算'!$E$9:$E$208,SMALL(AK$210:AK$409,73)),"")</f>
        <v/>
      </c>
      <c r="AL74" t="str">
        <f>IFERROR(INDEX('幕间与结算'!$E$9:$E$208,SMALL(AL$210:AL$409,73)),"")</f>
        <v/>
      </c>
      <c r="AM74" t="str">
        <f>IFERROR(INDEX('幕间与结算'!$E$9:$E$208,SMALL(AM$210:AM$409,73)),"")</f>
        <v/>
      </c>
      <c r="AN74" t="str">
        <f>IFERROR(INDEX('幕间与结算'!$E$9:$E$208,SMALL(AN$210:AN$409,73)),"")</f>
        <v/>
      </c>
      <c r="AO74" t="str">
        <f>IFERROR(INDEX('幕间与结算'!$E$9:$E$208,SMALL(AO$210:AO$409,73)),"")</f>
        <v/>
      </c>
      <c r="AP74" t="str">
        <f>IFERROR(INDEX('幕间与结算'!$E$9:$E$208,SMALL(AP$210:AP$409,73)),"")</f>
        <v/>
      </c>
      <c r="AQ74" t="str">
        <f>IFERROR(INDEX('幕间与结算'!$E$9:$E$208,SMALL(AQ$210:AQ$409,73)),"")</f>
        <v/>
      </c>
      <c r="AR74" t="str">
        <f>IFERROR(INDEX('幕间与结算'!$E$9:$E$208,SMALL(AR$210:AR$409,73)),"")</f>
        <v/>
      </c>
      <c r="AS74" t="str">
        <f>IFERROR(INDEX('幕间与结算'!$E$9:$E$208,SMALL(AS$210:AS$409,73)),"")</f>
        <v/>
      </c>
      <c r="AT74" t="str">
        <f>IFERROR(INDEX('幕间与结算'!$E$9:$E$208,SMALL(AT$210:AT$409,73)),"")</f>
        <v/>
      </c>
    </row>
    <row r="75">
      <c r="H75" t="str">
        <f>A57</f>
        <v>技能：非自然知识</v>
      </c>
      <c r="W75">
        <f>IF(H75="","",COUNTIF($H$2:H75,"?*"))</f>
        <v>55</v>
      </c>
      <c r="X75" t="str">
        <f>IFERROR(INDEX($H$2:$H$79,MATCH(74,$W$2:$W$79,0)),"")</f>
        <v/>
      </c>
      <c r="AA75" t="str">
        <f>IFERROR(INDEX('幕间与结算'!$E$9:$E$208,SMALL(AA$210:AA$409,74)),"")</f>
        <v/>
      </c>
      <c r="AB75" t="str">
        <f>IFERROR(INDEX('幕间与结算'!$E$9:$E$208,SMALL(AB$210:AB$409,74)),"")</f>
        <v/>
      </c>
      <c r="AC75" t="str">
        <f>IFERROR(INDEX('幕间与结算'!$E$9:$E$208,SMALL(AC$210:AC$409,74)),"")</f>
        <v/>
      </c>
      <c r="AD75" t="str">
        <f>IFERROR(INDEX('幕间与结算'!$E$9:$E$208,SMALL(AD$210:AD$409,74)),"")</f>
        <v/>
      </c>
      <c r="AE75" t="str">
        <f>IFERROR(INDEX('幕间与结算'!$E$9:$E$208,SMALL(AE$210:AE$409,74)),"")</f>
        <v/>
      </c>
      <c r="AF75" t="str">
        <f>IFERROR(INDEX('幕间与结算'!$E$9:$E$208,SMALL(AF$210:AF$409,74)),"")</f>
        <v/>
      </c>
      <c r="AG75" t="str">
        <f>IFERROR(INDEX('幕间与结算'!$E$9:$E$208,SMALL(AG$210:AG$409,74)),"")</f>
        <v/>
      </c>
      <c r="AH75" t="str">
        <f>IFERROR(INDEX('幕间与结算'!$E$9:$E$208,SMALL(AH$210:AH$409,74)),"")</f>
        <v/>
      </c>
      <c r="AI75" t="str">
        <f>IFERROR(INDEX('幕间与结算'!$E$9:$E$208,SMALL(AI$210:AI$409,74)),"")</f>
        <v/>
      </c>
      <c r="AJ75" t="str">
        <f>IFERROR(INDEX('幕间与结算'!$E$9:$E$208,SMALL(AJ$210:AJ$409,74)),"")</f>
        <v/>
      </c>
      <c r="AK75" t="str">
        <f>IFERROR(INDEX('幕间与结算'!$E$9:$E$208,SMALL(AK$210:AK$409,74)),"")</f>
        <v/>
      </c>
      <c r="AL75" t="str">
        <f>IFERROR(INDEX('幕间与结算'!$E$9:$E$208,SMALL(AL$210:AL$409,74)),"")</f>
        <v/>
      </c>
      <c r="AM75" t="str">
        <f>IFERROR(INDEX('幕间与结算'!$E$9:$E$208,SMALL(AM$210:AM$409,74)),"")</f>
        <v/>
      </c>
      <c r="AN75" t="str">
        <f>IFERROR(INDEX('幕间与结算'!$E$9:$E$208,SMALL(AN$210:AN$409,74)),"")</f>
        <v/>
      </c>
      <c r="AO75" t="str">
        <f>IFERROR(INDEX('幕间与结算'!$E$9:$E$208,SMALL(AO$210:AO$409,74)),"")</f>
        <v/>
      </c>
      <c r="AP75" t="str">
        <f>IFERROR(INDEX('幕间与结算'!$E$9:$E$208,SMALL(AP$210:AP$409,74)),"")</f>
        <v/>
      </c>
      <c r="AQ75" t="str">
        <f>IFERROR(INDEX('幕间与结算'!$E$9:$E$208,SMALL(AQ$210:AQ$409,74)),"")</f>
        <v/>
      </c>
      <c r="AR75" t="str">
        <f>IFERROR(INDEX('幕间与结算'!$E$9:$E$208,SMALL(AR$210:AR$409,74)),"")</f>
        <v/>
      </c>
      <c r="AS75" t="str">
        <f>IFERROR(INDEX('幕间与结算'!$E$9:$E$208,SMALL(AS$210:AS$409,74)),"")</f>
        <v/>
      </c>
      <c r="AT75" t="str">
        <f>IFERROR(INDEX('幕间与结算'!$E$9:$E$208,SMALL(AT$210:AT$409,74)),"")</f>
        <v/>
      </c>
    </row>
    <row r="76">
      <c r="H76" t="str">
        <f>A58</f>
        <v/>
      </c>
      <c r="W76" t="str">
        <f>IF(H76="","",COUNTIF($H$2:H76,"?*"))</f>
        <v/>
      </c>
      <c r="X76" t="str">
        <f>IFERROR(INDEX($H$2:$H$79,MATCH(75,$W$2:$W$79,0)),"")</f>
        <v/>
      </c>
      <c r="AA76" t="str">
        <f>IFERROR(INDEX('幕间与结算'!$E$9:$E$208,SMALL(AA$210:AA$409,75)),"")</f>
        <v/>
      </c>
      <c r="AB76" t="str">
        <f>IFERROR(INDEX('幕间与结算'!$E$9:$E$208,SMALL(AB$210:AB$409,75)),"")</f>
        <v/>
      </c>
      <c r="AC76" t="str">
        <f>IFERROR(INDEX('幕间与结算'!$E$9:$E$208,SMALL(AC$210:AC$409,75)),"")</f>
        <v/>
      </c>
      <c r="AD76" t="str">
        <f>IFERROR(INDEX('幕间与结算'!$E$9:$E$208,SMALL(AD$210:AD$409,75)),"")</f>
        <v/>
      </c>
      <c r="AE76" t="str">
        <f>IFERROR(INDEX('幕间与结算'!$E$9:$E$208,SMALL(AE$210:AE$409,75)),"")</f>
        <v/>
      </c>
      <c r="AF76" t="str">
        <f>IFERROR(INDEX('幕间与结算'!$E$9:$E$208,SMALL(AF$210:AF$409,75)),"")</f>
        <v/>
      </c>
      <c r="AG76" t="str">
        <f>IFERROR(INDEX('幕间与结算'!$E$9:$E$208,SMALL(AG$210:AG$409,75)),"")</f>
        <v/>
      </c>
      <c r="AH76" t="str">
        <f>IFERROR(INDEX('幕间与结算'!$E$9:$E$208,SMALL(AH$210:AH$409,75)),"")</f>
        <v/>
      </c>
      <c r="AI76" t="str">
        <f>IFERROR(INDEX('幕间与结算'!$E$9:$E$208,SMALL(AI$210:AI$409,75)),"")</f>
        <v/>
      </c>
      <c r="AJ76" t="str">
        <f>IFERROR(INDEX('幕间与结算'!$E$9:$E$208,SMALL(AJ$210:AJ$409,75)),"")</f>
        <v/>
      </c>
      <c r="AK76" t="str">
        <f>IFERROR(INDEX('幕间与结算'!$E$9:$E$208,SMALL(AK$210:AK$409,75)),"")</f>
        <v/>
      </c>
      <c r="AL76" t="str">
        <f>IFERROR(INDEX('幕间与结算'!$E$9:$E$208,SMALL(AL$210:AL$409,75)),"")</f>
        <v/>
      </c>
      <c r="AM76" t="str">
        <f>IFERROR(INDEX('幕间与结算'!$E$9:$E$208,SMALL(AM$210:AM$409,75)),"")</f>
        <v/>
      </c>
      <c r="AN76" t="str">
        <f>IFERROR(INDEX('幕间与结算'!$E$9:$E$208,SMALL(AN$210:AN$409,75)),"")</f>
        <v/>
      </c>
      <c r="AO76" t="str">
        <f>IFERROR(INDEX('幕间与结算'!$E$9:$E$208,SMALL(AO$210:AO$409,75)),"")</f>
        <v/>
      </c>
      <c r="AP76" t="str">
        <f>IFERROR(INDEX('幕间与结算'!$E$9:$E$208,SMALL(AP$210:AP$409,75)),"")</f>
        <v/>
      </c>
      <c r="AQ76" t="str">
        <f>IFERROR(INDEX('幕间与结算'!$E$9:$E$208,SMALL(AQ$210:AQ$409,75)),"")</f>
        <v/>
      </c>
      <c r="AR76" t="str">
        <f>IFERROR(INDEX('幕间与结算'!$E$9:$E$208,SMALL(AR$210:AR$409,75)),"")</f>
        <v/>
      </c>
      <c r="AS76" t="str">
        <f>IFERROR(INDEX('幕间与结算'!$E$9:$E$208,SMALL(AS$210:AS$409,75)),"")</f>
        <v/>
      </c>
      <c r="AT76" t="str">
        <f>IFERROR(INDEX('幕间与结算'!$E$9:$E$208,SMALL(AT$210:AT$409,75)),"")</f>
        <v/>
      </c>
    </row>
    <row r="77">
      <c r="H77" t="str">
        <f>A59</f>
        <v/>
      </c>
      <c r="W77" t="str">
        <f>IF(H77="","",COUNTIF($H$2:H77,"?*"))</f>
        <v/>
      </c>
      <c r="X77" t="str">
        <f>IFERROR(INDEX($H$2:$H$79,MATCH(76,$W$2:$W$79,0)),"")</f>
        <v/>
      </c>
      <c r="AA77" t="str">
        <f>IFERROR(INDEX('幕间与结算'!$E$9:$E$208,SMALL(AA$210:AA$409,76)),"")</f>
        <v/>
      </c>
      <c r="AB77" t="str">
        <f>IFERROR(INDEX('幕间与结算'!$E$9:$E$208,SMALL(AB$210:AB$409,76)),"")</f>
        <v/>
      </c>
      <c r="AC77" t="str">
        <f>IFERROR(INDEX('幕间与结算'!$E$9:$E$208,SMALL(AC$210:AC$409,76)),"")</f>
        <v/>
      </c>
      <c r="AD77" t="str">
        <f>IFERROR(INDEX('幕间与结算'!$E$9:$E$208,SMALL(AD$210:AD$409,76)),"")</f>
        <v/>
      </c>
      <c r="AE77" t="str">
        <f>IFERROR(INDEX('幕间与结算'!$E$9:$E$208,SMALL(AE$210:AE$409,76)),"")</f>
        <v/>
      </c>
      <c r="AF77" t="str">
        <f>IFERROR(INDEX('幕间与结算'!$E$9:$E$208,SMALL(AF$210:AF$409,76)),"")</f>
        <v/>
      </c>
      <c r="AG77" t="str">
        <f>IFERROR(INDEX('幕间与结算'!$E$9:$E$208,SMALL(AG$210:AG$409,76)),"")</f>
        <v/>
      </c>
      <c r="AH77" t="str">
        <f>IFERROR(INDEX('幕间与结算'!$E$9:$E$208,SMALL(AH$210:AH$409,76)),"")</f>
        <v/>
      </c>
      <c r="AI77" t="str">
        <f>IFERROR(INDEX('幕间与结算'!$E$9:$E$208,SMALL(AI$210:AI$409,76)),"")</f>
        <v/>
      </c>
      <c r="AJ77" t="str">
        <f>IFERROR(INDEX('幕间与结算'!$E$9:$E$208,SMALL(AJ$210:AJ$409,76)),"")</f>
        <v/>
      </c>
      <c r="AK77" t="str">
        <f>IFERROR(INDEX('幕间与结算'!$E$9:$E$208,SMALL(AK$210:AK$409,76)),"")</f>
        <v/>
      </c>
      <c r="AL77" t="str">
        <f>IFERROR(INDEX('幕间与结算'!$E$9:$E$208,SMALL(AL$210:AL$409,76)),"")</f>
        <v/>
      </c>
      <c r="AM77" t="str">
        <f>IFERROR(INDEX('幕间与结算'!$E$9:$E$208,SMALL(AM$210:AM$409,76)),"")</f>
        <v/>
      </c>
      <c r="AN77" t="str">
        <f>IFERROR(INDEX('幕间与结算'!$E$9:$E$208,SMALL(AN$210:AN$409,76)),"")</f>
        <v/>
      </c>
      <c r="AO77" t="str">
        <f>IFERROR(INDEX('幕间与结算'!$E$9:$E$208,SMALL(AO$210:AO$409,76)),"")</f>
        <v/>
      </c>
      <c r="AP77" t="str">
        <f>IFERROR(INDEX('幕间与结算'!$E$9:$E$208,SMALL(AP$210:AP$409,76)),"")</f>
        <v/>
      </c>
      <c r="AQ77" t="str">
        <f>IFERROR(INDEX('幕间与结算'!$E$9:$E$208,SMALL(AQ$210:AQ$409,76)),"")</f>
        <v/>
      </c>
      <c r="AR77" t="str">
        <f>IFERROR(INDEX('幕间与结算'!$E$9:$E$208,SMALL(AR$210:AR$409,76)),"")</f>
        <v/>
      </c>
      <c r="AS77" t="str">
        <f>IFERROR(INDEX('幕间与结算'!$E$9:$E$208,SMALL(AS$210:AS$409,76)),"")</f>
        <v/>
      </c>
      <c r="AT77" t="str">
        <f>IFERROR(INDEX('幕间与结算'!$E$9:$E$208,SMALL(AT$210:AT$409,76)),"")</f>
        <v/>
      </c>
    </row>
    <row r="78">
      <c r="H78" t="str">
        <f>A60</f>
        <v/>
      </c>
      <c r="W78" t="str">
        <f>IF(H78="","",COUNTIF($H$2:H78,"?*"))</f>
        <v/>
      </c>
      <c r="X78" t="str">
        <f>IFERROR(INDEX($H$2:$H$79,MATCH(77,$W$2:$W$79,0)),"")</f>
        <v/>
      </c>
      <c r="AA78" t="str">
        <f>IFERROR(INDEX('幕间与结算'!$E$9:$E$208,SMALL(AA$210:AA$409,77)),"")</f>
        <v/>
      </c>
      <c r="AB78" t="str">
        <f>IFERROR(INDEX('幕间与结算'!$E$9:$E$208,SMALL(AB$210:AB$409,77)),"")</f>
        <v/>
      </c>
      <c r="AC78" t="str">
        <f>IFERROR(INDEX('幕间与结算'!$E$9:$E$208,SMALL(AC$210:AC$409,77)),"")</f>
        <v/>
      </c>
      <c r="AD78" t="str">
        <f>IFERROR(INDEX('幕间与结算'!$E$9:$E$208,SMALL(AD$210:AD$409,77)),"")</f>
        <v/>
      </c>
      <c r="AE78" t="str">
        <f>IFERROR(INDEX('幕间与结算'!$E$9:$E$208,SMALL(AE$210:AE$409,77)),"")</f>
        <v/>
      </c>
      <c r="AF78" t="str">
        <f>IFERROR(INDEX('幕间与结算'!$E$9:$E$208,SMALL(AF$210:AF$409,77)),"")</f>
        <v/>
      </c>
      <c r="AG78" t="str">
        <f>IFERROR(INDEX('幕间与结算'!$E$9:$E$208,SMALL(AG$210:AG$409,77)),"")</f>
        <v/>
      </c>
      <c r="AH78" t="str">
        <f>IFERROR(INDEX('幕间与结算'!$E$9:$E$208,SMALL(AH$210:AH$409,77)),"")</f>
        <v/>
      </c>
      <c r="AI78" t="str">
        <f>IFERROR(INDEX('幕间与结算'!$E$9:$E$208,SMALL(AI$210:AI$409,77)),"")</f>
        <v/>
      </c>
      <c r="AJ78" t="str">
        <f>IFERROR(INDEX('幕间与结算'!$E$9:$E$208,SMALL(AJ$210:AJ$409,77)),"")</f>
        <v/>
      </c>
      <c r="AK78" t="str">
        <f>IFERROR(INDEX('幕间与结算'!$E$9:$E$208,SMALL(AK$210:AK$409,77)),"")</f>
        <v/>
      </c>
      <c r="AL78" t="str">
        <f>IFERROR(INDEX('幕间与结算'!$E$9:$E$208,SMALL(AL$210:AL$409,77)),"")</f>
        <v/>
      </c>
      <c r="AM78" t="str">
        <f>IFERROR(INDEX('幕间与结算'!$E$9:$E$208,SMALL(AM$210:AM$409,77)),"")</f>
        <v/>
      </c>
      <c r="AN78" t="str">
        <f>IFERROR(INDEX('幕间与结算'!$E$9:$E$208,SMALL(AN$210:AN$409,77)),"")</f>
        <v/>
      </c>
      <c r="AO78" t="str">
        <f>IFERROR(INDEX('幕间与结算'!$E$9:$E$208,SMALL(AO$210:AO$409,77)),"")</f>
        <v/>
      </c>
      <c r="AP78" t="str">
        <f>IFERROR(INDEX('幕间与结算'!$E$9:$E$208,SMALL(AP$210:AP$409,77)),"")</f>
        <v/>
      </c>
      <c r="AQ78" t="str">
        <f>IFERROR(INDEX('幕间与结算'!$E$9:$E$208,SMALL(AQ$210:AQ$409,77)),"")</f>
        <v/>
      </c>
      <c r="AR78" t="str">
        <f>IFERROR(INDEX('幕间与结算'!$E$9:$E$208,SMALL(AR$210:AR$409,77)),"")</f>
        <v/>
      </c>
      <c r="AS78" t="str">
        <f>IFERROR(INDEX('幕间与结算'!$E$9:$E$208,SMALL(AS$210:AS$409,77)),"")</f>
        <v/>
      </c>
      <c r="AT78" t="str">
        <f>IFERROR(INDEX('幕间与结算'!$E$9:$E$208,SMALL(AT$210:AT$409,77)),"")</f>
        <v/>
      </c>
    </row>
    <row r="79">
      <c r="H79" t="str">
        <f>A61</f>
        <v/>
      </c>
      <c r="W79" t="str">
        <f>IF(H79="","",COUNTIF($H$2:H79,"?*"))</f>
        <v/>
      </c>
      <c r="X79" t="str">
        <f>IFERROR(INDEX($H$2:$H$79,MATCH(78,$W$2:$W$79,0)),"")</f>
        <v/>
      </c>
      <c r="AA79" t="str">
        <f>IFERROR(INDEX('幕间与结算'!$E$9:$E$208,SMALL(AA$210:AA$409,78)),"")</f>
        <v/>
      </c>
      <c r="AB79" t="str">
        <f>IFERROR(INDEX('幕间与结算'!$E$9:$E$208,SMALL(AB$210:AB$409,78)),"")</f>
        <v/>
      </c>
      <c r="AC79" t="str">
        <f>IFERROR(INDEX('幕间与结算'!$E$9:$E$208,SMALL(AC$210:AC$409,78)),"")</f>
        <v/>
      </c>
      <c r="AD79" t="str">
        <f>IFERROR(INDEX('幕间与结算'!$E$9:$E$208,SMALL(AD$210:AD$409,78)),"")</f>
        <v/>
      </c>
      <c r="AE79" t="str">
        <f>IFERROR(INDEX('幕间与结算'!$E$9:$E$208,SMALL(AE$210:AE$409,78)),"")</f>
        <v/>
      </c>
      <c r="AF79" t="str">
        <f>IFERROR(INDEX('幕间与结算'!$E$9:$E$208,SMALL(AF$210:AF$409,78)),"")</f>
        <v/>
      </c>
      <c r="AG79" t="str">
        <f>IFERROR(INDEX('幕间与结算'!$E$9:$E$208,SMALL(AG$210:AG$409,78)),"")</f>
        <v/>
      </c>
      <c r="AH79" t="str">
        <f>IFERROR(INDEX('幕间与结算'!$E$9:$E$208,SMALL(AH$210:AH$409,78)),"")</f>
        <v/>
      </c>
      <c r="AI79" t="str">
        <f>IFERROR(INDEX('幕间与结算'!$E$9:$E$208,SMALL(AI$210:AI$409,78)),"")</f>
        <v/>
      </c>
      <c r="AJ79" t="str">
        <f>IFERROR(INDEX('幕间与结算'!$E$9:$E$208,SMALL(AJ$210:AJ$409,78)),"")</f>
        <v/>
      </c>
      <c r="AK79" t="str">
        <f>IFERROR(INDEX('幕间与结算'!$E$9:$E$208,SMALL(AK$210:AK$409,78)),"")</f>
        <v/>
      </c>
      <c r="AL79" t="str">
        <f>IFERROR(INDEX('幕间与结算'!$E$9:$E$208,SMALL(AL$210:AL$409,78)),"")</f>
        <v/>
      </c>
      <c r="AM79" t="str">
        <f>IFERROR(INDEX('幕间与结算'!$E$9:$E$208,SMALL(AM$210:AM$409,78)),"")</f>
        <v/>
      </c>
      <c r="AN79" t="str">
        <f>IFERROR(INDEX('幕间与结算'!$E$9:$E$208,SMALL(AN$210:AN$409,78)),"")</f>
        <v/>
      </c>
      <c r="AO79" t="str">
        <f>IFERROR(INDEX('幕间与结算'!$E$9:$E$208,SMALL(AO$210:AO$409,78)),"")</f>
        <v/>
      </c>
      <c r="AP79" t="str">
        <f>IFERROR(INDEX('幕间与结算'!$E$9:$E$208,SMALL(AP$210:AP$409,78)),"")</f>
        <v/>
      </c>
      <c r="AQ79" t="str">
        <f>IFERROR(INDEX('幕间与结算'!$E$9:$E$208,SMALL(AQ$210:AQ$409,78)),"")</f>
        <v/>
      </c>
      <c r="AR79" t="str">
        <f>IFERROR(INDEX('幕间与结算'!$E$9:$E$208,SMALL(AR$210:AR$409,78)),"")</f>
        <v/>
      </c>
      <c r="AS79" t="str">
        <f>IFERROR(INDEX('幕间与结算'!$E$9:$E$208,SMALL(AS$210:AS$409,78)),"")</f>
        <v/>
      </c>
      <c r="AT79" t="str">
        <f>IFERROR(INDEX('幕间与结算'!$E$9:$E$208,SMALL(AT$210:AT$409,78)),"")</f>
        <v/>
      </c>
    </row>
    <row r="80">
      <c r="AA80" t="str">
        <f>IFERROR(INDEX('幕间与结算'!$E$9:$E$208,SMALL(AA$210:AA$409,79)),"")</f>
        <v/>
      </c>
      <c r="AB80" t="str">
        <f>IFERROR(INDEX('幕间与结算'!$E$9:$E$208,SMALL(AB$210:AB$409,79)),"")</f>
        <v/>
      </c>
      <c r="AC80" t="str">
        <f>IFERROR(INDEX('幕间与结算'!$E$9:$E$208,SMALL(AC$210:AC$409,79)),"")</f>
        <v/>
      </c>
      <c r="AD80" t="str">
        <f>IFERROR(INDEX('幕间与结算'!$E$9:$E$208,SMALL(AD$210:AD$409,79)),"")</f>
        <v/>
      </c>
      <c r="AE80" t="str">
        <f>IFERROR(INDEX('幕间与结算'!$E$9:$E$208,SMALL(AE$210:AE$409,79)),"")</f>
        <v/>
      </c>
      <c r="AF80" t="str">
        <f>IFERROR(INDEX('幕间与结算'!$E$9:$E$208,SMALL(AF$210:AF$409,79)),"")</f>
        <v/>
      </c>
      <c r="AG80" t="str">
        <f>IFERROR(INDEX('幕间与结算'!$E$9:$E$208,SMALL(AG$210:AG$409,79)),"")</f>
        <v/>
      </c>
      <c r="AH80" t="str">
        <f>IFERROR(INDEX('幕间与结算'!$E$9:$E$208,SMALL(AH$210:AH$409,79)),"")</f>
        <v/>
      </c>
      <c r="AI80" t="str">
        <f>IFERROR(INDEX('幕间与结算'!$E$9:$E$208,SMALL(AI$210:AI$409,79)),"")</f>
        <v/>
      </c>
      <c r="AJ80" t="str">
        <f>IFERROR(INDEX('幕间与结算'!$E$9:$E$208,SMALL(AJ$210:AJ$409,79)),"")</f>
        <v/>
      </c>
      <c r="AK80" t="str">
        <f>IFERROR(INDEX('幕间与结算'!$E$9:$E$208,SMALL(AK$210:AK$409,79)),"")</f>
        <v/>
      </c>
      <c r="AL80" t="str">
        <f>IFERROR(INDEX('幕间与结算'!$E$9:$E$208,SMALL(AL$210:AL$409,79)),"")</f>
        <v/>
      </c>
      <c r="AM80" t="str">
        <f>IFERROR(INDEX('幕间与结算'!$E$9:$E$208,SMALL(AM$210:AM$409,79)),"")</f>
        <v/>
      </c>
      <c r="AN80" t="str">
        <f>IFERROR(INDEX('幕间与结算'!$E$9:$E$208,SMALL(AN$210:AN$409,79)),"")</f>
        <v/>
      </c>
      <c r="AO80" t="str">
        <f>IFERROR(INDEX('幕间与结算'!$E$9:$E$208,SMALL(AO$210:AO$409,79)),"")</f>
        <v/>
      </c>
      <c r="AP80" t="str">
        <f>IFERROR(INDEX('幕间与结算'!$E$9:$E$208,SMALL(AP$210:AP$409,79)),"")</f>
        <v/>
      </c>
      <c r="AQ80" t="str">
        <f>IFERROR(INDEX('幕间与结算'!$E$9:$E$208,SMALL(AQ$210:AQ$409,79)),"")</f>
        <v/>
      </c>
      <c r="AR80" t="str">
        <f>IFERROR(INDEX('幕间与结算'!$E$9:$E$208,SMALL(AR$210:AR$409,79)),"")</f>
        <v/>
      </c>
      <c r="AS80" t="str">
        <f>IFERROR(INDEX('幕间与结算'!$E$9:$E$208,SMALL(AS$210:AS$409,79)),"")</f>
        <v/>
      </c>
      <c r="AT80" t="str">
        <f>IFERROR(INDEX('幕间与结算'!$E$9:$E$208,SMALL(AT$210:AT$409,79)),"")</f>
        <v/>
      </c>
    </row>
    <row r="81">
      <c r="AA81" t="str">
        <f>IFERROR(INDEX('幕间与结算'!$E$9:$E$208,SMALL(AA$210:AA$409,80)),"")</f>
        <v/>
      </c>
      <c r="AB81" t="str">
        <f>IFERROR(INDEX('幕间与结算'!$E$9:$E$208,SMALL(AB$210:AB$409,80)),"")</f>
        <v/>
      </c>
      <c r="AC81" t="str">
        <f>IFERROR(INDEX('幕间与结算'!$E$9:$E$208,SMALL(AC$210:AC$409,80)),"")</f>
        <v/>
      </c>
      <c r="AD81" t="str">
        <f>IFERROR(INDEX('幕间与结算'!$E$9:$E$208,SMALL(AD$210:AD$409,80)),"")</f>
        <v/>
      </c>
      <c r="AE81" t="str">
        <f>IFERROR(INDEX('幕间与结算'!$E$9:$E$208,SMALL(AE$210:AE$409,80)),"")</f>
        <v/>
      </c>
      <c r="AF81" t="str">
        <f>IFERROR(INDEX('幕间与结算'!$E$9:$E$208,SMALL(AF$210:AF$409,80)),"")</f>
        <v/>
      </c>
      <c r="AG81" t="str">
        <f>IFERROR(INDEX('幕间与结算'!$E$9:$E$208,SMALL(AG$210:AG$409,80)),"")</f>
        <v/>
      </c>
      <c r="AH81" t="str">
        <f>IFERROR(INDEX('幕间与结算'!$E$9:$E$208,SMALL(AH$210:AH$409,80)),"")</f>
        <v/>
      </c>
      <c r="AI81" t="str">
        <f>IFERROR(INDEX('幕间与结算'!$E$9:$E$208,SMALL(AI$210:AI$409,80)),"")</f>
        <v/>
      </c>
      <c r="AJ81" t="str">
        <f>IFERROR(INDEX('幕间与结算'!$E$9:$E$208,SMALL(AJ$210:AJ$409,80)),"")</f>
        <v/>
      </c>
      <c r="AK81" t="str">
        <f>IFERROR(INDEX('幕间与结算'!$E$9:$E$208,SMALL(AK$210:AK$409,80)),"")</f>
        <v/>
      </c>
      <c r="AL81" t="str">
        <f>IFERROR(INDEX('幕间与结算'!$E$9:$E$208,SMALL(AL$210:AL$409,80)),"")</f>
        <v/>
      </c>
      <c r="AM81" t="str">
        <f>IFERROR(INDEX('幕间与结算'!$E$9:$E$208,SMALL(AM$210:AM$409,80)),"")</f>
        <v/>
      </c>
      <c r="AN81" t="str">
        <f>IFERROR(INDEX('幕间与结算'!$E$9:$E$208,SMALL(AN$210:AN$409,80)),"")</f>
        <v/>
      </c>
      <c r="AO81" t="str">
        <f>IFERROR(INDEX('幕间与结算'!$E$9:$E$208,SMALL(AO$210:AO$409,80)),"")</f>
        <v/>
      </c>
      <c r="AP81" t="str">
        <f>IFERROR(INDEX('幕间与结算'!$E$9:$E$208,SMALL(AP$210:AP$409,80)),"")</f>
        <v/>
      </c>
      <c r="AQ81" t="str">
        <f>IFERROR(INDEX('幕间与结算'!$E$9:$E$208,SMALL(AQ$210:AQ$409,80)),"")</f>
        <v/>
      </c>
      <c r="AR81" t="str">
        <f>IFERROR(INDEX('幕间与结算'!$E$9:$E$208,SMALL(AR$210:AR$409,80)),"")</f>
        <v/>
      </c>
      <c r="AS81" t="str">
        <f>IFERROR(INDEX('幕间与结算'!$E$9:$E$208,SMALL(AS$210:AS$409,80)),"")</f>
        <v/>
      </c>
      <c r="AT81" t="str">
        <f>IFERROR(INDEX('幕间与结算'!$E$9:$E$208,SMALL(AT$210:AT$409,80)),"")</f>
        <v/>
      </c>
    </row>
    <row r="82">
      <c r="AA82" t="str">
        <f>IFERROR(INDEX('幕间与结算'!$E$9:$E$208,SMALL(AA$210:AA$409,81)),"")</f>
        <v/>
      </c>
      <c r="AB82" t="str">
        <f>IFERROR(INDEX('幕间与结算'!$E$9:$E$208,SMALL(AB$210:AB$409,81)),"")</f>
        <v/>
      </c>
      <c r="AC82" t="str">
        <f>IFERROR(INDEX('幕间与结算'!$E$9:$E$208,SMALL(AC$210:AC$409,81)),"")</f>
        <v/>
      </c>
      <c r="AD82" t="str">
        <f>IFERROR(INDEX('幕间与结算'!$E$9:$E$208,SMALL(AD$210:AD$409,81)),"")</f>
        <v/>
      </c>
      <c r="AE82" t="str">
        <f>IFERROR(INDEX('幕间与结算'!$E$9:$E$208,SMALL(AE$210:AE$409,81)),"")</f>
        <v/>
      </c>
      <c r="AF82" t="str">
        <f>IFERROR(INDEX('幕间与结算'!$E$9:$E$208,SMALL(AF$210:AF$409,81)),"")</f>
        <v/>
      </c>
      <c r="AG82" t="str">
        <f>IFERROR(INDEX('幕间与结算'!$E$9:$E$208,SMALL(AG$210:AG$409,81)),"")</f>
        <v/>
      </c>
      <c r="AH82" t="str">
        <f>IFERROR(INDEX('幕间与结算'!$E$9:$E$208,SMALL(AH$210:AH$409,81)),"")</f>
        <v/>
      </c>
      <c r="AI82" t="str">
        <f>IFERROR(INDEX('幕间与结算'!$E$9:$E$208,SMALL(AI$210:AI$409,81)),"")</f>
        <v/>
      </c>
      <c r="AJ82" t="str">
        <f>IFERROR(INDEX('幕间与结算'!$E$9:$E$208,SMALL(AJ$210:AJ$409,81)),"")</f>
        <v/>
      </c>
      <c r="AK82" t="str">
        <f>IFERROR(INDEX('幕间与结算'!$E$9:$E$208,SMALL(AK$210:AK$409,81)),"")</f>
        <v/>
      </c>
      <c r="AL82" t="str">
        <f>IFERROR(INDEX('幕间与结算'!$E$9:$E$208,SMALL(AL$210:AL$409,81)),"")</f>
        <v/>
      </c>
      <c r="AM82" t="str">
        <f>IFERROR(INDEX('幕间与结算'!$E$9:$E$208,SMALL(AM$210:AM$409,81)),"")</f>
        <v/>
      </c>
      <c r="AN82" t="str">
        <f>IFERROR(INDEX('幕间与结算'!$E$9:$E$208,SMALL(AN$210:AN$409,81)),"")</f>
        <v/>
      </c>
      <c r="AO82" t="str">
        <f>IFERROR(INDEX('幕间与结算'!$E$9:$E$208,SMALL(AO$210:AO$409,81)),"")</f>
        <v/>
      </c>
      <c r="AP82" t="str">
        <f>IFERROR(INDEX('幕间与结算'!$E$9:$E$208,SMALL(AP$210:AP$409,81)),"")</f>
        <v/>
      </c>
      <c r="AQ82" t="str">
        <f>IFERROR(INDEX('幕间与结算'!$E$9:$E$208,SMALL(AQ$210:AQ$409,81)),"")</f>
        <v/>
      </c>
      <c r="AR82" t="str">
        <f>IFERROR(INDEX('幕间与结算'!$E$9:$E$208,SMALL(AR$210:AR$409,81)),"")</f>
        <v/>
      </c>
      <c r="AS82" t="str">
        <f>IFERROR(INDEX('幕间与结算'!$E$9:$E$208,SMALL(AS$210:AS$409,81)),"")</f>
        <v/>
      </c>
      <c r="AT82" t="str">
        <f>IFERROR(INDEX('幕间与结算'!$E$9:$E$208,SMALL(AT$210:AT$409,81)),"")</f>
        <v/>
      </c>
    </row>
    <row r="83">
      <c r="AA83" t="str">
        <f>IFERROR(INDEX('幕间与结算'!$E$9:$E$208,SMALL(AA$210:AA$409,82)),"")</f>
        <v/>
      </c>
      <c r="AB83" t="str">
        <f>IFERROR(INDEX('幕间与结算'!$E$9:$E$208,SMALL(AB$210:AB$409,82)),"")</f>
        <v/>
      </c>
      <c r="AC83" t="str">
        <f>IFERROR(INDEX('幕间与结算'!$E$9:$E$208,SMALL(AC$210:AC$409,82)),"")</f>
        <v/>
      </c>
      <c r="AD83" t="str">
        <f>IFERROR(INDEX('幕间与结算'!$E$9:$E$208,SMALL(AD$210:AD$409,82)),"")</f>
        <v/>
      </c>
      <c r="AE83" t="str">
        <f>IFERROR(INDEX('幕间与结算'!$E$9:$E$208,SMALL(AE$210:AE$409,82)),"")</f>
        <v/>
      </c>
      <c r="AF83" t="str">
        <f>IFERROR(INDEX('幕间与结算'!$E$9:$E$208,SMALL(AF$210:AF$409,82)),"")</f>
        <v/>
      </c>
      <c r="AG83" t="str">
        <f>IFERROR(INDEX('幕间与结算'!$E$9:$E$208,SMALL(AG$210:AG$409,82)),"")</f>
        <v/>
      </c>
      <c r="AH83" t="str">
        <f>IFERROR(INDEX('幕间与结算'!$E$9:$E$208,SMALL(AH$210:AH$409,82)),"")</f>
        <v/>
      </c>
      <c r="AI83" t="str">
        <f>IFERROR(INDEX('幕间与结算'!$E$9:$E$208,SMALL(AI$210:AI$409,82)),"")</f>
        <v/>
      </c>
      <c r="AJ83" t="str">
        <f>IFERROR(INDEX('幕间与结算'!$E$9:$E$208,SMALL(AJ$210:AJ$409,82)),"")</f>
        <v/>
      </c>
      <c r="AK83" t="str">
        <f>IFERROR(INDEX('幕间与结算'!$E$9:$E$208,SMALL(AK$210:AK$409,82)),"")</f>
        <v/>
      </c>
      <c r="AL83" t="str">
        <f>IFERROR(INDEX('幕间与结算'!$E$9:$E$208,SMALL(AL$210:AL$409,82)),"")</f>
        <v/>
      </c>
      <c r="AM83" t="str">
        <f>IFERROR(INDEX('幕间与结算'!$E$9:$E$208,SMALL(AM$210:AM$409,82)),"")</f>
        <v/>
      </c>
      <c r="AN83" t="str">
        <f>IFERROR(INDEX('幕间与结算'!$E$9:$E$208,SMALL(AN$210:AN$409,82)),"")</f>
        <v/>
      </c>
      <c r="AO83" t="str">
        <f>IFERROR(INDEX('幕间与结算'!$E$9:$E$208,SMALL(AO$210:AO$409,82)),"")</f>
        <v/>
      </c>
      <c r="AP83" t="str">
        <f>IFERROR(INDEX('幕间与结算'!$E$9:$E$208,SMALL(AP$210:AP$409,82)),"")</f>
        <v/>
      </c>
      <c r="AQ83" t="str">
        <f>IFERROR(INDEX('幕间与结算'!$E$9:$E$208,SMALL(AQ$210:AQ$409,82)),"")</f>
        <v/>
      </c>
      <c r="AR83" t="str">
        <f>IFERROR(INDEX('幕间与结算'!$E$9:$E$208,SMALL(AR$210:AR$409,82)),"")</f>
        <v/>
      </c>
      <c r="AS83" t="str">
        <f>IFERROR(INDEX('幕间与结算'!$E$9:$E$208,SMALL(AS$210:AS$409,82)),"")</f>
        <v/>
      </c>
      <c r="AT83" t="str">
        <f>IFERROR(INDEX('幕间与结算'!$E$9:$E$208,SMALL(AT$210:AT$409,82)),"")</f>
        <v/>
      </c>
    </row>
    <row r="84">
      <c r="AA84" t="str">
        <f>IFERROR(INDEX('幕间与结算'!$E$9:$E$208,SMALL(AA$210:AA$409,83)),"")</f>
        <v/>
      </c>
      <c r="AB84" t="str">
        <f>IFERROR(INDEX('幕间与结算'!$E$9:$E$208,SMALL(AB$210:AB$409,83)),"")</f>
        <v/>
      </c>
      <c r="AC84" t="str">
        <f>IFERROR(INDEX('幕间与结算'!$E$9:$E$208,SMALL(AC$210:AC$409,83)),"")</f>
        <v/>
      </c>
      <c r="AD84" t="str">
        <f>IFERROR(INDEX('幕间与结算'!$E$9:$E$208,SMALL(AD$210:AD$409,83)),"")</f>
        <v/>
      </c>
      <c r="AE84" t="str">
        <f>IFERROR(INDEX('幕间与结算'!$E$9:$E$208,SMALL(AE$210:AE$409,83)),"")</f>
        <v/>
      </c>
      <c r="AF84" t="str">
        <f>IFERROR(INDEX('幕间与结算'!$E$9:$E$208,SMALL(AF$210:AF$409,83)),"")</f>
        <v/>
      </c>
      <c r="AG84" t="str">
        <f>IFERROR(INDEX('幕间与结算'!$E$9:$E$208,SMALL(AG$210:AG$409,83)),"")</f>
        <v/>
      </c>
      <c r="AH84" t="str">
        <f>IFERROR(INDEX('幕间与结算'!$E$9:$E$208,SMALL(AH$210:AH$409,83)),"")</f>
        <v/>
      </c>
      <c r="AI84" t="str">
        <f>IFERROR(INDEX('幕间与结算'!$E$9:$E$208,SMALL(AI$210:AI$409,83)),"")</f>
        <v/>
      </c>
      <c r="AJ84" t="str">
        <f>IFERROR(INDEX('幕间与结算'!$E$9:$E$208,SMALL(AJ$210:AJ$409,83)),"")</f>
        <v/>
      </c>
      <c r="AK84" t="str">
        <f>IFERROR(INDEX('幕间与结算'!$E$9:$E$208,SMALL(AK$210:AK$409,83)),"")</f>
        <v/>
      </c>
      <c r="AL84" t="str">
        <f>IFERROR(INDEX('幕间与结算'!$E$9:$E$208,SMALL(AL$210:AL$409,83)),"")</f>
        <v/>
      </c>
      <c r="AM84" t="str">
        <f>IFERROR(INDEX('幕间与结算'!$E$9:$E$208,SMALL(AM$210:AM$409,83)),"")</f>
        <v/>
      </c>
      <c r="AN84" t="str">
        <f>IFERROR(INDEX('幕间与结算'!$E$9:$E$208,SMALL(AN$210:AN$409,83)),"")</f>
        <v/>
      </c>
      <c r="AO84" t="str">
        <f>IFERROR(INDEX('幕间与结算'!$E$9:$E$208,SMALL(AO$210:AO$409,83)),"")</f>
        <v/>
      </c>
      <c r="AP84" t="str">
        <f>IFERROR(INDEX('幕间与结算'!$E$9:$E$208,SMALL(AP$210:AP$409,83)),"")</f>
        <v/>
      </c>
      <c r="AQ84" t="str">
        <f>IFERROR(INDEX('幕间与结算'!$E$9:$E$208,SMALL(AQ$210:AQ$409,83)),"")</f>
        <v/>
      </c>
      <c r="AR84" t="str">
        <f>IFERROR(INDEX('幕间与结算'!$E$9:$E$208,SMALL(AR$210:AR$409,83)),"")</f>
        <v/>
      </c>
      <c r="AS84" t="str">
        <f>IFERROR(INDEX('幕间与结算'!$E$9:$E$208,SMALL(AS$210:AS$409,83)),"")</f>
        <v/>
      </c>
      <c r="AT84" t="str">
        <f>IFERROR(INDEX('幕间与结算'!$E$9:$E$208,SMALL(AT$210:AT$409,83)),"")</f>
        <v/>
      </c>
    </row>
    <row r="85">
      <c r="AA85" t="str">
        <f>IFERROR(INDEX('幕间与结算'!$E$9:$E$208,SMALL(AA$210:AA$409,84)),"")</f>
        <v/>
      </c>
      <c r="AB85" t="str">
        <f>IFERROR(INDEX('幕间与结算'!$E$9:$E$208,SMALL(AB$210:AB$409,84)),"")</f>
        <v/>
      </c>
      <c r="AC85" t="str">
        <f>IFERROR(INDEX('幕间与结算'!$E$9:$E$208,SMALL(AC$210:AC$409,84)),"")</f>
        <v/>
      </c>
      <c r="AD85" t="str">
        <f>IFERROR(INDEX('幕间与结算'!$E$9:$E$208,SMALL(AD$210:AD$409,84)),"")</f>
        <v/>
      </c>
      <c r="AE85" t="str">
        <f>IFERROR(INDEX('幕间与结算'!$E$9:$E$208,SMALL(AE$210:AE$409,84)),"")</f>
        <v/>
      </c>
      <c r="AF85" t="str">
        <f>IFERROR(INDEX('幕间与结算'!$E$9:$E$208,SMALL(AF$210:AF$409,84)),"")</f>
        <v/>
      </c>
      <c r="AG85" t="str">
        <f>IFERROR(INDEX('幕间与结算'!$E$9:$E$208,SMALL(AG$210:AG$409,84)),"")</f>
        <v/>
      </c>
      <c r="AH85" t="str">
        <f>IFERROR(INDEX('幕间与结算'!$E$9:$E$208,SMALL(AH$210:AH$409,84)),"")</f>
        <v/>
      </c>
      <c r="AI85" t="str">
        <f>IFERROR(INDEX('幕间与结算'!$E$9:$E$208,SMALL(AI$210:AI$409,84)),"")</f>
        <v/>
      </c>
      <c r="AJ85" t="str">
        <f>IFERROR(INDEX('幕间与结算'!$E$9:$E$208,SMALL(AJ$210:AJ$409,84)),"")</f>
        <v/>
      </c>
      <c r="AK85" t="str">
        <f>IFERROR(INDEX('幕间与结算'!$E$9:$E$208,SMALL(AK$210:AK$409,84)),"")</f>
        <v/>
      </c>
      <c r="AL85" t="str">
        <f>IFERROR(INDEX('幕间与结算'!$E$9:$E$208,SMALL(AL$210:AL$409,84)),"")</f>
        <v/>
      </c>
      <c r="AM85" t="str">
        <f>IFERROR(INDEX('幕间与结算'!$E$9:$E$208,SMALL(AM$210:AM$409,84)),"")</f>
        <v/>
      </c>
      <c r="AN85" t="str">
        <f>IFERROR(INDEX('幕间与结算'!$E$9:$E$208,SMALL(AN$210:AN$409,84)),"")</f>
        <v/>
      </c>
      <c r="AO85" t="str">
        <f>IFERROR(INDEX('幕间与结算'!$E$9:$E$208,SMALL(AO$210:AO$409,84)),"")</f>
        <v/>
      </c>
      <c r="AP85" t="str">
        <f>IFERROR(INDEX('幕间与结算'!$E$9:$E$208,SMALL(AP$210:AP$409,84)),"")</f>
        <v/>
      </c>
      <c r="AQ85" t="str">
        <f>IFERROR(INDEX('幕间与结算'!$E$9:$E$208,SMALL(AQ$210:AQ$409,84)),"")</f>
        <v/>
      </c>
      <c r="AR85" t="str">
        <f>IFERROR(INDEX('幕间与结算'!$E$9:$E$208,SMALL(AR$210:AR$409,84)),"")</f>
        <v/>
      </c>
      <c r="AS85" t="str">
        <f>IFERROR(INDEX('幕间与结算'!$E$9:$E$208,SMALL(AS$210:AS$409,84)),"")</f>
        <v/>
      </c>
      <c r="AT85" t="str">
        <f>IFERROR(INDEX('幕间与结算'!$E$9:$E$208,SMALL(AT$210:AT$409,84)),"")</f>
        <v/>
      </c>
    </row>
    <row r="86">
      <c r="AA86" t="str">
        <f>IFERROR(INDEX('幕间与结算'!$E$9:$E$208,SMALL(AA$210:AA$409,85)),"")</f>
        <v/>
      </c>
      <c r="AB86" t="str">
        <f>IFERROR(INDEX('幕间与结算'!$E$9:$E$208,SMALL(AB$210:AB$409,85)),"")</f>
        <v/>
      </c>
      <c r="AC86" t="str">
        <f>IFERROR(INDEX('幕间与结算'!$E$9:$E$208,SMALL(AC$210:AC$409,85)),"")</f>
        <v/>
      </c>
      <c r="AD86" t="str">
        <f>IFERROR(INDEX('幕间与结算'!$E$9:$E$208,SMALL(AD$210:AD$409,85)),"")</f>
        <v/>
      </c>
      <c r="AE86" t="str">
        <f>IFERROR(INDEX('幕间与结算'!$E$9:$E$208,SMALL(AE$210:AE$409,85)),"")</f>
        <v/>
      </c>
      <c r="AF86" t="str">
        <f>IFERROR(INDEX('幕间与结算'!$E$9:$E$208,SMALL(AF$210:AF$409,85)),"")</f>
        <v/>
      </c>
      <c r="AG86" t="str">
        <f>IFERROR(INDEX('幕间与结算'!$E$9:$E$208,SMALL(AG$210:AG$409,85)),"")</f>
        <v/>
      </c>
      <c r="AH86" t="str">
        <f>IFERROR(INDEX('幕间与结算'!$E$9:$E$208,SMALL(AH$210:AH$409,85)),"")</f>
        <v/>
      </c>
      <c r="AI86" t="str">
        <f>IFERROR(INDEX('幕间与结算'!$E$9:$E$208,SMALL(AI$210:AI$409,85)),"")</f>
        <v/>
      </c>
      <c r="AJ86" t="str">
        <f>IFERROR(INDEX('幕间与结算'!$E$9:$E$208,SMALL(AJ$210:AJ$409,85)),"")</f>
        <v/>
      </c>
      <c r="AK86" t="str">
        <f>IFERROR(INDEX('幕间与结算'!$E$9:$E$208,SMALL(AK$210:AK$409,85)),"")</f>
        <v/>
      </c>
      <c r="AL86" t="str">
        <f>IFERROR(INDEX('幕间与结算'!$E$9:$E$208,SMALL(AL$210:AL$409,85)),"")</f>
        <v/>
      </c>
      <c r="AM86" t="str">
        <f>IFERROR(INDEX('幕间与结算'!$E$9:$E$208,SMALL(AM$210:AM$409,85)),"")</f>
        <v/>
      </c>
      <c r="AN86" t="str">
        <f>IFERROR(INDEX('幕间与结算'!$E$9:$E$208,SMALL(AN$210:AN$409,85)),"")</f>
        <v/>
      </c>
      <c r="AO86" t="str">
        <f>IFERROR(INDEX('幕间与结算'!$E$9:$E$208,SMALL(AO$210:AO$409,85)),"")</f>
        <v/>
      </c>
      <c r="AP86" t="str">
        <f>IFERROR(INDEX('幕间与结算'!$E$9:$E$208,SMALL(AP$210:AP$409,85)),"")</f>
        <v/>
      </c>
      <c r="AQ86" t="str">
        <f>IFERROR(INDEX('幕间与结算'!$E$9:$E$208,SMALL(AQ$210:AQ$409,85)),"")</f>
        <v/>
      </c>
      <c r="AR86" t="str">
        <f>IFERROR(INDEX('幕间与结算'!$E$9:$E$208,SMALL(AR$210:AR$409,85)),"")</f>
        <v/>
      </c>
      <c r="AS86" t="str">
        <f>IFERROR(INDEX('幕间与结算'!$E$9:$E$208,SMALL(AS$210:AS$409,85)),"")</f>
        <v/>
      </c>
      <c r="AT86" t="str">
        <f>IFERROR(INDEX('幕间与结算'!$E$9:$E$208,SMALL(AT$210:AT$409,85)),"")</f>
        <v/>
      </c>
    </row>
    <row r="87">
      <c r="AA87" t="str">
        <f>IFERROR(INDEX('幕间与结算'!$E$9:$E$208,SMALL(AA$210:AA$409,86)),"")</f>
        <v/>
      </c>
      <c r="AB87" t="str">
        <f>IFERROR(INDEX('幕间与结算'!$E$9:$E$208,SMALL(AB$210:AB$409,86)),"")</f>
        <v/>
      </c>
      <c r="AC87" t="str">
        <f>IFERROR(INDEX('幕间与结算'!$E$9:$E$208,SMALL(AC$210:AC$409,86)),"")</f>
        <v/>
      </c>
      <c r="AD87" t="str">
        <f>IFERROR(INDEX('幕间与结算'!$E$9:$E$208,SMALL(AD$210:AD$409,86)),"")</f>
        <v/>
      </c>
      <c r="AE87" t="str">
        <f>IFERROR(INDEX('幕间与结算'!$E$9:$E$208,SMALL(AE$210:AE$409,86)),"")</f>
        <v/>
      </c>
      <c r="AF87" t="str">
        <f>IFERROR(INDEX('幕间与结算'!$E$9:$E$208,SMALL(AF$210:AF$409,86)),"")</f>
        <v/>
      </c>
      <c r="AG87" t="str">
        <f>IFERROR(INDEX('幕间与结算'!$E$9:$E$208,SMALL(AG$210:AG$409,86)),"")</f>
        <v/>
      </c>
      <c r="AH87" t="str">
        <f>IFERROR(INDEX('幕间与结算'!$E$9:$E$208,SMALL(AH$210:AH$409,86)),"")</f>
        <v/>
      </c>
      <c r="AI87" t="str">
        <f>IFERROR(INDEX('幕间与结算'!$E$9:$E$208,SMALL(AI$210:AI$409,86)),"")</f>
        <v/>
      </c>
      <c r="AJ87" t="str">
        <f>IFERROR(INDEX('幕间与结算'!$E$9:$E$208,SMALL(AJ$210:AJ$409,86)),"")</f>
        <v/>
      </c>
      <c r="AK87" t="str">
        <f>IFERROR(INDEX('幕间与结算'!$E$9:$E$208,SMALL(AK$210:AK$409,86)),"")</f>
        <v/>
      </c>
      <c r="AL87" t="str">
        <f>IFERROR(INDEX('幕间与结算'!$E$9:$E$208,SMALL(AL$210:AL$409,86)),"")</f>
        <v/>
      </c>
      <c r="AM87" t="str">
        <f>IFERROR(INDEX('幕间与结算'!$E$9:$E$208,SMALL(AM$210:AM$409,86)),"")</f>
        <v/>
      </c>
      <c r="AN87" t="str">
        <f>IFERROR(INDEX('幕间与结算'!$E$9:$E$208,SMALL(AN$210:AN$409,86)),"")</f>
        <v/>
      </c>
      <c r="AO87" t="str">
        <f>IFERROR(INDEX('幕间与结算'!$E$9:$E$208,SMALL(AO$210:AO$409,86)),"")</f>
        <v/>
      </c>
      <c r="AP87" t="str">
        <f>IFERROR(INDEX('幕间与结算'!$E$9:$E$208,SMALL(AP$210:AP$409,86)),"")</f>
        <v/>
      </c>
      <c r="AQ87" t="str">
        <f>IFERROR(INDEX('幕间与结算'!$E$9:$E$208,SMALL(AQ$210:AQ$409,86)),"")</f>
        <v/>
      </c>
      <c r="AR87" t="str">
        <f>IFERROR(INDEX('幕间与结算'!$E$9:$E$208,SMALL(AR$210:AR$409,86)),"")</f>
        <v/>
      </c>
      <c r="AS87" t="str">
        <f>IFERROR(INDEX('幕间与结算'!$E$9:$E$208,SMALL(AS$210:AS$409,86)),"")</f>
        <v/>
      </c>
      <c r="AT87" t="str">
        <f>IFERROR(INDEX('幕间与结算'!$E$9:$E$208,SMALL(AT$210:AT$409,86)),"")</f>
        <v/>
      </c>
    </row>
    <row r="88">
      <c r="AA88" t="str">
        <f>IFERROR(INDEX('幕间与结算'!$E$9:$E$208,SMALL(AA$210:AA$409,87)),"")</f>
        <v/>
      </c>
      <c r="AB88" t="str">
        <f>IFERROR(INDEX('幕间与结算'!$E$9:$E$208,SMALL(AB$210:AB$409,87)),"")</f>
        <v/>
      </c>
      <c r="AC88" t="str">
        <f>IFERROR(INDEX('幕间与结算'!$E$9:$E$208,SMALL(AC$210:AC$409,87)),"")</f>
        <v/>
      </c>
      <c r="AD88" t="str">
        <f>IFERROR(INDEX('幕间与结算'!$E$9:$E$208,SMALL(AD$210:AD$409,87)),"")</f>
        <v/>
      </c>
      <c r="AE88" t="str">
        <f>IFERROR(INDEX('幕间与结算'!$E$9:$E$208,SMALL(AE$210:AE$409,87)),"")</f>
        <v/>
      </c>
      <c r="AF88" t="str">
        <f>IFERROR(INDEX('幕间与结算'!$E$9:$E$208,SMALL(AF$210:AF$409,87)),"")</f>
        <v/>
      </c>
      <c r="AG88" t="str">
        <f>IFERROR(INDEX('幕间与结算'!$E$9:$E$208,SMALL(AG$210:AG$409,87)),"")</f>
        <v/>
      </c>
      <c r="AH88" t="str">
        <f>IFERROR(INDEX('幕间与结算'!$E$9:$E$208,SMALL(AH$210:AH$409,87)),"")</f>
        <v/>
      </c>
      <c r="AI88" t="str">
        <f>IFERROR(INDEX('幕间与结算'!$E$9:$E$208,SMALL(AI$210:AI$409,87)),"")</f>
        <v/>
      </c>
      <c r="AJ88" t="str">
        <f>IFERROR(INDEX('幕间与结算'!$E$9:$E$208,SMALL(AJ$210:AJ$409,87)),"")</f>
        <v/>
      </c>
      <c r="AK88" t="str">
        <f>IFERROR(INDEX('幕间与结算'!$E$9:$E$208,SMALL(AK$210:AK$409,87)),"")</f>
        <v/>
      </c>
      <c r="AL88" t="str">
        <f>IFERROR(INDEX('幕间与结算'!$E$9:$E$208,SMALL(AL$210:AL$409,87)),"")</f>
        <v/>
      </c>
      <c r="AM88" t="str">
        <f>IFERROR(INDEX('幕间与结算'!$E$9:$E$208,SMALL(AM$210:AM$409,87)),"")</f>
        <v/>
      </c>
      <c r="AN88" t="str">
        <f>IFERROR(INDEX('幕间与结算'!$E$9:$E$208,SMALL(AN$210:AN$409,87)),"")</f>
        <v/>
      </c>
      <c r="AO88" t="str">
        <f>IFERROR(INDEX('幕间与结算'!$E$9:$E$208,SMALL(AO$210:AO$409,87)),"")</f>
        <v/>
      </c>
      <c r="AP88" t="str">
        <f>IFERROR(INDEX('幕间与结算'!$E$9:$E$208,SMALL(AP$210:AP$409,87)),"")</f>
        <v/>
      </c>
      <c r="AQ88" t="str">
        <f>IFERROR(INDEX('幕间与结算'!$E$9:$E$208,SMALL(AQ$210:AQ$409,87)),"")</f>
        <v/>
      </c>
      <c r="AR88" t="str">
        <f>IFERROR(INDEX('幕间与结算'!$E$9:$E$208,SMALL(AR$210:AR$409,87)),"")</f>
        <v/>
      </c>
      <c r="AS88" t="str">
        <f>IFERROR(INDEX('幕间与结算'!$E$9:$E$208,SMALL(AS$210:AS$409,87)),"")</f>
        <v/>
      </c>
      <c r="AT88" t="str">
        <f>IFERROR(INDEX('幕间与结算'!$E$9:$E$208,SMALL(AT$210:AT$409,87)),"")</f>
        <v/>
      </c>
    </row>
    <row r="89">
      <c r="AA89" t="str">
        <f>IFERROR(INDEX('幕间与结算'!$E$9:$E$208,SMALL(AA$210:AA$409,88)),"")</f>
        <v/>
      </c>
      <c r="AB89" t="str">
        <f>IFERROR(INDEX('幕间与结算'!$E$9:$E$208,SMALL(AB$210:AB$409,88)),"")</f>
        <v/>
      </c>
      <c r="AC89" t="str">
        <f>IFERROR(INDEX('幕间与结算'!$E$9:$E$208,SMALL(AC$210:AC$409,88)),"")</f>
        <v/>
      </c>
      <c r="AD89" t="str">
        <f>IFERROR(INDEX('幕间与结算'!$E$9:$E$208,SMALL(AD$210:AD$409,88)),"")</f>
        <v/>
      </c>
      <c r="AE89" t="str">
        <f>IFERROR(INDEX('幕间与结算'!$E$9:$E$208,SMALL(AE$210:AE$409,88)),"")</f>
        <v/>
      </c>
      <c r="AF89" t="str">
        <f>IFERROR(INDEX('幕间与结算'!$E$9:$E$208,SMALL(AF$210:AF$409,88)),"")</f>
        <v/>
      </c>
      <c r="AG89" t="str">
        <f>IFERROR(INDEX('幕间与结算'!$E$9:$E$208,SMALL(AG$210:AG$409,88)),"")</f>
        <v/>
      </c>
      <c r="AH89" t="str">
        <f>IFERROR(INDEX('幕间与结算'!$E$9:$E$208,SMALL(AH$210:AH$409,88)),"")</f>
        <v/>
      </c>
      <c r="AI89" t="str">
        <f>IFERROR(INDEX('幕间与结算'!$E$9:$E$208,SMALL(AI$210:AI$409,88)),"")</f>
        <v/>
      </c>
      <c r="AJ89" t="str">
        <f>IFERROR(INDEX('幕间与结算'!$E$9:$E$208,SMALL(AJ$210:AJ$409,88)),"")</f>
        <v/>
      </c>
      <c r="AK89" t="str">
        <f>IFERROR(INDEX('幕间与结算'!$E$9:$E$208,SMALL(AK$210:AK$409,88)),"")</f>
        <v/>
      </c>
      <c r="AL89" t="str">
        <f>IFERROR(INDEX('幕间与结算'!$E$9:$E$208,SMALL(AL$210:AL$409,88)),"")</f>
        <v/>
      </c>
      <c r="AM89" t="str">
        <f>IFERROR(INDEX('幕间与结算'!$E$9:$E$208,SMALL(AM$210:AM$409,88)),"")</f>
        <v/>
      </c>
      <c r="AN89" t="str">
        <f>IFERROR(INDEX('幕间与结算'!$E$9:$E$208,SMALL(AN$210:AN$409,88)),"")</f>
        <v/>
      </c>
      <c r="AO89" t="str">
        <f>IFERROR(INDEX('幕间与结算'!$E$9:$E$208,SMALL(AO$210:AO$409,88)),"")</f>
        <v/>
      </c>
      <c r="AP89" t="str">
        <f>IFERROR(INDEX('幕间与结算'!$E$9:$E$208,SMALL(AP$210:AP$409,88)),"")</f>
        <v/>
      </c>
      <c r="AQ89" t="str">
        <f>IFERROR(INDEX('幕间与结算'!$E$9:$E$208,SMALL(AQ$210:AQ$409,88)),"")</f>
        <v/>
      </c>
      <c r="AR89" t="str">
        <f>IFERROR(INDEX('幕间与结算'!$E$9:$E$208,SMALL(AR$210:AR$409,88)),"")</f>
        <v/>
      </c>
      <c r="AS89" t="str">
        <f>IFERROR(INDEX('幕间与结算'!$E$9:$E$208,SMALL(AS$210:AS$409,88)),"")</f>
        <v/>
      </c>
      <c r="AT89" t="str">
        <f>IFERROR(INDEX('幕间与结算'!$E$9:$E$208,SMALL(AT$210:AT$409,88)),"")</f>
        <v/>
      </c>
    </row>
    <row r="90">
      <c r="AA90" t="str">
        <f>IFERROR(INDEX('幕间与结算'!$E$9:$E$208,SMALL(AA$210:AA$409,89)),"")</f>
        <v/>
      </c>
      <c r="AB90" t="str">
        <f>IFERROR(INDEX('幕间与结算'!$E$9:$E$208,SMALL(AB$210:AB$409,89)),"")</f>
        <v/>
      </c>
      <c r="AC90" t="str">
        <f>IFERROR(INDEX('幕间与结算'!$E$9:$E$208,SMALL(AC$210:AC$409,89)),"")</f>
        <v/>
      </c>
      <c r="AD90" t="str">
        <f>IFERROR(INDEX('幕间与结算'!$E$9:$E$208,SMALL(AD$210:AD$409,89)),"")</f>
        <v/>
      </c>
      <c r="AE90" t="str">
        <f>IFERROR(INDEX('幕间与结算'!$E$9:$E$208,SMALL(AE$210:AE$409,89)),"")</f>
        <v/>
      </c>
      <c r="AF90" t="str">
        <f>IFERROR(INDEX('幕间与结算'!$E$9:$E$208,SMALL(AF$210:AF$409,89)),"")</f>
        <v/>
      </c>
      <c r="AG90" t="str">
        <f>IFERROR(INDEX('幕间与结算'!$E$9:$E$208,SMALL(AG$210:AG$409,89)),"")</f>
        <v/>
      </c>
      <c r="AH90" t="str">
        <f>IFERROR(INDEX('幕间与结算'!$E$9:$E$208,SMALL(AH$210:AH$409,89)),"")</f>
        <v/>
      </c>
      <c r="AI90" t="str">
        <f>IFERROR(INDEX('幕间与结算'!$E$9:$E$208,SMALL(AI$210:AI$409,89)),"")</f>
        <v/>
      </c>
      <c r="AJ90" t="str">
        <f>IFERROR(INDEX('幕间与结算'!$E$9:$E$208,SMALL(AJ$210:AJ$409,89)),"")</f>
        <v/>
      </c>
      <c r="AK90" t="str">
        <f>IFERROR(INDEX('幕间与结算'!$E$9:$E$208,SMALL(AK$210:AK$409,89)),"")</f>
        <v/>
      </c>
      <c r="AL90" t="str">
        <f>IFERROR(INDEX('幕间与结算'!$E$9:$E$208,SMALL(AL$210:AL$409,89)),"")</f>
        <v/>
      </c>
      <c r="AM90" t="str">
        <f>IFERROR(INDEX('幕间与结算'!$E$9:$E$208,SMALL(AM$210:AM$409,89)),"")</f>
        <v/>
      </c>
      <c r="AN90" t="str">
        <f>IFERROR(INDEX('幕间与结算'!$E$9:$E$208,SMALL(AN$210:AN$409,89)),"")</f>
        <v/>
      </c>
      <c r="AO90" t="str">
        <f>IFERROR(INDEX('幕间与结算'!$E$9:$E$208,SMALL(AO$210:AO$409,89)),"")</f>
        <v/>
      </c>
      <c r="AP90" t="str">
        <f>IFERROR(INDEX('幕间与结算'!$E$9:$E$208,SMALL(AP$210:AP$409,89)),"")</f>
        <v/>
      </c>
      <c r="AQ90" t="str">
        <f>IFERROR(INDEX('幕间与结算'!$E$9:$E$208,SMALL(AQ$210:AQ$409,89)),"")</f>
        <v/>
      </c>
      <c r="AR90" t="str">
        <f>IFERROR(INDEX('幕间与结算'!$E$9:$E$208,SMALL(AR$210:AR$409,89)),"")</f>
        <v/>
      </c>
      <c r="AS90" t="str">
        <f>IFERROR(INDEX('幕间与结算'!$E$9:$E$208,SMALL(AS$210:AS$409,89)),"")</f>
        <v/>
      </c>
      <c r="AT90" t="str">
        <f>IFERROR(INDEX('幕间与结算'!$E$9:$E$208,SMALL(AT$210:AT$409,89)),"")</f>
        <v/>
      </c>
    </row>
    <row r="91">
      <c r="AA91" t="str">
        <f>IFERROR(INDEX('幕间与结算'!$E$9:$E$208,SMALL(AA$210:AA$409,90)),"")</f>
        <v/>
      </c>
      <c r="AB91" t="str">
        <f>IFERROR(INDEX('幕间与结算'!$E$9:$E$208,SMALL(AB$210:AB$409,90)),"")</f>
        <v/>
      </c>
      <c r="AC91" t="str">
        <f>IFERROR(INDEX('幕间与结算'!$E$9:$E$208,SMALL(AC$210:AC$409,90)),"")</f>
        <v/>
      </c>
      <c r="AD91" t="str">
        <f>IFERROR(INDEX('幕间与结算'!$E$9:$E$208,SMALL(AD$210:AD$409,90)),"")</f>
        <v/>
      </c>
      <c r="AE91" t="str">
        <f>IFERROR(INDEX('幕间与结算'!$E$9:$E$208,SMALL(AE$210:AE$409,90)),"")</f>
        <v/>
      </c>
      <c r="AF91" t="str">
        <f>IFERROR(INDEX('幕间与结算'!$E$9:$E$208,SMALL(AF$210:AF$409,90)),"")</f>
        <v/>
      </c>
      <c r="AG91" t="str">
        <f>IFERROR(INDEX('幕间与结算'!$E$9:$E$208,SMALL(AG$210:AG$409,90)),"")</f>
        <v/>
      </c>
      <c r="AH91" t="str">
        <f>IFERROR(INDEX('幕间与结算'!$E$9:$E$208,SMALL(AH$210:AH$409,90)),"")</f>
        <v/>
      </c>
      <c r="AI91" t="str">
        <f>IFERROR(INDEX('幕间与结算'!$E$9:$E$208,SMALL(AI$210:AI$409,90)),"")</f>
        <v/>
      </c>
      <c r="AJ91" t="str">
        <f>IFERROR(INDEX('幕间与结算'!$E$9:$E$208,SMALL(AJ$210:AJ$409,90)),"")</f>
        <v/>
      </c>
      <c r="AK91" t="str">
        <f>IFERROR(INDEX('幕间与结算'!$E$9:$E$208,SMALL(AK$210:AK$409,90)),"")</f>
        <v/>
      </c>
      <c r="AL91" t="str">
        <f>IFERROR(INDEX('幕间与结算'!$E$9:$E$208,SMALL(AL$210:AL$409,90)),"")</f>
        <v/>
      </c>
      <c r="AM91" t="str">
        <f>IFERROR(INDEX('幕间与结算'!$E$9:$E$208,SMALL(AM$210:AM$409,90)),"")</f>
        <v/>
      </c>
      <c r="AN91" t="str">
        <f>IFERROR(INDEX('幕间与结算'!$E$9:$E$208,SMALL(AN$210:AN$409,90)),"")</f>
        <v/>
      </c>
      <c r="AO91" t="str">
        <f>IFERROR(INDEX('幕间与结算'!$E$9:$E$208,SMALL(AO$210:AO$409,90)),"")</f>
        <v/>
      </c>
      <c r="AP91" t="str">
        <f>IFERROR(INDEX('幕间与结算'!$E$9:$E$208,SMALL(AP$210:AP$409,90)),"")</f>
        <v/>
      </c>
      <c r="AQ91" t="str">
        <f>IFERROR(INDEX('幕间与结算'!$E$9:$E$208,SMALL(AQ$210:AQ$409,90)),"")</f>
        <v/>
      </c>
      <c r="AR91" t="str">
        <f>IFERROR(INDEX('幕间与结算'!$E$9:$E$208,SMALL(AR$210:AR$409,90)),"")</f>
        <v/>
      </c>
      <c r="AS91" t="str">
        <f>IFERROR(INDEX('幕间与结算'!$E$9:$E$208,SMALL(AS$210:AS$409,90)),"")</f>
        <v/>
      </c>
      <c r="AT91" t="str">
        <f>IFERROR(INDEX('幕间与结算'!$E$9:$E$208,SMALL(AT$210:AT$409,90)),"")</f>
        <v/>
      </c>
    </row>
    <row r="92">
      <c r="AA92" t="str">
        <f>IFERROR(INDEX('幕间与结算'!$E$9:$E$208,SMALL(AA$210:AA$409,91)),"")</f>
        <v/>
      </c>
      <c r="AB92" t="str">
        <f>IFERROR(INDEX('幕间与结算'!$E$9:$E$208,SMALL(AB$210:AB$409,91)),"")</f>
        <v/>
      </c>
      <c r="AC92" t="str">
        <f>IFERROR(INDEX('幕间与结算'!$E$9:$E$208,SMALL(AC$210:AC$409,91)),"")</f>
        <v/>
      </c>
      <c r="AD92" t="str">
        <f>IFERROR(INDEX('幕间与结算'!$E$9:$E$208,SMALL(AD$210:AD$409,91)),"")</f>
        <v/>
      </c>
      <c r="AE92" t="str">
        <f>IFERROR(INDEX('幕间与结算'!$E$9:$E$208,SMALL(AE$210:AE$409,91)),"")</f>
        <v/>
      </c>
      <c r="AF92" t="str">
        <f>IFERROR(INDEX('幕间与结算'!$E$9:$E$208,SMALL(AF$210:AF$409,91)),"")</f>
        <v/>
      </c>
      <c r="AG92" t="str">
        <f>IFERROR(INDEX('幕间与结算'!$E$9:$E$208,SMALL(AG$210:AG$409,91)),"")</f>
        <v/>
      </c>
      <c r="AH92" t="str">
        <f>IFERROR(INDEX('幕间与结算'!$E$9:$E$208,SMALL(AH$210:AH$409,91)),"")</f>
        <v/>
      </c>
      <c r="AI92" t="str">
        <f>IFERROR(INDEX('幕间与结算'!$E$9:$E$208,SMALL(AI$210:AI$409,91)),"")</f>
        <v/>
      </c>
      <c r="AJ92" t="str">
        <f>IFERROR(INDEX('幕间与结算'!$E$9:$E$208,SMALL(AJ$210:AJ$409,91)),"")</f>
        <v/>
      </c>
      <c r="AK92" t="str">
        <f>IFERROR(INDEX('幕间与结算'!$E$9:$E$208,SMALL(AK$210:AK$409,91)),"")</f>
        <v/>
      </c>
      <c r="AL92" t="str">
        <f>IFERROR(INDEX('幕间与结算'!$E$9:$E$208,SMALL(AL$210:AL$409,91)),"")</f>
        <v/>
      </c>
      <c r="AM92" t="str">
        <f>IFERROR(INDEX('幕间与结算'!$E$9:$E$208,SMALL(AM$210:AM$409,91)),"")</f>
        <v/>
      </c>
      <c r="AN92" t="str">
        <f>IFERROR(INDEX('幕间与结算'!$E$9:$E$208,SMALL(AN$210:AN$409,91)),"")</f>
        <v/>
      </c>
      <c r="AO92" t="str">
        <f>IFERROR(INDEX('幕间与结算'!$E$9:$E$208,SMALL(AO$210:AO$409,91)),"")</f>
        <v/>
      </c>
      <c r="AP92" t="str">
        <f>IFERROR(INDEX('幕间与结算'!$E$9:$E$208,SMALL(AP$210:AP$409,91)),"")</f>
        <v/>
      </c>
      <c r="AQ92" t="str">
        <f>IFERROR(INDEX('幕间与结算'!$E$9:$E$208,SMALL(AQ$210:AQ$409,91)),"")</f>
        <v/>
      </c>
      <c r="AR92" t="str">
        <f>IFERROR(INDEX('幕间与结算'!$E$9:$E$208,SMALL(AR$210:AR$409,91)),"")</f>
        <v/>
      </c>
      <c r="AS92" t="str">
        <f>IFERROR(INDEX('幕间与结算'!$E$9:$E$208,SMALL(AS$210:AS$409,91)),"")</f>
        <v/>
      </c>
      <c r="AT92" t="str">
        <f>IFERROR(INDEX('幕间与结算'!$E$9:$E$208,SMALL(AT$210:AT$409,91)),"")</f>
        <v/>
      </c>
    </row>
    <row r="93">
      <c r="AA93" t="str">
        <f>IFERROR(INDEX('幕间与结算'!$E$9:$E$208,SMALL(AA$210:AA$409,92)),"")</f>
        <v/>
      </c>
      <c r="AB93" t="str">
        <f>IFERROR(INDEX('幕间与结算'!$E$9:$E$208,SMALL(AB$210:AB$409,92)),"")</f>
        <v/>
      </c>
      <c r="AC93" t="str">
        <f>IFERROR(INDEX('幕间与结算'!$E$9:$E$208,SMALL(AC$210:AC$409,92)),"")</f>
        <v/>
      </c>
      <c r="AD93" t="str">
        <f>IFERROR(INDEX('幕间与结算'!$E$9:$E$208,SMALL(AD$210:AD$409,92)),"")</f>
        <v/>
      </c>
      <c r="AE93" t="str">
        <f>IFERROR(INDEX('幕间与结算'!$E$9:$E$208,SMALL(AE$210:AE$409,92)),"")</f>
        <v/>
      </c>
      <c r="AF93" t="str">
        <f>IFERROR(INDEX('幕间与结算'!$E$9:$E$208,SMALL(AF$210:AF$409,92)),"")</f>
        <v/>
      </c>
      <c r="AG93" t="str">
        <f>IFERROR(INDEX('幕间与结算'!$E$9:$E$208,SMALL(AG$210:AG$409,92)),"")</f>
        <v/>
      </c>
      <c r="AH93" t="str">
        <f>IFERROR(INDEX('幕间与结算'!$E$9:$E$208,SMALL(AH$210:AH$409,92)),"")</f>
        <v/>
      </c>
      <c r="AI93" t="str">
        <f>IFERROR(INDEX('幕间与结算'!$E$9:$E$208,SMALL(AI$210:AI$409,92)),"")</f>
        <v/>
      </c>
      <c r="AJ93" t="str">
        <f>IFERROR(INDEX('幕间与结算'!$E$9:$E$208,SMALL(AJ$210:AJ$409,92)),"")</f>
        <v/>
      </c>
      <c r="AK93" t="str">
        <f>IFERROR(INDEX('幕间与结算'!$E$9:$E$208,SMALL(AK$210:AK$409,92)),"")</f>
        <v/>
      </c>
      <c r="AL93" t="str">
        <f>IFERROR(INDEX('幕间与结算'!$E$9:$E$208,SMALL(AL$210:AL$409,92)),"")</f>
        <v/>
      </c>
      <c r="AM93" t="str">
        <f>IFERROR(INDEX('幕间与结算'!$E$9:$E$208,SMALL(AM$210:AM$409,92)),"")</f>
        <v/>
      </c>
      <c r="AN93" t="str">
        <f>IFERROR(INDEX('幕间与结算'!$E$9:$E$208,SMALL(AN$210:AN$409,92)),"")</f>
        <v/>
      </c>
      <c r="AO93" t="str">
        <f>IFERROR(INDEX('幕间与结算'!$E$9:$E$208,SMALL(AO$210:AO$409,92)),"")</f>
        <v/>
      </c>
      <c r="AP93" t="str">
        <f>IFERROR(INDEX('幕间与结算'!$E$9:$E$208,SMALL(AP$210:AP$409,92)),"")</f>
        <v/>
      </c>
      <c r="AQ93" t="str">
        <f>IFERROR(INDEX('幕间与结算'!$E$9:$E$208,SMALL(AQ$210:AQ$409,92)),"")</f>
        <v/>
      </c>
      <c r="AR93" t="str">
        <f>IFERROR(INDEX('幕间与结算'!$E$9:$E$208,SMALL(AR$210:AR$409,92)),"")</f>
        <v/>
      </c>
      <c r="AS93" t="str">
        <f>IFERROR(INDEX('幕间与结算'!$E$9:$E$208,SMALL(AS$210:AS$409,92)),"")</f>
        <v/>
      </c>
      <c r="AT93" t="str">
        <f>IFERROR(INDEX('幕间与结算'!$E$9:$E$208,SMALL(AT$210:AT$409,92)),"")</f>
        <v/>
      </c>
    </row>
    <row r="94">
      <c r="AA94" t="str">
        <f>IFERROR(INDEX('幕间与结算'!$E$9:$E$208,SMALL(AA$210:AA$409,93)),"")</f>
        <v/>
      </c>
      <c r="AB94" t="str">
        <f>IFERROR(INDEX('幕间与结算'!$E$9:$E$208,SMALL(AB$210:AB$409,93)),"")</f>
        <v/>
      </c>
      <c r="AC94" t="str">
        <f>IFERROR(INDEX('幕间与结算'!$E$9:$E$208,SMALL(AC$210:AC$409,93)),"")</f>
        <v/>
      </c>
      <c r="AD94" t="str">
        <f>IFERROR(INDEX('幕间与结算'!$E$9:$E$208,SMALL(AD$210:AD$409,93)),"")</f>
        <v/>
      </c>
      <c r="AE94" t="str">
        <f>IFERROR(INDEX('幕间与结算'!$E$9:$E$208,SMALL(AE$210:AE$409,93)),"")</f>
        <v/>
      </c>
      <c r="AF94" t="str">
        <f>IFERROR(INDEX('幕间与结算'!$E$9:$E$208,SMALL(AF$210:AF$409,93)),"")</f>
        <v/>
      </c>
      <c r="AG94" t="str">
        <f>IFERROR(INDEX('幕间与结算'!$E$9:$E$208,SMALL(AG$210:AG$409,93)),"")</f>
        <v/>
      </c>
      <c r="AH94" t="str">
        <f>IFERROR(INDEX('幕间与结算'!$E$9:$E$208,SMALL(AH$210:AH$409,93)),"")</f>
        <v/>
      </c>
      <c r="AI94" t="str">
        <f>IFERROR(INDEX('幕间与结算'!$E$9:$E$208,SMALL(AI$210:AI$409,93)),"")</f>
        <v/>
      </c>
      <c r="AJ94" t="str">
        <f>IFERROR(INDEX('幕间与结算'!$E$9:$E$208,SMALL(AJ$210:AJ$409,93)),"")</f>
        <v/>
      </c>
      <c r="AK94" t="str">
        <f>IFERROR(INDEX('幕间与结算'!$E$9:$E$208,SMALL(AK$210:AK$409,93)),"")</f>
        <v/>
      </c>
      <c r="AL94" t="str">
        <f>IFERROR(INDEX('幕间与结算'!$E$9:$E$208,SMALL(AL$210:AL$409,93)),"")</f>
        <v/>
      </c>
      <c r="AM94" t="str">
        <f>IFERROR(INDEX('幕间与结算'!$E$9:$E$208,SMALL(AM$210:AM$409,93)),"")</f>
        <v/>
      </c>
      <c r="AN94" t="str">
        <f>IFERROR(INDEX('幕间与结算'!$E$9:$E$208,SMALL(AN$210:AN$409,93)),"")</f>
        <v/>
      </c>
      <c r="AO94" t="str">
        <f>IFERROR(INDEX('幕间与结算'!$E$9:$E$208,SMALL(AO$210:AO$409,93)),"")</f>
        <v/>
      </c>
      <c r="AP94" t="str">
        <f>IFERROR(INDEX('幕间与结算'!$E$9:$E$208,SMALL(AP$210:AP$409,93)),"")</f>
        <v/>
      </c>
      <c r="AQ94" t="str">
        <f>IFERROR(INDEX('幕间与结算'!$E$9:$E$208,SMALL(AQ$210:AQ$409,93)),"")</f>
        <v/>
      </c>
      <c r="AR94" t="str">
        <f>IFERROR(INDEX('幕间与结算'!$E$9:$E$208,SMALL(AR$210:AR$409,93)),"")</f>
        <v/>
      </c>
      <c r="AS94" t="str">
        <f>IFERROR(INDEX('幕间与结算'!$E$9:$E$208,SMALL(AS$210:AS$409,93)),"")</f>
        <v/>
      </c>
      <c r="AT94" t="str">
        <f>IFERROR(INDEX('幕间与结算'!$E$9:$E$208,SMALL(AT$210:AT$409,93)),"")</f>
        <v/>
      </c>
    </row>
    <row r="95">
      <c r="AA95" t="str">
        <f>IFERROR(INDEX('幕间与结算'!$E$9:$E$208,SMALL(AA$210:AA$409,94)),"")</f>
        <v/>
      </c>
      <c r="AB95" t="str">
        <f>IFERROR(INDEX('幕间与结算'!$E$9:$E$208,SMALL(AB$210:AB$409,94)),"")</f>
        <v/>
      </c>
      <c r="AC95" t="str">
        <f>IFERROR(INDEX('幕间与结算'!$E$9:$E$208,SMALL(AC$210:AC$409,94)),"")</f>
        <v/>
      </c>
      <c r="AD95" t="str">
        <f>IFERROR(INDEX('幕间与结算'!$E$9:$E$208,SMALL(AD$210:AD$409,94)),"")</f>
        <v/>
      </c>
      <c r="AE95" t="str">
        <f>IFERROR(INDEX('幕间与结算'!$E$9:$E$208,SMALL(AE$210:AE$409,94)),"")</f>
        <v/>
      </c>
      <c r="AF95" t="str">
        <f>IFERROR(INDEX('幕间与结算'!$E$9:$E$208,SMALL(AF$210:AF$409,94)),"")</f>
        <v/>
      </c>
      <c r="AG95" t="str">
        <f>IFERROR(INDEX('幕间与结算'!$E$9:$E$208,SMALL(AG$210:AG$409,94)),"")</f>
        <v/>
      </c>
      <c r="AH95" t="str">
        <f>IFERROR(INDEX('幕间与结算'!$E$9:$E$208,SMALL(AH$210:AH$409,94)),"")</f>
        <v/>
      </c>
      <c r="AI95" t="str">
        <f>IFERROR(INDEX('幕间与结算'!$E$9:$E$208,SMALL(AI$210:AI$409,94)),"")</f>
        <v/>
      </c>
      <c r="AJ95" t="str">
        <f>IFERROR(INDEX('幕间与结算'!$E$9:$E$208,SMALL(AJ$210:AJ$409,94)),"")</f>
        <v/>
      </c>
      <c r="AK95" t="str">
        <f>IFERROR(INDEX('幕间与结算'!$E$9:$E$208,SMALL(AK$210:AK$409,94)),"")</f>
        <v/>
      </c>
      <c r="AL95" t="str">
        <f>IFERROR(INDEX('幕间与结算'!$E$9:$E$208,SMALL(AL$210:AL$409,94)),"")</f>
        <v/>
      </c>
      <c r="AM95" t="str">
        <f>IFERROR(INDEX('幕间与结算'!$E$9:$E$208,SMALL(AM$210:AM$409,94)),"")</f>
        <v/>
      </c>
      <c r="AN95" t="str">
        <f>IFERROR(INDEX('幕间与结算'!$E$9:$E$208,SMALL(AN$210:AN$409,94)),"")</f>
        <v/>
      </c>
      <c r="AO95" t="str">
        <f>IFERROR(INDEX('幕间与结算'!$E$9:$E$208,SMALL(AO$210:AO$409,94)),"")</f>
        <v/>
      </c>
      <c r="AP95" t="str">
        <f>IFERROR(INDEX('幕间与结算'!$E$9:$E$208,SMALL(AP$210:AP$409,94)),"")</f>
        <v/>
      </c>
      <c r="AQ95" t="str">
        <f>IFERROR(INDEX('幕间与结算'!$E$9:$E$208,SMALL(AQ$210:AQ$409,94)),"")</f>
        <v/>
      </c>
      <c r="AR95" t="str">
        <f>IFERROR(INDEX('幕间与结算'!$E$9:$E$208,SMALL(AR$210:AR$409,94)),"")</f>
        <v/>
      </c>
      <c r="AS95" t="str">
        <f>IFERROR(INDEX('幕间与结算'!$E$9:$E$208,SMALL(AS$210:AS$409,94)),"")</f>
        <v/>
      </c>
      <c r="AT95" t="str">
        <f>IFERROR(INDEX('幕间与结算'!$E$9:$E$208,SMALL(AT$210:AT$409,94)),"")</f>
        <v/>
      </c>
    </row>
    <row r="96">
      <c r="AA96" t="str">
        <f>IFERROR(INDEX('幕间与结算'!$E$9:$E$208,SMALL(AA$210:AA$409,95)),"")</f>
        <v/>
      </c>
      <c r="AB96" t="str">
        <f>IFERROR(INDEX('幕间与结算'!$E$9:$E$208,SMALL(AB$210:AB$409,95)),"")</f>
        <v/>
      </c>
      <c r="AC96" t="str">
        <f>IFERROR(INDEX('幕间与结算'!$E$9:$E$208,SMALL(AC$210:AC$409,95)),"")</f>
        <v/>
      </c>
      <c r="AD96" t="str">
        <f>IFERROR(INDEX('幕间与结算'!$E$9:$E$208,SMALL(AD$210:AD$409,95)),"")</f>
        <v/>
      </c>
      <c r="AE96" t="str">
        <f>IFERROR(INDEX('幕间与结算'!$E$9:$E$208,SMALL(AE$210:AE$409,95)),"")</f>
        <v/>
      </c>
      <c r="AF96" t="str">
        <f>IFERROR(INDEX('幕间与结算'!$E$9:$E$208,SMALL(AF$210:AF$409,95)),"")</f>
        <v/>
      </c>
      <c r="AG96" t="str">
        <f>IFERROR(INDEX('幕间与结算'!$E$9:$E$208,SMALL(AG$210:AG$409,95)),"")</f>
        <v/>
      </c>
      <c r="AH96" t="str">
        <f>IFERROR(INDEX('幕间与结算'!$E$9:$E$208,SMALL(AH$210:AH$409,95)),"")</f>
        <v/>
      </c>
      <c r="AI96" t="str">
        <f>IFERROR(INDEX('幕间与结算'!$E$9:$E$208,SMALL(AI$210:AI$409,95)),"")</f>
        <v/>
      </c>
      <c r="AJ96" t="str">
        <f>IFERROR(INDEX('幕间与结算'!$E$9:$E$208,SMALL(AJ$210:AJ$409,95)),"")</f>
        <v/>
      </c>
      <c r="AK96" t="str">
        <f>IFERROR(INDEX('幕间与结算'!$E$9:$E$208,SMALL(AK$210:AK$409,95)),"")</f>
        <v/>
      </c>
      <c r="AL96" t="str">
        <f>IFERROR(INDEX('幕间与结算'!$E$9:$E$208,SMALL(AL$210:AL$409,95)),"")</f>
        <v/>
      </c>
      <c r="AM96" t="str">
        <f>IFERROR(INDEX('幕间与结算'!$E$9:$E$208,SMALL(AM$210:AM$409,95)),"")</f>
        <v/>
      </c>
      <c r="AN96" t="str">
        <f>IFERROR(INDEX('幕间与结算'!$E$9:$E$208,SMALL(AN$210:AN$409,95)),"")</f>
        <v/>
      </c>
      <c r="AO96" t="str">
        <f>IFERROR(INDEX('幕间与结算'!$E$9:$E$208,SMALL(AO$210:AO$409,95)),"")</f>
        <v/>
      </c>
      <c r="AP96" t="str">
        <f>IFERROR(INDEX('幕间与结算'!$E$9:$E$208,SMALL(AP$210:AP$409,95)),"")</f>
        <v/>
      </c>
      <c r="AQ96" t="str">
        <f>IFERROR(INDEX('幕间与结算'!$E$9:$E$208,SMALL(AQ$210:AQ$409,95)),"")</f>
        <v/>
      </c>
      <c r="AR96" t="str">
        <f>IFERROR(INDEX('幕间与结算'!$E$9:$E$208,SMALL(AR$210:AR$409,95)),"")</f>
        <v/>
      </c>
      <c r="AS96" t="str">
        <f>IFERROR(INDEX('幕间与结算'!$E$9:$E$208,SMALL(AS$210:AS$409,95)),"")</f>
        <v/>
      </c>
      <c r="AT96" t="str">
        <f>IFERROR(INDEX('幕间与结算'!$E$9:$E$208,SMALL(AT$210:AT$409,95)),"")</f>
        <v/>
      </c>
    </row>
    <row r="97">
      <c r="AA97" t="str">
        <f>IFERROR(INDEX('幕间与结算'!$E$9:$E$208,SMALL(AA$210:AA$409,96)),"")</f>
        <v/>
      </c>
      <c r="AB97" t="str">
        <f>IFERROR(INDEX('幕间与结算'!$E$9:$E$208,SMALL(AB$210:AB$409,96)),"")</f>
        <v/>
      </c>
      <c r="AC97" t="str">
        <f>IFERROR(INDEX('幕间与结算'!$E$9:$E$208,SMALL(AC$210:AC$409,96)),"")</f>
        <v/>
      </c>
      <c r="AD97" t="str">
        <f>IFERROR(INDEX('幕间与结算'!$E$9:$E$208,SMALL(AD$210:AD$409,96)),"")</f>
        <v/>
      </c>
      <c r="AE97" t="str">
        <f>IFERROR(INDEX('幕间与结算'!$E$9:$E$208,SMALL(AE$210:AE$409,96)),"")</f>
        <v/>
      </c>
      <c r="AF97" t="str">
        <f>IFERROR(INDEX('幕间与结算'!$E$9:$E$208,SMALL(AF$210:AF$409,96)),"")</f>
        <v/>
      </c>
      <c r="AG97" t="str">
        <f>IFERROR(INDEX('幕间与结算'!$E$9:$E$208,SMALL(AG$210:AG$409,96)),"")</f>
        <v/>
      </c>
      <c r="AH97" t="str">
        <f>IFERROR(INDEX('幕间与结算'!$E$9:$E$208,SMALL(AH$210:AH$409,96)),"")</f>
        <v/>
      </c>
      <c r="AI97" t="str">
        <f>IFERROR(INDEX('幕间与结算'!$E$9:$E$208,SMALL(AI$210:AI$409,96)),"")</f>
        <v/>
      </c>
      <c r="AJ97" t="str">
        <f>IFERROR(INDEX('幕间与结算'!$E$9:$E$208,SMALL(AJ$210:AJ$409,96)),"")</f>
        <v/>
      </c>
      <c r="AK97" t="str">
        <f>IFERROR(INDEX('幕间与结算'!$E$9:$E$208,SMALL(AK$210:AK$409,96)),"")</f>
        <v/>
      </c>
      <c r="AL97" t="str">
        <f>IFERROR(INDEX('幕间与结算'!$E$9:$E$208,SMALL(AL$210:AL$409,96)),"")</f>
        <v/>
      </c>
      <c r="AM97" t="str">
        <f>IFERROR(INDEX('幕间与结算'!$E$9:$E$208,SMALL(AM$210:AM$409,96)),"")</f>
        <v/>
      </c>
      <c r="AN97" t="str">
        <f>IFERROR(INDEX('幕间与结算'!$E$9:$E$208,SMALL(AN$210:AN$409,96)),"")</f>
        <v/>
      </c>
      <c r="AO97" t="str">
        <f>IFERROR(INDEX('幕间与结算'!$E$9:$E$208,SMALL(AO$210:AO$409,96)),"")</f>
        <v/>
      </c>
      <c r="AP97" t="str">
        <f>IFERROR(INDEX('幕间与结算'!$E$9:$E$208,SMALL(AP$210:AP$409,96)),"")</f>
        <v/>
      </c>
      <c r="AQ97" t="str">
        <f>IFERROR(INDEX('幕间与结算'!$E$9:$E$208,SMALL(AQ$210:AQ$409,96)),"")</f>
        <v/>
      </c>
      <c r="AR97" t="str">
        <f>IFERROR(INDEX('幕间与结算'!$E$9:$E$208,SMALL(AR$210:AR$409,96)),"")</f>
        <v/>
      </c>
      <c r="AS97" t="str">
        <f>IFERROR(INDEX('幕间与结算'!$E$9:$E$208,SMALL(AS$210:AS$409,96)),"")</f>
        <v/>
      </c>
      <c r="AT97" t="str">
        <f>IFERROR(INDEX('幕间与结算'!$E$9:$E$208,SMALL(AT$210:AT$409,96)),"")</f>
        <v/>
      </c>
    </row>
    <row r="98">
      <c r="AA98" t="str">
        <f>IFERROR(INDEX('幕间与结算'!$E$9:$E$208,SMALL(AA$210:AA$409,97)),"")</f>
        <v/>
      </c>
      <c r="AB98" t="str">
        <f>IFERROR(INDEX('幕间与结算'!$E$9:$E$208,SMALL(AB$210:AB$409,97)),"")</f>
        <v/>
      </c>
      <c r="AC98" t="str">
        <f>IFERROR(INDEX('幕间与结算'!$E$9:$E$208,SMALL(AC$210:AC$409,97)),"")</f>
        <v/>
      </c>
      <c r="AD98" t="str">
        <f>IFERROR(INDEX('幕间与结算'!$E$9:$E$208,SMALL(AD$210:AD$409,97)),"")</f>
        <v/>
      </c>
      <c r="AE98" t="str">
        <f>IFERROR(INDEX('幕间与结算'!$E$9:$E$208,SMALL(AE$210:AE$409,97)),"")</f>
        <v/>
      </c>
      <c r="AF98" t="str">
        <f>IFERROR(INDEX('幕间与结算'!$E$9:$E$208,SMALL(AF$210:AF$409,97)),"")</f>
        <v/>
      </c>
      <c r="AG98" t="str">
        <f>IFERROR(INDEX('幕间与结算'!$E$9:$E$208,SMALL(AG$210:AG$409,97)),"")</f>
        <v/>
      </c>
      <c r="AH98" t="str">
        <f>IFERROR(INDEX('幕间与结算'!$E$9:$E$208,SMALL(AH$210:AH$409,97)),"")</f>
        <v/>
      </c>
      <c r="AI98" t="str">
        <f>IFERROR(INDEX('幕间与结算'!$E$9:$E$208,SMALL(AI$210:AI$409,97)),"")</f>
        <v/>
      </c>
      <c r="AJ98" t="str">
        <f>IFERROR(INDEX('幕间与结算'!$E$9:$E$208,SMALL(AJ$210:AJ$409,97)),"")</f>
        <v/>
      </c>
      <c r="AK98" t="str">
        <f>IFERROR(INDEX('幕间与结算'!$E$9:$E$208,SMALL(AK$210:AK$409,97)),"")</f>
        <v/>
      </c>
      <c r="AL98" t="str">
        <f>IFERROR(INDEX('幕间与结算'!$E$9:$E$208,SMALL(AL$210:AL$409,97)),"")</f>
        <v/>
      </c>
      <c r="AM98" t="str">
        <f>IFERROR(INDEX('幕间与结算'!$E$9:$E$208,SMALL(AM$210:AM$409,97)),"")</f>
        <v/>
      </c>
      <c r="AN98" t="str">
        <f>IFERROR(INDEX('幕间与结算'!$E$9:$E$208,SMALL(AN$210:AN$409,97)),"")</f>
        <v/>
      </c>
      <c r="AO98" t="str">
        <f>IFERROR(INDEX('幕间与结算'!$E$9:$E$208,SMALL(AO$210:AO$409,97)),"")</f>
        <v/>
      </c>
      <c r="AP98" t="str">
        <f>IFERROR(INDEX('幕间与结算'!$E$9:$E$208,SMALL(AP$210:AP$409,97)),"")</f>
        <v/>
      </c>
      <c r="AQ98" t="str">
        <f>IFERROR(INDEX('幕间与结算'!$E$9:$E$208,SMALL(AQ$210:AQ$409,97)),"")</f>
        <v/>
      </c>
      <c r="AR98" t="str">
        <f>IFERROR(INDEX('幕间与结算'!$E$9:$E$208,SMALL(AR$210:AR$409,97)),"")</f>
        <v/>
      </c>
      <c r="AS98" t="str">
        <f>IFERROR(INDEX('幕间与结算'!$E$9:$E$208,SMALL(AS$210:AS$409,97)),"")</f>
        <v/>
      </c>
      <c r="AT98" t="str">
        <f>IFERROR(INDEX('幕间与结算'!$E$9:$E$208,SMALL(AT$210:AT$409,97)),"")</f>
        <v/>
      </c>
    </row>
    <row r="99">
      <c r="AA99" t="str">
        <f>IFERROR(INDEX('幕间与结算'!$E$9:$E$208,SMALL(AA$210:AA$409,98)),"")</f>
        <v/>
      </c>
      <c r="AB99" t="str">
        <f>IFERROR(INDEX('幕间与结算'!$E$9:$E$208,SMALL(AB$210:AB$409,98)),"")</f>
        <v/>
      </c>
      <c r="AC99" t="str">
        <f>IFERROR(INDEX('幕间与结算'!$E$9:$E$208,SMALL(AC$210:AC$409,98)),"")</f>
        <v/>
      </c>
      <c r="AD99" t="str">
        <f>IFERROR(INDEX('幕间与结算'!$E$9:$E$208,SMALL(AD$210:AD$409,98)),"")</f>
        <v/>
      </c>
      <c r="AE99" t="str">
        <f>IFERROR(INDEX('幕间与结算'!$E$9:$E$208,SMALL(AE$210:AE$409,98)),"")</f>
        <v/>
      </c>
      <c r="AF99" t="str">
        <f>IFERROR(INDEX('幕间与结算'!$E$9:$E$208,SMALL(AF$210:AF$409,98)),"")</f>
        <v/>
      </c>
      <c r="AG99" t="str">
        <f>IFERROR(INDEX('幕间与结算'!$E$9:$E$208,SMALL(AG$210:AG$409,98)),"")</f>
        <v/>
      </c>
      <c r="AH99" t="str">
        <f>IFERROR(INDEX('幕间与结算'!$E$9:$E$208,SMALL(AH$210:AH$409,98)),"")</f>
        <v/>
      </c>
      <c r="AI99" t="str">
        <f>IFERROR(INDEX('幕间与结算'!$E$9:$E$208,SMALL(AI$210:AI$409,98)),"")</f>
        <v/>
      </c>
      <c r="AJ99" t="str">
        <f>IFERROR(INDEX('幕间与结算'!$E$9:$E$208,SMALL(AJ$210:AJ$409,98)),"")</f>
        <v/>
      </c>
      <c r="AK99" t="str">
        <f>IFERROR(INDEX('幕间与结算'!$E$9:$E$208,SMALL(AK$210:AK$409,98)),"")</f>
        <v/>
      </c>
      <c r="AL99" t="str">
        <f>IFERROR(INDEX('幕间与结算'!$E$9:$E$208,SMALL(AL$210:AL$409,98)),"")</f>
        <v/>
      </c>
      <c r="AM99" t="str">
        <f>IFERROR(INDEX('幕间与结算'!$E$9:$E$208,SMALL(AM$210:AM$409,98)),"")</f>
        <v/>
      </c>
      <c r="AN99" t="str">
        <f>IFERROR(INDEX('幕间与结算'!$E$9:$E$208,SMALL(AN$210:AN$409,98)),"")</f>
        <v/>
      </c>
      <c r="AO99" t="str">
        <f>IFERROR(INDEX('幕间与结算'!$E$9:$E$208,SMALL(AO$210:AO$409,98)),"")</f>
        <v/>
      </c>
      <c r="AP99" t="str">
        <f>IFERROR(INDEX('幕间与结算'!$E$9:$E$208,SMALL(AP$210:AP$409,98)),"")</f>
        <v/>
      </c>
      <c r="AQ99" t="str">
        <f>IFERROR(INDEX('幕间与结算'!$E$9:$E$208,SMALL(AQ$210:AQ$409,98)),"")</f>
        <v/>
      </c>
      <c r="AR99" t="str">
        <f>IFERROR(INDEX('幕间与结算'!$E$9:$E$208,SMALL(AR$210:AR$409,98)),"")</f>
        <v/>
      </c>
      <c r="AS99" t="str">
        <f>IFERROR(INDEX('幕间与结算'!$E$9:$E$208,SMALL(AS$210:AS$409,98)),"")</f>
        <v/>
      </c>
      <c r="AT99" t="str">
        <f>IFERROR(INDEX('幕间与结算'!$E$9:$E$208,SMALL(AT$210:AT$409,98)),"")</f>
        <v/>
      </c>
    </row>
    <row r="100">
      <c r="AA100" t="str">
        <f>IFERROR(INDEX('幕间与结算'!$E$9:$E$208,SMALL(AA$210:AA$409,99)),"")</f>
        <v/>
      </c>
      <c r="AB100" t="str">
        <f>IFERROR(INDEX('幕间与结算'!$E$9:$E$208,SMALL(AB$210:AB$409,99)),"")</f>
        <v/>
      </c>
      <c r="AC100" t="str">
        <f>IFERROR(INDEX('幕间与结算'!$E$9:$E$208,SMALL(AC$210:AC$409,99)),"")</f>
        <v/>
      </c>
      <c r="AD100" t="str">
        <f>IFERROR(INDEX('幕间与结算'!$E$9:$E$208,SMALL(AD$210:AD$409,99)),"")</f>
        <v/>
      </c>
      <c r="AE100" t="str">
        <f>IFERROR(INDEX('幕间与结算'!$E$9:$E$208,SMALL(AE$210:AE$409,99)),"")</f>
        <v/>
      </c>
      <c r="AF100" t="str">
        <f>IFERROR(INDEX('幕间与结算'!$E$9:$E$208,SMALL(AF$210:AF$409,99)),"")</f>
        <v/>
      </c>
      <c r="AG100" t="str">
        <f>IFERROR(INDEX('幕间与结算'!$E$9:$E$208,SMALL(AG$210:AG$409,99)),"")</f>
        <v/>
      </c>
      <c r="AH100" t="str">
        <f>IFERROR(INDEX('幕间与结算'!$E$9:$E$208,SMALL(AH$210:AH$409,99)),"")</f>
        <v/>
      </c>
      <c r="AI100" t="str">
        <f>IFERROR(INDEX('幕间与结算'!$E$9:$E$208,SMALL(AI$210:AI$409,99)),"")</f>
        <v/>
      </c>
      <c r="AJ100" t="str">
        <f>IFERROR(INDEX('幕间与结算'!$E$9:$E$208,SMALL(AJ$210:AJ$409,99)),"")</f>
        <v/>
      </c>
      <c r="AK100" t="str">
        <f>IFERROR(INDEX('幕间与结算'!$E$9:$E$208,SMALL(AK$210:AK$409,99)),"")</f>
        <v/>
      </c>
      <c r="AL100" t="str">
        <f>IFERROR(INDEX('幕间与结算'!$E$9:$E$208,SMALL(AL$210:AL$409,99)),"")</f>
        <v/>
      </c>
      <c r="AM100" t="str">
        <f>IFERROR(INDEX('幕间与结算'!$E$9:$E$208,SMALL(AM$210:AM$409,99)),"")</f>
        <v/>
      </c>
      <c r="AN100" t="str">
        <f>IFERROR(INDEX('幕间与结算'!$E$9:$E$208,SMALL(AN$210:AN$409,99)),"")</f>
        <v/>
      </c>
      <c r="AO100" t="str">
        <f>IFERROR(INDEX('幕间与结算'!$E$9:$E$208,SMALL(AO$210:AO$409,99)),"")</f>
        <v/>
      </c>
      <c r="AP100" t="str">
        <f>IFERROR(INDEX('幕间与结算'!$E$9:$E$208,SMALL(AP$210:AP$409,99)),"")</f>
        <v/>
      </c>
      <c r="AQ100" t="str">
        <f>IFERROR(INDEX('幕间与结算'!$E$9:$E$208,SMALL(AQ$210:AQ$409,99)),"")</f>
        <v/>
      </c>
      <c r="AR100" t="str">
        <f>IFERROR(INDEX('幕间与结算'!$E$9:$E$208,SMALL(AR$210:AR$409,99)),"")</f>
        <v/>
      </c>
      <c r="AS100" t="str">
        <f>IFERROR(INDEX('幕间与结算'!$E$9:$E$208,SMALL(AS$210:AS$409,99)),"")</f>
        <v/>
      </c>
      <c r="AT100" t="str">
        <f>IFERROR(INDEX('幕间与结算'!$E$9:$E$208,SMALL(AT$210:AT$409,99)),"")</f>
        <v/>
      </c>
    </row>
    <row r="101">
      <c r="AA101" t="str">
        <f>IFERROR(INDEX('幕间与结算'!$E$9:$E$208,SMALL(AA$210:AA$409,100)),"")</f>
        <v/>
      </c>
      <c r="AB101" t="str">
        <f>IFERROR(INDEX('幕间与结算'!$E$9:$E$208,SMALL(AB$210:AB$409,100)),"")</f>
        <v/>
      </c>
      <c r="AC101" t="str">
        <f>IFERROR(INDEX('幕间与结算'!$E$9:$E$208,SMALL(AC$210:AC$409,100)),"")</f>
        <v/>
      </c>
      <c r="AD101" t="str">
        <f>IFERROR(INDEX('幕间与结算'!$E$9:$E$208,SMALL(AD$210:AD$409,100)),"")</f>
        <v/>
      </c>
      <c r="AE101" t="str">
        <f>IFERROR(INDEX('幕间与结算'!$E$9:$E$208,SMALL(AE$210:AE$409,100)),"")</f>
        <v/>
      </c>
      <c r="AF101" t="str">
        <f>IFERROR(INDEX('幕间与结算'!$E$9:$E$208,SMALL(AF$210:AF$409,100)),"")</f>
        <v/>
      </c>
      <c r="AG101" t="str">
        <f>IFERROR(INDEX('幕间与结算'!$E$9:$E$208,SMALL(AG$210:AG$409,100)),"")</f>
        <v/>
      </c>
      <c r="AH101" t="str">
        <f>IFERROR(INDEX('幕间与结算'!$E$9:$E$208,SMALL(AH$210:AH$409,100)),"")</f>
        <v/>
      </c>
      <c r="AI101" t="str">
        <f>IFERROR(INDEX('幕间与结算'!$E$9:$E$208,SMALL(AI$210:AI$409,100)),"")</f>
        <v/>
      </c>
      <c r="AJ101" t="str">
        <f>IFERROR(INDEX('幕间与结算'!$E$9:$E$208,SMALL(AJ$210:AJ$409,100)),"")</f>
        <v/>
      </c>
      <c r="AK101" t="str">
        <f>IFERROR(INDEX('幕间与结算'!$E$9:$E$208,SMALL(AK$210:AK$409,100)),"")</f>
        <v/>
      </c>
      <c r="AL101" t="str">
        <f>IFERROR(INDEX('幕间与结算'!$E$9:$E$208,SMALL(AL$210:AL$409,100)),"")</f>
        <v/>
      </c>
      <c r="AM101" t="str">
        <f>IFERROR(INDEX('幕间与结算'!$E$9:$E$208,SMALL(AM$210:AM$409,100)),"")</f>
        <v/>
      </c>
      <c r="AN101" t="str">
        <f>IFERROR(INDEX('幕间与结算'!$E$9:$E$208,SMALL(AN$210:AN$409,100)),"")</f>
        <v/>
      </c>
      <c r="AO101" t="str">
        <f>IFERROR(INDEX('幕间与结算'!$E$9:$E$208,SMALL(AO$210:AO$409,100)),"")</f>
        <v/>
      </c>
      <c r="AP101" t="str">
        <f>IFERROR(INDEX('幕间与结算'!$E$9:$E$208,SMALL(AP$210:AP$409,100)),"")</f>
        <v/>
      </c>
      <c r="AQ101" t="str">
        <f>IFERROR(INDEX('幕间与结算'!$E$9:$E$208,SMALL(AQ$210:AQ$409,100)),"")</f>
        <v/>
      </c>
      <c r="AR101" t="str">
        <f>IFERROR(INDEX('幕间与结算'!$E$9:$E$208,SMALL(AR$210:AR$409,100)),"")</f>
        <v/>
      </c>
      <c r="AS101" t="str">
        <f>IFERROR(INDEX('幕间与结算'!$E$9:$E$208,SMALL(AS$210:AS$409,100)),"")</f>
        <v/>
      </c>
      <c r="AT101" t="str">
        <f>IFERROR(INDEX('幕间与结算'!$E$9:$E$208,SMALL(AT$210:AT$409,100)),"")</f>
        <v/>
      </c>
    </row>
    <row r="102">
      <c r="AA102" t="str">
        <f>IFERROR(INDEX('幕间与结算'!$E$9:$E$208,SMALL(AA$210:AA$409,101)),"")</f>
        <v/>
      </c>
      <c r="AB102" t="str">
        <f>IFERROR(INDEX('幕间与结算'!$E$9:$E$208,SMALL(AB$210:AB$409,101)),"")</f>
        <v/>
      </c>
      <c r="AC102" t="str">
        <f>IFERROR(INDEX('幕间与结算'!$E$9:$E$208,SMALL(AC$210:AC$409,101)),"")</f>
        <v/>
      </c>
      <c r="AD102" t="str">
        <f>IFERROR(INDEX('幕间与结算'!$E$9:$E$208,SMALL(AD$210:AD$409,101)),"")</f>
        <v/>
      </c>
      <c r="AE102" t="str">
        <f>IFERROR(INDEX('幕间与结算'!$E$9:$E$208,SMALL(AE$210:AE$409,101)),"")</f>
        <v/>
      </c>
      <c r="AF102" t="str">
        <f>IFERROR(INDEX('幕间与结算'!$E$9:$E$208,SMALL(AF$210:AF$409,101)),"")</f>
        <v/>
      </c>
      <c r="AG102" t="str">
        <f>IFERROR(INDEX('幕间与结算'!$E$9:$E$208,SMALL(AG$210:AG$409,101)),"")</f>
        <v/>
      </c>
      <c r="AH102" t="str">
        <f>IFERROR(INDEX('幕间与结算'!$E$9:$E$208,SMALL(AH$210:AH$409,101)),"")</f>
        <v/>
      </c>
      <c r="AI102" t="str">
        <f>IFERROR(INDEX('幕间与结算'!$E$9:$E$208,SMALL(AI$210:AI$409,101)),"")</f>
        <v/>
      </c>
      <c r="AJ102" t="str">
        <f>IFERROR(INDEX('幕间与结算'!$E$9:$E$208,SMALL(AJ$210:AJ$409,101)),"")</f>
        <v/>
      </c>
      <c r="AK102" t="str">
        <f>IFERROR(INDEX('幕间与结算'!$E$9:$E$208,SMALL(AK$210:AK$409,101)),"")</f>
        <v/>
      </c>
      <c r="AL102" t="str">
        <f>IFERROR(INDEX('幕间与结算'!$E$9:$E$208,SMALL(AL$210:AL$409,101)),"")</f>
        <v/>
      </c>
      <c r="AM102" t="str">
        <f>IFERROR(INDEX('幕间与结算'!$E$9:$E$208,SMALL(AM$210:AM$409,101)),"")</f>
        <v/>
      </c>
      <c r="AN102" t="str">
        <f>IFERROR(INDEX('幕间与结算'!$E$9:$E$208,SMALL(AN$210:AN$409,101)),"")</f>
        <v/>
      </c>
      <c r="AO102" t="str">
        <f>IFERROR(INDEX('幕间与结算'!$E$9:$E$208,SMALL(AO$210:AO$409,101)),"")</f>
        <v/>
      </c>
      <c r="AP102" t="str">
        <f>IFERROR(INDEX('幕间与结算'!$E$9:$E$208,SMALL(AP$210:AP$409,101)),"")</f>
        <v/>
      </c>
      <c r="AQ102" t="str">
        <f>IFERROR(INDEX('幕间与结算'!$E$9:$E$208,SMALL(AQ$210:AQ$409,101)),"")</f>
        <v/>
      </c>
      <c r="AR102" t="str">
        <f>IFERROR(INDEX('幕间与结算'!$E$9:$E$208,SMALL(AR$210:AR$409,101)),"")</f>
        <v/>
      </c>
      <c r="AS102" t="str">
        <f>IFERROR(INDEX('幕间与结算'!$E$9:$E$208,SMALL(AS$210:AS$409,101)),"")</f>
        <v/>
      </c>
      <c r="AT102" t="str">
        <f>IFERROR(INDEX('幕间与结算'!$E$9:$E$208,SMALL(AT$210:AT$409,101)),"")</f>
        <v/>
      </c>
    </row>
    <row r="103">
      <c r="AA103" t="str">
        <f>IFERROR(INDEX('幕间与结算'!$E$9:$E$208,SMALL(AA$210:AA$409,102)),"")</f>
        <v/>
      </c>
      <c r="AB103" t="str">
        <f>IFERROR(INDEX('幕间与结算'!$E$9:$E$208,SMALL(AB$210:AB$409,102)),"")</f>
        <v/>
      </c>
      <c r="AC103" t="str">
        <f>IFERROR(INDEX('幕间与结算'!$E$9:$E$208,SMALL(AC$210:AC$409,102)),"")</f>
        <v/>
      </c>
      <c r="AD103" t="str">
        <f>IFERROR(INDEX('幕间与结算'!$E$9:$E$208,SMALL(AD$210:AD$409,102)),"")</f>
        <v/>
      </c>
      <c r="AE103" t="str">
        <f>IFERROR(INDEX('幕间与结算'!$E$9:$E$208,SMALL(AE$210:AE$409,102)),"")</f>
        <v/>
      </c>
      <c r="AF103" t="str">
        <f>IFERROR(INDEX('幕间与结算'!$E$9:$E$208,SMALL(AF$210:AF$409,102)),"")</f>
        <v/>
      </c>
      <c r="AG103" t="str">
        <f>IFERROR(INDEX('幕间与结算'!$E$9:$E$208,SMALL(AG$210:AG$409,102)),"")</f>
        <v/>
      </c>
      <c r="AH103" t="str">
        <f>IFERROR(INDEX('幕间与结算'!$E$9:$E$208,SMALL(AH$210:AH$409,102)),"")</f>
        <v/>
      </c>
      <c r="AI103" t="str">
        <f>IFERROR(INDEX('幕间与结算'!$E$9:$E$208,SMALL(AI$210:AI$409,102)),"")</f>
        <v/>
      </c>
      <c r="AJ103" t="str">
        <f>IFERROR(INDEX('幕间与结算'!$E$9:$E$208,SMALL(AJ$210:AJ$409,102)),"")</f>
        <v/>
      </c>
      <c r="AK103" t="str">
        <f>IFERROR(INDEX('幕间与结算'!$E$9:$E$208,SMALL(AK$210:AK$409,102)),"")</f>
        <v/>
      </c>
      <c r="AL103" t="str">
        <f>IFERROR(INDEX('幕间与结算'!$E$9:$E$208,SMALL(AL$210:AL$409,102)),"")</f>
        <v/>
      </c>
      <c r="AM103" t="str">
        <f>IFERROR(INDEX('幕间与结算'!$E$9:$E$208,SMALL(AM$210:AM$409,102)),"")</f>
        <v/>
      </c>
      <c r="AN103" t="str">
        <f>IFERROR(INDEX('幕间与结算'!$E$9:$E$208,SMALL(AN$210:AN$409,102)),"")</f>
        <v/>
      </c>
      <c r="AO103" t="str">
        <f>IFERROR(INDEX('幕间与结算'!$E$9:$E$208,SMALL(AO$210:AO$409,102)),"")</f>
        <v/>
      </c>
      <c r="AP103" t="str">
        <f>IFERROR(INDEX('幕间与结算'!$E$9:$E$208,SMALL(AP$210:AP$409,102)),"")</f>
        <v/>
      </c>
      <c r="AQ103" t="str">
        <f>IFERROR(INDEX('幕间与结算'!$E$9:$E$208,SMALL(AQ$210:AQ$409,102)),"")</f>
        <v/>
      </c>
      <c r="AR103" t="str">
        <f>IFERROR(INDEX('幕间与结算'!$E$9:$E$208,SMALL(AR$210:AR$409,102)),"")</f>
        <v/>
      </c>
      <c r="AS103" t="str">
        <f>IFERROR(INDEX('幕间与结算'!$E$9:$E$208,SMALL(AS$210:AS$409,102)),"")</f>
        <v/>
      </c>
      <c r="AT103" t="str">
        <f>IFERROR(INDEX('幕间与结算'!$E$9:$E$208,SMALL(AT$210:AT$409,102)),"")</f>
        <v/>
      </c>
    </row>
    <row r="104">
      <c r="AA104" t="str">
        <f>IFERROR(INDEX('幕间与结算'!$E$9:$E$208,SMALL(AA$210:AA$409,103)),"")</f>
        <v/>
      </c>
      <c r="AB104" t="str">
        <f>IFERROR(INDEX('幕间与结算'!$E$9:$E$208,SMALL(AB$210:AB$409,103)),"")</f>
        <v/>
      </c>
      <c r="AC104" t="str">
        <f>IFERROR(INDEX('幕间与结算'!$E$9:$E$208,SMALL(AC$210:AC$409,103)),"")</f>
        <v/>
      </c>
      <c r="AD104" t="str">
        <f>IFERROR(INDEX('幕间与结算'!$E$9:$E$208,SMALL(AD$210:AD$409,103)),"")</f>
        <v/>
      </c>
      <c r="AE104" t="str">
        <f>IFERROR(INDEX('幕间与结算'!$E$9:$E$208,SMALL(AE$210:AE$409,103)),"")</f>
        <v/>
      </c>
      <c r="AF104" t="str">
        <f>IFERROR(INDEX('幕间与结算'!$E$9:$E$208,SMALL(AF$210:AF$409,103)),"")</f>
        <v/>
      </c>
      <c r="AG104" t="str">
        <f>IFERROR(INDEX('幕间与结算'!$E$9:$E$208,SMALL(AG$210:AG$409,103)),"")</f>
        <v/>
      </c>
      <c r="AH104" t="str">
        <f>IFERROR(INDEX('幕间与结算'!$E$9:$E$208,SMALL(AH$210:AH$409,103)),"")</f>
        <v/>
      </c>
      <c r="AI104" t="str">
        <f>IFERROR(INDEX('幕间与结算'!$E$9:$E$208,SMALL(AI$210:AI$409,103)),"")</f>
        <v/>
      </c>
      <c r="AJ104" t="str">
        <f>IFERROR(INDEX('幕间与结算'!$E$9:$E$208,SMALL(AJ$210:AJ$409,103)),"")</f>
        <v/>
      </c>
      <c r="AK104" t="str">
        <f>IFERROR(INDEX('幕间与结算'!$E$9:$E$208,SMALL(AK$210:AK$409,103)),"")</f>
        <v/>
      </c>
      <c r="AL104" t="str">
        <f>IFERROR(INDEX('幕间与结算'!$E$9:$E$208,SMALL(AL$210:AL$409,103)),"")</f>
        <v/>
      </c>
      <c r="AM104" t="str">
        <f>IFERROR(INDEX('幕间与结算'!$E$9:$E$208,SMALL(AM$210:AM$409,103)),"")</f>
        <v/>
      </c>
      <c r="AN104" t="str">
        <f>IFERROR(INDEX('幕间与结算'!$E$9:$E$208,SMALL(AN$210:AN$409,103)),"")</f>
        <v/>
      </c>
      <c r="AO104" t="str">
        <f>IFERROR(INDEX('幕间与结算'!$E$9:$E$208,SMALL(AO$210:AO$409,103)),"")</f>
        <v/>
      </c>
      <c r="AP104" t="str">
        <f>IFERROR(INDEX('幕间与结算'!$E$9:$E$208,SMALL(AP$210:AP$409,103)),"")</f>
        <v/>
      </c>
      <c r="AQ104" t="str">
        <f>IFERROR(INDEX('幕间与结算'!$E$9:$E$208,SMALL(AQ$210:AQ$409,103)),"")</f>
        <v/>
      </c>
      <c r="AR104" t="str">
        <f>IFERROR(INDEX('幕间与结算'!$E$9:$E$208,SMALL(AR$210:AR$409,103)),"")</f>
        <v/>
      </c>
      <c r="AS104" t="str">
        <f>IFERROR(INDEX('幕间与结算'!$E$9:$E$208,SMALL(AS$210:AS$409,103)),"")</f>
        <v/>
      </c>
      <c r="AT104" t="str">
        <f>IFERROR(INDEX('幕间与结算'!$E$9:$E$208,SMALL(AT$210:AT$409,103)),"")</f>
        <v/>
      </c>
    </row>
    <row r="105">
      <c r="AA105" t="str">
        <f>IFERROR(INDEX('幕间与结算'!$E$9:$E$208,SMALL(AA$210:AA$409,104)),"")</f>
        <v/>
      </c>
      <c r="AB105" t="str">
        <f>IFERROR(INDEX('幕间与结算'!$E$9:$E$208,SMALL(AB$210:AB$409,104)),"")</f>
        <v/>
      </c>
      <c r="AC105" t="str">
        <f>IFERROR(INDEX('幕间与结算'!$E$9:$E$208,SMALL(AC$210:AC$409,104)),"")</f>
        <v/>
      </c>
      <c r="AD105" t="str">
        <f>IFERROR(INDEX('幕间与结算'!$E$9:$E$208,SMALL(AD$210:AD$409,104)),"")</f>
        <v/>
      </c>
      <c r="AE105" t="str">
        <f>IFERROR(INDEX('幕间与结算'!$E$9:$E$208,SMALL(AE$210:AE$409,104)),"")</f>
        <v/>
      </c>
      <c r="AF105" t="str">
        <f>IFERROR(INDEX('幕间与结算'!$E$9:$E$208,SMALL(AF$210:AF$409,104)),"")</f>
        <v/>
      </c>
      <c r="AG105" t="str">
        <f>IFERROR(INDEX('幕间与结算'!$E$9:$E$208,SMALL(AG$210:AG$409,104)),"")</f>
        <v/>
      </c>
      <c r="AH105" t="str">
        <f>IFERROR(INDEX('幕间与结算'!$E$9:$E$208,SMALL(AH$210:AH$409,104)),"")</f>
        <v/>
      </c>
      <c r="AI105" t="str">
        <f>IFERROR(INDEX('幕间与结算'!$E$9:$E$208,SMALL(AI$210:AI$409,104)),"")</f>
        <v/>
      </c>
      <c r="AJ105" t="str">
        <f>IFERROR(INDEX('幕间与结算'!$E$9:$E$208,SMALL(AJ$210:AJ$409,104)),"")</f>
        <v/>
      </c>
      <c r="AK105" t="str">
        <f>IFERROR(INDEX('幕间与结算'!$E$9:$E$208,SMALL(AK$210:AK$409,104)),"")</f>
        <v/>
      </c>
      <c r="AL105" t="str">
        <f>IFERROR(INDEX('幕间与结算'!$E$9:$E$208,SMALL(AL$210:AL$409,104)),"")</f>
        <v/>
      </c>
      <c r="AM105" t="str">
        <f>IFERROR(INDEX('幕间与结算'!$E$9:$E$208,SMALL(AM$210:AM$409,104)),"")</f>
        <v/>
      </c>
      <c r="AN105" t="str">
        <f>IFERROR(INDEX('幕间与结算'!$E$9:$E$208,SMALL(AN$210:AN$409,104)),"")</f>
        <v/>
      </c>
      <c r="AO105" t="str">
        <f>IFERROR(INDEX('幕间与结算'!$E$9:$E$208,SMALL(AO$210:AO$409,104)),"")</f>
        <v/>
      </c>
      <c r="AP105" t="str">
        <f>IFERROR(INDEX('幕间与结算'!$E$9:$E$208,SMALL(AP$210:AP$409,104)),"")</f>
        <v/>
      </c>
      <c r="AQ105" t="str">
        <f>IFERROR(INDEX('幕间与结算'!$E$9:$E$208,SMALL(AQ$210:AQ$409,104)),"")</f>
        <v/>
      </c>
      <c r="AR105" t="str">
        <f>IFERROR(INDEX('幕间与结算'!$E$9:$E$208,SMALL(AR$210:AR$409,104)),"")</f>
        <v/>
      </c>
      <c r="AS105" t="str">
        <f>IFERROR(INDEX('幕间与结算'!$E$9:$E$208,SMALL(AS$210:AS$409,104)),"")</f>
        <v/>
      </c>
      <c r="AT105" t="str">
        <f>IFERROR(INDEX('幕间与结算'!$E$9:$E$208,SMALL(AT$210:AT$409,104)),"")</f>
        <v/>
      </c>
    </row>
    <row r="106">
      <c r="AA106" t="str">
        <f>IFERROR(INDEX('幕间与结算'!$E$9:$E$208,SMALL(AA$210:AA$409,105)),"")</f>
        <v/>
      </c>
      <c r="AB106" t="str">
        <f>IFERROR(INDEX('幕间与结算'!$E$9:$E$208,SMALL(AB$210:AB$409,105)),"")</f>
        <v/>
      </c>
      <c r="AC106" t="str">
        <f>IFERROR(INDEX('幕间与结算'!$E$9:$E$208,SMALL(AC$210:AC$409,105)),"")</f>
        <v/>
      </c>
      <c r="AD106" t="str">
        <f>IFERROR(INDEX('幕间与结算'!$E$9:$E$208,SMALL(AD$210:AD$409,105)),"")</f>
        <v/>
      </c>
      <c r="AE106" t="str">
        <f>IFERROR(INDEX('幕间与结算'!$E$9:$E$208,SMALL(AE$210:AE$409,105)),"")</f>
        <v/>
      </c>
      <c r="AF106" t="str">
        <f>IFERROR(INDEX('幕间与结算'!$E$9:$E$208,SMALL(AF$210:AF$409,105)),"")</f>
        <v/>
      </c>
      <c r="AG106" t="str">
        <f>IFERROR(INDEX('幕间与结算'!$E$9:$E$208,SMALL(AG$210:AG$409,105)),"")</f>
        <v/>
      </c>
      <c r="AH106" t="str">
        <f>IFERROR(INDEX('幕间与结算'!$E$9:$E$208,SMALL(AH$210:AH$409,105)),"")</f>
        <v/>
      </c>
      <c r="AI106" t="str">
        <f>IFERROR(INDEX('幕间与结算'!$E$9:$E$208,SMALL(AI$210:AI$409,105)),"")</f>
        <v/>
      </c>
      <c r="AJ106" t="str">
        <f>IFERROR(INDEX('幕间与结算'!$E$9:$E$208,SMALL(AJ$210:AJ$409,105)),"")</f>
        <v/>
      </c>
      <c r="AK106" t="str">
        <f>IFERROR(INDEX('幕间与结算'!$E$9:$E$208,SMALL(AK$210:AK$409,105)),"")</f>
        <v/>
      </c>
      <c r="AL106" t="str">
        <f>IFERROR(INDEX('幕间与结算'!$E$9:$E$208,SMALL(AL$210:AL$409,105)),"")</f>
        <v/>
      </c>
      <c r="AM106" t="str">
        <f>IFERROR(INDEX('幕间与结算'!$E$9:$E$208,SMALL(AM$210:AM$409,105)),"")</f>
        <v/>
      </c>
      <c r="AN106" t="str">
        <f>IFERROR(INDEX('幕间与结算'!$E$9:$E$208,SMALL(AN$210:AN$409,105)),"")</f>
        <v/>
      </c>
      <c r="AO106" t="str">
        <f>IFERROR(INDEX('幕间与结算'!$E$9:$E$208,SMALL(AO$210:AO$409,105)),"")</f>
        <v/>
      </c>
      <c r="AP106" t="str">
        <f>IFERROR(INDEX('幕间与结算'!$E$9:$E$208,SMALL(AP$210:AP$409,105)),"")</f>
        <v/>
      </c>
      <c r="AQ106" t="str">
        <f>IFERROR(INDEX('幕间与结算'!$E$9:$E$208,SMALL(AQ$210:AQ$409,105)),"")</f>
        <v/>
      </c>
      <c r="AR106" t="str">
        <f>IFERROR(INDEX('幕间与结算'!$E$9:$E$208,SMALL(AR$210:AR$409,105)),"")</f>
        <v/>
      </c>
      <c r="AS106" t="str">
        <f>IFERROR(INDEX('幕间与结算'!$E$9:$E$208,SMALL(AS$210:AS$409,105)),"")</f>
        <v/>
      </c>
      <c r="AT106" t="str">
        <f>IFERROR(INDEX('幕间与结算'!$E$9:$E$208,SMALL(AT$210:AT$409,105)),"")</f>
        <v/>
      </c>
    </row>
    <row r="107">
      <c r="AA107" t="str">
        <f>IFERROR(INDEX('幕间与结算'!$E$9:$E$208,SMALL(AA$210:AA$409,106)),"")</f>
        <v/>
      </c>
      <c r="AB107" t="str">
        <f>IFERROR(INDEX('幕间与结算'!$E$9:$E$208,SMALL(AB$210:AB$409,106)),"")</f>
        <v/>
      </c>
      <c r="AC107" t="str">
        <f>IFERROR(INDEX('幕间与结算'!$E$9:$E$208,SMALL(AC$210:AC$409,106)),"")</f>
        <v/>
      </c>
      <c r="AD107" t="str">
        <f>IFERROR(INDEX('幕间与结算'!$E$9:$E$208,SMALL(AD$210:AD$409,106)),"")</f>
        <v/>
      </c>
      <c r="AE107" t="str">
        <f>IFERROR(INDEX('幕间与结算'!$E$9:$E$208,SMALL(AE$210:AE$409,106)),"")</f>
        <v/>
      </c>
      <c r="AF107" t="str">
        <f>IFERROR(INDEX('幕间与结算'!$E$9:$E$208,SMALL(AF$210:AF$409,106)),"")</f>
        <v/>
      </c>
      <c r="AG107" t="str">
        <f>IFERROR(INDEX('幕间与结算'!$E$9:$E$208,SMALL(AG$210:AG$409,106)),"")</f>
        <v/>
      </c>
      <c r="AH107" t="str">
        <f>IFERROR(INDEX('幕间与结算'!$E$9:$E$208,SMALL(AH$210:AH$409,106)),"")</f>
        <v/>
      </c>
      <c r="AI107" t="str">
        <f>IFERROR(INDEX('幕间与结算'!$E$9:$E$208,SMALL(AI$210:AI$409,106)),"")</f>
        <v/>
      </c>
      <c r="AJ107" t="str">
        <f>IFERROR(INDEX('幕间与结算'!$E$9:$E$208,SMALL(AJ$210:AJ$409,106)),"")</f>
        <v/>
      </c>
      <c r="AK107" t="str">
        <f>IFERROR(INDEX('幕间与结算'!$E$9:$E$208,SMALL(AK$210:AK$409,106)),"")</f>
        <v/>
      </c>
      <c r="AL107" t="str">
        <f>IFERROR(INDEX('幕间与结算'!$E$9:$E$208,SMALL(AL$210:AL$409,106)),"")</f>
        <v/>
      </c>
      <c r="AM107" t="str">
        <f>IFERROR(INDEX('幕间与结算'!$E$9:$E$208,SMALL(AM$210:AM$409,106)),"")</f>
        <v/>
      </c>
      <c r="AN107" t="str">
        <f>IFERROR(INDEX('幕间与结算'!$E$9:$E$208,SMALL(AN$210:AN$409,106)),"")</f>
        <v/>
      </c>
      <c r="AO107" t="str">
        <f>IFERROR(INDEX('幕间与结算'!$E$9:$E$208,SMALL(AO$210:AO$409,106)),"")</f>
        <v/>
      </c>
      <c r="AP107" t="str">
        <f>IFERROR(INDEX('幕间与结算'!$E$9:$E$208,SMALL(AP$210:AP$409,106)),"")</f>
        <v/>
      </c>
      <c r="AQ107" t="str">
        <f>IFERROR(INDEX('幕间与结算'!$E$9:$E$208,SMALL(AQ$210:AQ$409,106)),"")</f>
        <v/>
      </c>
      <c r="AR107" t="str">
        <f>IFERROR(INDEX('幕间与结算'!$E$9:$E$208,SMALL(AR$210:AR$409,106)),"")</f>
        <v/>
      </c>
      <c r="AS107" t="str">
        <f>IFERROR(INDEX('幕间与结算'!$E$9:$E$208,SMALL(AS$210:AS$409,106)),"")</f>
        <v/>
      </c>
      <c r="AT107" t="str">
        <f>IFERROR(INDEX('幕间与结算'!$E$9:$E$208,SMALL(AT$210:AT$409,106)),"")</f>
        <v/>
      </c>
    </row>
    <row r="108">
      <c r="AA108" t="str">
        <f>IFERROR(INDEX('幕间与结算'!$E$9:$E$208,SMALL(AA$210:AA$409,107)),"")</f>
        <v/>
      </c>
      <c r="AB108" t="str">
        <f>IFERROR(INDEX('幕间与结算'!$E$9:$E$208,SMALL(AB$210:AB$409,107)),"")</f>
        <v/>
      </c>
      <c r="AC108" t="str">
        <f>IFERROR(INDEX('幕间与结算'!$E$9:$E$208,SMALL(AC$210:AC$409,107)),"")</f>
        <v/>
      </c>
      <c r="AD108" t="str">
        <f>IFERROR(INDEX('幕间与结算'!$E$9:$E$208,SMALL(AD$210:AD$409,107)),"")</f>
        <v/>
      </c>
      <c r="AE108" t="str">
        <f>IFERROR(INDEX('幕间与结算'!$E$9:$E$208,SMALL(AE$210:AE$409,107)),"")</f>
        <v/>
      </c>
      <c r="AF108" t="str">
        <f>IFERROR(INDEX('幕间与结算'!$E$9:$E$208,SMALL(AF$210:AF$409,107)),"")</f>
        <v/>
      </c>
      <c r="AG108" t="str">
        <f>IFERROR(INDEX('幕间与结算'!$E$9:$E$208,SMALL(AG$210:AG$409,107)),"")</f>
        <v/>
      </c>
      <c r="AH108" t="str">
        <f>IFERROR(INDEX('幕间与结算'!$E$9:$E$208,SMALL(AH$210:AH$409,107)),"")</f>
        <v/>
      </c>
      <c r="AI108" t="str">
        <f>IFERROR(INDEX('幕间与结算'!$E$9:$E$208,SMALL(AI$210:AI$409,107)),"")</f>
        <v/>
      </c>
      <c r="AJ108" t="str">
        <f>IFERROR(INDEX('幕间与结算'!$E$9:$E$208,SMALL(AJ$210:AJ$409,107)),"")</f>
        <v/>
      </c>
      <c r="AK108" t="str">
        <f>IFERROR(INDEX('幕间与结算'!$E$9:$E$208,SMALL(AK$210:AK$409,107)),"")</f>
        <v/>
      </c>
      <c r="AL108" t="str">
        <f>IFERROR(INDEX('幕间与结算'!$E$9:$E$208,SMALL(AL$210:AL$409,107)),"")</f>
        <v/>
      </c>
      <c r="AM108" t="str">
        <f>IFERROR(INDEX('幕间与结算'!$E$9:$E$208,SMALL(AM$210:AM$409,107)),"")</f>
        <v/>
      </c>
      <c r="AN108" t="str">
        <f>IFERROR(INDEX('幕间与结算'!$E$9:$E$208,SMALL(AN$210:AN$409,107)),"")</f>
        <v/>
      </c>
      <c r="AO108" t="str">
        <f>IFERROR(INDEX('幕间与结算'!$E$9:$E$208,SMALL(AO$210:AO$409,107)),"")</f>
        <v/>
      </c>
      <c r="AP108" t="str">
        <f>IFERROR(INDEX('幕间与结算'!$E$9:$E$208,SMALL(AP$210:AP$409,107)),"")</f>
        <v/>
      </c>
      <c r="AQ108" t="str">
        <f>IFERROR(INDEX('幕间与结算'!$E$9:$E$208,SMALL(AQ$210:AQ$409,107)),"")</f>
        <v/>
      </c>
      <c r="AR108" t="str">
        <f>IFERROR(INDEX('幕间与结算'!$E$9:$E$208,SMALL(AR$210:AR$409,107)),"")</f>
        <v/>
      </c>
      <c r="AS108" t="str">
        <f>IFERROR(INDEX('幕间与结算'!$E$9:$E$208,SMALL(AS$210:AS$409,107)),"")</f>
        <v/>
      </c>
      <c r="AT108" t="str">
        <f>IFERROR(INDEX('幕间与结算'!$E$9:$E$208,SMALL(AT$210:AT$409,107)),"")</f>
        <v/>
      </c>
    </row>
    <row r="109">
      <c r="AA109" t="str">
        <f>IFERROR(INDEX('幕间与结算'!$E$9:$E$208,SMALL(AA$210:AA$409,108)),"")</f>
        <v/>
      </c>
      <c r="AB109" t="str">
        <f>IFERROR(INDEX('幕间与结算'!$E$9:$E$208,SMALL(AB$210:AB$409,108)),"")</f>
        <v/>
      </c>
      <c r="AC109" t="str">
        <f>IFERROR(INDEX('幕间与结算'!$E$9:$E$208,SMALL(AC$210:AC$409,108)),"")</f>
        <v/>
      </c>
      <c r="AD109" t="str">
        <f>IFERROR(INDEX('幕间与结算'!$E$9:$E$208,SMALL(AD$210:AD$409,108)),"")</f>
        <v/>
      </c>
      <c r="AE109" t="str">
        <f>IFERROR(INDEX('幕间与结算'!$E$9:$E$208,SMALL(AE$210:AE$409,108)),"")</f>
        <v/>
      </c>
      <c r="AF109" t="str">
        <f>IFERROR(INDEX('幕间与结算'!$E$9:$E$208,SMALL(AF$210:AF$409,108)),"")</f>
        <v/>
      </c>
      <c r="AG109" t="str">
        <f>IFERROR(INDEX('幕间与结算'!$E$9:$E$208,SMALL(AG$210:AG$409,108)),"")</f>
        <v/>
      </c>
      <c r="AH109" t="str">
        <f>IFERROR(INDEX('幕间与结算'!$E$9:$E$208,SMALL(AH$210:AH$409,108)),"")</f>
        <v/>
      </c>
      <c r="AI109" t="str">
        <f>IFERROR(INDEX('幕间与结算'!$E$9:$E$208,SMALL(AI$210:AI$409,108)),"")</f>
        <v/>
      </c>
      <c r="AJ109" t="str">
        <f>IFERROR(INDEX('幕间与结算'!$E$9:$E$208,SMALL(AJ$210:AJ$409,108)),"")</f>
        <v/>
      </c>
      <c r="AK109" t="str">
        <f>IFERROR(INDEX('幕间与结算'!$E$9:$E$208,SMALL(AK$210:AK$409,108)),"")</f>
        <v/>
      </c>
      <c r="AL109" t="str">
        <f>IFERROR(INDEX('幕间与结算'!$E$9:$E$208,SMALL(AL$210:AL$409,108)),"")</f>
        <v/>
      </c>
      <c r="AM109" t="str">
        <f>IFERROR(INDEX('幕间与结算'!$E$9:$E$208,SMALL(AM$210:AM$409,108)),"")</f>
        <v/>
      </c>
      <c r="AN109" t="str">
        <f>IFERROR(INDEX('幕间与结算'!$E$9:$E$208,SMALL(AN$210:AN$409,108)),"")</f>
        <v/>
      </c>
      <c r="AO109" t="str">
        <f>IFERROR(INDEX('幕间与结算'!$E$9:$E$208,SMALL(AO$210:AO$409,108)),"")</f>
        <v/>
      </c>
      <c r="AP109" t="str">
        <f>IFERROR(INDEX('幕间与结算'!$E$9:$E$208,SMALL(AP$210:AP$409,108)),"")</f>
        <v/>
      </c>
      <c r="AQ109" t="str">
        <f>IFERROR(INDEX('幕间与结算'!$E$9:$E$208,SMALL(AQ$210:AQ$409,108)),"")</f>
        <v/>
      </c>
      <c r="AR109" t="str">
        <f>IFERROR(INDEX('幕间与结算'!$E$9:$E$208,SMALL(AR$210:AR$409,108)),"")</f>
        <v/>
      </c>
      <c r="AS109" t="str">
        <f>IFERROR(INDEX('幕间与结算'!$E$9:$E$208,SMALL(AS$210:AS$409,108)),"")</f>
        <v/>
      </c>
      <c r="AT109" t="str">
        <f>IFERROR(INDEX('幕间与结算'!$E$9:$E$208,SMALL(AT$210:AT$409,108)),"")</f>
        <v/>
      </c>
    </row>
    <row r="110">
      <c r="AA110" t="str">
        <f>IFERROR(INDEX('幕间与结算'!$E$9:$E$208,SMALL(AA$210:AA$409,109)),"")</f>
        <v/>
      </c>
      <c r="AB110" t="str">
        <f>IFERROR(INDEX('幕间与结算'!$E$9:$E$208,SMALL(AB$210:AB$409,109)),"")</f>
        <v/>
      </c>
      <c r="AC110" t="str">
        <f>IFERROR(INDEX('幕间与结算'!$E$9:$E$208,SMALL(AC$210:AC$409,109)),"")</f>
        <v/>
      </c>
      <c r="AD110" t="str">
        <f>IFERROR(INDEX('幕间与结算'!$E$9:$E$208,SMALL(AD$210:AD$409,109)),"")</f>
        <v/>
      </c>
      <c r="AE110" t="str">
        <f>IFERROR(INDEX('幕间与结算'!$E$9:$E$208,SMALL(AE$210:AE$409,109)),"")</f>
        <v/>
      </c>
      <c r="AF110" t="str">
        <f>IFERROR(INDEX('幕间与结算'!$E$9:$E$208,SMALL(AF$210:AF$409,109)),"")</f>
        <v/>
      </c>
      <c r="AG110" t="str">
        <f>IFERROR(INDEX('幕间与结算'!$E$9:$E$208,SMALL(AG$210:AG$409,109)),"")</f>
        <v/>
      </c>
      <c r="AH110" t="str">
        <f>IFERROR(INDEX('幕间与结算'!$E$9:$E$208,SMALL(AH$210:AH$409,109)),"")</f>
        <v/>
      </c>
      <c r="AI110" t="str">
        <f>IFERROR(INDEX('幕间与结算'!$E$9:$E$208,SMALL(AI$210:AI$409,109)),"")</f>
        <v/>
      </c>
      <c r="AJ110" t="str">
        <f>IFERROR(INDEX('幕间与结算'!$E$9:$E$208,SMALL(AJ$210:AJ$409,109)),"")</f>
        <v/>
      </c>
      <c r="AK110" t="str">
        <f>IFERROR(INDEX('幕间与结算'!$E$9:$E$208,SMALL(AK$210:AK$409,109)),"")</f>
        <v/>
      </c>
      <c r="AL110" t="str">
        <f>IFERROR(INDEX('幕间与结算'!$E$9:$E$208,SMALL(AL$210:AL$409,109)),"")</f>
        <v/>
      </c>
      <c r="AM110" t="str">
        <f>IFERROR(INDEX('幕间与结算'!$E$9:$E$208,SMALL(AM$210:AM$409,109)),"")</f>
        <v/>
      </c>
      <c r="AN110" t="str">
        <f>IFERROR(INDEX('幕间与结算'!$E$9:$E$208,SMALL(AN$210:AN$409,109)),"")</f>
        <v/>
      </c>
      <c r="AO110" t="str">
        <f>IFERROR(INDEX('幕间与结算'!$E$9:$E$208,SMALL(AO$210:AO$409,109)),"")</f>
        <v/>
      </c>
      <c r="AP110" t="str">
        <f>IFERROR(INDEX('幕间与结算'!$E$9:$E$208,SMALL(AP$210:AP$409,109)),"")</f>
        <v/>
      </c>
      <c r="AQ110" t="str">
        <f>IFERROR(INDEX('幕间与结算'!$E$9:$E$208,SMALL(AQ$210:AQ$409,109)),"")</f>
        <v/>
      </c>
      <c r="AR110" t="str">
        <f>IFERROR(INDEX('幕间与结算'!$E$9:$E$208,SMALL(AR$210:AR$409,109)),"")</f>
        <v/>
      </c>
      <c r="AS110" t="str">
        <f>IFERROR(INDEX('幕间与结算'!$E$9:$E$208,SMALL(AS$210:AS$409,109)),"")</f>
        <v/>
      </c>
      <c r="AT110" t="str">
        <f>IFERROR(INDEX('幕间与结算'!$E$9:$E$208,SMALL(AT$210:AT$409,109)),"")</f>
        <v/>
      </c>
    </row>
    <row r="111">
      <c r="AA111" t="str">
        <f>IFERROR(INDEX('幕间与结算'!$E$9:$E$208,SMALL(AA$210:AA$409,110)),"")</f>
        <v/>
      </c>
      <c r="AB111" t="str">
        <f>IFERROR(INDEX('幕间与结算'!$E$9:$E$208,SMALL(AB$210:AB$409,110)),"")</f>
        <v/>
      </c>
      <c r="AC111" t="str">
        <f>IFERROR(INDEX('幕间与结算'!$E$9:$E$208,SMALL(AC$210:AC$409,110)),"")</f>
        <v/>
      </c>
      <c r="AD111" t="str">
        <f>IFERROR(INDEX('幕间与结算'!$E$9:$E$208,SMALL(AD$210:AD$409,110)),"")</f>
        <v/>
      </c>
      <c r="AE111" t="str">
        <f>IFERROR(INDEX('幕间与结算'!$E$9:$E$208,SMALL(AE$210:AE$409,110)),"")</f>
        <v/>
      </c>
      <c r="AF111" t="str">
        <f>IFERROR(INDEX('幕间与结算'!$E$9:$E$208,SMALL(AF$210:AF$409,110)),"")</f>
        <v/>
      </c>
      <c r="AG111" t="str">
        <f>IFERROR(INDEX('幕间与结算'!$E$9:$E$208,SMALL(AG$210:AG$409,110)),"")</f>
        <v/>
      </c>
      <c r="AH111" t="str">
        <f>IFERROR(INDEX('幕间与结算'!$E$9:$E$208,SMALL(AH$210:AH$409,110)),"")</f>
        <v/>
      </c>
      <c r="AI111" t="str">
        <f>IFERROR(INDEX('幕间与结算'!$E$9:$E$208,SMALL(AI$210:AI$409,110)),"")</f>
        <v/>
      </c>
      <c r="AJ111" t="str">
        <f>IFERROR(INDEX('幕间与结算'!$E$9:$E$208,SMALL(AJ$210:AJ$409,110)),"")</f>
        <v/>
      </c>
      <c r="AK111" t="str">
        <f>IFERROR(INDEX('幕间与结算'!$E$9:$E$208,SMALL(AK$210:AK$409,110)),"")</f>
        <v/>
      </c>
      <c r="AL111" t="str">
        <f>IFERROR(INDEX('幕间与结算'!$E$9:$E$208,SMALL(AL$210:AL$409,110)),"")</f>
        <v/>
      </c>
      <c r="AM111" t="str">
        <f>IFERROR(INDEX('幕间与结算'!$E$9:$E$208,SMALL(AM$210:AM$409,110)),"")</f>
        <v/>
      </c>
      <c r="AN111" t="str">
        <f>IFERROR(INDEX('幕间与结算'!$E$9:$E$208,SMALL(AN$210:AN$409,110)),"")</f>
        <v/>
      </c>
      <c r="AO111" t="str">
        <f>IFERROR(INDEX('幕间与结算'!$E$9:$E$208,SMALL(AO$210:AO$409,110)),"")</f>
        <v/>
      </c>
      <c r="AP111" t="str">
        <f>IFERROR(INDEX('幕间与结算'!$E$9:$E$208,SMALL(AP$210:AP$409,110)),"")</f>
        <v/>
      </c>
      <c r="AQ111" t="str">
        <f>IFERROR(INDEX('幕间与结算'!$E$9:$E$208,SMALL(AQ$210:AQ$409,110)),"")</f>
        <v/>
      </c>
      <c r="AR111" t="str">
        <f>IFERROR(INDEX('幕间与结算'!$E$9:$E$208,SMALL(AR$210:AR$409,110)),"")</f>
        <v/>
      </c>
      <c r="AS111" t="str">
        <f>IFERROR(INDEX('幕间与结算'!$E$9:$E$208,SMALL(AS$210:AS$409,110)),"")</f>
        <v/>
      </c>
      <c r="AT111" t="str">
        <f>IFERROR(INDEX('幕间与结算'!$E$9:$E$208,SMALL(AT$210:AT$409,110)),"")</f>
        <v/>
      </c>
    </row>
    <row r="112">
      <c r="AA112" t="str">
        <f>IFERROR(INDEX('幕间与结算'!$E$9:$E$208,SMALL(AA$210:AA$409,111)),"")</f>
        <v/>
      </c>
      <c r="AB112" t="str">
        <f>IFERROR(INDEX('幕间与结算'!$E$9:$E$208,SMALL(AB$210:AB$409,111)),"")</f>
        <v/>
      </c>
      <c r="AC112" t="str">
        <f>IFERROR(INDEX('幕间与结算'!$E$9:$E$208,SMALL(AC$210:AC$409,111)),"")</f>
        <v/>
      </c>
      <c r="AD112" t="str">
        <f>IFERROR(INDEX('幕间与结算'!$E$9:$E$208,SMALL(AD$210:AD$409,111)),"")</f>
        <v/>
      </c>
      <c r="AE112" t="str">
        <f>IFERROR(INDEX('幕间与结算'!$E$9:$E$208,SMALL(AE$210:AE$409,111)),"")</f>
        <v/>
      </c>
      <c r="AF112" t="str">
        <f>IFERROR(INDEX('幕间与结算'!$E$9:$E$208,SMALL(AF$210:AF$409,111)),"")</f>
        <v/>
      </c>
      <c r="AG112" t="str">
        <f>IFERROR(INDEX('幕间与结算'!$E$9:$E$208,SMALL(AG$210:AG$409,111)),"")</f>
        <v/>
      </c>
      <c r="AH112" t="str">
        <f>IFERROR(INDEX('幕间与结算'!$E$9:$E$208,SMALL(AH$210:AH$409,111)),"")</f>
        <v/>
      </c>
      <c r="AI112" t="str">
        <f>IFERROR(INDEX('幕间与结算'!$E$9:$E$208,SMALL(AI$210:AI$409,111)),"")</f>
        <v/>
      </c>
      <c r="AJ112" t="str">
        <f>IFERROR(INDEX('幕间与结算'!$E$9:$E$208,SMALL(AJ$210:AJ$409,111)),"")</f>
        <v/>
      </c>
      <c r="AK112" t="str">
        <f>IFERROR(INDEX('幕间与结算'!$E$9:$E$208,SMALL(AK$210:AK$409,111)),"")</f>
        <v/>
      </c>
      <c r="AL112" t="str">
        <f>IFERROR(INDEX('幕间与结算'!$E$9:$E$208,SMALL(AL$210:AL$409,111)),"")</f>
        <v/>
      </c>
      <c r="AM112" t="str">
        <f>IFERROR(INDEX('幕间与结算'!$E$9:$E$208,SMALL(AM$210:AM$409,111)),"")</f>
        <v/>
      </c>
      <c r="AN112" t="str">
        <f>IFERROR(INDEX('幕间与结算'!$E$9:$E$208,SMALL(AN$210:AN$409,111)),"")</f>
        <v/>
      </c>
      <c r="AO112" t="str">
        <f>IFERROR(INDEX('幕间与结算'!$E$9:$E$208,SMALL(AO$210:AO$409,111)),"")</f>
        <v/>
      </c>
      <c r="AP112" t="str">
        <f>IFERROR(INDEX('幕间与结算'!$E$9:$E$208,SMALL(AP$210:AP$409,111)),"")</f>
        <v/>
      </c>
      <c r="AQ112" t="str">
        <f>IFERROR(INDEX('幕间与结算'!$E$9:$E$208,SMALL(AQ$210:AQ$409,111)),"")</f>
        <v/>
      </c>
      <c r="AR112" t="str">
        <f>IFERROR(INDEX('幕间与结算'!$E$9:$E$208,SMALL(AR$210:AR$409,111)),"")</f>
        <v/>
      </c>
      <c r="AS112" t="str">
        <f>IFERROR(INDEX('幕间与结算'!$E$9:$E$208,SMALL(AS$210:AS$409,111)),"")</f>
        <v/>
      </c>
      <c r="AT112" t="str">
        <f>IFERROR(INDEX('幕间与结算'!$E$9:$E$208,SMALL(AT$210:AT$409,111)),"")</f>
        <v/>
      </c>
    </row>
    <row r="113">
      <c r="AA113" t="str">
        <f>IFERROR(INDEX('幕间与结算'!$E$9:$E$208,SMALL(AA$210:AA$409,112)),"")</f>
        <v/>
      </c>
      <c r="AB113" t="str">
        <f>IFERROR(INDEX('幕间与结算'!$E$9:$E$208,SMALL(AB$210:AB$409,112)),"")</f>
        <v/>
      </c>
      <c r="AC113" t="str">
        <f>IFERROR(INDEX('幕间与结算'!$E$9:$E$208,SMALL(AC$210:AC$409,112)),"")</f>
        <v/>
      </c>
      <c r="AD113" t="str">
        <f>IFERROR(INDEX('幕间与结算'!$E$9:$E$208,SMALL(AD$210:AD$409,112)),"")</f>
        <v/>
      </c>
      <c r="AE113" t="str">
        <f>IFERROR(INDEX('幕间与结算'!$E$9:$E$208,SMALL(AE$210:AE$409,112)),"")</f>
        <v/>
      </c>
      <c r="AF113" t="str">
        <f>IFERROR(INDEX('幕间与结算'!$E$9:$E$208,SMALL(AF$210:AF$409,112)),"")</f>
        <v/>
      </c>
      <c r="AG113" t="str">
        <f>IFERROR(INDEX('幕间与结算'!$E$9:$E$208,SMALL(AG$210:AG$409,112)),"")</f>
        <v/>
      </c>
      <c r="AH113" t="str">
        <f>IFERROR(INDEX('幕间与结算'!$E$9:$E$208,SMALL(AH$210:AH$409,112)),"")</f>
        <v/>
      </c>
      <c r="AI113" t="str">
        <f>IFERROR(INDEX('幕间与结算'!$E$9:$E$208,SMALL(AI$210:AI$409,112)),"")</f>
        <v/>
      </c>
      <c r="AJ113" t="str">
        <f>IFERROR(INDEX('幕间与结算'!$E$9:$E$208,SMALL(AJ$210:AJ$409,112)),"")</f>
        <v/>
      </c>
      <c r="AK113" t="str">
        <f>IFERROR(INDEX('幕间与结算'!$E$9:$E$208,SMALL(AK$210:AK$409,112)),"")</f>
        <v/>
      </c>
      <c r="AL113" t="str">
        <f>IFERROR(INDEX('幕间与结算'!$E$9:$E$208,SMALL(AL$210:AL$409,112)),"")</f>
        <v/>
      </c>
      <c r="AM113" t="str">
        <f>IFERROR(INDEX('幕间与结算'!$E$9:$E$208,SMALL(AM$210:AM$409,112)),"")</f>
        <v/>
      </c>
      <c r="AN113" t="str">
        <f>IFERROR(INDEX('幕间与结算'!$E$9:$E$208,SMALL(AN$210:AN$409,112)),"")</f>
        <v/>
      </c>
      <c r="AO113" t="str">
        <f>IFERROR(INDEX('幕间与结算'!$E$9:$E$208,SMALL(AO$210:AO$409,112)),"")</f>
        <v/>
      </c>
      <c r="AP113" t="str">
        <f>IFERROR(INDEX('幕间与结算'!$E$9:$E$208,SMALL(AP$210:AP$409,112)),"")</f>
        <v/>
      </c>
      <c r="AQ113" t="str">
        <f>IFERROR(INDEX('幕间与结算'!$E$9:$E$208,SMALL(AQ$210:AQ$409,112)),"")</f>
        <v/>
      </c>
      <c r="AR113" t="str">
        <f>IFERROR(INDEX('幕间与结算'!$E$9:$E$208,SMALL(AR$210:AR$409,112)),"")</f>
        <v/>
      </c>
      <c r="AS113" t="str">
        <f>IFERROR(INDEX('幕间与结算'!$E$9:$E$208,SMALL(AS$210:AS$409,112)),"")</f>
        <v/>
      </c>
      <c r="AT113" t="str">
        <f>IFERROR(INDEX('幕间与结算'!$E$9:$E$208,SMALL(AT$210:AT$409,112)),"")</f>
        <v/>
      </c>
    </row>
    <row r="114">
      <c r="AA114" t="str">
        <f>IFERROR(INDEX('幕间与结算'!$E$9:$E$208,SMALL(AA$210:AA$409,113)),"")</f>
        <v/>
      </c>
      <c r="AB114" t="str">
        <f>IFERROR(INDEX('幕间与结算'!$E$9:$E$208,SMALL(AB$210:AB$409,113)),"")</f>
        <v/>
      </c>
      <c r="AC114" t="str">
        <f>IFERROR(INDEX('幕间与结算'!$E$9:$E$208,SMALL(AC$210:AC$409,113)),"")</f>
        <v/>
      </c>
      <c r="AD114" t="str">
        <f>IFERROR(INDEX('幕间与结算'!$E$9:$E$208,SMALL(AD$210:AD$409,113)),"")</f>
        <v/>
      </c>
      <c r="AE114" t="str">
        <f>IFERROR(INDEX('幕间与结算'!$E$9:$E$208,SMALL(AE$210:AE$409,113)),"")</f>
        <v/>
      </c>
      <c r="AF114" t="str">
        <f>IFERROR(INDEX('幕间与结算'!$E$9:$E$208,SMALL(AF$210:AF$409,113)),"")</f>
        <v/>
      </c>
      <c r="AG114" t="str">
        <f>IFERROR(INDEX('幕间与结算'!$E$9:$E$208,SMALL(AG$210:AG$409,113)),"")</f>
        <v/>
      </c>
      <c r="AH114" t="str">
        <f>IFERROR(INDEX('幕间与结算'!$E$9:$E$208,SMALL(AH$210:AH$409,113)),"")</f>
        <v/>
      </c>
      <c r="AI114" t="str">
        <f>IFERROR(INDEX('幕间与结算'!$E$9:$E$208,SMALL(AI$210:AI$409,113)),"")</f>
        <v/>
      </c>
      <c r="AJ114" t="str">
        <f>IFERROR(INDEX('幕间与结算'!$E$9:$E$208,SMALL(AJ$210:AJ$409,113)),"")</f>
        <v/>
      </c>
      <c r="AK114" t="str">
        <f>IFERROR(INDEX('幕间与结算'!$E$9:$E$208,SMALL(AK$210:AK$409,113)),"")</f>
        <v/>
      </c>
      <c r="AL114" t="str">
        <f>IFERROR(INDEX('幕间与结算'!$E$9:$E$208,SMALL(AL$210:AL$409,113)),"")</f>
        <v/>
      </c>
      <c r="AM114" t="str">
        <f>IFERROR(INDEX('幕间与结算'!$E$9:$E$208,SMALL(AM$210:AM$409,113)),"")</f>
        <v/>
      </c>
      <c r="AN114" t="str">
        <f>IFERROR(INDEX('幕间与结算'!$E$9:$E$208,SMALL(AN$210:AN$409,113)),"")</f>
        <v/>
      </c>
      <c r="AO114" t="str">
        <f>IFERROR(INDEX('幕间与结算'!$E$9:$E$208,SMALL(AO$210:AO$409,113)),"")</f>
        <v/>
      </c>
      <c r="AP114" t="str">
        <f>IFERROR(INDEX('幕间与结算'!$E$9:$E$208,SMALL(AP$210:AP$409,113)),"")</f>
        <v/>
      </c>
      <c r="AQ114" t="str">
        <f>IFERROR(INDEX('幕间与结算'!$E$9:$E$208,SMALL(AQ$210:AQ$409,113)),"")</f>
        <v/>
      </c>
      <c r="AR114" t="str">
        <f>IFERROR(INDEX('幕间与结算'!$E$9:$E$208,SMALL(AR$210:AR$409,113)),"")</f>
        <v/>
      </c>
      <c r="AS114" t="str">
        <f>IFERROR(INDEX('幕间与结算'!$E$9:$E$208,SMALL(AS$210:AS$409,113)),"")</f>
        <v/>
      </c>
      <c r="AT114" t="str">
        <f>IFERROR(INDEX('幕间与结算'!$E$9:$E$208,SMALL(AT$210:AT$409,113)),"")</f>
        <v/>
      </c>
    </row>
    <row r="115">
      <c r="AA115" t="str">
        <f>IFERROR(INDEX('幕间与结算'!$E$9:$E$208,SMALL(AA$210:AA$409,114)),"")</f>
        <v/>
      </c>
      <c r="AB115" t="str">
        <f>IFERROR(INDEX('幕间与结算'!$E$9:$E$208,SMALL(AB$210:AB$409,114)),"")</f>
        <v/>
      </c>
      <c r="AC115" t="str">
        <f>IFERROR(INDEX('幕间与结算'!$E$9:$E$208,SMALL(AC$210:AC$409,114)),"")</f>
        <v/>
      </c>
      <c r="AD115" t="str">
        <f>IFERROR(INDEX('幕间与结算'!$E$9:$E$208,SMALL(AD$210:AD$409,114)),"")</f>
        <v/>
      </c>
      <c r="AE115" t="str">
        <f>IFERROR(INDEX('幕间与结算'!$E$9:$E$208,SMALL(AE$210:AE$409,114)),"")</f>
        <v/>
      </c>
      <c r="AF115" t="str">
        <f>IFERROR(INDEX('幕间与结算'!$E$9:$E$208,SMALL(AF$210:AF$409,114)),"")</f>
        <v/>
      </c>
      <c r="AG115" t="str">
        <f>IFERROR(INDEX('幕间与结算'!$E$9:$E$208,SMALL(AG$210:AG$409,114)),"")</f>
        <v/>
      </c>
      <c r="AH115" t="str">
        <f>IFERROR(INDEX('幕间与结算'!$E$9:$E$208,SMALL(AH$210:AH$409,114)),"")</f>
        <v/>
      </c>
      <c r="AI115" t="str">
        <f>IFERROR(INDEX('幕间与结算'!$E$9:$E$208,SMALL(AI$210:AI$409,114)),"")</f>
        <v/>
      </c>
      <c r="AJ115" t="str">
        <f>IFERROR(INDEX('幕间与结算'!$E$9:$E$208,SMALL(AJ$210:AJ$409,114)),"")</f>
        <v/>
      </c>
      <c r="AK115" t="str">
        <f>IFERROR(INDEX('幕间与结算'!$E$9:$E$208,SMALL(AK$210:AK$409,114)),"")</f>
        <v/>
      </c>
      <c r="AL115" t="str">
        <f>IFERROR(INDEX('幕间与结算'!$E$9:$E$208,SMALL(AL$210:AL$409,114)),"")</f>
        <v/>
      </c>
      <c r="AM115" t="str">
        <f>IFERROR(INDEX('幕间与结算'!$E$9:$E$208,SMALL(AM$210:AM$409,114)),"")</f>
        <v/>
      </c>
      <c r="AN115" t="str">
        <f>IFERROR(INDEX('幕间与结算'!$E$9:$E$208,SMALL(AN$210:AN$409,114)),"")</f>
        <v/>
      </c>
      <c r="AO115" t="str">
        <f>IFERROR(INDEX('幕间与结算'!$E$9:$E$208,SMALL(AO$210:AO$409,114)),"")</f>
        <v/>
      </c>
      <c r="AP115" t="str">
        <f>IFERROR(INDEX('幕间与结算'!$E$9:$E$208,SMALL(AP$210:AP$409,114)),"")</f>
        <v/>
      </c>
      <c r="AQ115" t="str">
        <f>IFERROR(INDEX('幕间与结算'!$E$9:$E$208,SMALL(AQ$210:AQ$409,114)),"")</f>
        <v/>
      </c>
      <c r="AR115" t="str">
        <f>IFERROR(INDEX('幕间与结算'!$E$9:$E$208,SMALL(AR$210:AR$409,114)),"")</f>
        <v/>
      </c>
      <c r="AS115" t="str">
        <f>IFERROR(INDEX('幕间与结算'!$E$9:$E$208,SMALL(AS$210:AS$409,114)),"")</f>
        <v/>
      </c>
      <c r="AT115" t="str">
        <f>IFERROR(INDEX('幕间与结算'!$E$9:$E$208,SMALL(AT$210:AT$409,114)),"")</f>
        <v/>
      </c>
    </row>
    <row r="116">
      <c r="AA116" t="str">
        <f>IFERROR(INDEX('幕间与结算'!$E$9:$E$208,SMALL(AA$210:AA$409,115)),"")</f>
        <v/>
      </c>
      <c r="AB116" t="str">
        <f>IFERROR(INDEX('幕间与结算'!$E$9:$E$208,SMALL(AB$210:AB$409,115)),"")</f>
        <v/>
      </c>
      <c r="AC116" t="str">
        <f>IFERROR(INDEX('幕间与结算'!$E$9:$E$208,SMALL(AC$210:AC$409,115)),"")</f>
        <v/>
      </c>
      <c r="AD116" t="str">
        <f>IFERROR(INDEX('幕间与结算'!$E$9:$E$208,SMALL(AD$210:AD$409,115)),"")</f>
        <v/>
      </c>
      <c r="AE116" t="str">
        <f>IFERROR(INDEX('幕间与结算'!$E$9:$E$208,SMALL(AE$210:AE$409,115)),"")</f>
        <v/>
      </c>
      <c r="AF116" t="str">
        <f>IFERROR(INDEX('幕间与结算'!$E$9:$E$208,SMALL(AF$210:AF$409,115)),"")</f>
        <v/>
      </c>
      <c r="AG116" t="str">
        <f>IFERROR(INDEX('幕间与结算'!$E$9:$E$208,SMALL(AG$210:AG$409,115)),"")</f>
        <v/>
      </c>
      <c r="AH116" t="str">
        <f>IFERROR(INDEX('幕间与结算'!$E$9:$E$208,SMALL(AH$210:AH$409,115)),"")</f>
        <v/>
      </c>
      <c r="AI116" t="str">
        <f>IFERROR(INDEX('幕间与结算'!$E$9:$E$208,SMALL(AI$210:AI$409,115)),"")</f>
        <v/>
      </c>
      <c r="AJ116" t="str">
        <f>IFERROR(INDEX('幕间与结算'!$E$9:$E$208,SMALL(AJ$210:AJ$409,115)),"")</f>
        <v/>
      </c>
      <c r="AK116" t="str">
        <f>IFERROR(INDEX('幕间与结算'!$E$9:$E$208,SMALL(AK$210:AK$409,115)),"")</f>
        <v/>
      </c>
      <c r="AL116" t="str">
        <f>IFERROR(INDEX('幕间与结算'!$E$9:$E$208,SMALL(AL$210:AL$409,115)),"")</f>
        <v/>
      </c>
      <c r="AM116" t="str">
        <f>IFERROR(INDEX('幕间与结算'!$E$9:$E$208,SMALL(AM$210:AM$409,115)),"")</f>
        <v/>
      </c>
      <c r="AN116" t="str">
        <f>IFERROR(INDEX('幕间与结算'!$E$9:$E$208,SMALL(AN$210:AN$409,115)),"")</f>
        <v/>
      </c>
      <c r="AO116" t="str">
        <f>IFERROR(INDEX('幕间与结算'!$E$9:$E$208,SMALL(AO$210:AO$409,115)),"")</f>
        <v/>
      </c>
      <c r="AP116" t="str">
        <f>IFERROR(INDEX('幕间与结算'!$E$9:$E$208,SMALL(AP$210:AP$409,115)),"")</f>
        <v/>
      </c>
      <c r="AQ116" t="str">
        <f>IFERROR(INDEX('幕间与结算'!$E$9:$E$208,SMALL(AQ$210:AQ$409,115)),"")</f>
        <v/>
      </c>
      <c r="AR116" t="str">
        <f>IFERROR(INDEX('幕间与结算'!$E$9:$E$208,SMALL(AR$210:AR$409,115)),"")</f>
        <v/>
      </c>
      <c r="AS116" t="str">
        <f>IFERROR(INDEX('幕间与结算'!$E$9:$E$208,SMALL(AS$210:AS$409,115)),"")</f>
        <v/>
      </c>
      <c r="AT116" t="str">
        <f>IFERROR(INDEX('幕间与结算'!$E$9:$E$208,SMALL(AT$210:AT$409,115)),"")</f>
        <v/>
      </c>
    </row>
    <row r="117">
      <c r="AA117" t="str">
        <f>IFERROR(INDEX('幕间与结算'!$E$9:$E$208,SMALL(AA$210:AA$409,116)),"")</f>
        <v/>
      </c>
      <c r="AB117" t="str">
        <f>IFERROR(INDEX('幕间与结算'!$E$9:$E$208,SMALL(AB$210:AB$409,116)),"")</f>
        <v/>
      </c>
      <c r="AC117" t="str">
        <f>IFERROR(INDEX('幕间与结算'!$E$9:$E$208,SMALL(AC$210:AC$409,116)),"")</f>
        <v/>
      </c>
      <c r="AD117" t="str">
        <f>IFERROR(INDEX('幕间与结算'!$E$9:$E$208,SMALL(AD$210:AD$409,116)),"")</f>
        <v/>
      </c>
      <c r="AE117" t="str">
        <f>IFERROR(INDEX('幕间与结算'!$E$9:$E$208,SMALL(AE$210:AE$409,116)),"")</f>
        <v/>
      </c>
      <c r="AF117" t="str">
        <f>IFERROR(INDEX('幕间与结算'!$E$9:$E$208,SMALL(AF$210:AF$409,116)),"")</f>
        <v/>
      </c>
      <c r="AG117" t="str">
        <f>IFERROR(INDEX('幕间与结算'!$E$9:$E$208,SMALL(AG$210:AG$409,116)),"")</f>
        <v/>
      </c>
      <c r="AH117" t="str">
        <f>IFERROR(INDEX('幕间与结算'!$E$9:$E$208,SMALL(AH$210:AH$409,116)),"")</f>
        <v/>
      </c>
      <c r="AI117" t="str">
        <f>IFERROR(INDEX('幕间与结算'!$E$9:$E$208,SMALL(AI$210:AI$409,116)),"")</f>
        <v/>
      </c>
      <c r="AJ117" t="str">
        <f>IFERROR(INDEX('幕间与结算'!$E$9:$E$208,SMALL(AJ$210:AJ$409,116)),"")</f>
        <v/>
      </c>
      <c r="AK117" t="str">
        <f>IFERROR(INDEX('幕间与结算'!$E$9:$E$208,SMALL(AK$210:AK$409,116)),"")</f>
        <v/>
      </c>
      <c r="AL117" t="str">
        <f>IFERROR(INDEX('幕间与结算'!$E$9:$E$208,SMALL(AL$210:AL$409,116)),"")</f>
        <v/>
      </c>
      <c r="AM117" t="str">
        <f>IFERROR(INDEX('幕间与结算'!$E$9:$E$208,SMALL(AM$210:AM$409,116)),"")</f>
        <v/>
      </c>
      <c r="AN117" t="str">
        <f>IFERROR(INDEX('幕间与结算'!$E$9:$E$208,SMALL(AN$210:AN$409,116)),"")</f>
        <v/>
      </c>
      <c r="AO117" t="str">
        <f>IFERROR(INDEX('幕间与结算'!$E$9:$E$208,SMALL(AO$210:AO$409,116)),"")</f>
        <v/>
      </c>
      <c r="AP117" t="str">
        <f>IFERROR(INDEX('幕间与结算'!$E$9:$E$208,SMALL(AP$210:AP$409,116)),"")</f>
        <v/>
      </c>
      <c r="AQ117" t="str">
        <f>IFERROR(INDEX('幕间与结算'!$E$9:$E$208,SMALL(AQ$210:AQ$409,116)),"")</f>
        <v/>
      </c>
      <c r="AR117" t="str">
        <f>IFERROR(INDEX('幕间与结算'!$E$9:$E$208,SMALL(AR$210:AR$409,116)),"")</f>
        <v/>
      </c>
      <c r="AS117" t="str">
        <f>IFERROR(INDEX('幕间与结算'!$E$9:$E$208,SMALL(AS$210:AS$409,116)),"")</f>
        <v/>
      </c>
      <c r="AT117" t="str">
        <f>IFERROR(INDEX('幕间与结算'!$E$9:$E$208,SMALL(AT$210:AT$409,116)),"")</f>
        <v/>
      </c>
    </row>
    <row r="118">
      <c r="AA118" t="str">
        <f>IFERROR(INDEX('幕间与结算'!$E$9:$E$208,SMALL(AA$210:AA$409,117)),"")</f>
        <v/>
      </c>
      <c r="AB118" t="str">
        <f>IFERROR(INDEX('幕间与结算'!$E$9:$E$208,SMALL(AB$210:AB$409,117)),"")</f>
        <v/>
      </c>
      <c r="AC118" t="str">
        <f>IFERROR(INDEX('幕间与结算'!$E$9:$E$208,SMALL(AC$210:AC$409,117)),"")</f>
        <v/>
      </c>
      <c r="AD118" t="str">
        <f>IFERROR(INDEX('幕间与结算'!$E$9:$E$208,SMALL(AD$210:AD$409,117)),"")</f>
        <v/>
      </c>
      <c r="AE118" t="str">
        <f>IFERROR(INDEX('幕间与结算'!$E$9:$E$208,SMALL(AE$210:AE$409,117)),"")</f>
        <v/>
      </c>
      <c r="AF118" t="str">
        <f>IFERROR(INDEX('幕间与结算'!$E$9:$E$208,SMALL(AF$210:AF$409,117)),"")</f>
        <v/>
      </c>
      <c r="AG118" t="str">
        <f>IFERROR(INDEX('幕间与结算'!$E$9:$E$208,SMALL(AG$210:AG$409,117)),"")</f>
        <v/>
      </c>
      <c r="AH118" t="str">
        <f>IFERROR(INDEX('幕间与结算'!$E$9:$E$208,SMALL(AH$210:AH$409,117)),"")</f>
        <v/>
      </c>
      <c r="AI118" t="str">
        <f>IFERROR(INDEX('幕间与结算'!$E$9:$E$208,SMALL(AI$210:AI$409,117)),"")</f>
        <v/>
      </c>
      <c r="AJ118" t="str">
        <f>IFERROR(INDEX('幕间与结算'!$E$9:$E$208,SMALL(AJ$210:AJ$409,117)),"")</f>
        <v/>
      </c>
      <c r="AK118" t="str">
        <f>IFERROR(INDEX('幕间与结算'!$E$9:$E$208,SMALL(AK$210:AK$409,117)),"")</f>
        <v/>
      </c>
      <c r="AL118" t="str">
        <f>IFERROR(INDEX('幕间与结算'!$E$9:$E$208,SMALL(AL$210:AL$409,117)),"")</f>
        <v/>
      </c>
      <c r="AM118" t="str">
        <f>IFERROR(INDEX('幕间与结算'!$E$9:$E$208,SMALL(AM$210:AM$409,117)),"")</f>
        <v/>
      </c>
      <c r="AN118" t="str">
        <f>IFERROR(INDEX('幕间与结算'!$E$9:$E$208,SMALL(AN$210:AN$409,117)),"")</f>
        <v/>
      </c>
      <c r="AO118" t="str">
        <f>IFERROR(INDEX('幕间与结算'!$E$9:$E$208,SMALL(AO$210:AO$409,117)),"")</f>
        <v/>
      </c>
      <c r="AP118" t="str">
        <f>IFERROR(INDEX('幕间与结算'!$E$9:$E$208,SMALL(AP$210:AP$409,117)),"")</f>
        <v/>
      </c>
      <c r="AQ118" t="str">
        <f>IFERROR(INDEX('幕间与结算'!$E$9:$E$208,SMALL(AQ$210:AQ$409,117)),"")</f>
        <v/>
      </c>
      <c r="AR118" t="str">
        <f>IFERROR(INDEX('幕间与结算'!$E$9:$E$208,SMALL(AR$210:AR$409,117)),"")</f>
        <v/>
      </c>
      <c r="AS118" t="str">
        <f>IFERROR(INDEX('幕间与结算'!$E$9:$E$208,SMALL(AS$210:AS$409,117)),"")</f>
        <v/>
      </c>
      <c r="AT118" t="str">
        <f>IFERROR(INDEX('幕间与结算'!$E$9:$E$208,SMALL(AT$210:AT$409,117)),"")</f>
        <v/>
      </c>
    </row>
    <row r="119">
      <c r="AA119" t="str">
        <f>IFERROR(INDEX('幕间与结算'!$E$9:$E$208,SMALL(AA$210:AA$409,118)),"")</f>
        <v/>
      </c>
      <c r="AB119" t="str">
        <f>IFERROR(INDEX('幕间与结算'!$E$9:$E$208,SMALL(AB$210:AB$409,118)),"")</f>
        <v/>
      </c>
      <c r="AC119" t="str">
        <f>IFERROR(INDEX('幕间与结算'!$E$9:$E$208,SMALL(AC$210:AC$409,118)),"")</f>
        <v/>
      </c>
      <c r="AD119" t="str">
        <f>IFERROR(INDEX('幕间与结算'!$E$9:$E$208,SMALL(AD$210:AD$409,118)),"")</f>
        <v/>
      </c>
      <c r="AE119" t="str">
        <f>IFERROR(INDEX('幕间与结算'!$E$9:$E$208,SMALL(AE$210:AE$409,118)),"")</f>
        <v/>
      </c>
      <c r="AF119" t="str">
        <f>IFERROR(INDEX('幕间与结算'!$E$9:$E$208,SMALL(AF$210:AF$409,118)),"")</f>
        <v/>
      </c>
      <c r="AG119" t="str">
        <f>IFERROR(INDEX('幕间与结算'!$E$9:$E$208,SMALL(AG$210:AG$409,118)),"")</f>
        <v/>
      </c>
      <c r="AH119" t="str">
        <f>IFERROR(INDEX('幕间与结算'!$E$9:$E$208,SMALL(AH$210:AH$409,118)),"")</f>
        <v/>
      </c>
      <c r="AI119" t="str">
        <f>IFERROR(INDEX('幕间与结算'!$E$9:$E$208,SMALL(AI$210:AI$409,118)),"")</f>
        <v/>
      </c>
      <c r="AJ119" t="str">
        <f>IFERROR(INDEX('幕间与结算'!$E$9:$E$208,SMALL(AJ$210:AJ$409,118)),"")</f>
        <v/>
      </c>
      <c r="AK119" t="str">
        <f>IFERROR(INDEX('幕间与结算'!$E$9:$E$208,SMALL(AK$210:AK$409,118)),"")</f>
        <v/>
      </c>
      <c r="AL119" t="str">
        <f>IFERROR(INDEX('幕间与结算'!$E$9:$E$208,SMALL(AL$210:AL$409,118)),"")</f>
        <v/>
      </c>
      <c r="AM119" t="str">
        <f>IFERROR(INDEX('幕间与结算'!$E$9:$E$208,SMALL(AM$210:AM$409,118)),"")</f>
        <v/>
      </c>
      <c r="AN119" t="str">
        <f>IFERROR(INDEX('幕间与结算'!$E$9:$E$208,SMALL(AN$210:AN$409,118)),"")</f>
        <v/>
      </c>
      <c r="AO119" t="str">
        <f>IFERROR(INDEX('幕间与结算'!$E$9:$E$208,SMALL(AO$210:AO$409,118)),"")</f>
        <v/>
      </c>
      <c r="AP119" t="str">
        <f>IFERROR(INDEX('幕间与结算'!$E$9:$E$208,SMALL(AP$210:AP$409,118)),"")</f>
        <v/>
      </c>
      <c r="AQ119" t="str">
        <f>IFERROR(INDEX('幕间与结算'!$E$9:$E$208,SMALL(AQ$210:AQ$409,118)),"")</f>
        <v/>
      </c>
      <c r="AR119" t="str">
        <f>IFERROR(INDEX('幕间与结算'!$E$9:$E$208,SMALL(AR$210:AR$409,118)),"")</f>
        <v/>
      </c>
      <c r="AS119" t="str">
        <f>IFERROR(INDEX('幕间与结算'!$E$9:$E$208,SMALL(AS$210:AS$409,118)),"")</f>
        <v/>
      </c>
      <c r="AT119" t="str">
        <f>IFERROR(INDEX('幕间与结算'!$E$9:$E$208,SMALL(AT$210:AT$409,118)),"")</f>
        <v/>
      </c>
    </row>
    <row r="120">
      <c r="AA120" t="str">
        <f>IFERROR(INDEX('幕间与结算'!$E$9:$E$208,SMALL(AA$210:AA$409,119)),"")</f>
        <v/>
      </c>
      <c r="AB120" t="str">
        <f>IFERROR(INDEX('幕间与结算'!$E$9:$E$208,SMALL(AB$210:AB$409,119)),"")</f>
        <v/>
      </c>
      <c r="AC120" t="str">
        <f>IFERROR(INDEX('幕间与结算'!$E$9:$E$208,SMALL(AC$210:AC$409,119)),"")</f>
        <v/>
      </c>
      <c r="AD120" t="str">
        <f>IFERROR(INDEX('幕间与结算'!$E$9:$E$208,SMALL(AD$210:AD$409,119)),"")</f>
        <v/>
      </c>
      <c r="AE120" t="str">
        <f>IFERROR(INDEX('幕间与结算'!$E$9:$E$208,SMALL(AE$210:AE$409,119)),"")</f>
        <v/>
      </c>
      <c r="AF120" t="str">
        <f>IFERROR(INDEX('幕间与结算'!$E$9:$E$208,SMALL(AF$210:AF$409,119)),"")</f>
        <v/>
      </c>
      <c r="AG120" t="str">
        <f>IFERROR(INDEX('幕间与结算'!$E$9:$E$208,SMALL(AG$210:AG$409,119)),"")</f>
        <v/>
      </c>
      <c r="AH120" t="str">
        <f>IFERROR(INDEX('幕间与结算'!$E$9:$E$208,SMALL(AH$210:AH$409,119)),"")</f>
        <v/>
      </c>
      <c r="AI120" t="str">
        <f>IFERROR(INDEX('幕间与结算'!$E$9:$E$208,SMALL(AI$210:AI$409,119)),"")</f>
        <v/>
      </c>
      <c r="AJ120" t="str">
        <f>IFERROR(INDEX('幕间与结算'!$E$9:$E$208,SMALL(AJ$210:AJ$409,119)),"")</f>
        <v/>
      </c>
      <c r="AK120" t="str">
        <f>IFERROR(INDEX('幕间与结算'!$E$9:$E$208,SMALL(AK$210:AK$409,119)),"")</f>
        <v/>
      </c>
      <c r="AL120" t="str">
        <f>IFERROR(INDEX('幕间与结算'!$E$9:$E$208,SMALL(AL$210:AL$409,119)),"")</f>
        <v/>
      </c>
      <c r="AM120" t="str">
        <f>IFERROR(INDEX('幕间与结算'!$E$9:$E$208,SMALL(AM$210:AM$409,119)),"")</f>
        <v/>
      </c>
      <c r="AN120" t="str">
        <f>IFERROR(INDEX('幕间与结算'!$E$9:$E$208,SMALL(AN$210:AN$409,119)),"")</f>
        <v/>
      </c>
      <c r="AO120" t="str">
        <f>IFERROR(INDEX('幕间与结算'!$E$9:$E$208,SMALL(AO$210:AO$409,119)),"")</f>
        <v/>
      </c>
      <c r="AP120" t="str">
        <f>IFERROR(INDEX('幕间与结算'!$E$9:$E$208,SMALL(AP$210:AP$409,119)),"")</f>
        <v/>
      </c>
      <c r="AQ120" t="str">
        <f>IFERROR(INDEX('幕间与结算'!$E$9:$E$208,SMALL(AQ$210:AQ$409,119)),"")</f>
        <v/>
      </c>
      <c r="AR120" t="str">
        <f>IFERROR(INDEX('幕间与结算'!$E$9:$E$208,SMALL(AR$210:AR$409,119)),"")</f>
        <v/>
      </c>
      <c r="AS120" t="str">
        <f>IFERROR(INDEX('幕间与结算'!$E$9:$E$208,SMALL(AS$210:AS$409,119)),"")</f>
        <v/>
      </c>
      <c r="AT120" t="str">
        <f>IFERROR(INDEX('幕间与结算'!$E$9:$E$208,SMALL(AT$210:AT$409,119)),"")</f>
        <v/>
      </c>
    </row>
    <row r="121">
      <c r="AA121" t="str">
        <f>IFERROR(INDEX('幕间与结算'!$E$9:$E$208,SMALL(AA$210:AA$409,120)),"")</f>
        <v/>
      </c>
      <c r="AB121" t="str">
        <f>IFERROR(INDEX('幕间与结算'!$E$9:$E$208,SMALL(AB$210:AB$409,120)),"")</f>
        <v/>
      </c>
      <c r="AC121" t="str">
        <f>IFERROR(INDEX('幕间与结算'!$E$9:$E$208,SMALL(AC$210:AC$409,120)),"")</f>
        <v/>
      </c>
      <c r="AD121" t="str">
        <f>IFERROR(INDEX('幕间与结算'!$E$9:$E$208,SMALL(AD$210:AD$409,120)),"")</f>
        <v/>
      </c>
      <c r="AE121" t="str">
        <f>IFERROR(INDEX('幕间与结算'!$E$9:$E$208,SMALL(AE$210:AE$409,120)),"")</f>
        <v/>
      </c>
      <c r="AF121" t="str">
        <f>IFERROR(INDEX('幕间与结算'!$E$9:$E$208,SMALL(AF$210:AF$409,120)),"")</f>
        <v/>
      </c>
      <c r="AG121" t="str">
        <f>IFERROR(INDEX('幕间与结算'!$E$9:$E$208,SMALL(AG$210:AG$409,120)),"")</f>
        <v/>
      </c>
      <c r="AH121" t="str">
        <f>IFERROR(INDEX('幕间与结算'!$E$9:$E$208,SMALL(AH$210:AH$409,120)),"")</f>
        <v/>
      </c>
      <c r="AI121" t="str">
        <f>IFERROR(INDEX('幕间与结算'!$E$9:$E$208,SMALL(AI$210:AI$409,120)),"")</f>
        <v/>
      </c>
      <c r="AJ121" t="str">
        <f>IFERROR(INDEX('幕间与结算'!$E$9:$E$208,SMALL(AJ$210:AJ$409,120)),"")</f>
        <v/>
      </c>
      <c r="AK121" t="str">
        <f>IFERROR(INDEX('幕间与结算'!$E$9:$E$208,SMALL(AK$210:AK$409,120)),"")</f>
        <v/>
      </c>
      <c r="AL121" t="str">
        <f>IFERROR(INDEX('幕间与结算'!$E$9:$E$208,SMALL(AL$210:AL$409,120)),"")</f>
        <v/>
      </c>
      <c r="AM121" t="str">
        <f>IFERROR(INDEX('幕间与结算'!$E$9:$E$208,SMALL(AM$210:AM$409,120)),"")</f>
        <v/>
      </c>
      <c r="AN121" t="str">
        <f>IFERROR(INDEX('幕间与结算'!$E$9:$E$208,SMALL(AN$210:AN$409,120)),"")</f>
        <v/>
      </c>
      <c r="AO121" t="str">
        <f>IFERROR(INDEX('幕间与结算'!$E$9:$E$208,SMALL(AO$210:AO$409,120)),"")</f>
        <v/>
      </c>
      <c r="AP121" t="str">
        <f>IFERROR(INDEX('幕间与结算'!$E$9:$E$208,SMALL(AP$210:AP$409,120)),"")</f>
        <v/>
      </c>
      <c r="AQ121" t="str">
        <f>IFERROR(INDEX('幕间与结算'!$E$9:$E$208,SMALL(AQ$210:AQ$409,120)),"")</f>
        <v/>
      </c>
      <c r="AR121" t="str">
        <f>IFERROR(INDEX('幕间与结算'!$E$9:$E$208,SMALL(AR$210:AR$409,120)),"")</f>
        <v/>
      </c>
      <c r="AS121" t="str">
        <f>IFERROR(INDEX('幕间与结算'!$E$9:$E$208,SMALL(AS$210:AS$409,120)),"")</f>
        <v/>
      </c>
      <c r="AT121" t="str">
        <f>IFERROR(INDEX('幕间与结算'!$E$9:$E$208,SMALL(AT$210:AT$409,120)),"")</f>
        <v/>
      </c>
    </row>
    <row r="122">
      <c r="AA122" t="str">
        <f>IFERROR(INDEX('幕间与结算'!$E$9:$E$208,SMALL(AA$210:AA$409,121)),"")</f>
        <v/>
      </c>
      <c r="AB122" t="str">
        <f>IFERROR(INDEX('幕间与结算'!$E$9:$E$208,SMALL(AB$210:AB$409,121)),"")</f>
        <v/>
      </c>
      <c r="AC122" t="str">
        <f>IFERROR(INDEX('幕间与结算'!$E$9:$E$208,SMALL(AC$210:AC$409,121)),"")</f>
        <v/>
      </c>
      <c r="AD122" t="str">
        <f>IFERROR(INDEX('幕间与结算'!$E$9:$E$208,SMALL(AD$210:AD$409,121)),"")</f>
        <v/>
      </c>
      <c r="AE122" t="str">
        <f>IFERROR(INDEX('幕间与结算'!$E$9:$E$208,SMALL(AE$210:AE$409,121)),"")</f>
        <v/>
      </c>
      <c r="AF122" t="str">
        <f>IFERROR(INDEX('幕间与结算'!$E$9:$E$208,SMALL(AF$210:AF$409,121)),"")</f>
        <v/>
      </c>
      <c r="AG122" t="str">
        <f>IFERROR(INDEX('幕间与结算'!$E$9:$E$208,SMALL(AG$210:AG$409,121)),"")</f>
        <v/>
      </c>
      <c r="AH122" t="str">
        <f>IFERROR(INDEX('幕间与结算'!$E$9:$E$208,SMALL(AH$210:AH$409,121)),"")</f>
        <v/>
      </c>
      <c r="AI122" t="str">
        <f>IFERROR(INDEX('幕间与结算'!$E$9:$E$208,SMALL(AI$210:AI$409,121)),"")</f>
        <v/>
      </c>
      <c r="AJ122" t="str">
        <f>IFERROR(INDEX('幕间与结算'!$E$9:$E$208,SMALL(AJ$210:AJ$409,121)),"")</f>
        <v/>
      </c>
      <c r="AK122" t="str">
        <f>IFERROR(INDEX('幕间与结算'!$E$9:$E$208,SMALL(AK$210:AK$409,121)),"")</f>
        <v/>
      </c>
      <c r="AL122" t="str">
        <f>IFERROR(INDEX('幕间与结算'!$E$9:$E$208,SMALL(AL$210:AL$409,121)),"")</f>
        <v/>
      </c>
      <c r="AM122" t="str">
        <f>IFERROR(INDEX('幕间与结算'!$E$9:$E$208,SMALL(AM$210:AM$409,121)),"")</f>
        <v/>
      </c>
      <c r="AN122" t="str">
        <f>IFERROR(INDEX('幕间与结算'!$E$9:$E$208,SMALL(AN$210:AN$409,121)),"")</f>
        <v/>
      </c>
      <c r="AO122" t="str">
        <f>IFERROR(INDEX('幕间与结算'!$E$9:$E$208,SMALL(AO$210:AO$409,121)),"")</f>
        <v/>
      </c>
      <c r="AP122" t="str">
        <f>IFERROR(INDEX('幕间与结算'!$E$9:$E$208,SMALL(AP$210:AP$409,121)),"")</f>
        <v/>
      </c>
      <c r="AQ122" t="str">
        <f>IFERROR(INDEX('幕间与结算'!$E$9:$E$208,SMALL(AQ$210:AQ$409,121)),"")</f>
        <v/>
      </c>
      <c r="AR122" t="str">
        <f>IFERROR(INDEX('幕间与结算'!$E$9:$E$208,SMALL(AR$210:AR$409,121)),"")</f>
        <v/>
      </c>
      <c r="AS122" t="str">
        <f>IFERROR(INDEX('幕间与结算'!$E$9:$E$208,SMALL(AS$210:AS$409,121)),"")</f>
        <v/>
      </c>
      <c r="AT122" t="str">
        <f>IFERROR(INDEX('幕间与结算'!$E$9:$E$208,SMALL(AT$210:AT$409,121)),"")</f>
        <v/>
      </c>
    </row>
    <row r="123">
      <c r="AA123" t="str">
        <f>IFERROR(INDEX('幕间与结算'!$E$9:$E$208,SMALL(AA$210:AA$409,122)),"")</f>
        <v/>
      </c>
      <c r="AB123" t="str">
        <f>IFERROR(INDEX('幕间与结算'!$E$9:$E$208,SMALL(AB$210:AB$409,122)),"")</f>
        <v/>
      </c>
      <c r="AC123" t="str">
        <f>IFERROR(INDEX('幕间与结算'!$E$9:$E$208,SMALL(AC$210:AC$409,122)),"")</f>
        <v/>
      </c>
      <c r="AD123" t="str">
        <f>IFERROR(INDEX('幕间与结算'!$E$9:$E$208,SMALL(AD$210:AD$409,122)),"")</f>
        <v/>
      </c>
      <c r="AE123" t="str">
        <f>IFERROR(INDEX('幕间与结算'!$E$9:$E$208,SMALL(AE$210:AE$409,122)),"")</f>
        <v/>
      </c>
      <c r="AF123" t="str">
        <f>IFERROR(INDEX('幕间与结算'!$E$9:$E$208,SMALL(AF$210:AF$409,122)),"")</f>
        <v/>
      </c>
      <c r="AG123" t="str">
        <f>IFERROR(INDEX('幕间与结算'!$E$9:$E$208,SMALL(AG$210:AG$409,122)),"")</f>
        <v/>
      </c>
      <c r="AH123" t="str">
        <f>IFERROR(INDEX('幕间与结算'!$E$9:$E$208,SMALL(AH$210:AH$409,122)),"")</f>
        <v/>
      </c>
      <c r="AI123" t="str">
        <f>IFERROR(INDEX('幕间与结算'!$E$9:$E$208,SMALL(AI$210:AI$409,122)),"")</f>
        <v/>
      </c>
      <c r="AJ123" t="str">
        <f>IFERROR(INDEX('幕间与结算'!$E$9:$E$208,SMALL(AJ$210:AJ$409,122)),"")</f>
        <v/>
      </c>
      <c r="AK123" t="str">
        <f>IFERROR(INDEX('幕间与结算'!$E$9:$E$208,SMALL(AK$210:AK$409,122)),"")</f>
        <v/>
      </c>
      <c r="AL123" t="str">
        <f>IFERROR(INDEX('幕间与结算'!$E$9:$E$208,SMALL(AL$210:AL$409,122)),"")</f>
        <v/>
      </c>
      <c r="AM123" t="str">
        <f>IFERROR(INDEX('幕间与结算'!$E$9:$E$208,SMALL(AM$210:AM$409,122)),"")</f>
        <v/>
      </c>
      <c r="AN123" t="str">
        <f>IFERROR(INDEX('幕间与结算'!$E$9:$E$208,SMALL(AN$210:AN$409,122)),"")</f>
        <v/>
      </c>
      <c r="AO123" t="str">
        <f>IFERROR(INDEX('幕间与结算'!$E$9:$E$208,SMALL(AO$210:AO$409,122)),"")</f>
        <v/>
      </c>
      <c r="AP123" t="str">
        <f>IFERROR(INDEX('幕间与结算'!$E$9:$E$208,SMALL(AP$210:AP$409,122)),"")</f>
        <v/>
      </c>
      <c r="AQ123" t="str">
        <f>IFERROR(INDEX('幕间与结算'!$E$9:$E$208,SMALL(AQ$210:AQ$409,122)),"")</f>
        <v/>
      </c>
      <c r="AR123" t="str">
        <f>IFERROR(INDEX('幕间与结算'!$E$9:$E$208,SMALL(AR$210:AR$409,122)),"")</f>
        <v/>
      </c>
      <c r="AS123" t="str">
        <f>IFERROR(INDEX('幕间与结算'!$E$9:$E$208,SMALL(AS$210:AS$409,122)),"")</f>
        <v/>
      </c>
      <c r="AT123" t="str">
        <f>IFERROR(INDEX('幕间与结算'!$E$9:$E$208,SMALL(AT$210:AT$409,122)),"")</f>
        <v/>
      </c>
    </row>
    <row r="124">
      <c r="AA124" t="str">
        <f>IFERROR(INDEX('幕间与结算'!$E$9:$E$208,SMALL(AA$210:AA$409,123)),"")</f>
        <v/>
      </c>
      <c r="AB124" t="str">
        <f>IFERROR(INDEX('幕间与结算'!$E$9:$E$208,SMALL(AB$210:AB$409,123)),"")</f>
        <v/>
      </c>
      <c r="AC124" t="str">
        <f>IFERROR(INDEX('幕间与结算'!$E$9:$E$208,SMALL(AC$210:AC$409,123)),"")</f>
        <v/>
      </c>
      <c r="AD124" t="str">
        <f>IFERROR(INDEX('幕间与结算'!$E$9:$E$208,SMALL(AD$210:AD$409,123)),"")</f>
        <v/>
      </c>
      <c r="AE124" t="str">
        <f>IFERROR(INDEX('幕间与结算'!$E$9:$E$208,SMALL(AE$210:AE$409,123)),"")</f>
        <v/>
      </c>
      <c r="AF124" t="str">
        <f>IFERROR(INDEX('幕间与结算'!$E$9:$E$208,SMALL(AF$210:AF$409,123)),"")</f>
        <v/>
      </c>
      <c r="AG124" t="str">
        <f>IFERROR(INDEX('幕间与结算'!$E$9:$E$208,SMALL(AG$210:AG$409,123)),"")</f>
        <v/>
      </c>
      <c r="AH124" t="str">
        <f>IFERROR(INDEX('幕间与结算'!$E$9:$E$208,SMALL(AH$210:AH$409,123)),"")</f>
        <v/>
      </c>
      <c r="AI124" t="str">
        <f>IFERROR(INDEX('幕间与结算'!$E$9:$E$208,SMALL(AI$210:AI$409,123)),"")</f>
        <v/>
      </c>
      <c r="AJ124" t="str">
        <f>IFERROR(INDEX('幕间与结算'!$E$9:$E$208,SMALL(AJ$210:AJ$409,123)),"")</f>
        <v/>
      </c>
      <c r="AK124" t="str">
        <f>IFERROR(INDEX('幕间与结算'!$E$9:$E$208,SMALL(AK$210:AK$409,123)),"")</f>
        <v/>
      </c>
      <c r="AL124" t="str">
        <f>IFERROR(INDEX('幕间与结算'!$E$9:$E$208,SMALL(AL$210:AL$409,123)),"")</f>
        <v/>
      </c>
      <c r="AM124" t="str">
        <f>IFERROR(INDEX('幕间与结算'!$E$9:$E$208,SMALL(AM$210:AM$409,123)),"")</f>
        <v/>
      </c>
      <c r="AN124" t="str">
        <f>IFERROR(INDEX('幕间与结算'!$E$9:$E$208,SMALL(AN$210:AN$409,123)),"")</f>
        <v/>
      </c>
      <c r="AO124" t="str">
        <f>IFERROR(INDEX('幕间与结算'!$E$9:$E$208,SMALL(AO$210:AO$409,123)),"")</f>
        <v/>
      </c>
      <c r="AP124" t="str">
        <f>IFERROR(INDEX('幕间与结算'!$E$9:$E$208,SMALL(AP$210:AP$409,123)),"")</f>
        <v/>
      </c>
      <c r="AQ124" t="str">
        <f>IFERROR(INDEX('幕间与结算'!$E$9:$E$208,SMALL(AQ$210:AQ$409,123)),"")</f>
        <v/>
      </c>
      <c r="AR124" t="str">
        <f>IFERROR(INDEX('幕间与结算'!$E$9:$E$208,SMALL(AR$210:AR$409,123)),"")</f>
        <v/>
      </c>
      <c r="AS124" t="str">
        <f>IFERROR(INDEX('幕间与结算'!$E$9:$E$208,SMALL(AS$210:AS$409,123)),"")</f>
        <v/>
      </c>
      <c r="AT124" t="str">
        <f>IFERROR(INDEX('幕间与结算'!$E$9:$E$208,SMALL(AT$210:AT$409,123)),"")</f>
        <v/>
      </c>
    </row>
    <row r="125">
      <c r="AA125" t="str">
        <f>IFERROR(INDEX('幕间与结算'!$E$9:$E$208,SMALL(AA$210:AA$409,124)),"")</f>
        <v/>
      </c>
      <c r="AB125" t="str">
        <f>IFERROR(INDEX('幕间与结算'!$E$9:$E$208,SMALL(AB$210:AB$409,124)),"")</f>
        <v/>
      </c>
      <c r="AC125" t="str">
        <f>IFERROR(INDEX('幕间与结算'!$E$9:$E$208,SMALL(AC$210:AC$409,124)),"")</f>
        <v/>
      </c>
      <c r="AD125" t="str">
        <f>IFERROR(INDEX('幕间与结算'!$E$9:$E$208,SMALL(AD$210:AD$409,124)),"")</f>
        <v/>
      </c>
      <c r="AE125" t="str">
        <f>IFERROR(INDEX('幕间与结算'!$E$9:$E$208,SMALL(AE$210:AE$409,124)),"")</f>
        <v/>
      </c>
      <c r="AF125" t="str">
        <f>IFERROR(INDEX('幕间与结算'!$E$9:$E$208,SMALL(AF$210:AF$409,124)),"")</f>
        <v/>
      </c>
      <c r="AG125" t="str">
        <f>IFERROR(INDEX('幕间与结算'!$E$9:$E$208,SMALL(AG$210:AG$409,124)),"")</f>
        <v/>
      </c>
      <c r="AH125" t="str">
        <f>IFERROR(INDEX('幕间与结算'!$E$9:$E$208,SMALL(AH$210:AH$409,124)),"")</f>
        <v/>
      </c>
      <c r="AI125" t="str">
        <f>IFERROR(INDEX('幕间与结算'!$E$9:$E$208,SMALL(AI$210:AI$409,124)),"")</f>
        <v/>
      </c>
      <c r="AJ125" t="str">
        <f>IFERROR(INDEX('幕间与结算'!$E$9:$E$208,SMALL(AJ$210:AJ$409,124)),"")</f>
        <v/>
      </c>
      <c r="AK125" t="str">
        <f>IFERROR(INDEX('幕间与结算'!$E$9:$E$208,SMALL(AK$210:AK$409,124)),"")</f>
        <v/>
      </c>
      <c r="AL125" t="str">
        <f>IFERROR(INDEX('幕间与结算'!$E$9:$E$208,SMALL(AL$210:AL$409,124)),"")</f>
        <v/>
      </c>
      <c r="AM125" t="str">
        <f>IFERROR(INDEX('幕间与结算'!$E$9:$E$208,SMALL(AM$210:AM$409,124)),"")</f>
        <v/>
      </c>
      <c r="AN125" t="str">
        <f>IFERROR(INDEX('幕间与结算'!$E$9:$E$208,SMALL(AN$210:AN$409,124)),"")</f>
        <v/>
      </c>
      <c r="AO125" t="str">
        <f>IFERROR(INDEX('幕间与结算'!$E$9:$E$208,SMALL(AO$210:AO$409,124)),"")</f>
        <v/>
      </c>
      <c r="AP125" t="str">
        <f>IFERROR(INDEX('幕间与结算'!$E$9:$E$208,SMALL(AP$210:AP$409,124)),"")</f>
        <v/>
      </c>
      <c r="AQ125" t="str">
        <f>IFERROR(INDEX('幕间与结算'!$E$9:$E$208,SMALL(AQ$210:AQ$409,124)),"")</f>
        <v/>
      </c>
      <c r="AR125" t="str">
        <f>IFERROR(INDEX('幕间与结算'!$E$9:$E$208,SMALL(AR$210:AR$409,124)),"")</f>
        <v/>
      </c>
      <c r="AS125" t="str">
        <f>IFERROR(INDEX('幕间与结算'!$E$9:$E$208,SMALL(AS$210:AS$409,124)),"")</f>
        <v/>
      </c>
      <c r="AT125" t="str">
        <f>IFERROR(INDEX('幕间与结算'!$E$9:$E$208,SMALL(AT$210:AT$409,124)),"")</f>
        <v/>
      </c>
    </row>
    <row r="126">
      <c r="AA126" t="str">
        <f>IFERROR(INDEX('幕间与结算'!$E$9:$E$208,SMALL(AA$210:AA$409,125)),"")</f>
        <v/>
      </c>
      <c r="AB126" t="str">
        <f>IFERROR(INDEX('幕间与结算'!$E$9:$E$208,SMALL(AB$210:AB$409,125)),"")</f>
        <v/>
      </c>
      <c r="AC126" t="str">
        <f>IFERROR(INDEX('幕间与结算'!$E$9:$E$208,SMALL(AC$210:AC$409,125)),"")</f>
        <v/>
      </c>
      <c r="AD126" t="str">
        <f>IFERROR(INDEX('幕间与结算'!$E$9:$E$208,SMALL(AD$210:AD$409,125)),"")</f>
        <v/>
      </c>
      <c r="AE126" t="str">
        <f>IFERROR(INDEX('幕间与结算'!$E$9:$E$208,SMALL(AE$210:AE$409,125)),"")</f>
        <v/>
      </c>
      <c r="AF126" t="str">
        <f>IFERROR(INDEX('幕间与结算'!$E$9:$E$208,SMALL(AF$210:AF$409,125)),"")</f>
        <v/>
      </c>
      <c r="AG126" t="str">
        <f>IFERROR(INDEX('幕间与结算'!$E$9:$E$208,SMALL(AG$210:AG$409,125)),"")</f>
        <v/>
      </c>
      <c r="AH126" t="str">
        <f>IFERROR(INDEX('幕间与结算'!$E$9:$E$208,SMALL(AH$210:AH$409,125)),"")</f>
        <v/>
      </c>
      <c r="AI126" t="str">
        <f>IFERROR(INDEX('幕间与结算'!$E$9:$E$208,SMALL(AI$210:AI$409,125)),"")</f>
        <v/>
      </c>
      <c r="AJ126" t="str">
        <f>IFERROR(INDEX('幕间与结算'!$E$9:$E$208,SMALL(AJ$210:AJ$409,125)),"")</f>
        <v/>
      </c>
      <c r="AK126" t="str">
        <f>IFERROR(INDEX('幕间与结算'!$E$9:$E$208,SMALL(AK$210:AK$409,125)),"")</f>
        <v/>
      </c>
      <c r="AL126" t="str">
        <f>IFERROR(INDEX('幕间与结算'!$E$9:$E$208,SMALL(AL$210:AL$409,125)),"")</f>
        <v/>
      </c>
      <c r="AM126" t="str">
        <f>IFERROR(INDEX('幕间与结算'!$E$9:$E$208,SMALL(AM$210:AM$409,125)),"")</f>
        <v/>
      </c>
      <c r="AN126" t="str">
        <f>IFERROR(INDEX('幕间与结算'!$E$9:$E$208,SMALL(AN$210:AN$409,125)),"")</f>
        <v/>
      </c>
      <c r="AO126" t="str">
        <f>IFERROR(INDEX('幕间与结算'!$E$9:$E$208,SMALL(AO$210:AO$409,125)),"")</f>
        <v/>
      </c>
      <c r="AP126" t="str">
        <f>IFERROR(INDEX('幕间与结算'!$E$9:$E$208,SMALL(AP$210:AP$409,125)),"")</f>
        <v/>
      </c>
      <c r="AQ126" t="str">
        <f>IFERROR(INDEX('幕间与结算'!$E$9:$E$208,SMALL(AQ$210:AQ$409,125)),"")</f>
        <v/>
      </c>
      <c r="AR126" t="str">
        <f>IFERROR(INDEX('幕间与结算'!$E$9:$E$208,SMALL(AR$210:AR$409,125)),"")</f>
        <v/>
      </c>
      <c r="AS126" t="str">
        <f>IFERROR(INDEX('幕间与结算'!$E$9:$E$208,SMALL(AS$210:AS$409,125)),"")</f>
        <v/>
      </c>
      <c r="AT126" t="str">
        <f>IFERROR(INDEX('幕间与结算'!$E$9:$E$208,SMALL(AT$210:AT$409,125)),"")</f>
        <v/>
      </c>
    </row>
    <row r="127">
      <c r="AA127" t="str">
        <f>IFERROR(INDEX('幕间与结算'!$E$9:$E$208,SMALL(AA$210:AA$409,126)),"")</f>
        <v/>
      </c>
      <c r="AB127" t="str">
        <f>IFERROR(INDEX('幕间与结算'!$E$9:$E$208,SMALL(AB$210:AB$409,126)),"")</f>
        <v/>
      </c>
      <c r="AC127" t="str">
        <f>IFERROR(INDEX('幕间与结算'!$E$9:$E$208,SMALL(AC$210:AC$409,126)),"")</f>
        <v/>
      </c>
      <c r="AD127" t="str">
        <f>IFERROR(INDEX('幕间与结算'!$E$9:$E$208,SMALL(AD$210:AD$409,126)),"")</f>
        <v/>
      </c>
      <c r="AE127" t="str">
        <f>IFERROR(INDEX('幕间与结算'!$E$9:$E$208,SMALL(AE$210:AE$409,126)),"")</f>
        <v/>
      </c>
      <c r="AF127" t="str">
        <f>IFERROR(INDEX('幕间与结算'!$E$9:$E$208,SMALL(AF$210:AF$409,126)),"")</f>
        <v/>
      </c>
      <c r="AG127" t="str">
        <f>IFERROR(INDEX('幕间与结算'!$E$9:$E$208,SMALL(AG$210:AG$409,126)),"")</f>
        <v/>
      </c>
      <c r="AH127" t="str">
        <f>IFERROR(INDEX('幕间与结算'!$E$9:$E$208,SMALL(AH$210:AH$409,126)),"")</f>
        <v/>
      </c>
      <c r="AI127" t="str">
        <f>IFERROR(INDEX('幕间与结算'!$E$9:$E$208,SMALL(AI$210:AI$409,126)),"")</f>
        <v/>
      </c>
      <c r="AJ127" t="str">
        <f>IFERROR(INDEX('幕间与结算'!$E$9:$E$208,SMALL(AJ$210:AJ$409,126)),"")</f>
        <v/>
      </c>
      <c r="AK127" t="str">
        <f>IFERROR(INDEX('幕间与结算'!$E$9:$E$208,SMALL(AK$210:AK$409,126)),"")</f>
        <v/>
      </c>
      <c r="AL127" t="str">
        <f>IFERROR(INDEX('幕间与结算'!$E$9:$E$208,SMALL(AL$210:AL$409,126)),"")</f>
        <v/>
      </c>
      <c r="AM127" t="str">
        <f>IFERROR(INDEX('幕间与结算'!$E$9:$E$208,SMALL(AM$210:AM$409,126)),"")</f>
        <v/>
      </c>
      <c r="AN127" t="str">
        <f>IFERROR(INDEX('幕间与结算'!$E$9:$E$208,SMALL(AN$210:AN$409,126)),"")</f>
        <v/>
      </c>
      <c r="AO127" t="str">
        <f>IFERROR(INDEX('幕间与结算'!$E$9:$E$208,SMALL(AO$210:AO$409,126)),"")</f>
        <v/>
      </c>
      <c r="AP127" t="str">
        <f>IFERROR(INDEX('幕间与结算'!$E$9:$E$208,SMALL(AP$210:AP$409,126)),"")</f>
        <v/>
      </c>
      <c r="AQ127" t="str">
        <f>IFERROR(INDEX('幕间与结算'!$E$9:$E$208,SMALL(AQ$210:AQ$409,126)),"")</f>
        <v/>
      </c>
      <c r="AR127" t="str">
        <f>IFERROR(INDEX('幕间与结算'!$E$9:$E$208,SMALL(AR$210:AR$409,126)),"")</f>
        <v/>
      </c>
      <c r="AS127" t="str">
        <f>IFERROR(INDEX('幕间与结算'!$E$9:$E$208,SMALL(AS$210:AS$409,126)),"")</f>
        <v/>
      </c>
      <c r="AT127" t="str">
        <f>IFERROR(INDEX('幕间与结算'!$E$9:$E$208,SMALL(AT$210:AT$409,126)),"")</f>
        <v/>
      </c>
    </row>
    <row r="128">
      <c r="AA128" t="str">
        <f>IFERROR(INDEX('幕间与结算'!$E$9:$E$208,SMALL(AA$210:AA$409,127)),"")</f>
        <v/>
      </c>
      <c r="AB128" t="str">
        <f>IFERROR(INDEX('幕间与结算'!$E$9:$E$208,SMALL(AB$210:AB$409,127)),"")</f>
        <v/>
      </c>
      <c r="AC128" t="str">
        <f>IFERROR(INDEX('幕间与结算'!$E$9:$E$208,SMALL(AC$210:AC$409,127)),"")</f>
        <v/>
      </c>
      <c r="AD128" t="str">
        <f>IFERROR(INDEX('幕间与结算'!$E$9:$E$208,SMALL(AD$210:AD$409,127)),"")</f>
        <v/>
      </c>
      <c r="AE128" t="str">
        <f>IFERROR(INDEX('幕间与结算'!$E$9:$E$208,SMALL(AE$210:AE$409,127)),"")</f>
        <v/>
      </c>
      <c r="AF128" t="str">
        <f>IFERROR(INDEX('幕间与结算'!$E$9:$E$208,SMALL(AF$210:AF$409,127)),"")</f>
        <v/>
      </c>
      <c r="AG128" t="str">
        <f>IFERROR(INDEX('幕间与结算'!$E$9:$E$208,SMALL(AG$210:AG$409,127)),"")</f>
        <v/>
      </c>
      <c r="AH128" t="str">
        <f>IFERROR(INDEX('幕间与结算'!$E$9:$E$208,SMALL(AH$210:AH$409,127)),"")</f>
        <v/>
      </c>
      <c r="AI128" t="str">
        <f>IFERROR(INDEX('幕间与结算'!$E$9:$E$208,SMALL(AI$210:AI$409,127)),"")</f>
        <v/>
      </c>
      <c r="AJ128" t="str">
        <f>IFERROR(INDEX('幕间与结算'!$E$9:$E$208,SMALL(AJ$210:AJ$409,127)),"")</f>
        <v/>
      </c>
      <c r="AK128" t="str">
        <f>IFERROR(INDEX('幕间与结算'!$E$9:$E$208,SMALL(AK$210:AK$409,127)),"")</f>
        <v/>
      </c>
      <c r="AL128" t="str">
        <f>IFERROR(INDEX('幕间与结算'!$E$9:$E$208,SMALL(AL$210:AL$409,127)),"")</f>
        <v/>
      </c>
      <c r="AM128" t="str">
        <f>IFERROR(INDEX('幕间与结算'!$E$9:$E$208,SMALL(AM$210:AM$409,127)),"")</f>
        <v/>
      </c>
      <c r="AN128" t="str">
        <f>IFERROR(INDEX('幕间与结算'!$E$9:$E$208,SMALL(AN$210:AN$409,127)),"")</f>
        <v/>
      </c>
      <c r="AO128" t="str">
        <f>IFERROR(INDEX('幕间与结算'!$E$9:$E$208,SMALL(AO$210:AO$409,127)),"")</f>
        <v/>
      </c>
      <c r="AP128" t="str">
        <f>IFERROR(INDEX('幕间与结算'!$E$9:$E$208,SMALL(AP$210:AP$409,127)),"")</f>
        <v/>
      </c>
      <c r="AQ128" t="str">
        <f>IFERROR(INDEX('幕间与结算'!$E$9:$E$208,SMALL(AQ$210:AQ$409,127)),"")</f>
        <v/>
      </c>
      <c r="AR128" t="str">
        <f>IFERROR(INDEX('幕间与结算'!$E$9:$E$208,SMALL(AR$210:AR$409,127)),"")</f>
        <v/>
      </c>
      <c r="AS128" t="str">
        <f>IFERROR(INDEX('幕间与结算'!$E$9:$E$208,SMALL(AS$210:AS$409,127)),"")</f>
        <v/>
      </c>
      <c r="AT128" t="str">
        <f>IFERROR(INDEX('幕间与结算'!$E$9:$E$208,SMALL(AT$210:AT$409,127)),"")</f>
        <v/>
      </c>
    </row>
    <row r="129">
      <c r="AA129" t="str">
        <f>IFERROR(INDEX('幕间与结算'!$E$9:$E$208,SMALL(AA$210:AA$409,128)),"")</f>
        <v/>
      </c>
      <c r="AB129" t="str">
        <f>IFERROR(INDEX('幕间与结算'!$E$9:$E$208,SMALL(AB$210:AB$409,128)),"")</f>
        <v/>
      </c>
      <c r="AC129" t="str">
        <f>IFERROR(INDEX('幕间与结算'!$E$9:$E$208,SMALL(AC$210:AC$409,128)),"")</f>
        <v/>
      </c>
      <c r="AD129" t="str">
        <f>IFERROR(INDEX('幕间与结算'!$E$9:$E$208,SMALL(AD$210:AD$409,128)),"")</f>
        <v/>
      </c>
      <c r="AE129" t="str">
        <f>IFERROR(INDEX('幕间与结算'!$E$9:$E$208,SMALL(AE$210:AE$409,128)),"")</f>
        <v/>
      </c>
      <c r="AF129" t="str">
        <f>IFERROR(INDEX('幕间与结算'!$E$9:$E$208,SMALL(AF$210:AF$409,128)),"")</f>
        <v/>
      </c>
      <c r="AG129" t="str">
        <f>IFERROR(INDEX('幕间与结算'!$E$9:$E$208,SMALL(AG$210:AG$409,128)),"")</f>
        <v/>
      </c>
      <c r="AH129" t="str">
        <f>IFERROR(INDEX('幕间与结算'!$E$9:$E$208,SMALL(AH$210:AH$409,128)),"")</f>
        <v/>
      </c>
      <c r="AI129" t="str">
        <f>IFERROR(INDEX('幕间与结算'!$E$9:$E$208,SMALL(AI$210:AI$409,128)),"")</f>
        <v/>
      </c>
      <c r="AJ129" t="str">
        <f>IFERROR(INDEX('幕间与结算'!$E$9:$E$208,SMALL(AJ$210:AJ$409,128)),"")</f>
        <v/>
      </c>
      <c r="AK129" t="str">
        <f>IFERROR(INDEX('幕间与结算'!$E$9:$E$208,SMALL(AK$210:AK$409,128)),"")</f>
        <v/>
      </c>
      <c r="AL129" t="str">
        <f>IFERROR(INDEX('幕间与结算'!$E$9:$E$208,SMALL(AL$210:AL$409,128)),"")</f>
        <v/>
      </c>
      <c r="AM129" t="str">
        <f>IFERROR(INDEX('幕间与结算'!$E$9:$E$208,SMALL(AM$210:AM$409,128)),"")</f>
        <v/>
      </c>
      <c r="AN129" t="str">
        <f>IFERROR(INDEX('幕间与结算'!$E$9:$E$208,SMALL(AN$210:AN$409,128)),"")</f>
        <v/>
      </c>
      <c r="AO129" t="str">
        <f>IFERROR(INDEX('幕间与结算'!$E$9:$E$208,SMALL(AO$210:AO$409,128)),"")</f>
        <v/>
      </c>
      <c r="AP129" t="str">
        <f>IFERROR(INDEX('幕间与结算'!$E$9:$E$208,SMALL(AP$210:AP$409,128)),"")</f>
        <v/>
      </c>
      <c r="AQ129" t="str">
        <f>IFERROR(INDEX('幕间与结算'!$E$9:$E$208,SMALL(AQ$210:AQ$409,128)),"")</f>
        <v/>
      </c>
      <c r="AR129" t="str">
        <f>IFERROR(INDEX('幕间与结算'!$E$9:$E$208,SMALL(AR$210:AR$409,128)),"")</f>
        <v/>
      </c>
      <c r="AS129" t="str">
        <f>IFERROR(INDEX('幕间与结算'!$E$9:$E$208,SMALL(AS$210:AS$409,128)),"")</f>
        <v/>
      </c>
      <c r="AT129" t="str">
        <f>IFERROR(INDEX('幕间与结算'!$E$9:$E$208,SMALL(AT$210:AT$409,128)),"")</f>
        <v/>
      </c>
    </row>
    <row r="130">
      <c r="AA130" t="str">
        <f>IFERROR(INDEX('幕间与结算'!$E$9:$E$208,SMALL(AA$210:AA$409,129)),"")</f>
        <v/>
      </c>
      <c r="AB130" t="str">
        <f>IFERROR(INDEX('幕间与结算'!$E$9:$E$208,SMALL(AB$210:AB$409,129)),"")</f>
        <v/>
      </c>
      <c r="AC130" t="str">
        <f>IFERROR(INDEX('幕间与结算'!$E$9:$E$208,SMALL(AC$210:AC$409,129)),"")</f>
        <v/>
      </c>
      <c r="AD130" t="str">
        <f>IFERROR(INDEX('幕间与结算'!$E$9:$E$208,SMALL(AD$210:AD$409,129)),"")</f>
        <v/>
      </c>
      <c r="AE130" t="str">
        <f>IFERROR(INDEX('幕间与结算'!$E$9:$E$208,SMALL(AE$210:AE$409,129)),"")</f>
        <v/>
      </c>
      <c r="AF130" t="str">
        <f>IFERROR(INDEX('幕间与结算'!$E$9:$E$208,SMALL(AF$210:AF$409,129)),"")</f>
        <v/>
      </c>
      <c r="AG130" t="str">
        <f>IFERROR(INDEX('幕间与结算'!$E$9:$E$208,SMALL(AG$210:AG$409,129)),"")</f>
        <v/>
      </c>
      <c r="AH130" t="str">
        <f>IFERROR(INDEX('幕间与结算'!$E$9:$E$208,SMALL(AH$210:AH$409,129)),"")</f>
        <v/>
      </c>
      <c r="AI130" t="str">
        <f>IFERROR(INDEX('幕间与结算'!$E$9:$E$208,SMALL(AI$210:AI$409,129)),"")</f>
        <v/>
      </c>
      <c r="AJ130" t="str">
        <f>IFERROR(INDEX('幕间与结算'!$E$9:$E$208,SMALL(AJ$210:AJ$409,129)),"")</f>
        <v/>
      </c>
      <c r="AK130" t="str">
        <f>IFERROR(INDEX('幕间与结算'!$E$9:$E$208,SMALL(AK$210:AK$409,129)),"")</f>
        <v/>
      </c>
      <c r="AL130" t="str">
        <f>IFERROR(INDEX('幕间与结算'!$E$9:$E$208,SMALL(AL$210:AL$409,129)),"")</f>
        <v/>
      </c>
      <c r="AM130" t="str">
        <f>IFERROR(INDEX('幕间与结算'!$E$9:$E$208,SMALL(AM$210:AM$409,129)),"")</f>
        <v/>
      </c>
      <c r="AN130" t="str">
        <f>IFERROR(INDEX('幕间与结算'!$E$9:$E$208,SMALL(AN$210:AN$409,129)),"")</f>
        <v/>
      </c>
      <c r="AO130" t="str">
        <f>IFERROR(INDEX('幕间与结算'!$E$9:$E$208,SMALL(AO$210:AO$409,129)),"")</f>
        <v/>
      </c>
      <c r="AP130" t="str">
        <f>IFERROR(INDEX('幕间与结算'!$E$9:$E$208,SMALL(AP$210:AP$409,129)),"")</f>
        <v/>
      </c>
      <c r="AQ130" t="str">
        <f>IFERROR(INDEX('幕间与结算'!$E$9:$E$208,SMALL(AQ$210:AQ$409,129)),"")</f>
        <v/>
      </c>
      <c r="AR130" t="str">
        <f>IFERROR(INDEX('幕间与结算'!$E$9:$E$208,SMALL(AR$210:AR$409,129)),"")</f>
        <v/>
      </c>
      <c r="AS130" t="str">
        <f>IFERROR(INDEX('幕间与结算'!$E$9:$E$208,SMALL(AS$210:AS$409,129)),"")</f>
        <v/>
      </c>
      <c r="AT130" t="str">
        <f>IFERROR(INDEX('幕间与结算'!$E$9:$E$208,SMALL(AT$210:AT$409,129)),"")</f>
        <v/>
      </c>
    </row>
    <row r="131">
      <c r="AA131" t="str">
        <f>IFERROR(INDEX('幕间与结算'!$E$9:$E$208,SMALL(AA$210:AA$409,130)),"")</f>
        <v/>
      </c>
      <c r="AB131" t="str">
        <f>IFERROR(INDEX('幕间与结算'!$E$9:$E$208,SMALL(AB$210:AB$409,130)),"")</f>
        <v/>
      </c>
      <c r="AC131" t="str">
        <f>IFERROR(INDEX('幕间与结算'!$E$9:$E$208,SMALL(AC$210:AC$409,130)),"")</f>
        <v/>
      </c>
      <c r="AD131" t="str">
        <f>IFERROR(INDEX('幕间与结算'!$E$9:$E$208,SMALL(AD$210:AD$409,130)),"")</f>
        <v/>
      </c>
      <c r="AE131" t="str">
        <f>IFERROR(INDEX('幕间与结算'!$E$9:$E$208,SMALL(AE$210:AE$409,130)),"")</f>
        <v/>
      </c>
      <c r="AF131" t="str">
        <f>IFERROR(INDEX('幕间与结算'!$E$9:$E$208,SMALL(AF$210:AF$409,130)),"")</f>
        <v/>
      </c>
      <c r="AG131" t="str">
        <f>IFERROR(INDEX('幕间与结算'!$E$9:$E$208,SMALL(AG$210:AG$409,130)),"")</f>
        <v/>
      </c>
      <c r="AH131" t="str">
        <f>IFERROR(INDEX('幕间与结算'!$E$9:$E$208,SMALL(AH$210:AH$409,130)),"")</f>
        <v/>
      </c>
      <c r="AI131" t="str">
        <f>IFERROR(INDEX('幕间与结算'!$E$9:$E$208,SMALL(AI$210:AI$409,130)),"")</f>
        <v/>
      </c>
      <c r="AJ131" t="str">
        <f>IFERROR(INDEX('幕间与结算'!$E$9:$E$208,SMALL(AJ$210:AJ$409,130)),"")</f>
        <v/>
      </c>
      <c r="AK131" t="str">
        <f>IFERROR(INDEX('幕间与结算'!$E$9:$E$208,SMALL(AK$210:AK$409,130)),"")</f>
        <v/>
      </c>
      <c r="AL131" t="str">
        <f>IFERROR(INDEX('幕间与结算'!$E$9:$E$208,SMALL(AL$210:AL$409,130)),"")</f>
        <v/>
      </c>
      <c r="AM131" t="str">
        <f>IFERROR(INDEX('幕间与结算'!$E$9:$E$208,SMALL(AM$210:AM$409,130)),"")</f>
        <v/>
      </c>
      <c r="AN131" t="str">
        <f>IFERROR(INDEX('幕间与结算'!$E$9:$E$208,SMALL(AN$210:AN$409,130)),"")</f>
        <v/>
      </c>
      <c r="AO131" t="str">
        <f>IFERROR(INDEX('幕间与结算'!$E$9:$E$208,SMALL(AO$210:AO$409,130)),"")</f>
        <v/>
      </c>
      <c r="AP131" t="str">
        <f>IFERROR(INDEX('幕间与结算'!$E$9:$E$208,SMALL(AP$210:AP$409,130)),"")</f>
        <v/>
      </c>
      <c r="AQ131" t="str">
        <f>IFERROR(INDEX('幕间与结算'!$E$9:$E$208,SMALL(AQ$210:AQ$409,130)),"")</f>
        <v/>
      </c>
      <c r="AR131" t="str">
        <f>IFERROR(INDEX('幕间与结算'!$E$9:$E$208,SMALL(AR$210:AR$409,130)),"")</f>
        <v/>
      </c>
      <c r="AS131" t="str">
        <f>IFERROR(INDEX('幕间与结算'!$E$9:$E$208,SMALL(AS$210:AS$409,130)),"")</f>
        <v/>
      </c>
      <c r="AT131" t="str">
        <f>IFERROR(INDEX('幕间与结算'!$E$9:$E$208,SMALL(AT$210:AT$409,130)),"")</f>
        <v/>
      </c>
    </row>
    <row r="132">
      <c r="AA132" t="str">
        <f>IFERROR(INDEX('幕间与结算'!$E$9:$E$208,SMALL(AA$210:AA$409,131)),"")</f>
        <v/>
      </c>
      <c r="AB132" t="str">
        <f>IFERROR(INDEX('幕间与结算'!$E$9:$E$208,SMALL(AB$210:AB$409,131)),"")</f>
        <v/>
      </c>
      <c r="AC132" t="str">
        <f>IFERROR(INDEX('幕间与结算'!$E$9:$E$208,SMALL(AC$210:AC$409,131)),"")</f>
        <v/>
      </c>
      <c r="AD132" t="str">
        <f>IFERROR(INDEX('幕间与结算'!$E$9:$E$208,SMALL(AD$210:AD$409,131)),"")</f>
        <v/>
      </c>
      <c r="AE132" t="str">
        <f>IFERROR(INDEX('幕间与结算'!$E$9:$E$208,SMALL(AE$210:AE$409,131)),"")</f>
        <v/>
      </c>
      <c r="AF132" t="str">
        <f>IFERROR(INDEX('幕间与结算'!$E$9:$E$208,SMALL(AF$210:AF$409,131)),"")</f>
        <v/>
      </c>
      <c r="AG132" t="str">
        <f>IFERROR(INDEX('幕间与结算'!$E$9:$E$208,SMALL(AG$210:AG$409,131)),"")</f>
        <v/>
      </c>
      <c r="AH132" t="str">
        <f>IFERROR(INDEX('幕间与结算'!$E$9:$E$208,SMALL(AH$210:AH$409,131)),"")</f>
        <v/>
      </c>
      <c r="AI132" t="str">
        <f>IFERROR(INDEX('幕间与结算'!$E$9:$E$208,SMALL(AI$210:AI$409,131)),"")</f>
        <v/>
      </c>
      <c r="AJ132" t="str">
        <f>IFERROR(INDEX('幕间与结算'!$E$9:$E$208,SMALL(AJ$210:AJ$409,131)),"")</f>
        <v/>
      </c>
      <c r="AK132" t="str">
        <f>IFERROR(INDEX('幕间与结算'!$E$9:$E$208,SMALL(AK$210:AK$409,131)),"")</f>
        <v/>
      </c>
      <c r="AL132" t="str">
        <f>IFERROR(INDEX('幕间与结算'!$E$9:$E$208,SMALL(AL$210:AL$409,131)),"")</f>
        <v/>
      </c>
      <c r="AM132" t="str">
        <f>IFERROR(INDEX('幕间与结算'!$E$9:$E$208,SMALL(AM$210:AM$409,131)),"")</f>
        <v/>
      </c>
      <c r="AN132" t="str">
        <f>IFERROR(INDEX('幕间与结算'!$E$9:$E$208,SMALL(AN$210:AN$409,131)),"")</f>
        <v/>
      </c>
      <c r="AO132" t="str">
        <f>IFERROR(INDEX('幕间与结算'!$E$9:$E$208,SMALL(AO$210:AO$409,131)),"")</f>
        <v/>
      </c>
      <c r="AP132" t="str">
        <f>IFERROR(INDEX('幕间与结算'!$E$9:$E$208,SMALL(AP$210:AP$409,131)),"")</f>
        <v/>
      </c>
      <c r="AQ132" t="str">
        <f>IFERROR(INDEX('幕间与结算'!$E$9:$E$208,SMALL(AQ$210:AQ$409,131)),"")</f>
        <v/>
      </c>
      <c r="AR132" t="str">
        <f>IFERROR(INDEX('幕间与结算'!$E$9:$E$208,SMALL(AR$210:AR$409,131)),"")</f>
        <v/>
      </c>
      <c r="AS132" t="str">
        <f>IFERROR(INDEX('幕间与结算'!$E$9:$E$208,SMALL(AS$210:AS$409,131)),"")</f>
        <v/>
      </c>
      <c r="AT132" t="str">
        <f>IFERROR(INDEX('幕间与结算'!$E$9:$E$208,SMALL(AT$210:AT$409,131)),"")</f>
        <v/>
      </c>
    </row>
    <row r="133">
      <c r="AA133" t="str">
        <f>IFERROR(INDEX('幕间与结算'!$E$9:$E$208,SMALL(AA$210:AA$409,132)),"")</f>
        <v/>
      </c>
      <c r="AB133" t="str">
        <f>IFERROR(INDEX('幕间与结算'!$E$9:$E$208,SMALL(AB$210:AB$409,132)),"")</f>
        <v/>
      </c>
      <c r="AC133" t="str">
        <f>IFERROR(INDEX('幕间与结算'!$E$9:$E$208,SMALL(AC$210:AC$409,132)),"")</f>
        <v/>
      </c>
      <c r="AD133" t="str">
        <f>IFERROR(INDEX('幕间与结算'!$E$9:$E$208,SMALL(AD$210:AD$409,132)),"")</f>
        <v/>
      </c>
      <c r="AE133" t="str">
        <f>IFERROR(INDEX('幕间与结算'!$E$9:$E$208,SMALL(AE$210:AE$409,132)),"")</f>
        <v/>
      </c>
      <c r="AF133" t="str">
        <f>IFERROR(INDEX('幕间与结算'!$E$9:$E$208,SMALL(AF$210:AF$409,132)),"")</f>
        <v/>
      </c>
      <c r="AG133" t="str">
        <f>IFERROR(INDEX('幕间与结算'!$E$9:$E$208,SMALL(AG$210:AG$409,132)),"")</f>
        <v/>
      </c>
      <c r="AH133" t="str">
        <f>IFERROR(INDEX('幕间与结算'!$E$9:$E$208,SMALL(AH$210:AH$409,132)),"")</f>
        <v/>
      </c>
      <c r="AI133" t="str">
        <f>IFERROR(INDEX('幕间与结算'!$E$9:$E$208,SMALL(AI$210:AI$409,132)),"")</f>
        <v/>
      </c>
      <c r="AJ133" t="str">
        <f>IFERROR(INDEX('幕间与结算'!$E$9:$E$208,SMALL(AJ$210:AJ$409,132)),"")</f>
        <v/>
      </c>
      <c r="AK133" t="str">
        <f>IFERROR(INDEX('幕间与结算'!$E$9:$E$208,SMALL(AK$210:AK$409,132)),"")</f>
        <v/>
      </c>
      <c r="AL133" t="str">
        <f>IFERROR(INDEX('幕间与结算'!$E$9:$E$208,SMALL(AL$210:AL$409,132)),"")</f>
        <v/>
      </c>
      <c r="AM133" t="str">
        <f>IFERROR(INDEX('幕间与结算'!$E$9:$E$208,SMALL(AM$210:AM$409,132)),"")</f>
        <v/>
      </c>
      <c r="AN133" t="str">
        <f>IFERROR(INDEX('幕间与结算'!$E$9:$E$208,SMALL(AN$210:AN$409,132)),"")</f>
        <v/>
      </c>
      <c r="AO133" t="str">
        <f>IFERROR(INDEX('幕间与结算'!$E$9:$E$208,SMALL(AO$210:AO$409,132)),"")</f>
        <v/>
      </c>
      <c r="AP133" t="str">
        <f>IFERROR(INDEX('幕间与结算'!$E$9:$E$208,SMALL(AP$210:AP$409,132)),"")</f>
        <v/>
      </c>
      <c r="AQ133" t="str">
        <f>IFERROR(INDEX('幕间与结算'!$E$9:$E$208,SMALL(AQ$210:AQ$409,132)),"")</f>
        <v/>
      </c>
      <c r="AR133" t="str">
        <f>IFERROR(INDEX('幕间与结算'!$E$9:$E$208,SMALL(AR$210:AR$409,132)),"")</f>
        <v/>
      </c>
      <c r="AS133" t="str">
        <f>IFERROR(INDEX('幕间与结算'!$E$9:$E$208,SMALL(AS$210:AS$409,132)),"")</f>
        <v/>
      </c>
      <c r="AT133" t="str">
        <f>IFERROR(INDEX('幕间与结算'!$E$9:$E$208,SMALL(AT$210:AT$409,132)),"")</f>
        <v/>
      </c>
    </row>
    <row r="134">
      <c r="AA134" t="str">
        <f>IFERROR(INDEX('幕间与结算'!$E$9:$E$208,SMALL(AA$210:AA$409,133)),"")</f>
        <v/>
      </c>
      <c r="AB134" t="str">
        <f>IFERROR(INDEX('幕间与结算'!$E$9:$E$208,SMALL(AB$210:AB$409,133)),"")</f>
        <v/>
      </c>
      <c r="AC134" t="str">
        <f>IFERROR(INDEX('幕间与结算'!$E$9:$E$208,SMALL(AC$210:AC$409,133)),"")</f>
        <v/>
      </c>
      <c r="AD134" t="str">
        <f>IFERROR(INDEX('幕间与结算'!$E$9:$E$208,SMALL(AD$210:AD$409,133)),"")</f>
        <v/>
      </c>
      <c r="AE134" t="str">
        <f>IFERROR(INDEX('幕间与结算'!$E$9:$E$208,SMALL(AE$210:AE$409,133)),"")</f>
        <v/>
      </c>
      <c r="AF134" t="str">
        <f>IFERROR(INDEX('幕间与结算'!$E$9:$E$208,SMALL(AF$210:AF$409,133)),"")</f>
        <v/>
      </c>
      <c r="AG134" t="str">
        <f>IFERROR(INDEX('幕间与结算'!$E$9:$E$208,SMALL(AG$210:AG$409,133)),"")</f>
        <v/>
      </c>
      <c r="AH134" t="str">
        <f>IFERROR(INDEX('幕间与结算'!$E$9:$E$208,SMALL(AH$210:AH$409,133)),"")</f>
        <v/>
      </c>
      <c r="AI134" t="str">
        <f>IFERROR(INDEX('幕间与结算'!$E$9:$E$208,SMALL(AI$210:AI$409,133)),"")</f>
        <v/>
      </c>
      <c r="AJ134" t="str">
        <f>IFERROR(INDEX('幕间与结算'!$E$9:$E$208,SMALL(AJ$210:AJ$409,133)),"")</f>
        <v/>
      </c>
      <c r="AK134" t="str">
        <f>IFERROR(INDEX('幕间与结算'!$E$9:$E$208,SMALL(AK$210:AK$409,133)),"")</f>
        <v/>
      </c>
      <c r="AL134" t="str">
        <f>IFERROR(INDEX('幕间与结算'!$E$9:$E$208,SMALL(AL$210:AL$409,133)),"")</f>
        <v/>
      </c>
      <c r="AM134" t="str">
        <f>IFERROR(INDEX('幕间与结算'!$E$9:$E$208,SMALL(AM$210:AM$409,133)),"")</f>
        <v/>
      </c>
      <c r="AN134" t="str">
        <f>IFERROR(INDEX('幕间与结算'!$E$9:$E$208,SMALL(AN$210:AN$409,133)),"")</f>
        <v/>
      </c>
      <c r="AO134" t="str">
        <f>IFERROR(INDEX('幕间与结算'!$E$9:$E$208,SMALL(AO$210:AO$409,133)),"")</f>
        <v/>
      </c>
      <c r="AP134" t="str">
        <f>IFERROR(INDEX('幕间与结算'!$E$9:$E$208,SMALL(AP$210:AP$409,133)),"")</f>
        <v/>
      </c>
      <c r="AQ134" t="str">
        <f>IFERROR(INDEX('幕间与结算'!$E$9:$E$208,SMALL(AQ$210:AQ$409,133)),"")</f>
        <v/>
      </c>
      <c r="AR134" t="str">
        <f>IFERROR(INDEX('幕间与结算'!$E$9:$E$208,SMALL(AR$210:AR$409,133)),"")</f>
        <v/>
      </c>
      <c r="AS134" t="str">
        <f>IFERROR(INDEX('幕间与结算'!$E$9:$E$208,SMALL(AS$210:AS$409,133)),"")</f>
        <v/>
      </c>
      <c r="AT134" t="str">
        <f>IFERROR(INDEX('幕间与结算'!$E$9:$E$208,SMALL(AT$210:AT$409,133)),"")</f>
        <v/>
      </c>
    </row>
    <row r="135">
      <c r="AA135" t="str">
        <f>IFERROR(INDEX('幕间与结算'!$E$9:$E$208,SMALL(AA$210:AA$409,134)),"")</f>
        <v/>
      </c>
      <c r="AB135" t="str">
        <f>IFERROR(INDEX('幕间与结算'!$E$9:$E$208,SMALL(AB$210:AB$409,134)),"")</f>
        <v/>
      </c>
      <c r="AC135" t="str">
        <f>IFERROR(INDEX('幕间与结算'!$E$9:$E$208,SMALL(AC$210:AC$409,134)),"")</f>
        <v/>
      </c>
      <c r="AD135" t="str">
        <f>IFERROR(INDEX('幕间与结算'!$E$9:$E$208,SMALL(AD$210:AD$409,134)),"")</f>
        <v/>
      </c>
      <c r="AE135" t="str">
        <f>IFERROR(INDEX('幕间与结算'!$E$9:$E$208,SMALL(AE$210:AE$409,134)),"")</f>
        <v/>
      </c>
      <c r="AF135" t="str">
        <f>IFERROR(INDEX('幕间与结算'!$E$9:$E$208,SMALL(AF$210:AF$409,134)),"")</f>
        <v/>
      </c>
      <c r="AG135" t="str">
        <f>IFERROR(INDEX('幕间与结算'!$E$9:$E$208,SMALL(AG$210:AG$409,134)),"")</f>
        <v/>
      </c>
      <c r="AH135" t="str">
        <f>IFERROR(INDEX('幕间与结算'!$E$9:$E$208,SMALL(AH$210:AH$409,134)),"")</f>
        <v/>
      </c>
      <c r="AI135" t="str">
        <f>IFERROR(INDEX('幕间与结算'!$E$9:$E$208,SMALL(AI$210:AI$409,134)),"")</f>
        <v/>
      </c>
      <c r="AJ135" t="str">
        <f>IFERROR(INDEX('幕间与结算'!$E$9:$E$208,SMALL(AJ$210:AJ$409,134)),"")</f>
        <v/>
      </c>
      <c r="AK135" t="str">
        <f>IFERROR(INDEX('幕间与结算'!$E$9:$E$208,SMALL(AK$210:AK$409,134)),"")</f>
        <v/>
      </c>
      <c r="AL135" t="str">
        <f>IFERROR(INDEX('幕间与结算'!$E$9:$E$208,SMALL(AL$210:AL$409,134)),"")</f>
        <v/>
      </c>
      <c r="AM135" t="str">
        <f>IFERROR(INDEX('幕间与结算'!$E$9:$E$208,SMALL(AM$210:AM$409,134)),"")</f>
        <v/>
      </c>
      <c r="AN135" t="str">
        <f>IFERROR(INDEX('幕间与结算'!$E$9:$E$208,SMALL(AN$210:AN$409,134)),"")</f>
        <v/>
      </c>
      <c r="AO135" t="str">
        <f>IFERROR(INDEX('幕间与结算'!$E$9:$E$208,SMALL(AO$210:AO$409,134)),"")</f>
        <v/>
      </c>
      <c r="AP135" t="str">
        <f>IFERROR(INDEX('幕间与结算'!$E$9:$E$208,SMALL(AP$210:AP$409,134)),"")</f>
        <v/>
      </c>
      <c r="AQ135" t="str">
        <f>IFERROR(INDEX('幕间与结算'!$E$9:$E$208,SMALL(AQ$210:AQ$409,134)),"")</f>
        <v/>
      </c>
      <c r="AR135" t="str">
        <f>IFERROR(INDEX('幕间与结算'!$E$9:$E$208,SMALL(AR$210:AR$409,134)),"")</f>
        <v/>
      </c>
      <c r="AS135" t="str">
        <f>IFERROR(INDEX('幕间与结算'!$E$9:$E$208,SMALL(AS$210:AS$409,134)),"")</f>
        <v/>
      </c>
      <c r="AT135" t="str">
        <f>IFERROR(INDEX('幕间与结算'!$E$9:$E$208,SMALL(AT$210:AT$409,134)),"")</f>
        <v/>
      </c>
    </row>
    <row r="136">
      <c r="AA136" t="str">
        <f>IFERROR(INDEX('幕间与结算'!$E$9:$E$208,SMALL(AA$210:AA$409,135)),"")</f>
        <v/>
      </c>
      <c r="AB136" t="str">
        <f>IFERROR(INDEX('幕间与结算'!$E$9:$E$208,SMALL(AB$210:AB$409,135)),"")</f>
        <v/>
      </c>
      <c r="AC136" t="str">
        <f>IFERROR(INDEX('幕间与结算'!$E$9:$E$208,SMALL(AC$210:AC$409,135)),"")</f>
        <v/>
      </c>
      <c r="AD136" t="str">
        <f>IFERROR(INDEX('幕间与结算'!$E$9:$E$208,SMALL(AD$210:AD$409,135)),"")</f>
        <v/>
      </c>
      <c r="AE136" t="str">
        <f>IFERROR(INDEX('幕间与结算'!$E$9:$E$208,SMALL(AE$210:AE$409,135)),"")</f>
        <v/>
      </c>
      <c r="AF136" t="str">
        <f>IFERROR(INDEX('幕间与结算'!$E$9:$E$208,SMALL(AF$210:AF$409,135)),"")</f>
        <v/>
      </c>
      <c r="AG136" t="str">
        <f>IFERROR(INDEX('幕间与结算'!$E$9:$E$208,SMALL(AG$210:AG$409,135)),"")</f>
        <v/>
      </c>
      <c r="AH136" t="str">
        <f>IFERROR(INDEX('幕间与结算'!$E$9:$E$208,SMALL(AH$210:AH$409,135)),"")</f>
        <v/>
      </c>
      <c r="AI136" t="str">
        <f>IFERROR(INDEX('幕间与结算'!$E$9:$E$208,SMALL(AI$210:AI$409,135)),"")</f>
        <v/>
      </c>
      <c r="AJ136" t="str">
        <f>IFERROR(INDEX('幕间与结算'!$E$9:$E$208,SMALL(AJ$210:AJ$409,135)),"")</f>
        <v/>
      </c>
      <c r="AK136" t="str">
        <f>IFERROR(INDEX('幕间与结算'!$E$9:$E$208,SMALL(AK$210:AK$409,135)),"")</f>
        <v/>
      </c>
      <c r="AL136" t="str">
        <f>IFERROR(INDEX('幕间与结算'!$E$9:$E$208,SMALL(AL$210:AL$409,135)),"")</f>
        <v/>
      </c>
      <c r="AM136" t="str">
        <f>IFERROR(INDEX('幕间与结算'!$E$9:$E$208,SMALL(AM$210:AM$409,135)),"")</f>
        <v/>
      </c>
      <c r="AN136" t="str">
        <f>IFERROR(INDEX('幕间与结算'!$E$9:$E$208,SMALL(AN$210:AN$409,135)),"")</f>
        <v/>
      </c>
      <c r="AO136" t="str">
        <f>IFERROR(INDEX('幕间与结算'!$E$9:$E$208,SMALL(AO$210:AO$409,135)),"")</f>
        <v/>
      </c>
      <c r="AP136" t="str">
        <f>IFERROR(INDEX('幕间与结算'!$E$9:$E$208,SMALL(AP$210:AP$409,135)),"")</f>
        <v/>
      </c>
      <c r="AQ136" t="str">
        <f>IFERROR(INDEX('幕间与结算'!$E$9:$E$208,SMALL(AQ$210:AQ$409,135)),"")</f>
        <v/>
      </c>
      <c r="AR136" t="str">
        <f>IFERROR(INDEX('幕间与结算'!$E$9:$E$208,SMALL(AR$210:AR$409,135)),"")</f>
        <v/>
      </c>
      <c r="AS136" t="str">
        <f>IFERROR(INDEX('幕间与结算'!$E$9:$E$208,SMALL(AS$210:AS$409,135)),"")</f>
        <v/>
      </c>
      <c r="AT136" t="str">
        <f>IFERROR(INDEX('幕间与结算'!$E$9:$E$208,SMALL(AT$210:AT$409,135)),"")</f>
        <v/>
      </c>
    </row>
    <row r="137">
      <c r="AA137" t="str">
        <f>IFERROR(INDEX('幕间与结算'!$E$9:$E$208,SMALL(AA$210:AA$409,136)),"")</f>
        <v/>
      </c>
      <c r="AB137" t="str">
        <f>IFERROR(INDEX('幕间与结算'!$E$9:$E$208,SMALL(AB$210:AB$409,136)),"")</f>
        <v/>
      </c>
      <c r="AC137" t="str">
        <f>IFERROR(INDEX('幕间与结算'!$E$9:$E$208,SMALL(AC$210:AC$409,136)),"")</f>
        <v/>
      </c>
      <c r="AD137" t="str">
        <f>IFERROR(INDEX('幕间与结算'!$E$9:$E$208,SMALL(AD$210:AD$409,136)),"")</f>
        <v/>
      </c>
      <c r="AE137" t="str">
        <f>IFERROR(INDEX('幕间与结算'!$E$9:$E$208,SMALL(AE$210:AE$409,136)),"")</f>
        <v/>
      </c>
      <c r="AF137" t="str">
        <f>IFERROR(INDEX('幕间与结算'!$E$9:$E$208,SMALL(AF$210:AF$409,136)),"")</f>
        <v/>
      </c>
      <c r="AG137" t="str">
        <f>IFERROR(INDEX('幕间与结算'!$E$9:$E$208,SMALL(AG$210:AG$409,136)),"")</f>
        <v/>
      </c>
      <c r="AH137" t="str">
        <f>IFERROR(INDEX('幕间与结算'!$E$9:$E$208,SMALL(AH$210:AH$409,136)),"")</f>
        <v/>
      </c>
      <c r="AI137" t="str">
        <f>IFERROR(INDEX('幕间与结算'!$E$9:$E$208,SMALL(AI$210:AI$409,136)),"")</f>
        <v/>
      </c>
      <c r="AJ137" t="str">
        <f>IFERROR(INDEX('幕间与结算'!$E$9:$E$208,SMALL(AJ$210:AJ$409,136)),"")</f>
        <v/>
      </c>
      <c r="AK137" t="str">
        <f>IFERROR(INDEX('幕间与结算'!$E$9:$E$208,SMALL(AK$210:AK$409,136)),"")</f>
        <v/>
      </c>
      <c r="AL137" t="str">
        <f>IFERROR(INDEX('幕间与结算'!$E$9:$E$208,SMALL(AL$210:AL$409,136)),"")</f>
        <v/>
      </c>
      <c r="AM137" t="str">
        <f>IFERROR(INDEX('幕间与结算'!$E$9:$E$208,SMALL(AM$210:AM$409,136)),"")</f>
        <v/>
      </c>
      <c r="AN137" t="str">
        <f>IFERROR(INDEX('幕间与结算'!$E$9:$E$208,SMALL(AN$210:AN$409,136)),"")</f>
        <v/>
      </c>
      <c r="AO137" t="str">
        <f>IFERROR(INDEX('幕间与结算'!$E$9:$E$208,SMALL(AO$210:AO$409,136)),"")</f>
        <v/>
      </c>
      <c r="AP137" t="str">
        <f>IFERROR(INDEX('幕间与结算'!$E$9:$E$208,SMALL(AP$210:AP$409,136)),"")</f>
        <v/>
      </c>
      <c r="AQ137" t="str">
        <f>IFERROR(INDEX('幕间与结算'!$E$9:$E$208,SMALL(AQ$210:AQ$409,136)),"")</f>
        <v/>
      </c>
      <c r="AR137" t="str">
        <f>IFERROR(INDEX('幕间与结算'!$E$9:$E$208,SMALL(AR$210:AR$409,136)),"")</f>
        <v/>
      </c>
      <c r="AS137" t="str">
        <f>IFERROR(INDEX('幕间与结算'!$E$9:$E$208,SMALL(AS$210:AS$409,136)),"")</f>
        <v/>
      </c>
      <c r="AT137" t="str">
        <f>IFERROR(INDEX('幕间与结算'!$E$9:$E$208,SMALL(AT$210:AT$409,136)),"")</f>
        <v/>
      </c>
    </row>
    <row r="138">
      <c r="AA138" t="str">
        <f>IFERROR(INDEX('幕间与结算'!$E$9:$E$208,SMALL(AA$210:AA$409,137)),"")</f>
        <v/>
      </c>
      <c r="AB138" t="str">
        <f>IFERROR(INDEX('幕间与结算'!$E$9:$E$208,SMALL(AB$210:AB$409,137)),"")</f>
        <v/>
      </c>
      <c r="AC138" t="str">
        <f>IFERROR(INDEX('幕间与结算'!$E$9:$E$208,SMALL(AC$210:AC$409,137)),"")</f>
        <v/>
      </c>
      <c r="AD138" t="str">
        <f>IFERROR(INDEX('幕间与结算'!$E$9:$E$208,SMALL(AD$210:AD$409,137)),"")</f>
        <v/>
      </c>
      <c r="AE138" t="str">
        <f>IFERROR(INDEX('幕间与结算'!$E$9:$E$208,SMALL(AE$210:AE$409,137)),"")</f>
        <v/>
      </c>
      <c r="AF138" t="str">
        <f>IFERROR(INDEX('幕间与结算'!$E$9:$E$208,SMALL(AF$210:AF$409,137)),"")</f>
        <v/>
      </c>
      <c r="AG138" t="str">
        <f>IFERROR(INDEX('幕间与结算'!$E$9:$E$208,SMALL(AG$210:AG$409,137)),"")</f>
        <v/>
      </c>
      <c r="AH138" t="str">
        <f>IFERROR(INDEX('幕间与结算'!$E$9:$E$208,SMALL(AH$210:AH$409,137)),"")</f>
        <v/>
      </c>
      <c r="AI138" t="str">
        <f>IFERROR(INDEX('幕间与结算'!$E$9:$E$208,SMALL(AI$210:AI$409,137)),"")</f>
        <v/>
      </c>
      <c r="AJ138" t="str">
        <f>IFERROR(INDEX('幕间与结算'!$E$9:$E$208,SMALL(AJ$210:AJ$409,137)),"")</f>
        <v/>
      </c>
      <c r="AK138" t="str">
        <f>IFERROR(INDEX('幕间与结算'!$E$9:$E$208,SMALL(AK$210:AK$409,137)),"")</f>
        <v/>
      </c>
      <c r="AL138" t="str">
        <f>IFERROR(INDEX('幕间与结算'!$E$9:$E$208,SMALL(AL$210:AL$409,137)),"")</f>
        <v/>
      </c>
      <c r="AM138" t="str">
        <f>IFERROR(INDEX('幕间与结算'!$E$9:$E$208,SMALL(AM$210:AM$409,137)),"")</f>
        <v/>
      </c>
      <c r="AN138" t="str">
        <f>IFERROR(INDEX('幕间与结算'!$E$9:$E$208,SMALL(AN$210:AN$409,137)),"")</f>
        <v/>
      </c>
      <c r="AO138" t="str">
        <f>IFERROR(INDEX('幕间与结算'!$E$9:$E$208,SMALL(AO$210:AO$409,137)),"")</f>
        <v/>
      </c>
      <c r="AP138" t="str">
        <f>IFERROR(INDEX('幕间与结算'!$E$9:$E$208,SMALL(AP$210:AP$409,137)),"")</f>
        <v/>
      </c>
      <c r="AQ138" t="str">
        <f>IFERROR(INDEX('幕间与结算'!$E$9:$E$208,SMALL(AQ$210:AQ$409,137)),"")</f>
        <v/>
      </c>
      <c r="AR138" t="str">
        <f>IFERROR(INDEX('幕间与结算'!$E$9:$E$208,SMALL(AR$210:AR$409,137)),"")</f>
        <v/>
      </c>
      <c r="AS138" t="str">
        <f>IFERROR(INDEX('幕间与结算'!$E$9:$E$208,SMALL(AS$210:AS$409,137)),"")</f>
        <v/>
      </c>
      <c r="AT138" t="str">
        <f>IFERROR(INDEX('幕间与结算'!$E$9:$E$208,SMALL(AT$210:AT$409,137)),"")</f>
        <v/>
      </c>
    </row>
    <row r="139">
      <c r="AA139" t="str">
        <f>IFERROR(INDEX('幕间与结算'!$E$9:$E$208,SMALL(AA$210:AA$409,138)),"")</f>
        <v/>
      </c>
      <c r="AB139" t="str">
        <f>IFERROR(INDEX('幕间与结算'!$E$9:$E$208,SMALL(AB$210:AB$409,138)),"")</f>
        <v/>
      </c>
      <c r="AC139" t="str">
        <f>IFERROR(INDEX('幕间与结算'!$E$9:$E$208,SMALL(AC$210:AC$409,138)),"")</f>
        <v/>
      </c>
      <c r="AD139" t="str">
        <f>IFERROR(INDEX('幕间与结算'!$E$9:$E$208,SMALL(AD$210:AD$409,138)),"")</f>
        <v/>
      </c>
      <c r="AE139" t="str">
        <f>IFERROR(INDEX('幕间与结算'!$E$9:$E$208,SMALL(AE$210:AE$409,138)),"")</f>
        <v/>
      </c>
      <c r="AF139" t="str">
        <f>IFERROR(INDEX('幕间与结算'!$E$9:$E$208,SMALL(AF$210:AF$409,138)),"")</f>
        <v/>
      </c>
      <c r="AG139" t="str">
        <f>IFERROR(INDEX('幕间与结算'!$E$9:$E$208,SMALL(AG$210:AG$409,138)),"")</f>
        <v/>
      </c>
      <c r="AH139" t="str">
        <f>IFERROR(INDEX('幕间与结算'!$E$9:$E$208,SMALL(AH$210:AH$409,138)),"")</f>
        <v/>
      </c>
      <c r="AI139" t="str">
        <f>IFERROR(INDEX('幕间与结算'!$E$9:$E$208,SMALL(AI$210:AI$409,138)),"")</f>
        <v/>
      </c>
      <c r="AJ139" t="str">
        <f>IFERROR(INDEX('幕间与结算'!$E$9:$E$208,SMALL(AJ$210:AJ$409,138)),"")</f>
        <v/>
      </c>
      <c r="AK139" t="str">
        <f>IFERROR(INDEX('幕间与结算'!$E$9:$E$208,SMALL(AK$210:AK$409,138)),"")</f>
        <v/>
      </c>
      <c r="AL139" t="str">
        <f>IFERROR(INDEX('幕间与结算'!$E$9:$E$208,SMALL(AL$210:AL$409,138)),"")</f>
        <v/>
      </c>
      <c r="AM139" t="str">
        <f>IFERROR(INDEX('幕间与结算'!$E$9:$E$208,SMALL(AM$210:AM$409,138)),"")</f>
        <v/>
      </c>
      <c r="AN139" t="str">
        <f>IFERROR(INDEX('幕间与结算'!$E$9:$E$208,SMALL(AN$210:AN$409,138)),"")</f>
        <v/>
      </c>
      <c r="AO139" t="str">
        <f>IFERROR(INDEX('幕间与结算'!$E$9:$E$208,SMALL(AO$210:AO$409,138)),"")</f>
        <v/>
      </c>
      <c r="AP139" t="str">
        <f>IFERROR(INDEX('幕间与结算'!$E$9:$E$208,SMALL(AP$210:AP$409,138)),"")</f>
        <v/>
      </c>
      <c r="AQ139" t="str">
        <f>IFERROR(INDEX('幕间与结算'!$E$9:$E$208,SMALL(AQ$210:AQ$409,138)),"")</f>
        <v/>
      </c>
      <c r="AR139" t="str">
        <f>IFERROR(INDEX('幕间与结算'!$E$9:$E$208,SMALL(AR$210:AR$409,138)),"")</f>
        <v/>
      </c>
      <c r="AS139" t="str">
        <f>IFERROR(INDEX('幕间与结算'!$E$9:$E$208,SMALL(AS$210:AS$409,138)),"")</f>
        <v/>
      </c>
      <c r="AT139" t="str">
        <f>IFERROR(INDEX('幕间与结算'!$E$9:$E$208,SMALL(AT$210:AT$409,138)),"")</f>
        <v/>
      </c>
    </row>
    <row r="140">
      <c r="AA140" t="str">
        <f>IFERROR(INDEX('幕间与结算'!$E$9:$E$208,SMALL(AA$210:AA$409,139)),"")</f>
        <v/>
      </c>
      <c r="AB140" t="str">
        <f>IFERROR(INDEX('幕间与结算'!$E$9:$E$208,SMALL(AB$210:AB$409,139)),"")</f>
        <v/>
      </c>
      <c r="AC140" t="str">
        <f>IFERROR(INDEX('幕间与结算'!$E$9:$E$208,SMALL(AC$210:AC$409,139)),"")</f>
        <v/>
      </c>
      <c r="AD140" t="str">
        <f>IFERROR(INDEX('幕间与结算'!$E$9:$E$208,SMALL(AD$210:AD$409,139)),"")</f>
        <v/>
      </c>
      <c r="AE140" t="str">
        <f>IFERROR(INDEX('幕间与结算'!$E$9:$E$208,SMALL(AE$210:AE$409,139)),"")</f>
        <v/>
      </c>
      <c r="AF140" t="str">
        <f>IFERROR(INDEX('幕间与结算'!$E$9:$E$208,SMALL(AF$210:AF$409,139)),"")</f>
        <v/>
      </c>
      <c r="AG140" t="str">
        <f>IFERROR(INDEX('幕间与结算'!$E$9:$E$208,SMALL(AG$210:AG$409,139)),"")</f>
        <v/>
      </c>
      <c r="AH140" t="str">
        <f>IFERROR(INDEX('幕间与结算'!$E$9:$E$208,SMALL(AH$210:AH$409,139)),"")</f>
        <v/>
      </c>
      <c r="AI140" t="str">
        <f>IFERROR(INDEX('幕间与结算'!$E$9:$E$208,SMALL(AI$210:AI$409,139)),"")</f>
        <v/>
      </c>
      <c r="AJ140" t="str">
        <f>IFERROR(INDEX('幕间与结算'!$E$9:$E$208,SMALL(AJ$210:AJ$409,139)),"")</f>
        <v/>
      </c>
      <c r="AK140" t="str">
        <f>IFERROR(INDEX('幕间与结算'!$E$9:$E$208,SMALL(AK$210:AK$409,139)),"")</f>
        <v/>
      </c>
      <c r="AL140" t="str">
        <f>IFERROR(INDEX('幕间与结算'!$E$9:$E$208,SMALL(AL$210:AL$409,139)),"")</f>
        <v/>
      </c>
      <c r="AM140" t="str">
        <f>IFERROR(INDEX('幕间与结算'!$E$9:$E$208,SMALL(AM$210:AM$409,139)),"")</f>
        <v/>
      </c>
      <c r="AN140" t="str">
        <f>IFERROR(INDEX('幕间与结算'!$E$9:$E$208,SMALL(AN$210:AN$409,139)),"")</f>
        <v/>
      </c>
      <c r="AO140" t="str">
        <f>IFERROR(INDEX('幕间与结算'!$E$9:$E$208,SMALL(AO$210:AO$409,139)),"")</f>
        <v/>
      </c>
      <c r="AP140" t="str">
        <f>IFERROR(INDEX('幕间与结算'!$E$9:$E$208,SMALL(AP$210:AP$409,139)),"")</f>
        <v/>
      </c>
      <c r="AQ140" t="str">
        <f>IFERROR(INDEX('幕间与结算'!$E$9:$E$208,SMALL(AQ$210:AQ$409,139)),"")</f>
        <v/>
      </c>
      <c r="AR140" t="str">
        <f>IFERROR(INDEX('幕间与结算'!$E$9:$E$208,SMALL(AR$210:AR$409,139)),"")</f>
        <v/>
      </c>
      <c r="AS140" t="str">
        <f>IFERROR(INDEX('幕间与结算'!$E$9:$E$208,SMALL(AS$210:AS$409,139)),"")</f>
        <v/>
      </c>
      <c r="AT140" t="str">
        <f>IFERROR(INDEX('幕间与结算'!$E$9:$E$208,SMALL(AT$210:AT$409,139)),"")</f>
        <v/>
      </c>
    </row>
    <row r="141">
      <c r="AA141" t="str">
        <f>IFERROR(INDEX('幕间与结算'!$E$9:$E$208,SMALL(AA$210:AA$409,140)),"")</f>
        <v/>
      </c>
      <c r="AB141" t="str">
        <f>IFERROR(INDEX('幕间与结算'!$E$9:$E$208,SMALL(AB$210:AB$409,140)),"")</f>
        <v/>
      </c>
      <c r="AC141" t="str">
        <f>IFERROR(INDEX('幕间与结算'!$E$9:$E$208,SMALL(AC$210:AC$409,140)),"")</f>
        <v/>
      </c>
      <c r="AD141" t="str">
        <f>IFERROR(INDEX('幕间与结算'!$E$9:$E$208,SMALL(AD$210:AD$409,140)),"")</f>
        <v/>
      </c>
      <c r="AE141" t="str">
        <f>IFERROR(INDEX('幕间与结算'!$E$9:$E$208,SMALL(AE$210:AE$409,140)),"")</f>
        <v/>
      </c>
      <c r="AF141" t="str">
        <f>IFERROR(INDEX('幕间与结算'!$E$9:$E$208,SMALL(AF$210:AF$409,140)),"")</f>
        <v/>
      </c>
      <c r="AG141" t="str">
        <f>IFERROR(INDEX('幕间与结算'!$E$9:$E$208,SMALL(AG$210:AG$409,140)),"")</f>
        <v/>
      </c>
      <c r="AH141" t="str">
        <f>IFERROR(INDEX('幕间与结算'!$E$9:$E$208,SMALL(AH$210:AH$409,140)),"")</f>
        <v/>
      </c>
      <c r="AI141" t="str">
        <f>IFERROR(INDEX('幕间与结算'!$E$9:$E$208,SMALL(AI$210:AI$409,140)),"")</f>
        <v/>
      </c>
      <c r="AJ141" t="str">
        <f>IFERROR(INDEX('幕间与结算'!$E$9:$E$208,SMALL(AJ$210:AJ$409,140)),"")</f>
        <v/>
      </c>
      <c r="AK141" t="str">
        <f>IFERROR(INDEX('幕间与结算'!$E$9:$E$208,SMALL(AK$210:AK$409,140)),"")</f>
        <v/>
      </c>
      <c r="AL141" t="str">
        <f>IFERROR(INDEX('幕间与结算'!$E$9:$E$208,SMALL(AL$210:AL$409,140)),"")</f>
        <v/>
      </c>
      <c r="AM141" t="str">
        <f>IFERROR(INDEX('幕间与结算'!$E$9:$E$208,SMALL(AM$210:AM$409,140)),"")</f>
        <v/>
      </c>
      <c r="AN141" t="str">
        <f>IFERROR(INDEX('幕间与结算'!$E$9:$E$208,SMALL(AN$210:AN$409,140)),"")</f>
        <v/>
      </c>
      <c r="AO141" t="str">
        <f>IFERROR(INDEX('幕间与结算'!$E$9:$E$208,SMALL(AO$210:AO$409,140)),"")</f>
        <v/>
      </c>
      <c r="AP141" t="str">
        <f>IFERROR(INDEX('幕间与结算'!$E$9:$E$208,SMALL(AP$210:AP$409,140)),"")</f>
        <v/>
      </c>
      <c r="AQ141" t="str">
        <f>IFERROR(INDEX('幕间与结算'!$E$9:$E$208,SMALL(AQ$210:AQ$409,140)),"")</f>
        <v/>
      </c>
      <c r="AR141" t="str">
        <f>IFERROR(INDEX('幕间与结算'!$E$9:$E$208,SMALL(AR$210:AR$409,140)),"")</f>
        <v/>
      </c>
      <c r="AS141" t="str">
        <f>IFERROR(INDEX('幕间与结算'!$E$9:$E$208,SMALL(AS$210:AS$409,140)),"")</f>
        <v/>
      </c>
      <c r="AT141" t="str">
        <f>IFERROR(INDEX('幕间与结算'!$E$9:$E$208,SMALL(AT$210:AT$409,140)),"")</f>
        <v/>
      </c>
    </row>
    <row r="142">
      <c r="AA142" t="str">
        <f>IFERROR(INDEX('幕间与结算'!$E$9:$E$208,SMALL(AA$210:AA$409,141)),"")</f>
        <v/>
      </c>
      <c r="AB142" t="str">
        <f>IFERROR(INDEX('幕间与结算'!$E$9:$E$208,SMALL(AB$210:AB$409,141)),"")</f>
        <v/>
      </c>
      <c r="AC142" t="str">
        <f>IFERROR(INDEX('幕间与结算'!$E$9:$E$208,SMALL(AC$210:AC$409,141)),"")</f>
        <v/>
      </c>
      <c r="AD142" t="str">
        <f>IFERROR(INDEX('幕间与结算'!$E$9:$E$208,SMALL(AD$210:AD$409,141)),"")</f>
        <v/>
      </c>
      <c r="AE142" t="str">
        <f>IFERROR(INDEX('幕间与结算'!$E$9:$E$208,SMALL(AE$210:AE$409,141)),"")</f>
        <v/>
      </c>
      <c r="AF142" t="str">
        <f>IFERROR(INDEX('幕间与结算'!$E$9:$E$208,SMALL(AF$210:AF$409,141)),"")</f>
        <v/>
      </c>
      <c r="AG142" t="str">
        <f>IFERROR(INDEX('幕间与结算'!$E$9:$E$208,SMALL(AG$210:AG$409,141)),"")</f>
        <v/>
      </c>
      <c r="AH142" t="str">
        <f>IFERROR(INDEX('幕间与结算'!$E$9:$E$208,SMALL(AH$210:AH$409,141)),"")</f>
        <v/>
      </c>
      <c r="AI142" t="str">
        <f>IFERROR(INDEX('幕间与结算'!$E$9:$E$208,SMALL(AI$210:AI$409,141)),"")</f>
        <v/>
      </c>
      <c r="AJ142" t="str">
        <f>IFERROR(INDEX('幕间与结算'!$E$9:$E$208,SMALL(AJ$210:AJ$409,141)),"")</f>
        <v/>
      </c>
      <c r="AK142" t="str">
        <f>IFERROR(INDEX('幕间与结算'!$E$9:$E$208,SMALL(AK$210:AK$409,141)),"")</f>
        <v/>
      </c>
      <c r="AL142" t="str">
        <f>IFERROR(INDEX('幕间与结算'!$E$9:$E$208,SMALL(AL$210:AL$409,141)),"")</f>
        <v/>
      </c>
      <c r="AM142" t="str">
        <f>IFERROR(INDEX('幕间与结算'!$E$9:$E$208,SMALL(AM$210:AM$409,141)),"")</f>
        <v/>
      </c>
      <c r="AN142" t="str">
        <f>IFERROR(INDEX('幕间与结算'!$E$9:$E$208,SMALL(AN$210:AN$409,141)),"")</f>
        <v/>
      </c>
      <c r="AO142" t="str">
        <f>IFERROR(INDEX('幕间与结算'!$E$9:$E$208,SMALL(AO$210:AO$409,141)),"")</f>
        <v/>
      </c>
      <c r="AP142" t="str">
        <f>IFERROR(INDEX('幕间与结算'!$E$9:$E$208,SMALL(AP$210:AP$409,141)),"")</f>
        <v/>
      </c>
      <c r="AQ142" t="str">
        <f>IFERROR(INDEX('幕间与结算'!$E$9:$E$208,SMALL(AQ$210:AQ$409,141)),"")</f>
        <v/>
      </c>
      <c r="AR142" t="str">
        <f>IFERROR(INDEX('幕间与结算'!$E$9:$E$208,SMALL(AR$210:AR$409,141)),"")</f>
        <v/>
      </c>
      <c r="AS142" t="str">
        <f>IFERROR(INDEX('幕间与结算'!$E$9:$E$208,SMALL(AS$210:AS$409,141)),"")</f>
        <v/>
      </c>
      <c r="AT142" t="str">
        <f>IFERROR(INDEX('幕间与结算'!$E$9:$E$208,SMALL(AT$210:AT$409,141)),"")</f>
        <v/>
      </c>
    </row>
    <row r="143">
      <c r="AA143" t="str">
        <f>IFERROR(INDEX('幕间与结算'!$E$9:$E$208,SMALL(AA$210:AA$409,142)),"")</f>
        <v/>
      </c>
      <c r="AB143" t="str">
        <f>IFERROR(INDEX('幕间与结算'!$E$9:$E$208,SMALL(AB$210:AB$409,142)),"")</f>
        <v/>
      </c>
      <c r="AC143" t="str">
        <f>IFERROR(INDEX('幕间与结算'!$E$9:$E$208,SMALL(AC$210:AC$409,142)),"")</f>
        <v/>
      </c>
      <c r="AD143" t="str">
        <f>IFERROR(INDEX('幕间与结算'!$E$9:$E$208,SMALL(AD$210:AD$409,142)),"")</f>
        <v/>
      </c>
      <c r="AE143" t="str">
        <f>IFERROR(INDEX('幕间与结算'!$E$9:$E$208,SMALL(AE$210:AE$409,142)),"")</f>
        <v/>
      </c>
      <c r="AF143" t="str">
        <f>IFERROR(INDEX('幕间与结算'!$E$9:$E$208,SMALL(AF$210:AF$409,142)),"")</f>
        <v/>
      </c>
      <c r="AG143" t="str">
        <f>IFERROR(INDEX('幕间与结算'!$E$9:$E$208,SMALL(AG$210:AG$409,142)),"")</f>
        <v/>
      </c>
      <c r="AH143" t="str">
        <f>IFERROR(INDEX('幕间与结算'!$E$9:$E$208,SMALL(AH$210:AH$409,142)),"")</f>
        <v/>
      </c>
      <c r="AI143" t="str">
        <f>IFERROR(INDEX('幕间与结算'!$E$9:$E$208,SMALL(AI$210:AI$409,142)),"")</f>
        <v/>
      </c>
      <c r="AJ143" t="str">
        <f>IFERROR(INDEX('幕间与结算'!$E$9:$E$208,SMALL(AJ$210:AJ$409,142)),"")</f>
        <v/>
      </c>
      <c r="AK143" t="str">
        <f>IFERROR(INDEX('幕间与结算'!$E$9:$E$208,SMALL(AK$210:AK$409,142)),"")</f>
        <v/>
      </c>
      <c r="AL143" t="str">
        <f>IFERROR(INDEX('幕间与结算'!$E$9:$E$208,SMALL(AL$210:AL$409,142)),"")</f>
        <v/>
      </c>
      <c r="AM143" t="str">
        <f>IFERROR(INDEX('幕间与结算'!$E$9:$E$208,SMALL(AM$210:AM$409,142)),"")</f>
        <v/>
      </c>
      <c r="AN143" t="str">
        <f>IFERROR(INDEX('幕间与结算'!$E$9:$E$208,SMALL(AN$210:AN$409,142)),"")</f>
        <v/>
      </c>
      <c r="AO143" t="str">
        <f>IFERROR(INDEX('幕间与结算'!$E$9:$E$208,SMALL(AO$210:AO$409,142)),"")</f>
        <v/>
      </c>
      <c r="AP143" t="str">
        <f>IFERROR(INDEX('幕间与结算'!$E$9:$E$208,SMALL(AP$210:AP$409,142)),"")</f>
        <v/>
      </c>
      <c r="AQ143" t="str">
        <f>IFERROR(INDEX('幕间与结算'!$E$9:$E$208,SMALL(AQ$210:AQ$409,142)),"")</f>
        <v/>
      </c>
      <c r="AR143" t="str">
        <f>IFERROR(INDEX('幕间与结算'!$E$9:$E$208,SMALL(AR$210:AR$409,142)),"")</f>
        <v/>
      </c>
      <c r="AS143" t="str">
        <f>IFERROR(INDEX('幕间与结算'!$E$9:$E$208,SMALL(AS$210:AS$409,142)),"")</f>
        <v/>
      </c>
      <c r="AT143" t="str">
        <f>IFERROR(INDEX('幕间与结算'!$E$9:$E$208,SMALL(AT$210:AT$409,142)),"")</f>
        <v/>
      </c>
    </row>
    <row r="144">
      <c r="AA144" t="str">
        <f>IFERROR(INDEX('幕间与结算'!$E$9:$E$208,SMALL(AA$210:AA$409,143)),"")</f>
        <v/>
      </c>
      <c r="AB144" t="str">
        <f>IFERROR(INDEX('幕间与结算'!$E$9:$E$208,SMALL(AB$210:AB$409,143)),"")</f>
        <v/>
      </c>
      <c r="AC144" t="str">
        <f>IFERROR(INDEX('幕间与结算'!$E$9:$E$208,SMALL(AC$210:AC$409,143)),"")</f>
        <v/>
      </c>
      <c r="AD144" t="str">
        <f>IFERROR(INDEX('幕间与结算'!$E$9:$E$208,SMALL(AD$210:AD$409,143)),"")</f>
        <v/>
      </c>
      <c r="AE144" t="str">
        <f>IFERROR(INDEX('幕间与结算'!$E$9:$E$208,SMALL(AE$210:AE$409,143)),"")</f>
        <v/>
      </c>
      <c r="AF144" t="str">
        <f>IFERROR(INDEX('幕间与结算'!$E$9:$E$208,SMALL(AF$210:AF$409,143)),"")</f>
        <v/>
      </c>
      <c r="AG144" t="str">
        <f>IFERROR(INDEX('幕间与结算'!$E$9:$E$208,SMALL(AG$210:AG$409,143)),"")</f>
        <v/>
      </c>
      <c r="AH144" t="str">
        <f>IFERROR(INDEX('幕间与结算'!$E$9:$E$208,SMALL(AH$210:AH$409,143)),"")</f>
        <v/>
      </c>
      <c r="AI144" t="str">
        <f>IFERROR(INDEX('幕间与结算'!$E$9:$E$208,SMALL(AI$210:AI$409,143)),"")</f>
        <v/>
      </c>
      <c r="AJ144" t="str">
        <f>IFERROR(INDEX('幕间与结算'!$E$9:$E$208,SMALL(AJ$210:AJ$409,143)),"")</f>
        <v/>
      </c>
      <c r="AK144" t="str">
        <f>IFERROR(INDEX('幕间与结算'!$E$9:$E$208,SMALL(AK$210:AK$409,143)),"")</f>
        <v/>
      </c>
      <c r="AL144" t="str">
        <f>IFERROR(INDEX('幕间与结算'!$E$9:$E$208,SMALL(AL$210:AL$409,143)),"")</f>
        <v/>
      </c>
      <c r="AM144" t="str">
        <f>IFERROR(INDEX('幕间与结算'!$E$9:$E$208,SMALL(AM$210:AM$409,143)),"")</f>
        <v/>
      </c>
      <c r="AN144" t="str">
        <f>IFERROR(INDEX('幕间与结算'!$E$9:$E$208,SMALL(AN$210:AN$409,143)),"")</f>
        <v/>
      </c>
      <c r="AO144" t="str">
        <f>IFERROR(INDEX('幕间与结算'!$E$9:$E$208,SMALL(AO$210:AO$409,143)),"")</f>
        <v/>
      </c>
      <c r="AP144" t="str">
        <f>IFERROR(INDEX('幕间与结算'!$E$9:$E$208,SMALL(AP$210:AP$409,143)),"")</f>
        <v/>
      </c>
      <c r="AQ144" t="str">
        <f>IFERROR(INDEX('幕间与结算'!$E$9:$E$208,SMALL(AQ$210:AQ$409,143)),"")</f>
        <v/>
      </c>
      <c r="AR144" t="str">
        <f>IFERROR(INDEX('幕间与结算'!$E$9:$E$208,SMALL(AR$210:AR$409,143)),"")</f>
        <v/>
      </c>
      <c r="AS144" t="str">
        <f>IFERROR(INDEX('幕间与结算'!$E$9:$E$208,SMALL(AS$210:AS$409,143)),"")</f>
        <v/>
      </c>
      <c r="AT144" t="str">
        <f>IFERROR(INDEX('幕间与结算'!$E$9:$E$208,SMALL(AT$210:AT$409,143)),"")</f>
        <v/>
      </c>
    </row>
    <row r="145">
      <c r="AA145" t="str">
        <f>IFERROR(INDEX('幕间与结算'!$E$9:$E$208,SMALL(AA$210:AA$409,144)),"")</f>
        <v/>
      </c>
      <c r="AB145" t="str">
        <f>IFERROR(INDEX('幕间与结算'!$E$9:$E$208,SMALL(AB$210:AB$409,144)),"")</f>
        <v/>
      </c>
      <c r="AC145" t="str">
        <f>IFERROR(INDEX('幕间与结算'!$E$9:$E$208,SMALL(AC$210:AC$409,144)),"")</f>
        <v/>
      </c>
      <c r="AD145" t="str">
        <f>IFERROR(INDEX('幕间与结算'!$E$9:$E$208,SMALL(AD$210:AD$409,144)),"")</f>
        <v/>
      </c>
      <c r="AE145" t="str">
        <f>IFERROR(INDEX('幕间与结算'!$E$9:$E$208,SMALL(AE$210:AE$409,144)),"")</f>
        <v/>
      </c>
      <c r="AF145" t="str">
        <f>IFERROR(INDEX('幕间与结算'!$E$9:$E$208,SMALL(AF$210:AF$409,144)),"")</f>
        <v/>
      </c>
      <c r="AG145" t="str">
        <f>IFERROR(INDEX('幕间与结算'!$E$9:$E$208,SMALL(AG$210:AG$409,144)),"")</f>
        <v/>
      </c>
      <c r="AH145" t="str">
        <f>IFERROR(INDEX('幕间与结算'!$E$9:$E$208,SMALL(AH$210:AH$409,144)),"")</f>
        <v/>
      </c>
      <c r="AI145" t="str">
        <f>IFERROR(INDEX('幕间与结算'!$E$9:$E$208,SMALL(AI$210:AI$409,144)),"")</f>
        <v/>
      </c>
      <c r="AJ145" t="str">
        <f>IFERROR(INDEX('幕间与结算'!$E$9:$E$208,SMALL(AJ$210:AJ$409,144)),"")</f>
        <v/>
      </c>
      <c r="AK145" t="str">
        <f>IFERROR(INDEX('幕间与结算'!$E$9:$E$208,SMALL(AK$210:AK$409,144)),"")</f>
        <v/>
      </c>
      <c r="AL145" t="str">
        <f>IFERROR(INDEX('幕间与结算'!$E$9:$E$208,SMALL(AL$210:AL$409,144)),"")</f>
        <v/>
      </c>
      <c r="AM145" t="str">
        <f>IFERROR(INDEX('幕间与结算'!$E$9:$E$208,SMALL(AM$210:AM$409,144)),"")</f>
        <v/>
      </c>
      <c r="AN145" t="str">
        <f>IFERROR(INDEX('幕间与结算'!$E$9:$E$208,SMALL(AN$210:AN$409,144)),"")</f>
        <v/>
      </c>
      <c r="AO145" t="str">
        <f>IFERROR(INDEX('幕间与结算'!$E$9:$E$208,SMALL(AO$210:AO$409,144)),"")</f>
        <v/>
      </c>
      <c r="AP145" t="str">
        <f>IFERROR(INDEX('幕间与结算'!$E$9:$E$208,SMALL(AP$210:AP$409,144)),"")</f>
        <v/>
      </c>
      <c r="AQ145" t="str">
        <f>IFERROR(INDEX('幕间与结算'!$E$9:$E$208,SMALL(AQ$210:AQ$409,144)),"")</f>
        <v/>
      </c>
      <c r="AR145" t="str">
        <f>IFERROR(INDEX('幕间与结算'!$E$9:$E$208,SMALL(AR$210:AR$409,144)),"")</f>
        <v/>
      </c>
      <c r="AS145" t="str">
        <f>IFERROR(INDEX('幕间与结算'!$E$9:$E$208,SMALL(AS$210:AS$409,144)),"")</f>
        <v/>
      </c>
      <c r="AT145" t="str">
        <f>IFERROR(INDEX('幕间与结算'!$E$9:$E$208,SMALL(AT$210:AT$409,144)),"")</f>
        <v/>
      </c>
    </row>
    <row r="146">
      <c r="AA146" t="str">
        <f>IFERROR(INDEX('幕间与结算'!$E$9:$E$208,SMALL(AA$210:AA$409,145)),"")</f>
        <v/>
      </c>
      <c r="AB146" t="str">
        <f>IFERROR(INDEX('幕间与结算'!$E$9:$E$208,SMALL(AB$210:AB$409,145)),"")</f>
        <v/>
      </c>
      <c r="AC146" t="str">
        <f>IFERROR(INDEX('幕间与结算'!$E$9:$E$208,SMALL(AC$210:AC$409,145)),"")</f>
        <v/>
      </c>
      <c r="AD146" t="str">
        <f>IFERROR(INDEX('幕间与结算'!$E$9:$E$208,SMALL(AD$210:AD$409,145)),"")</f>
        <v/>
      </c>
      <c r="AE146" t="str">
        <f>IFERROR(INDEX('幕间与结算'!$E$9:$E$208,SMALL(AE$210:AE$409,145)),"")</f>
        <v/>
      </c>
      <c r="AF146" t="str">
        <f>IFERROR(INDEX('幕间与结算'!$E$9:$E$208,SMALL(AF$210:AF$409,145)),"")</f>
        <v/>
      </c>
      <c r="AG146" t="str">
        <f>IFERROR(INDEX('幕间与结算'!$E$9:$E$208,SMALL(AG$210:AG$409,145)),"")</f>
        <v/>
      </c>
      <c r="AH146" t="str">
        <f>IFERROR(INDEX('幕间与结算'!$E$9:$E$208,SMALL(AH$210:AH$409,145)),"")</f>
        <v/>
      </c>
      <c r="AI146" t="str">
        <f>IFERROR(INDEX('幕间与结算'!$E$9:$E$208,SMALL(AI$210:AI$409,145)),"")</f>
        <v/>
      </c>
      <c r="AJ146" t="str">
        <f>IFERROR(INDEX('幕间与结算'!$E$9:$E$208,SMALL(AJ$210:AJ$409,145)),"")</f>
        <v/>
      </c>
      <c r="AK146" t="str">
        <f>IFERROR(INDEX('幕间与结算'!$E$9:$E$208,SMALL(AK$210:AK$409,145)),"")</f>
        <v/>
      </c>
      <c r="AL146" t="str">
        <f>IFERROR(INDEX('幕间与结算'!$E$9:$E$208,SMALL(AL$210:AL$409,145)),"")</f>
        <v/>
      </c>
      <c r="AM146" t="str">
        <f>IFERROR(INDEX('幕间与结算'!$E$9:$E$208,SMALL(AM$210:AM$409,145)),"")</f>
        <v/>
      </c>
      <c r="AN146" t="str">
        <f>IFERROR(INDEX('幕间与结算'!$E$9:$E$208,SMALL(AN$210:AN$409,145)),"")</f>
        <v/>
      </c>
      <c r="AO146" t="str">
        <f>IFERROR(INDEX('幕间与结算'!$E$9:$E$208,SMALL(AO$210:AO$409,145)),"")</f>
        <v/>
      </c>
      <c r="AP146" t="str">
        <f>IFERROR(INDEX('幕间与结算'!$E$9:$E$208,SMALL(AP$210:AP$409,145)),"")</f>
        <v/>
      </c>
      <c r="AQ146" t="str">
        <f>IFERROR(INDEX('幕间与结算'!$E$9:$E$208,SMALL(AQ$210:AQ$409,145)),"")</f>
        <v/>
      </c>
      <c r="AR146" t="str">
        <f>IFERROR(INDEX('幕间与结算'!$E$9:$E$208,SMALL(AR$210:AR$409,145)),"")</f>
        <v/>
      </c>
      <c r="AS146" t="str">
        <f>IFERROR(INDEX('幕间与结算'!$E$9:$E$208,SMALL(AS$210:AS$409,145)),"")</f>
        <v/>
      </c>
      <c r="AT146" t="str">
        <f>IFERROR(INDEX('幕间与结算'!$E$9:$E$208,SMALL(AT$210:AT$409,145)),"")</f>
        <v/>
      </c>
    </row>
    <row r="147">
      <c r="AA147" t="str">
        <f>IFERROR(INDEX('幕间与结算'!$E$9:$E$208,SMALL(AA$210:AA$409,146)),"")</f>
        <v/>
      </c>
      <c r="AB147" t="str">
        <f>IFERROR(INDEX('幕间与结算'!$E$9:$E$208,SMALL(AB$210:AB$409,146)),"")</f>
        <v/>
      </c>
      <c r="AC147" t="str">
        <f>IFERROR(INDEX('幕间与结算'!$E$9:$E$208,SMALL(AC$210:AC$409,146)),"")</f>
        <v/>
      </c>
      <c r="AD147" t="str">
        <f>IFERROR(INDEX('幕间与结算'!$E$9:$E$208,SMALL(AD$210:AD$409,146)),"")</f>
        <v/>
      </c>
      <c r="AE147" t="str">
        <f>IFERROR(INDEX('幕间与结算'!$E$9:$E$208,SMALL(AE$210:AE$409,146)),"")</f>
        <v/>
      </c>
      <c r="AF147" t="str">
        <f>IFERROR(INDEX('幕间与结算'!$E$9:$E$208,SMALL(AF$210:AF$409,146)),"")</f>
        <v/>
      </c>
      <c r="AG147" t="str">
        <f>IFERROR(INDEX('幕间与结算'!$E$9:$E$208,SMALL(AG$210:AG$409,146)),"")</f>
        <v/>
      </c>
      <c r="AH147" t="str">
        <f>IFERROR(INDEX('幕间与结算'!$E$9:$E$208,SMALL(AH$210:AH$409,146)),"")</f>
        <v/>
      </c>
      <c r="AI147" t="str">
        <f>IFERROR(INDEX('幕间与结算'!$E$9:$E$208,SMALL(AI$210:AI$409,146)),"")</f>
        <v/>
      </c>
      <c r="AJ147" t="str">
        <f>IFERROR(INDEX('幕间与结算'!$E$9:$E$208,SMALL(AJ$210:AJ$409,146)),"")</f>
        <v/>
      </c>
      <c r="AK147" t="str">
        <f>IFERROR(INDEX('幕间与结算'!$E$9:$E$208,SMALL(AK$210:AK$409,146)),"")</f>
        <v/>
      </c>
      <c r="AL147" t="str">
        <f>IFERROR(INDEX('幕间与结算'!$E$9:$E$208,SMALL(AL$210:AL$409,146)),"")</f>
        <v/>
      </c>
      <c r="AM147" t="str">
        <f>IFERROR(INDEX('幕间与结算'!$E$9:$E$208,SMALL(AM$210:AM$409,146)),"")</f>
        <v/>
      </c>
      <c r="AN147" t="str">
        <f>IFERROR(INDEX('幕间与结算'!$E$9:$E$208,SMALL(AN$210:AN$409,146)),"")</f>
        <v/>
      </c>
      <c r="AO147" t="str">
        <f>IFERROR(INDEX('幕间与结算'!$E$9:$E$208,SMALL(AO$210:AO$409,146)),"")</f>
        <v/>
      </c>
      <c r="AP147" t="str">
        <f>IFERROR(INDEX('幕间与结算'!$E$9:$E$208,SMALL(AP$210:AP$409,146)),"")</f>
        <v/>
      </c>
      <c r="AQ147" t="str">
        <f>IFERROR(INDEX('幕间与结算'!$E$9:$E$208,SMALL(AQ$210:AQ$409,146)),"")</f>
        <v/>
      </c>
      <c r="AR147" t="str">
        <f>IFERROR(INDEX('幕间与结算'!$E$9:$E$208,SMALL(AR$210:AR$409,146)),"")</f>
        <v/>
      </c>
      <c r="AS147" t="str">
        <f>IFERROR(INDEX('幕间与结算'!$E$9:$E$208,SMALL(AS$210:AS$409,146)),"")</f>
        <v/>
      </c>
      <c r="AT147" t="str">
        <f>IFERROR(INDEX('幕间与结算'!$E$9:$E$208,SMALL(AT$210:AT$409,146)),"")</f>
        <v/>
      </c>
    </row>
    <row r="148">
      <c r="AA148" t="str">
        <f>IFERROR(INDEX('幕间与结算'!$E$9:$E$208,SMALL(AA$210:AA$409,147)),"")</f>
        <v/>
      </c>
      <c r="AB148" t="str">
        <f>IFERROR(INDEX('幕间与结算'!$E$9:$E$208,SMALL(AB$210:AB$409,147)),"")</f>
        <v/>
      </c>
      <c r="AC148" t="str">
        <f>IFERROR(INDEX('幕间与结算'!$E$9:$E$208,SMALL(AC$210:AC$409,147)),"")</f>
        <v/>
      </c>
      <c r="AD148" t="str">
        <f>IFERROR(INDEX('幕间与结算'!$E$9:$E$208,SMALL(AD$210:AD$409,147)),"")</f>
        <v/>
      </c>
      <c r="AE148" t="str">
        <f>IFERROR(INDEX('幕间与结算'!$E$9:$E$208,SMALL(AE$210:AE$409,147)),"")</f>
        <v/>
      </c>
      <c r="AF148" t="str">
        <f>IFERROR(INDEX('幕间与结算'!$E$9:$E$208,SMALL(AF$210:AF$409,147)),"")</f>
        <v/>
      </c>
      <c r="AG148" t="str">
        <f>IFERROR(INDEX('幕间与结算'!$E$9:$E$208,SMALL(AG$210:AG$409,147)),"")</f>
        <v/>
      </c>
      <c r="AH148" t="str">
        <f>IFERROR(INDEX('幕间与结算'!$E$9:$E$208,SMALL(AH$210:AH$409,147)),"")</f>
        <v/>
      </c>
      <c r="AI148" t="str">
        <f>IFERROR(INDEX('幕间与结算'!$E$9:$E$208,SMALL(AI$210:AI$409,147)),"")</f>
        <v/>
      </c>
      <c r="AJ148" t="str">
        <f>IFERROR(INDEX('幕间与结算'!$E$9:$E$208,SMALL(AJ$210:AJ$409,147)),"")</f>
        <v/>
      </c>
      <c r="AK148" t="str">
        <f>IFERROR(INDEX('幕间与结算'!$E$9:$E$208,SMALL(AK$210:AK$409,147)),"")</f>
        <v/>
      </c>
      <c r="AL148" t="str">
        <f>IFERROR(INDEX('幕间与结算'!$E$9:$E$208,SMALL(AL$210:AL$409,147)),"")</f>
        <v/>
      </c>
      <c r="AM148" t="str">
        <f>IFERROR(INDEX('幕间与结算'!$E$9:$E$208,SMALL(AM$210:AM$409,147)),"")</f>
        <v/>
      </c>
      <c r="AN148" t="str">
        <f>IFERROR(INDEX('幕间与结算'!$E$9:$E$208,SMALL(AN$210:AN$409,147)),"")</f>
        <v/>
      </c>
      <c r="AO148" t="str">
        <f>IFERROR(INDEX('幕间与结算'!$E$9:$E$208,SMALL(AO$210:AO$409,147)),"")</f>
        <v/>
      </c>
      <c r="AP148" t="str">
        <f>IFERROR(INDEX('幕间与结算'!$E$9:$E$208,SMALL(AP$210:AP$409,147)),"")</f>
        <v/>
      </c>
      <c r="AQ148" t="str">
        <f>IFERROR(INDEX('幕间与结算'!$E$9:$E$208,SMALL(AQ$210:AQ$409,147)),"")</f>
        <v/>
      </c>
      <c r="AR148" t="str">
        <f>IFERROR(INDEX('幕间与结算'!$E$9:$E$208,SMALL(AR$210:AR$409,147)),"")</f>
        <v/>
      </c>
      <c r="AS148" t="str">
        <f>IFERROR(INDEX('幕间与结算'!$E$9:$E$208,SMALL(AS$210:AS$409,147)),"")</f>
        <v/>
      </c>
      <c r="AT148" t="str">
        <f>IFERROR(INDEX('幕间与结算'!$E$9:$E$208,SMALL(AT$210:AT$409,147)),"")</f>
        <v/>
      </c>
    </row>
    <row r="149">
      <c r="AA149" t="str">
        <f>IFERROR(INDEX('幕间与结算'!$E$9:$E$208,SMALL(AA$210:AA$409,148)),"")</f>
        <v/>
      </c>
      <c r="AB149" t="str">
        <f>IFERROR(INDEX('幕间与结算'!$E$9:$E$208,SMALL(AB$210:AB$409,148)),"")</f>
        <v/>
      </c>
      <c r="AC149" t="str">
        <f>IFERROR(INDEX('幕间与结算'!$E$9:$E$208,SMALL(AC$210:AC$409,148)),"")</f>
        <v/>
      </c>
      <c r="AD149" t="str">
        <f>IFERROR(INDEX('幕间与结算'!$E$9:$E$208,SMALL(AD$210:AD$409,148)),"")</f>
        <v/>
      </c>
      <c r="AE149" t="str">
        <f>IFERROR(INDEX('幕间与结算'!$E$9:$E$208,SMALL(AE$210:AE$409,148)),"")</f>
        <v/>
      </c>
      <c r="AF149" t="str">
        <f>IFERROR(INDEX('幕间与结算'!$E$9:$E$208,SMALL(AF$210:AF$409,148)),"")</f>
        <v/>
      </c>
      <c r="AG149" t="str">
        <f>IFERROR(INDEX('幕间与结算'!$E$9:$E$208,SMALL(AG$210:AG$409,148)),"")</f>
        <v/>
      </c>
      <c r="AH149" t="str">
        <f>IFERROR(INDEX('幕间与结算'!$E$9:$E$208,SMALL(AH$210:AH$409,148)),"")</f>
        <v/>
      </c>
      <c r="AI149" t="str">
        <f>IFERROR(INDEX('幕间与结算'!$E$9:$E$208,SMALL(AI$210:AI$409,148)),"")</f>
        <v/>
      </c>
      <c r="AJ149" t="str">
        <f>IFERROR(INDEX('幕间与结算'!$E$9:$E$208,SMALL(AJ$210:AJ$409,148)),"")</f>
        <v/>
      </c>
      <c r="AK149" t="str">
        <f>IFERROR(INDEX('幕间与结算'!$E$9:$E$208,SMALL(AK$210:AK$409,148)),"")</f>
        <v/>
      </c>
      <c r="AL149" t="str">
        <f>IFERROR(INDEX('幕间与结算'!$E$9:$E$208,SMALL(AL$210:AL$409,148)),"")</f>
        <v/>
      </c>
      <c r="AM149" t="str">
        <f>IFERROR(INDEX('幕间与结算'!$E$9:$E$208,SMALL(AM$210:AM$409,148)),"")</f>
        <v/>
      </c>
      <c r="AN149" t="str">
        <f>IFERROR(INDEX('幕间与结算'!$E$9:$E$208,SMALL(AN$210:AN$409,148)),"")</f>
        <v/>
      </c>
      <c r="AO149" t="str">
        <f>IFERROR(INDEX('幕间与结算'!$E$9:$E$208,SMALL(AO$210:AO$409,148)),"")</f>
        <v/>
      </c>
      <c r="AP149" t="str">
        <f>IFERROR(INDEX('幕间与结算'!$E$9:$E$208,SMALL(AP$210:AP$409,148)),"")</f>
        <v/>
      </c>
      <c r="AQ149" t="str">
        <f>IFERROR(INDEX('幕间与结算'!$E$9:$E$208,SMALL(AQ$210:AQ$409,148)),"")</f>
        <v/>
      </c>
      <c r="AR149" t="str">
        <f>IFERROR(INDEX('幕间与结算'!$E$9:$E$208,SMALL(AR$210:AR$409,148)),"")</f>
        <v/>
      </c>
      <c r="AS149" t="str">
        <f>IFERROR(INDEX('幕间与结算'!$E$9:$E$208,SMALL(AS$210:AS$409,148)),"")</f>
        <v/>
      </c>
      <c r="AT149" t="str">
        <f>IFERROR(INDEX('幕间与结算'!$E$9:$E$208,SMALL(AT$210:AT$409,148)),"")</f>
        <v/>
      </c>
    </row>
    <row r="150">
      <c r="AA150" t="str">
        <f>IFERROR(INDEX('幕间与结算'!$E$9:$E$208,SMALL(AA$210:AA$409,149)),"")</f>
        <v/>
      </c>
      <c r="AB150" t="str">
        <f>IFERROR(INDEX('幕间与结算'!$E$9:$E$208,SMALL(AB$210:AB$409,149)),"")</f>
        <v/>
      </c>
      <c r="AC150" t="str">
        <f>IFERROR(INDEX('幕间与结算'!$E$9:$E$208,SMALL(AC$210:AC$409,149)),"")</f>
        <v/>
      </c>
      <c r="AD150" t="str">
        <f>IFERROR(INDEX('幕间与结算'!$E$9:$E$208,SMALL(AD$210:AD$409,149)),"")</f>
        <v/>
      </c>
      <c r="AE150" t="str">
        <f>IFERROR(INDEX('幕间与结算'!$E$9:$E$208,SMALL(AE$210:AE$409,149)),"")</f>
        <v/>
      </c>
      <c r="AF150" t="str">
        <f>IFERROR(INDEX('幕间与结算'!$E$9:$E$208,SMALL(AF$210:AF$409,149)),"")</f>
        <v/>
      </c>
      <c r="AG150" t="str">
        <f>IFERROR(INDEX('幕间与结算'!$E$9:$E$208,SMALL(AG$210:AG$409,149)),"")</f>
        <v/>
      </c>
      <c r="AH150" t="str">
        <f>IFERROR(INDEX('幕间与结算'!$E$9:$E$208,SMALL(AH$210:AH$409,149)),"")</f>
        <v/>
      </c>
      <c r="AI150" t="str">
        <f>IFERROR(INDEX('幕间与结算'!$E$9:$E$208,SMALL(AI$210:AI$409,149)),"")</f>
        <v/>
      </c>
      <c r="AJ150" t="str">
        <f>IFERROR(INDEX('幕间与结算'!$E$9:$E$208,SMALL(AJ$210:AJ$409,149)),"")</f>
        <v/>
      </c>
      <c r="AK150" t="str">
        <f>IFERROR(INDEX('幕间与结算'!$E$9:$E$208,SMALL(AK$210:AK$409,149)),"")</f>
        <v/>
      </c>
      <c r="AL150" t="str">
        <f>IFERROR(INDEX('幕间与结算'!$E$9:$E$208,SMALL(AL$210:AL$409,149)),"")</f>
        <v/>
      </c>
      <c r="AM150" t="str">
        <f>IFERROR(INDEX('幕间与结算'!$E$9:$E$208,SMALL(AM$210:AM$409,149)),"")</f>
        <v/>
      </c>
      <c r="AN150" t="str">
        <f>IFERROR(INDEX('幕间与结算'!$E$9:$E$208,SMALL(AN$210:AN$409,149)),"")</f>
        <v/>
      </c>
      <c r="AO150" t="str">
        <f>IFERROR(INDEX('幕间与结算'!$E$9:$E$208,SMALL(AO$210:AO$409,149)),"")</f>
        <v/>
      </c>
      <c r="AP150" t="str">
        <f>IFERROR(INDEX('幕间与结算'!$E$9:$E$208,SMALL(AP$210:AP$409,149)),"")</f>
        <v/>
      </c>
      <c r="AQ150" t="str">
        <f>IFERROR(INDEX('幕间与结算'!$E$9:$E$208,SMALL(AQ$210:AQ$409,149)),"")</f>
        <v/>
      </c>
      <c r="AR150" t="str">
        <f>IFERROR(INDEX('幕间与结算'!$E$9:$E$208,SMALL(AR$210:AR$409,149)),"")</f>
        <v/>
      </c>
      <c r="AS150" t="str">
        <f>IFERROR(INDEX('幕间与结算'!$E$9:$E$208,SMALL(AS$210:AS$409,149)),"")</f>
        <v/>
      </c>
      <c r="AT150" t="str">
        <f>IFERROR(INDEX('幕间与结算'!$E$9:$E$208,SMALL(AT$210:AT$409,149)),"")</f>
        <v/>
      </c>
    </row>
    <row r="151">
      <c r="AA151" t="str">
        <f>IFERROR(INDEX('幕间与结算'!$E$9:$E$208,SMALL(AA$210:AA$409,150)),"")</f>
        <v/>
      </c>
      <c r="AB151" t="str">
        <f>IFERROR(INDEX('幕间与结算'!$E$9:$E$208,SMALL(AB$210:AB$409,150)),"")</f>
        <v/>
      </c>
      <c r="AC151" t="str">
        <f>IFERROR(INDEX('幕间与结算'!$E$9:$E$208,SMALL(AC$210:AC$409,150)),"")</f>
        <v/>
      </c>
      <c r="AD151" t="str">
        <f>IFERROR(INDEX('幕间与结算'!$E$9:$E$208,SMALL(AD$210:AD$409,150)),"")</f>
        <v/>
      </c>
      <c r="AE151" t="str">
        <f>IFERROR(INDEX('幕间与结算'!$E$9:$E$208,SMALL(AE$210:AE$409,150)),"")</f>
        <v/>
      </c>
      <c r="AF151" t="str">
        <f>IFERROR(INDEX('幕间与结算'!$E$9:$E$208,SMALL(AF$210:AF$409,150)),"")</f>
        <v/>
      </c>
      <c r="AG151" t="str">
        <f>IFERROR(INDEX('幕间与结算'!$E$9:$E$208,SMALL(AG$210:AG$409,150)),"")</f>
        <v/>
      </c>
      <c r="AH151" t="str">
        <f>IFERROR(INDEX('幕间与结算'!$E$9:$E$208,SMALL(AH$210:AH$409,150)),"")</f>
        <v/>
      </c>
      <c r="AI151" t="str">
        <f>IFERROR(INDEX('幕间与结算'!$E$9:$E$208,SMALL(AI$210:AI$409,150)),"")</f>
        <v/>
      </c>
      <c r="AJ151" t="str">
        <f>IFERROR(INDEX('幕间与结算'!$E$9:$E$208,SMALL(AJ$210:AJ$409,150)),"")</f>
        <v/>
      </c>
      <c r="AK151" t="str">
        <f>IFERROR(INDEX('幕间与结算'!$E$9:$E$208,SMALL(AK$210:AK$409,150)),"")</f>
        <v/>
      </c>
      <c r="AL151" t="str">
        <f>IFERROR(INDEX('幕间与结算'!$E$9:$E$208,SMALL(AL$210:AL$409,150)),"")</f>
        <v/>
      </c>
      <c r="AM151" t="str">
        <f>IFERROR(INDEX('幕间与结算'!$E$9:$E$208,SMALL(AM$210:AM$409,150)),"")</f>
        <v/>
      </c>
      <c r="AN151" t="str">
        <f>IFERROR(INDEX('幕间与结算'!$E$9:$E$208,SMALL(AN$210:AN$409,150)),"")</f>
        <v/>
      </c>
      <c r="AO151" t="str">
        <f>IFERROR(INDEX('幕间与结算'!$E$9:$E$208,SMALL(AO$210:AO$409,150)),"")</f>
        <v/>
      </c>
      <c r="AP151" t="str">
        <f>IFERROR(INDEX('幕间与结算'!$E$9:$E$208,SMALL(AP$210:AP$409,150)),"")</f>
        <v/>
      </c>
      <c r="AQ151" t="str">
        <f>IFERROR(INDEX('幕间与结算'!$E$9:$E$208,SMALL(AQ$210:AQ$409,150)),"")</f>
        <v/>
      </c>
      <c r="AR151" t="str">
        <f>IFERROR(INDEX('幕间与结算'!$E$9:$E$208,SMALL(AR$210:AR$409,150)),"")</f>
        <v/>
      </c>
      <c r="AS151" t="str">
        <f>IFERROR(INDEX('幕间与结算'!$E$9:$E$208,SMALL(AS$210:AS$409,150)),"")</f>
        <v/>
      </c>
      <c r="AT151" t="str">
        <f>IFERROR(INDEX('幕间与结算'!$E$9:$E$208,SMALL(AT$210:AT$409,150)),"")</f>
        <v/>
      </c>
    </row>
    <row r="152">
      <c r="AA152" t="str">
        <f>IFERROR(INDEX('幕间与结算'!$E$9:$E$208,SMALL(AA$210:AA$409,151)),"")</f>
        <v/>
      </c>
      <c r="AB152" t="str">
        <f>IFERROR(INDEX('幕间与结算'!$E$9:$E$208,SMALL(AB$210:AB$409,151)),"")</f>
        <v/>
      </c>
      <c r="AC152" t="str">
        <f>IFERROR(INDEX('幕间与结算'!$E$9:$E$208,SMALL(AC$210:AC$409,151)),"")</f>
        <v/>
      </c>
      <c r="AD152" t="str">
        <f>IFERROR(INDEX('幕间与结算'!$E$9:$E$208,SMALL(AD$210:AD$409,151)),"")</f>
        <v/>
      </c>
      <c r="AE152" t="str">
        <f>IFERROR(INDEX('幕间与结算'!$E$9:$E$208,SMALL(AE$210:AE$409,151)),"")</f>
        <v/>
      </c>
      <c r="AF152" t="str">
        <f>IFERROR(INDEX('幕间与结算'!$E$9:$E$208,SMALL(AF$210:AF$409,151)),"")</f>
        <v/>
      </c>
      <c r="AG152" t="str">
        <f>IFERROR(INDEX('幕间与结算'!$E$9:$E$208,SMALL(AG$210:AG$409,151)),"")</f>
        <v/>
      </c>
      <c r="AH152" t="str">
        <f>IFERROR(INDEX('幕间与结算'!$E$9:$E$208,SMALL(AH$210:AH$409,151)),"")</f>
        <v/>
      </c>
      <c r="AI152" t="str">
        <f>IFERROR(INDEX('幕间与结算'!$E$9:$E$208,SMALL(AI$210:AI$409,151)),"")</f>
        <v/>
      </c>
      <c r="AJ152" t="str">
        <f>IFERROR(INDEX('幕间与结算'!$E$9:$E$208,SMALL(AJ$210:AJ$409,151)),"")</f>
        <v/>
      </c>
      <c r="AK152" t="str">
        <f>IFERROR(INDEX('幕间与结算'!$E$9:$E$208,SMALL(AK$210:AK$409,151)),"")</f>
        <v/>
      </c>
      <c r="AL152" t="str">
        <f>IFERROR(INDEX('幕间与结算'!$E$9:$E$208,SMALL(AL$210:AL$409,151)),"")</f>
        <v/>
      </c>
      <c r="AM152" t="str">
        <f>IFERROR(INDEX('幕间与结算'!$E$9:$E$208,SMALL(AM$210:AM$409,151)),"")</f>
        <v/>
      </c>
      <c r="AN152" t="str">
        <f>IFERROR(INDEX('幕间与结算'!$E$9:$E$208,SMALL(AN$210:AN$409,151)),"")</f>
        <v/>
      </c>
      <c r="AO152" t="str">
        <f>IFERROR(INDEX('幕间与结算'!$E$9:$E$208,SMALL(AO$210:AO$409,151)),"")</f>
        <v/>
      </c>
      <c r="AP152" t="str">
        <f>IFERROR(INDEX('幕间与结算'!$E$9:$E$208,SMALL(AP$210:AP$409,151)),"")</f>
        <v/>
      </c>
      <c r="AQ152" t="str">
        <f>IFERROR(INDEX('幕间与结算'!$E$9:$E$208,SMALL(AQ$210:AQ$409,151)),"")</f>
        <v/>
      </c>
      <c r="AR152" t="str">
        <f>IFERROR(INDEX('幕间与结算'!$E$9:$E$208,SMALL(AR$210:AR$409,151)),"")</f>
        <v/>
      </c>
      <c r="AS152" t="str">
        <f>IFERROR(INDEX('幕间与结算'!$E$9:$E$208,SMALL(AS$210:AS$409,151)),"")</f>
        <v/>
      </c>
      <c r="AT152" t="str">
        <f>IFERROR(INDEX('幕间与结算'!$E$9:$E$208,SMALL(AT$210:AT$409,151)),"")</f>
        <v/>
      </c>
    </row>
    <row r="153">
      <c r="AA153" t="str">
        <f>IFERROR(INDEX('幕间与结算'!$E$9:$E$208,SMALL(AA$210:AA$409,152)),"")</f>
        <v/>
      </c>
      <c r="AB153" t="str">
        <f>IFERROR(INDEX('幕间与结算'!$E$9:$E$208,SMALL(AB$210:AB$409,152)),"")</f>
        <v/>
      </c>
      <c r="AC153" t="str">
        <f>IFERROR(INDEX('幕间与结算'!$E$9:$E$208,SMALL(AC$210:AC$409,152)),"")</f>
        <v/>
      </c>
      <c r="AD153" t="str">
        <f>IFERROR(INDEX('幕间与结算'!$E$9:$E$208,SMALL(AD$210:AD$409,152)),"")</f>
        <v/>
      </c>
      <c r="AE153" t="str">
        <f>IFERROR(INDEX('幕间与结算'!$E$9:$E$208,SMALL(AE$210:AE$409,152)),"")</f>
        <v/>
      </c>
      <c r="AF153" t="str">
        <f>IFERROR(INDEX('幕间与结算'!$E$9:$E$208,SMALL(AF$210:AF$409,152)),"")</f>
        <v/>
      </c>
      <c r="AG153" t="str">
        <f>IFERROR(INDEX('幕间与结算'!$E$9:$E$208,SMALL(AG$210:AG$409,152)),"")</f>
        <v/>
      </c>
      <c r="AH153" t="str">
        <f>IFERROR(INDEX('幕间与结算'!$E$9:$E$208,SMALL(AH$210:AH$409,152)),"")</f>
        <v/>
      </c>
      <c r="AI153" t="str">
        <f>IFERROR(INDEX('幕间与结算'!$E$9:$E$208,SMALL(AI$210:AI$409,152)),"")</f>
        <v/>
      </c>
      <c r="AJ153" t="str">
        <f>IFERROR(INDEX('幕间与结算'!$E$9:$E$208,SMALL(AJ$210:AJ$409,152)),"")</f>
        <v/>
      </c>
      <c r="AK153" t="str">
        <f>IFERROR(INDEX('幕间与结算'!$E$9:$E$208,SMALL(AK$210:AK$409,152)),"")</f>
        <v/>
      </c>
      <c r="AL153" t="str">
        <f>IFERROR(INDEX('幕间与结算'!$E$9:$E$208,SMALL(AL$210:AL$409,152)),"")</f>
        <v/>
      </c>
      <c r="AM153" t="str">
        <f>IFERROR(INDEX('幕间与结算'!$E$9:$E$208,SMALL(AM$210:AM$409,152)),"")</f>
        <v/>
      </c>
      <c r="AN153" t="str">
        <f>IFERROR(INDEX('幕间与结算'!$E$9:$E$208,SMALL(AN$210:AN$409,152)),"")</f>
        <v/>
      </c>
      <c r="AO153" t="str">
        <f>IFERROR(INDEX('幕间与结算'!$E$9:$E$208,SMALL(AO$210:AO$409,152)),"")</f>
        <v/>
      </c>
      <c r="AP153" t="str">
        <f>IFERROR(INDEX('幕间与结算'!$E$9:$E$208,SMALL(AP$210:AP$409,152)),"")</f>
        <v/>
      </c>
      <c r="AQ153" t="str">
        <f>IFERROR(INDEX('幕间与结算'!$E$9:$E$208,SMALL(AQ$210:AQ$409,152)),"")</f>
        <v/>
      </c>
      <c r="AR153" t="str">
        <f>IFERROR(INDEX('幕间与结算'!$E$9:$E$208,SMALL(AR$210:AR$409,152)),"")</f>
        <v/>
      </c>
      <c r="AS153" t="str">
        <f>IFERROR(INDEX('幕间与结算'!$E$9:$E$208,SMALL(AS$210:AS$409,152)),"")</f>
        <v/>
      </c>
      <c r="AT153" t="str">
        <f>IFERROR(INDEX('幕间与结算'!$E$9:$E$208,SMALL(AT$210:AT$409,152)),"")</f>
        <v/>
      </c>
    </row>
    <row r="154">
      <c r="AA154" t="str">
        <f>IFERROR(INDEX('幕间与结算'!$E$9:$E$208,SMALL(AA$210:AA$409,153)),"")</f>
        <v/>
      </c>
      <c r="AB154" t="str">
        <f>IFERROR(INDEX('幕间与结算'!$E$9:$E$208,SMALL(AB$210:AB$409,153)),"")</f>
        <v/>
      </c>
      <c r="AC154" t="str">
        <f>IFERROR(INDEX('幕间与结算'!$E$9:$E$208,SMALL(AC$210:AC$409,153)),"")</f>
        <v/>
      </c>
      <c r="AD154" t="str">
        <f>IFERROR(INDEX('幕间与结算'!$E$9:$E$208,SMALL(AD$210:AD$409,153)),"")</f>
        <v/>
      </c>
      <c r="AE154" t="str">
        <f>IFERROR(INDEX('幕间与结算'!$E$9:$E$208,SMALL(AE$210:AE$409,153)),"")</f>
        <v/>
      </c>
      <c r="AF154" t="str">
        <f>IFERROR(INDEX('幕间与结算'!$E$9:$E$208,SMALL(AF$210:AF$409,153)),"")</f>
        <v/>
      </c>
      <c r="AG154" t="str">
        <f>IFERROR(INDEX('幕间与结算'!$E$9:$E$208,SMALL(AG$210:AG$409,153)),"")</f>
        <v/>
      </c>
      <c r="AH154" t="str">
        <f>IFERROR(INDEX('幕间与结算'!$E$9:$E$208,SMALL(AH$210:AH$409,153)),"")</f>
        <v/>
      </c>
      <c r="AI154" t="str">
        <f>IFERROR(INDEX('幕间与结算'!$E$9:$E$208,SMALL(AI$210:AI$409,153)),"")</f>
        <v/>
      </c>
      <c r="AJ154" t="str">
        <f>IFERROR(INDEX('幕间与结算'!$E$9:$E$208,SMALL(AJ$210:AJ$409,153)),"")</f>
        <v/>
      </c>
      <c r="AK154" t="str">
        <f>IFERROR(INDEX('幕间与结算'!$E$9:$E$208,SMALL(AK$210:AK$409,153)),"")</f>
        <v/>
      </c>
      <c r="AL154" t="str">
        <f>IFERROR(INDEX('幕间与结算'!$E$9:$E$208,SMALL(AL$210:AL$409,153)),"")</f>
        <v/>
      </c>
      <c r="AM154" t="str">
        <f>IFERROR(INDEX('幕间与结算'!$E$9:$E$208,SMALL(AM$210:AM$409,153)),"")</f>
        <v/>
      </c>
      <c r="AN154" t="str">
        <f>IFERROR(INDEX('幕间与结算'!$E$9:$E$208,SMALL(AN$210:AN$409,153)),"")</f>
        <v/>
      </c>
      <c r="AO154" t="str">
        <f>IFERROR(INDEX('幕间与结算'!$E$9:$E$208,SMALL(AO$210:AO$409,153)),"")</f>
        <v/>
      </c>
      <c r="AP154" t="str">
        <f>IFERROR(INDEX('幕间与结算'!$E$9:$E$208,SMALL(AP$210:AP$409,153)),"")</f>
        <v/>
      </c>
      <c r="AQ154" t="str">
        <f>IFERROR(INDEX('幕间与结算'!$E$9:$E$208,SMALL(AQ$210:AQ$409,153)),"")</f>
        <v/>
      </c>
      <c r="AR154" t="str">
        <f>IFERROR(INDEX('幕间与结算'!$E$9:$E$208,SMALL(AR$210:AR$409,153)),"")</f>
        <v/>
      </c>
      <c r="AS154" t="str">
        <f>IFERROR(INDEX('幕间与结算'!$E$9:$E$208,SMALL(AS$210:AS$409,153)),"")</f>
        <v/>
      </c>
      <c r="AT154" t="str">
        <f>IFERROR(INDEX('幕间与结算'!$E$9:$E$208,SMALL(AT$210:AT$409,153)),"")</f>
        <v/>
      </c>
    </row>
    <row r="155">
      <c r="AA155" t="str">
        <f>IFERROR(INDEX('幕间与结算'!$E$9:$E$208,SMALL(AA$210:AA$409,154)),"")</f>
        <v/>
      </c>
      <c r="AB155" t="str">
        <f>IFERROR(INDEX('幕间与结算'!$E$9:$E$208,SMALL(AB$210:AB$409,154)),"")</f>
        <v/>
      </c>
      <c r="AC155" t="str">
        <f>IFERROR(INDEX('幕间与结算'!$E$9:$E$208,SMALL(AC$210:AC$409,154)),"")</f>
        <v/>
      </c>
      <c r="AD155" t="str">
        <f>IFERROR(INDEX('幕间与结算'!$E$9:$E$208,SMALL(AD$210:AD$409,154)),"")</f>
        <v/>
      </c>
      <c r="AE155" t="str">
        <f>IFERROR(INDEX('幕间与结算'!$E$9:$E$208,SMALL(AE$210:AE$409,154)),"")</f>
        <v/>
      </c>
      <c r="AF155" t="str">
        <f>IFERROR(INDEX('幕间与结算'!$E$9:$E$208,SMALL(AF$210:AF$409,154)),"")</f>
        <v/>
      </c>
      <c r="AG155" t="str">
        <f>IFERROR(INDEX('幕间与结算'!$E$9:$E$208,SMALL(AG$210:AG$409,154)),"")</f>
        <v/>
      </c>
      <c r="AH155" t="str">
        <f>IFERROR(INDEX('幕间与结算'!$E$9:$E$208,SMALL(AH$210:AH$409,154)),"")</f>
        <v/>
      </c>
      <c r="AI155" t="str">
        <f>IFERROR(INDEX('幕间与结算'!$E$9:$E$208,SMALL(AI$210:AI$409,154)),"")</f>
        <v/>
      </c>
      <c r="AJ155" t="str">
        <f>IFERROR(INDEX('幕间与结算'!$E$9:$E$208,SMALL(AJ$210:AJ$409,154)),"")</f>
        <v/>
      </c>
      <c r="AK155" t="str">
        <f>IFERROR(INDEX('幕间与结算'!$E$9:$E$208,SMALL(AK$210:AK$409,154)),"")</f>
        <v/>
      </c>
      <c r="AL155" t="str">
        <f>IFERROR(INDEX('幕间与结算'!$E$9:$E$208,SMALL(AL$210:AL$409,154)),"")</f>
        <v/>
      </c>
      <c r="AM155" t="str">
        <f>IFERROR(INDEX('幕间与结算'!$E$9:$E$208,SMALL(AM$210:AM$409,154)),"")</f>
        <v/>
      </c>
      <c r="AN155" t="str">
        <f>IFERROR(INDEX('幕间与结算'!$E$9:$E$208,SMALL(AN$210:AN$409,154)),"")</f>
        <v/>
      </c>
      <c r="AO155" t="str">
        <f>IFERROR(INDEX('幕间与结算'!$E$9:$E$208,SMALL(AO$210:AO$409,154)),"")</f>
        <v/>
      </c>
      <c r="AP155" t="str">
        <f>IFERROR(INDEX('幕间与结算'!$E$9:$E$208,SMALL(AP$210:AP$409,154)),"")</f>
        <v/>
      </c>
      <c r="AQ155" t="str">
        <f>IFERROR(INDEX('幕间与结算'!$E$9:$E$208,SMALL(AQ$210:AQ$409,154)),"")</f>
        <v/>
      </c>
      <c r="AR155" t="str">
        <f>IFERROR(INDEX('幕间与结算'!$E$9:$E$208,SMALL(AR$210:AR$409,154)),"")</f>
        <v/>
      </c>
      <c r="AS155" t="str">
        <f>IFERROR(INDEX('幕间与结算'!$E$9:$E$208,SMALL(AS$210:AS$409,154)),"")</f>
        <v/>
      </c>
      <c r="AT155" t="str">
        <f>IFERROR(INDEX('幕间与结算'!$E$9:$E$208,SMALL(AT$210:AT$409,154)),"")</f>
        <v/>
      </c>
    </row>
    <row r="156">
      <c r="AA156" t="str">
        <f>IFERROR(INDEX('幕间与结算'!$E$9:$E$208,SMALL(AA$210:AA$409,155)),"")</f>
        <v/>
      </c>
      <c r="AB156" t="str">
        <f>IFERROR(INDEX('幕间与结算'!$E$9:$E$208,SMALL(AB$210:AB$409,155)),"")</f>
        <v/>
      </c>
      <c r="AC156" t="str">
        <f>IFERROR(INDEX('幕间与结算'!$E$9:$E$208,SMALL(AC$210:AC$409,155)),"")</f>
        <v/>
      </c>
      <c r="AD156" t="str">
        <f>IFERROR(INDEX('幕间与结算'!$E$9:$E$208,SMALL(AD$210:AD$409,155)),"")</f>
        <v/>
      </c>
      <c r="AE156" t="str">
        <f>IFERROR(INDEX('幕间与结算'!$E$9:$E$208,SMALL(AE$210:AE$409,155)),"")</f>
        <v/>
      </c>
      <c r="AF156" t="str">
        <f>IFERROR(INDEX('幕间与结算'!$E$9:$E$208,SMALL(AF$210:AF$409,155)),"")</f>
        <v/>
      </c>
      <c r="AG156" t="str">
        <f>IFERROR(INDEX('幕间与结算'!$E$9:$E$208,SMALL(AG$210:AG$409,155)),"")</f>
        <v/>
      </c>
      <c r="AH156" t="str">
        <f>IFERROR(INDEX('幕间与结算'!$E$9:$E$208,SMALL(AH$210:AH$409,155)),"")</f>
        <v/>
      </c>
      <c r="AI156" t="str">
        <f>IFERROR(INDEX('幕间与结算'!$E$9:$E$208,SMALL(AI$210:AI$409,155)),"")</f>
        <v/>
      </c>
      <c r="AJ156" t="str">
        <f>IFERROR(INDEX('幕间与结算'!$E$9:$E$208,SMALL(AJ$210:AJ$409,155)),"")</f>
        <v/>
      </c>
      <c r="AK156" t="str">
        <f>IFERROR(INDEX('幕间与结算'!$E$9:$E$208,SMALL(AK$210:AK$409,155)),"")</f>
        <v/>
      </c>
      <c r="AL156" t="str">
        <f>IFERROR(INDEX('幕间与结算'!$E$9:$E$208,SMALL(AL$210:AL$409,155)),"")</f>
        <v/>
      </c>
      <c r="AM156" t="str">
        <f>IFERROR(INDEX('幕间与结算'!$E$9:$E$208,SMALL(AM$210:AM$409,155)),"")</f>
        <v/>
      </c>
      <c r="AN156" t="str">
        <f>IFERROR(INDEX('幕间与结算'!$E$9:$E$208,SMALL(AN$210:AN$409,155)),"")</f>
        <v/>
      </c>
      <c r="AO156" t="str">
        <f>IFERROR(INDEX('幕间与结算'!$E$9:$E$208,SMALL(AO$210:AO$409,155)),"")</f>
        <v/>
      </c>
      <c r="AP156" t="str">
        <f>IFERROR(INDEX('幕间与结算'!$E$9:$E$208,SMALL(AP$210:AP$409,155)),"")</f>
        <v/>
      </c>
      <c r="AQ156" t="str">
        <f>IFERROR(INDEX('幕间与结算'!$E$9:$E$208,SMALL(AQ$210:AQ$409,155)),"")</f>
        <v/>
      </c>
      <c r="AR156" t="str">
        <f>IFERROR(INDEX('幕间与结算'!$E$9:$E$208,SMALL(AR$210:AR$409,155)),"")</f>
        <v/>
      </c>
      <c r="AS156" t="str">
        <f>IFERROR(INDEX('幕间与结算'!$E$9:$E$208,SMALL(AS$210:AS$409,155)),"")</f>
        <v/>
      </c>
      <c r="AT156" t="str">
        <f>IFERROR(INDEX('幕间与结算'!$E$9:$E$208,SMALL(AT$210:AT$409,155)),"")</f>
        <v/>
      </c>
    </row>
    <row r="157">
      <c r="AA157" t="str">
        <f>IFERROR(INDEX('幕间与结算'!$E$9:$E$208,SMALL(AA$210:AA$409,156)),"")</f>
        <v/>
      </c>
      <c r="AB157" t="str">
        <f>IFERROR(INDEX('幕间与结算'!$E$9:$E$208,SMALL(AB$210:AB$409,156)),"")</f>
        <v/>
      </c>
      <c r="AC157" t="str">
        <f>IFERROR(INDEX('幕间与结算'!$E$9:$E$208,SMALL(AC$210:AC$409,156)),"")</f>
        <v/>
      </c>
      <c r="AD157" t="str">
        <f>IFERROR(INDEX('幕间与结算'!$E$9:$E$208,SMALL(AD$210:AD$409,156)),"")</f>
        <v/>
      </c>
      <c r="AE157" t="str">
        <f>IFERROR(INDEX('幕间与结算'!$E$9:$E$208,SMALL(AE$210:AE$409,156)),"")</f>
        <v/>
      </c>
      <c r="AF157" t="str">
        <f>IFERROR(INDEX('幕间与结算'!$E$9:$E$208,SMALL(AF$210:AF$409,156)),"")</f>
        <v/>
      </c>
      <c r="AG157" t="str">
        <f>IFERROR(INDEX('幕间与结算'!$E$9:$E$208,SMALL(AG$210:AG$409,156)),"")</f>
        <v/>
      </c>
      <c r="AH157" t="str">
        <f>IFERROR(INDEX('幕间与结算'!$E$9:$E$208,SMALL(AH$210:AH$409,156)),"")</f>
        <v/>
      </c>
      <c r="AI157" t="str">
        <f>IFERROR(INDEX('幕间与结算'!$E$9:$E$208,SMALL(AI$210:AI$409,156)),"")</f>
        <v/>
      </c>
      <c r="AJ157" t="str">
        <f>IFERROR(INDEX('幕间与结算'!$E$9:$E$208,SMALL(AJ$210:AJ$409,156)),"")</f>
        <v/>
      </c>
      <c r="AK157" t="str">
        <f>IFERROR(INDEX('幕间与结算'!$E$9:$E$208,SMALL(AK$210:AK$409,156)),"")</f>
        <v/>
      </c>
      <c r="AL157" t="str">
        <f>IFERROR(INDEX('幕间与结算'!$E$9:$E$208,SMALL(AL$210:AL$409,156)),"")</f>
        <v/>
      </c>
      <c r="AM157" t="str">
        <f>IFERROR(INDEX('幕间与结算'!$E$9:$E$208,SMALL(AM$210:AM$409,156)),"")</f>
        <v/>
      </c>
      <c r="AN157" t="str">
        <f>IFERROR(INDEX('幕间与结算'!$E$9:$E$208,SMALL(AN$210:AN$409,156)),"")</f>
        <v/>
      </c>
      <c r="AO157" t="str">
        <f>IFERROR(INDEX('幕间与结算'!$E$9:$E$208,SMALL(AO$210:AO$409,156)),"")</f>
        <v/>
      </c>
      <c r="AP157" t="str">
        <f>IFERROR(INDEX('幕间与结算'!$E$9:$E$208,SMALL(AP$210:AP$409,156)),"")</f>
        <v/>
      </c>
      <c r="AQ157" t="str">
        <f>IFERROR(INDEX('幕间与结算'!$E$9:$E$208,SMALL(AQ$210:AQ$409,156)),"")</f>
        <v/>
      </c>
      <c r="AR157" t="str">
        <f>IFERROR(INDEX('幕间与结算'!$E$9:$E$208,SMALL(AR$210:AR$409,156)),"")</f>
        <v/>
      </c>
      <c r="AS157" t="str">
        <f>IFERROR(INDEX('幕间与结算'!$E$9:$E$208,SMALL(AS$210:AS$409,156)),"")</f>
        <v/>
      </c>
      <c r="AT157" t="str">
        <f>IFERROR(INDEX('幕间与结算'!$E$9:$E$208,SMALL(AT$210:AT$409,156)),"")</f>
        <v/>
      </c>
    </row>
    <row r="158">
      <c r="AA158" t="str">
        <f>IFERROR(INDEX('幕间与结算'!$E$9:$E$208,SMALL(AA$210:AA$409,157)),"")</f>
        <v/>
      </c>
      <c r="AB158" t="str">
        <f>IFERROR(INDEX('幕间与结算'!$E$9:$E$208,SMALL(AB$210:AB$409,157)),"")</f>
        <v/>
      </c>
      <c r="AC158" t="str">
        <f>IFERROR(INDEX('幕间与结算'!$E$9:$E$208,SMALL(AC$210:AC$409,157)),"")</f>
        <v/>
      </c>
      <c r="AD158" t="str">
        <f>IFERROR(INDEX('幕间与结算'!$E$9:$E$208,SMALL(AD$210:AD$409,157)),"")</f>
        <v/>
      </c>
      <c r="AE158" t="str">
        <f>IFERROR(INDEX('幕间与结算'!$E$9:$E$208,SMALL(AE$210:AE$409,157)),"")</f>
        <v/>
      </c>
      <c r="AF158" t="str">
        <f>IFERROR(INDEX('幕间与结算'!$E$9:$E$208,SMALL(AF$210:AF$409,157)),"")</f>
        <v/>
      </c>
      <c r="AG158" t="str">
        <f>IFERROR(INDEX('幕间与结算'!$E$9:$E$208,SMALL(AG$210:AG$409,157)),"")</f>
        <v/>
      </c>
      <c r="AH158" t="str">
        <f>IFERROR(INDEX('幕间与结算'!$E$9:$E$208,SMALL(AH$210:AH$409,157)),"")</f>
        <v/>
      </c>
      <c r="AI158" t="str">
        <f>IFERROR(INDEX('幕间与结算'!$E$9:$E$208,SMALL(AI$210:AI$409,157)),"")</f>
        <v/>
      </c>
      <c r="AJ158" t="str">
        <f>IFERROR(INDEX('幕间与结算'!$E$9:$E$208,SMALL(AJ$210:AJ$409,157)),"")</f>
        <v/>
      </c>
      <c r="AK158" t="str">
        <f>IFERROR(INDEX('幕间与结算'!$E$9:$E$208,SMALL(AK$210:AK$409,157)),"")</f>
        <v/>
      </c>
      <c r="AL158" t="str">
        <f>IFERROR(INDEX('幕间与结算'!$E$9:$E$208,SMALL(AL$210:AL$409,157)),"")</f>
        <v/>
      </c>
      <c r="AM158" t="str">
        <f>IFERROR(INDEX('幕间与结算'!$E$9:$E$208,SMALL(AM$210:AM$409,157)),"")</f>
        <v/>
      </c>
      <c r="AN158" t="str">
        <f>IFERROR(INDEX('幕间与结算'!$E$9:$E$208,SMALL(AN$210:AN$409,157)),"")</f>
        <v/>
      </c>
      <c r="AO158" t="str">
        <f>IFERROR(INDEX('幕间与结算'!$E$9:$E$208,SMALL(AO$210:AO$409,157)),"")</f>
        <v/>
      </c>
      <c r="AP158" t="str">
        <f>IFERROR(INDEX('幕间与结算'!$E$9:$E$208,SMALL(AP$210:AP$409,157)),"")</f>
        <v/>
      </c>
      <c r="AQ158" t="str">
        <f>IFERROR(INDEX('幕间与结算'!$E$9:$E$208,SMALL(AQ$210:AQ$409,157)),"")</f>
        <v/>
      </c>
      <c r="AR158" t="str">
        <f>IFERROR(INDEX('幕间与结算'!$E$9:$E$208,SMALL(AR$210:AR$409,157)),"")</f>
        <v/>
      </c>
      <c r="AS158" t="str">
        <f>IFERROR(INDEX('幕间与结算'!$E$9:$E$208,SMALL(AS$210:AS$409,157)),"")</f>
        <v/>
      </c>
      <c r="AT158" t="str">
        <f>IFERROR(INDEX('幕间与结算'!$E$9:$E$208,SMALL(AT$210:AT$409,157)),"")</f>
        <v/>
      </c>
    </row>
    <row r="159">
      <c r="AA159" t="str">
        <f>IFERROR(INDEX('幕间与结算'!$E$9:$E$208,SMALL(AA$210:AA$409,158)),"")</f>
        <v/>
      </c>
      <c r="AB159" t="str">
        <f>IFERROR(INDEX('幕间与结算'!$E$9:$E$208,SMALL(AB$210:AB$409,158)),"")</f>
        <v/>
      </c>
      <c r="AC159" t="str">
        <f>IFERROR(INDEX('幕间与结算'!$E$9:$E$208,SMALL(AC$210:AC$409,158)),"")</f>
        <v/>
      </c>
      <c r="AD159" t="str">
        <f>IFERROR(INDEX('幕间与结算'!$E$9:$E$208,SMALL(AD$210:AD$409,158)),"")</f>
        <v/>
      </c>
      <c r="AE159" t="str">
        <f>IFERROR(INDEX('幕间与结算'!$E$9:$E$208,SMALL(AE$210:AE$409,158)),"")</f>
        <v/>
      </c>
      <c r="AF159" t="str">
        <f>IFERROR(INDEX('幕间与结算'!$E$9:$E$208,SMALL(AF$210:AF$409,158)),"")</f>
        <v/>
      </c>
      <c r="AG159" t="str">
        <f>IFERROR(INDEX('幕间与结算'!$E$9:$E$208,SMALL(AG$210:AG$409,158)),"")</f>
        <v/>
      </c>
      <c r="AH159" t="str">
        <f>IFERROR(INDEX('幕间与结算'!$E$9:$E$208,SMALL(AH$210:AH$409,158)),"")</f>
        <v/>
      </c>
      <c r="AI159" t="str">
        <f>IFERROR(INDEX('幕间与结算'!$E$9:$E$208,SMALL(AI$210:AI$409,158)),"")</f>
        <v/>
      </c>
      <c r="AJ159" t="str">
        <f>IFERROR(INDEX('幕间与结算'!$E$9:$E$208,SMALL(AJ$210:AJ$409,158)),"")</f>
        <v/>
      </c>
      <c r="AK159" t="str">
        <f>IFERROR(INDEX('幕间与结算'!$E$9:$E$208,SMALL(AK$210:AK$409,158)),"")</f>
        <v/>
      </c>
      <c r="AL159" t="str">
        <f>IFERROR(INDEX('幕间与结算'!$E$9:$E$208,SMALL(AL$210:AL$409,158)),"")</f>
        <v/>
      </c>
      <c r="AM159" t="str">
        <f>IFERROR(INDEX('幕间与结算'!$E$9:$E$208,SMALL(AM$210:AM$409,158)),"")</f>
        <v/>
      </c>
      <c r="AN159" t="str">
        <f>IFERROR(INDEX('幕间与结算'!$E$9:$E$208,SMALL(AN$210:AN$409,158)),"")</f>
        <v/>
      </c>
      <c r="AO159" t="str">
        <f>IFERROR(INDEX('幕间与结算'!$E$9:$E$208,SMALL(AO$210:AO$409,158)),"")</f>
        <v/>
      </c>
      <c r="AP159" t="str">
        <f>IFERROR(INDEX('幕间与结算'!$E$9:$E$208,SMALL(AP$210:AP$409,158)),"")</f>
        <v/>
      </c>
      <c r="AQ159" t="str">
        <f>IFERROR(INDEX('幕间与结算'!$E$9:$E$208,SMALL(AQ$210:AQ$409,158)),"")</f>
        <v/>
      </c>
      <c r="AR159" t="str">
        <f>IFERROR(INDEX('幕间与结算'!$E$9:$E$208,SMALL(AR$210:AR$409,158)),"")</f>
        <v/>
      </c>
      <c r="AS159" t="str">
        <f>IFERROR(INDEX('幕间与结算'!$E$9:$E$208,SMALL(AS$210:AS$409,158)),"")</f>
        <v/>
      </c>
      <c r="AT159" t="str">
        <f>IFERROR(INDEX('幕间与结算'!$E$9:$E$208,SMALL(AT$210:AT$409,158)),"")</f>
        <v/>
      </c>
    </row>
    <row r="160">
      <c r="AA160" t="str">
        <f>IFERROR(INDEX('幕间与结算'!$E$9:$E$208,SMALL(AA$210:AA$409,159)),"")</f>
        <v/>
      </c>
      <c r="AB160" t="str">
        <f>IFERROR(INDEX('幕间与结算'!$E$9:$E$208,SMALL(AB$210:AB$409,159)),"")</f>
        <v/>
      </c>
      <c r="AC160" t="str">
        <f>IFERROR(INDEX('幕间与结算'!$E$9:$E$208,SMALL(AC$210:AC$409,159)),"")</f>
        <v/>
      </c>
      <c r="AD160" t="str">
        <f>IFERROR(INDEX('幕间与结算'!$E$9:$E$208,SMALL(AD$210:AD$409,159)),"")</f>
        <v/>
      </c>
      <c r="AE160" t="str">
        <f>IFERROR(INDEX('幕间与结算'!$E$9:$E$208,SMALL(AE$210:AE$409,159)),"")</f>
        <v/>
      </c>
      <c r="AF160" t="str">
        <f>IFERROR(INDEX('幕间与结算'!$E$9:$E$208,SMALL(AF$210:AF$409,159)),"")</f>
        <v/>
      </c>
      <c r="AG160" t="str">
        <f>IFERROR(INDEX('幕间与结算'!$E$9:$E$208,SMALL(AG$210:AG$409,159)),"")</f>
        <v/>
      </c>
      <c r="AH160" t="str">
        <f>IFERROR(INDEX('幕间与结算'!$E$9:$E$208,SMALL(AH$210:AH$409,159)),"")</f>
        <v/>
      </c>
      <c r="AI160" t="str">
        <f>IFERROR(INDEX('幕间与结算'!$E$9:$E$208,SMALL(AI$210:AI$409,159)),"")</f>
        <v/>
      </c>
      <c r="AJ160" t="str">
        <f>IFERROR(INDEX('幕间与结算'!$E$9:$E$208,SMALL(AJ$210:AJ$409,159)),"")</f>
        <v/>
      </c>
      <c r="AK160" t="str">
        <f>IFERROR(INDEX('幕间与结算'!$E$9:$E$208,SMALL(AK$210:AK$409,159)),"")</f>
        <v/>
      </c>
      <c r="AL160" t="str">
        <f>IFERROR(INDEX('幕间与结算'!$E$9:$E$208,SMALL(AL$210:AL$409,159)),"")</f>
        <v/>
      </c>
      <c r="AM160" t="str">
        <f>IFERROR(INDEX('幕间与结算'!$E$9:$E$208,SMALL(AM$210:AM$409,159)),"")</f>
        <v/>
      </c>
      <c r="AN160" t="str">
        <f>IFERROR(INDEX('幕间与结算'!$E$9:$E$208,SMALL(AN$210:AN$409,159)),"")</f>
        <v/>
      </c>
      <c r="AO160" t="str">
        <f>IFERROR(INDEX('幕间与结算'!$E$9:$E$208,SMALL(AO$210:AO$409,159)),"")</f>
        <v/>
      </c>
      <c r="AP160" t="str">
        <f>IFERROR(INDEX('幕间与结算'!$E$9:$E$208,SMALL(AP$210:AP$409,159)),"")</f>
        <v/>
      </c>
      <c r="AQ160" t="str">
        <f>IFERROR(INDEX('幕间与结算'!$E$9:$E$208,SMALL(AQ$210:AQ$409,159)),"")</f>
        <v/>
      </c>
      <c r="AR160" t="str">
        <f>IFERROR(INDEX('幕间与结算'!$E$9:$E$208,SMALL(AR$210:AR$409,159)),"")</f>
        <v/>
      </c>
      <c r="AS160" t="str">
        <f>IFERROR(INDEX('幕间与结算'!$E$9:$E$208,SMALL(AS$210:AS$409,159)),"")</f>
        <v/>
      </c>
      <c r="AT160" t="str">
        <f>IFERROR(INDEX('幕间与结算'!$E$9:$E$208,SMALL(AT$210:AT$409,159)),"")</f>
        <v/>
      </c>
    </row>
    <row r="161">
      <c r="AA161" t="str">
        <f>IFERROR(INDEX('幕间与结算'!$E$9:$E$208,SMALL(AA$210:AA$409,160)),"")</f>
        <v/>
      </c>
      <c r="AB161" t="str">
        <f>IFERROR(INDEX('幕间与结算'!$E$9:$E$208,SMALL(AB$210:AB$409,160)),"")</f>
        <v/>
      </c>
      <c r="AC161" t="str">
        <f>IFERROR(INDEX('幕间与结算'!$E$9:$E$208,SMALL(AC$210:AC$409,160)),"")</f>
        <v/>
      </c>
      <c r="AD161" t="str">
        <f>IFERROR(INDEX('幕间与结算'!$E$9:$E$208,SMALL(AD$210:AD$409,160)),"")</f>
        <v/>
      </c>
      <c r="AE161" t="str">
        <f>IFERROR(INDEX('幕间与结算'!$E$9:$E$208,SMALL(AE$210:AE$409,160)),"")</f>
        <v/>
      </c>
      <c r="AF161" t="str">
        <f>IFERROR(INDEX('幕间与结算'!$E$9:$E$208,SMALL(AF$210:AF$409,160)),"")</f>
        <v/>
      </c>
      <c r="AG161" t="str">
        <f>IFERROR(INDEX('幕间与结算'!$E$9:$E$208,SMALL(AG$210:AG$409,160)),"")</f>
        <v/>
      </c>
      <c r="AH161" t="str">
        <f>IFERROR(INDEX('幕间与结算'!$E$9:$E$208,SMALL(AH$210:AH$409,160)),"")</f>
        <v/>
      </c>
      <c r="AI161" t="str">
        <f>IFERROR(INDEX('幕间与结算'!$E$9:$E$208,SMALL(AI$210:AI$409,160)),"")</f>
        <v/>
      </c>
      <c r="AJ161" t="str">
        <f>IFERROR(INDEX('幕间与结算'!$E$9:$E$208,SMALL(AJ$210:AJ$409,160)),"")</f>
        <v/>
      </c>
      <c r="AK161" t="str">
        <f>IFERROR(INDEX('幕间与结算'!$E$9:$E$208,SMALL(AK$210:AK$409,160)),"")</f>
        <v/>
      </c>
      <c r="AL161" t="str">
        <f>IFERROR(INDEX('幕间与结算'!$E$9:$E$208,SMALL(AL$210:AL$409,160)),"")</f>
        <v/>
      </c>
      <c r="AM161" t="str">
        <f>IFERROR(INDEX('幕间与结算'!$E$9:$E$208,SMALL(AM$210:AM$409,160)),"")</f>
        <v/>
      </c>
      <c r="AN161" t="str">
        <f>IFERROR(INDEX('幕间与结算'!$E$9:$E$208,SMALL(AN$210:AN$409,160)),"")</f>
        <v/>
      </c>
      <c r="AO161" t="str">
        <f>IFERROR(INDEX('幕间与结算'!$E$9:$E$208,SMALL(AO$210:AO$409,160)),"")</f>
        <v/>
      </c>
      <c r="AP161" t="str">
        <f>IFERROR(INDEX('幕间与结算'!$E$9:$E$208,SMALL(AP$210:AP$409,160)),"")</f>
        <v/>
      </c>
      <c r="AQ161" t="str">
        <f>IFERROR(INDEX('幕间与结算'!$E$9:$E$208,SMALL(AQ$210:AQ$409,160)),"")</f>
        <v/>
      </c>
      <c r="AR161" t="str">
        <f>IFERROR(INDEX('幕间与结算'!$E$9:$E$208,SMALL(AR$210:AR$409,160)),"")</f>
        <v/>
      </c>
      <c r="AS161" t="str">
        <f>IFERROR(INDEX('幕间与结算'!$E$9:$E$208,SMALL(AS$210:AS$409,160)),"")</f>
        <v/>
      </c>
      <c r="AT161" t="str">
        <f>IFERROR(INDEX('幕间与结算'!$E$9:$E$208,SMALL(AT$210:AT$409,160)),"")</f>
        <v/>
      </c>
    </row>
    <row r="162">
      <c r="AA162" t="str">
        <f>IFERROR(INDEX('幕间与结算'!$E$9:$E$208,SMALL(AA$210:AA$409,161)),"")</f>
        <v/>
      </c>
      <c r="AB162" t="str">
        <f>IFERROR(INDEX('幕间与结算'!$E$9:$E$208,SMALL(AB$210:AB$409,161)),"")</f>
        <v/>
      </c>
      <c r="AC162" t="str">
        <f>IFERROR(INDEX('幕间与结算'!$E$9:$E$208,SMALL(AC$210:AC$409,161)),"")</f>
        <v/>
      </c>
      <c r="AD162" t="str">
        <f>IFERROR(INDEX('幕间与结算'!$E$9:$E$208,SMALL(AD$210:AD$409,161)),"")</f>
        <v/>
      </c>
      <c r="AE162" t="str">
        <f>IFERROR(INDEX('幕间与结算'!$E$9:$E$208,SMALL(AE$210:AE$409,161)),"")</f>
        <v/>
      </c>
      <c r="AF162" t="str">
        <f>IFERROR(INDEX('幕间与结算'!$E$9:$E$208,SMALL(AF$210:AF$409,161)),"")</f>
        <v/>
      </c>
      <c r="AG162" t="str">
        <f>IFERROR(INDEX('幕间与结算'!$E$9:$E$208,SMALL(AG$210:AG$409,161)),"")</f>
        <v/>
      </c>
      <c r="AH162" t="str">
        <f>IFERROR(INDEX('幕间与结算'!$E$9:$E$208,SMALL(AH$210:AH$409,161)),"")</f>
        <v/>
      </c>
      <c r="AI162" t="str">
        <f>IFERROR(INDEX('幕间与结算'!$E$9:$E$208,SMALL(AI$210:AI$409,161)),"")</f>
        <v/>
      </c>
      <c r="AJ162" t="str">
        <f>IFERROR(INDEX('幕间与结算'!$E$9:$E$208,SMALL(AJ$210:AJ$409,161)),"")</f>
        <v/>
      </c>
      <c r="AK162" t="str">
        <f>IFERROR(INDEX('幕间与结算'!$E$9:$E$208,SMALL(AK$210:AK$409,161)),"")</f>
        <v/>
      </c>
      <c r="AL162" t="str">
        <f>IFERROR(INDEX('幕间与结算'!$E$9:$E$208,SMALL(AL$210:AL$409,161)),"")</f>
        <v/>
      </c>
      <c r="AM162" t="str">
        <f>IFERROR(INDEX('幕间与结算'!$E$9:$E$208,SMALL(AM$210:AM$409,161)),"")</f>
        <v/>
      </c>
      <c r="AN162" t="str">
        <f>IFERROR(INDEX('幕间与结算'!$E$9:$E$208,SMALL(AN$210:AN$409,161)),"")</f>
        <v/>
      </c>
      <c r="AO162" t="str">
        <f>IFERROR(INDEX('幕间与结算'!$E$9:$E$208,SMALL(AO$210:AO$409,161)),"")</f>
        <v/>
      </c>
      <c r="AP162" t="str">
        <f>IFERROR(INDEX('幕间与结算'!$E$9:$E$208,SMALL(AP$210:AP$409,161)),"")</f>
        <v/>
      </c>
      <c r="AQ162" t="str">
        <f>IFERROR(INDEX('幕间与结算'!$E$9:$E$208,SMALL(AQ$210:AQ$409,161)),"")</f>
        <v/>
      </c>
      <c r="AR162" t="str">
        <f>IFERROR(INDEX('幕间与结算'!$E$9:$E$208,SMALL(AR$210:AR$409,161)),"")</f>
        <v/>
      </c>
      <c r="AS162" t="str">
        <f>IFERROR(INDEX('幕间与结算'!$E$9:$E$208,SMALL(AS$210:AS$409,161)),"")</f>
        <v/>
      </c>
      <c r="AT162" t="str">
        <f>IFERROR(INDEX('幕间与结算'!$E$9:$E$208,SMALL(AT$210:AT$409,161)),"")</f>
        <v/>
      </c>
    </row>
    <row r="163">
      <c r="AA163" t="str">
        <f>IFERROR(INDEX('幕间与结算'!$E$9:$E$208,SMALL(AA$210:AA$409,162)),"")</f>
        <v/>
      </c>
      <c r="AB163" t="str">
        <f>IFERROR(INDEX('幕间与结算'!$E$9:$E$208,SMALL(AB$210:AB$409,162)),"")</f>
        <v/>
      </c>
      <c r="AC163" t="str">
        <f>IFERROR(INDEX('幕间与结算'!$E$9:$E$208,SMALL(AC$210:AC$409,162)),"")</f>
        <v/>
      </c>
      <c r="AD163" t="str">
        <f>IFERROR(INDEX('幕间与结算'!$E$9:$E$208,SMALL(AD$210:AD$409,162)),"")</f>
        <v/>
      </c>
      <c r="AE163" t="str">
        <f>IFERROR(INDEX('幕间与结算'!$E$9:$E$208,SMALL(AE$210:AE$409,162)),"")</f>
        <v/>
      </c>
      <c r="AF163" t="str">
        <f>IFERROR(INDEX('幕间与结算'!$E$9:$E$208,SMALL(AF$210:AF$409,162)),"")</f>
        <v/>
      </c>
      <c r="AG163" t="str">
        <f>IFERROR(INDEX('幕间与结算'!$E$9:$E$208,SMALL(AG$210:AG$409,162)),"")</f>
        <v/>
      </c>
      <c r="AH163" t="str">
        <f>IFERROR(INDEX('幕间与结算'!$E$9:$E$208,SMALL(AH$210:AH$409,162)),"")</f>
        <v/>
      </c>
      <c r="AI163" t="str">
        <f>IFERROR(INDEX('幕间与结算'!$E$9:$E$208,SMALL(AI$210:AI$409,162)),"")</f>
        <v/>
      </c>
      <c r="AJ163" t="str">
        <f>IFERROR(INDEX('幕间与结算'!$E$9:$E$208,SMALL(AJ$210:AJ$409,162)),"")</f>
        <v/>
      </c>
      <c r="AK163" t="str">
        <f>IFERROR(INDEX('幕间与结算'!$E$9:$E$208,SMALL(AK$210:AK$409,162)),"")</f>
        <v/>
      </c>
      <c r="AL163" t="str">
        <f>IFERROR(INDEX('幕间与结算'!$E$9:$E$208,SMALL(AL$210:AL$409,162)),"")</f>
        <v/>
      </c>
      <c r="AM163" t="str">
        <f>IFERROR(INDEX('幕间与结算'!$E$9:$E$208,SMALL(AM$210:AM$409,162)),"")</f>
        <v/>
      </c>
      <c r="AN163" t="str">
        <f>IFERROR(INDEX('幕间与结算'!$E$9:$E$208,SMALL(AN$210:AN$409,162)),"")</f>
        <v/>
      </c>
      <c r="AO163" t="str">
        <f>IFERROR(INDEX('幕间与结算'!$E$9:$E$208,SMALL(AO$210:AO$409,162)),"")</f>
        <v/>
      </c>
      <c r="AP163" t="str">
        <f>IFERROR(INDEX('幕间与结算'!$E$9:$E$208,SMALL(AP$210:AP$409,162)),"")</f>
        <v/>
      </c>
      <c r="AQ163" t="str">
        <f>IFERROR(INDEX('幕间与结算'!$E$9:$E$208,SMALL(AQ$210:AQ$409,162)),"")</f>
        <v/>
      </c>
      <c r="AR163" t="str">
        <f>IFERROR(INDEX('幕间与结算'!$E$9:$E$208,SMALL(AR$210:AR$409,162)),"")</f>
        <v/>
      </c>
      <c r="AS163" t="str">
        <f>IFERROR(INDEX('幕间与结算'!$E$9:$E$208,SMALL(AS$210:AS$409,162)),"")</f>
        <v/>
      </c>
      <c r="AT163" t="str">
        <f>IFERROR(INDEX('幕间与结算'!$E$9:$E$208,SMALL(AT$210:AT$409,162)),"")</f>
        <v/>
      </c>
    </row>
    <row r="164">
      <c r="AA164" t="str">
        <f>IFERROR(INDEX('幕间与结算'!$E$9:$E$208,SMALL(AA$210:AA$409,163)),"")</f>
        <v/>
      </c>
      <c r="AB164" t="str">
        <f>IFERROR(INDEX('幕间与结算'!$E$9:$E$208,SMALL(AB$210:AB$409,163)),"")</f>
        <v/>
      </c>
      <c r="AC164" t="str">
        <f>IFERROR(INDEX('幕间与结算'!$E$9:$E$208,SMALL(AC$210:AC$409,163)),"")</f>
        <v/>
      </c>
      <c r="AD164" t="str">
        <f>IFERROR(INDEX('幕间与结算'!$E$9:$E$208,SMALL(AD$210:AD$409,163)),"")</f>
        <v/>
      </c>
      <c r="AE164" t="str">
        <f>IFERROR(INDEX('幕间与结算'!$E$9:$E$208,SMALL(AE$210:AE$409,163)),"")</f>
        <v/>
      </c>
      <c r="AF164" t="str">
        <f>IFERROR(INDEX('幕间与结算'!$E$9:$E$208,SMALL(AF$210:AF$409,163)),"")</f>
        <v/>
      </c>
      <c r="AG164" t="str">
        <f>IFERROR(INDEX('幕间与结算'!$E$9:$E$208,SMALL(AG$210:AG$409,163)),"")</f>
        <v/>
      </c>
      <c r="AH164" t="str">
        <f>IFERROR(INDEX('幕间与结算'!$E$9:$E$208,SMALL(AH$210:AH$409,163)),"")</f>
        <v/>
      </c>
      <c r="AI164" t="str">
        <f>IFERROR(INDEX('幕间与结算'!$E$9:$E$208,SMALL(AI$210:AI$409,163)),"")</f>
        <v/>
      </c>
      <c r="AJ164" t="str">
        <f>IFERROR(INDEX('幕间与结算'!$E$9:$E$208,SMALL(AJ$210:AJ$409,163)),"")</f>
        <v/>
      </c>
      <c r="AK164" t="str">
        <f>IFERROR(INDEX('幕间与结算'!$E$9:$E$208,SMALL(AK$210:AK$409,163)),"")</f>
        <v/>
      </c>
      <c r="AL164" t="str">
        <f>IFERROR(INDEX('幕间与结算'!$E$9:$E$208,SMALL(AL$210:AL$409,163)),"")</f>
        <v/>
      </c>
      <c r="AM164" t="str">
        <f>IFERROR(INDEX('幕间与结算'!$E$9:$E$208,SMALL(AM$210:AM$409,163)),"")</f>
        <v/>
      </c>
      <c r="AN164" t="str">
        <f>IFERROR(INDEX('幕间与结算'!$E$9:$E$208,SMALL(AN$210:AN$409,163)),"")</f>
        <v/>
      </c>
      <c r="AO164" t="str">
        <f>IFERROR(INDEX('幕间与结算'!$E$9:$E$208,SMALL(AO$210:AO$409,163)),"")</f>
        <v/>
      </c>
      <c r="AP164" t="str">
        <f>IFERROR(INDEX('幕间与结算'!$E$9:$E$208,SMALL(AP$210:AP$409,163)),"")</f>
        <v/>
      </c>
      <c r="AQ164" t="str">
        <f>IFERROR(INDEX('幕间与结算'!$E$9:$E$208,SMALL(AQ$210:AQ$409,163)),"")</f>
        <v/>
      </c>
      <c r="AR164" t="str">
        <f>IFERROR(INDEX('幕间与结算'!$E$9:$E$208,SMALL(AR$210:AR$409,163)),"")</f>
        <v/>
      </c>
      <c r="AS164" t="str">
        <f>IFERROR(INDEX('幕间与结算'!$E$9:$E$208,SMALL(AS$210:AS$409,163)),"")</f>
        <v/>
      </c>
      <c r="AT164" t="str">
        <f>IFERROR(INDEX('幕间与结算'!$E$9:$E$208,SMALL(AT$210:AT$409,163)),"")</f>
        <v/>
      </c>
    </row>
    <row r="165">
      <c r="AA165" t="str">
        <f>IFERROR(INDEX('幕间与结算'!$E$9:$E$208,SMALL(AA$210:AA$409,164)),"")</f>
        <v/>
      </c>
      <c r="AB165" t="str">
        <f>IFERROR(INDEX('幕间与结算'!$E$9:$E$208,SMALL(AB$210:AB$409,164)),"")</f>
        <v/>
      </c>
      <c r="AC165" t="str">
        <f>IFERROR(INDEX('幕间与结算'!$E$9:$E$208,SMALL(AC$210:AC$409,164)),"")</f>
        <v/>
      </c>
      <c r="AD165" t="str">
        <f>IFERROR(INDEX('幕间与结算'!$E$9:$E$208,SMALL(AD$210:AD$409,164)),"")</f>
        <v/>
      </c>
      <c r="AE165" t="str">
        <f>IFERROR(INDEX('幕间与结算'!$E$9:$E$208,SMALL(AE$210:AE$409,164)),"")</f>
        <v/>
      </c>
      <c r="AF165" t="str">
        <f>IFERROR(INDEX('幕间与结算'!$E$9:$E$208,SMALL(AF$210:AF$409,164)),"")</f>
        <v/>
      </c>
      <c r="AG165" t="str">
        <f>IFERROR(INDEX('幕间与结算'!$E$9:$E$208,SMALL(AG$210:AG$409,164)),"")</f>
        <v/>
      </c>
      <c r="AH165" t="str">
        <f>IFERROR(INDEX('幕间与结算'!$E$9:$E$208,SMALL(AH$210:AH$409,164)),"")</f>
        <v/>
      </c>
      <c r="AI165" t="str">
        <f>IFERROR(INDEX('幕间与结算'!$E$9:$E$208,SMALL(AI$210:AI$409,164)),"")</f>
        <v/>
      </c>
      <c r="AJ165" t="str">
        <f>IFERROR(INDEX('幕间与结算'!$E$9:$E$208,SMALL(AJ$210:AJ$409,164)),"")</f>
        <v/>
      </c>
      <c r="AK165" t="str">
        <f>IFERROR(INDEX('幕间与结算'!$E$9:$E$208,SMALL(AK$210:AK$409,164)),"")</f>
        <v/>
      </c>
      <c r="AL165" t="str">
        <f>IFERROR(INDEX('幕间与结算'!$E$9:$E$208,SMALL(AL$210:AL$409,164)),"")</f>
        <v/>
      </c>
      <c r="AM165" t="str">
        <f>IFERROR(INDEX('幕间与结算'!$E$9:$E$208,SMALL(AM$210:AM$409,164)),"")</f>
        <v/>
      </c>
      <c r="AN165" t="str">
        <f>IFERROR(INDEX('幕间与结算'!$E$9:$E$208,SMALL(AN$210:AN$409,164)),"")</f>
        <v/>
      </c>
      <c r="AO165" t="str">
        <f>IFERROR(INDEX('幕间与结算'!$E$9:$E$208,SMALL(AO$210:AO$409,164)),"")</f>
        <v/>
      </c>
      <c r="AP165" t="str">
        <f>IFERROR(INDEX('幕间与结算'!$E$9:$E$208,SMALL(AP$210:AP$409,164)),"")</f>
        <v/>
      </c>
      <c r="AQ165" t="str">
        <f>IFERROR(INDEX('幕间与结算'!$E$9:$E$208,SMALL(AQ$210:AQ$409,164)),"")</f>
        <v/>
      </c>
      <c r="AR165" t="str">
        <f>IFERROR(INDEX('幕间与结算'!$E$9:$E$208,SMALL(AR$210:AR$409,164)),"")</f>
        <v/>
      </c>
      <c r="AS165" t="str">
        <f>IFERROR(INDEX('幕间与结算'!$E$9:$E$208,SMALL(AS$210:AS$409,164)),"")</f>
        <v/>
      </c>
      <c r="AT165" t="str">
        <f>IFERROR(INDEX('幕间与结算'!$E$9:$E$208,SMALL(AT$210:AT$409,164)),"")</f>
        <v/>
      </c>
    </row>
    <row r="166">
      <c r="AA166" t="str">
        <f>IFERROR(INDEX('幕间与结算'!$E$9:$E$208,SMALL(AA$210:AA$409,165)),"")</f>
        <v/>
      </c>
      <c r="AB166" t="str">
        <f>IFERROR(INDEX('幕间与结算'!$E$9:$E$208,SMALL(AB$210:AB$409,165)),"")</f>
        <v/>
      </c>
      <c r="AC166" t="str">
        <f>IFERROR(INDEX('幕间与结算'!$E$9:$E$208,SMALL(AC$210:AC$409,165)),"")</f>
        <v/>
      </c>
      <c r="AD166" t="str">
        <f>IFERROR(INDEX('幕间与结算'!$E$9:$E$208,SMALL(AD$210:AD$409,165)),"")</f>
        <v/>
      </c>
      <c r="AE166" t="str">
        <f>IFERROR(INDEX('幕间与结算'!$E$9:$E$208,SMALL(AE$210:AE$409,165)),"")</f>
        <v/>
      </c>
      <c r="AF166" t="str">
        <f>IFERROR(INDEX('幕间与结算'!$E$9:$E$208,SMALL(AF$210:AF$409,165)),"")</f>
        <v/>
      </c>
      <c r="AG166" t="str">
        <f>IFERROR(INDEX('幕间与结算'!$E$9:$E$208,SMALL(AG$210:AG$409,165)),"")</f>
        <v/>
      </c>
      <c r="AH166" t="str">
        <f>IFERROR(INDEX('幕间与结算'!$E$9:$E$208,SMALL(AH$210:AH$409,165)),"")</f>
        <v/>
      </c>
      <c r="AI166" t="str">
        <f>IFERROR(INDEX('幕间与结算'!$E$9:$E$208,SMALL(AI$210:AI$409,165)),"")</f>
        <v/>
      </c>
      <c r="AJ166" t="str">
        <f>IFERROR(INDEX('幕间与结算'!$E$9:$E$208,SMALL(AJ$210:AJ$409,165)),"")</f>
        <v/>
      </c>
      <c r="AK166" t="str">
        <f>IFERROR(INDEX('幕间与结算'!$E$9:$E$208,SMALL(AK$210:AK$409,165)),"")</f>
        <v/>
      </c>
      <c r="AL166" t="str">
        <f>IFERROR(INDEX('幕间与结算'!$E$9:$E$208,SMALL(AL$210:AL$409,165)),"")</f>
        <v/>
      </c>
      <c r="AM166" t="str">
        <f>IFERROR(INDEX('幕间与结算'!$E$9:$E$208,SMALL(AM$210:AM$409,165)),"")</f>
        <v/>
      </c>
      <c r="AN166" t="str">
        <f>IFERROR(INDEX('幕间与结算'!$E$9:$E$208,SMALL(AN$210:AN$409,165)),"")</f>
        <v/>
      </c>
      <c r="AO166" t="str">
        <f>IFERROR(INDEX('幕间与结算'!$E$9:$E$208,SMALL(AO$210:AO$409,165)),"")</f>
        <v/>
      </c>
      <c r="AP166" t="str">
        <f>IFERROR(INDEX('幕间与结算'!$E$9:$E$208,SMALL(AP$210:AP$409,165)),"")</f>
        <v/>
      </c>
      <c r="AQ166" t="str">
        <f>IFERROR(INDEX('幕间与结算'!$E$9:$E$208,SMALL(AQ$210:AQ$409,165)),"")</f>
        <v/>
      </c>
      <c r="AR166" t="str">
        <f>IFERROR(INDEX('幕间与结算'!$E$9:$E$208,SMALL(AR$210:AR$409,165)),"")</f>
        <v/>
      </c>
      <c r="AS166" t="str">
        <f>IFERROR(INDEX('幕间与结算'!$E$9:$E$208,SMALL(AS$210:AS$409,165)),"")</f>
        <v/>
      </c>
      <c r="AT166" t="str">
        <f>IFERROR(INDEX('幕间与结算'!$E$9:$E$208,SMALL(AT$210:AT$409,165)),"")</f>
        <v/>
      </c>
    </row>
    <row r="167">
      <c r="AA167" t="str">
        <f>IFERROR(INDEX('幕间与结算'!$E$9:$E$208,SMALL(AA$210:AA$409,166)),"")</f>
        <v/>
      </c>
      <c r="AB167" t="str">
        <f>IFERROR(INDEX('幕间与结算'!$E$9:$E$208,SMALL(AB$210:AB$409,166)),"")</f>
        <v/>
      </c>
      <c r="AC167" t="str">
        <f>IFERROR(INDEX('幕间与结算'!$E$9:$E$208,SMALL(AC$210:AC$409,166)),"")</f>
        <v/>
      </c>
      <c r="AD167" t="str">
        <f>IFERROR(INDEX('幕间与结算'!$E$9:$E$208,SMALL(AD$210:AD$409,166)),"")</f>
        <v/>
      </c>
      <c r="AE167" t="str">
        <f>IFERROR(INDEX('幕间与结算'!$E$9:$E$208,SMALL(AE$210:AE$409,166)),"")</f>
        <v/>
      </c>
      <c r="AF167" t="str">
        <f>IFERROR(INDEX('幕间与结算'!$E$9:$E$208,SMALL(AF$210:AF$409,166)),"")</f>
        <v/>
      </c>
      <c r="AG167" t="str">
        <f>IFERROR(INDEX('幕间与结算'!$E$9:$E$208,SMALL(AG$210:AG$409,166)),"")</f>
        <v/>
      </c>
      <c r="AH167" t="str">
        <f>IFERROR(INDEX('幕间与结算'!$E$9:$E$208,SMALL(AH$210:AH$409,166)),"")</f>
        <v/>
      </c>
      <c r="AI167" t="str">
        <f>IFERROR(INDEX('幕间与结算'!$E$9:$E$208,SMALL(AI$210:AI$409,166)),"")</f>
        <v/>
      </c>
      <c r="AJ167" t="str">
        <f>IFERROR(INDEX('幕间与结算'!$E$9:$E$208,SMALL(AJ$210:AJ$409,166)),"")</f>
        <v/>
      </c>
      <c r="AK167" t="str">
        <f>IFERROR(INDEX('幕间与结算'!$E$9:$E$208,SMALL(AK$210:AK$409,166)),"")</f>
        <v/>
      </c>
      <c r="AL167" t="str">
        <f>IFERROR(INDEX('幕间与结算'!$E$9:$E$208,SMALL(AL$210:AL$409,166)),"")</f>
        <v/>
      </c>
      <c r="AM167" t="str">
        <f>IFERROR(INDEX('幕间与结算'!$E$9:$E$208,SMALL(AM$210:AM$409,166)),"")</f>
        <v/>
      </c>
      <c r="AN167" t="str">
        <f>IFERROR(INDEX('幕间与结算'!$E$9:$E$208,SMALL(AN$210:AN$409,166)),"")</f>
        <v/>
      </c>
      <c r="AO167" t="str">
        <f>IFERROR(INDEX('幕间与结算'!$E$9:$E$208,SMALL(AO$210:AO$409,166)),"")</f>
        <v/>
      </c>
      <c r="AP167" t="str">
        <f>IFERROR(INDEX('幕间与结算'!$E$9:$E$208,SMALL(AP$210:AP$409,166)),"")</f>
        <v/>
      </c>
      <c r="AQ167" t="str">
        <f>IFERROR(INDEX('幕间与结算'!$E$9:$E$208,SMALL(AQ$210:AQ$409,166)),"")</f>
        <v/>
      </c>
      <c r="AR167" t="str">
        <f>IFERROR(INDEX('幕间与结算'!$E$9:$E$208,SMALL(AR$210:AR$409,166)),"")</f>
        <v/>
      </c>
      <c r="AS167" t="str">
        <f>IFERROR(INDEX('幕间与结算'!$E$9:$E$208,SMALL(AS$210:AS$409,166)),"")</f>
        <v/>
      </c>
      <c r="AT167" t="str">
        <f>IFERROR(INDEX('幕间与结算'!$E$9:$E$208,SMALL(AT$210:AT$409,166)),"")</f>
        <v/>
      </c>
    </row>
    <row r="168">
      <c r="AA168" t="str">
        <f>IFERROR(INDEX('幕间与结算'!$E$9:$E$208,SMALL(AA$210:AA$409,167)),"")</f>
        <v/>
      </c>
      <c r="AB168" t="str">
        <f>IFERROR(INDEX('幕间与结算'!$E$9:$E$208,SMALL(AB$210:AB$409,167)),"")</f>
        <v/>
      </c>
      <c r="AC168" t="str">
        <f>IFERROR(INDEX('幕间与结算'!$E$9:$E$208,SMALL(AC$210:AC$409,167)),"")</f>
        <v/>
      </c>
      <c r="AD168" t="str">
        <f>IFERROR(INDEX('幕间与结算'!$E$9:$E$208,SMALL(AD$210:AD$409,167)),"")</f>
        <v/>
      </c>
      <c r="AE168" t="str">
        <f>IFERROR(INDEX('幕间与结算'!$E$9:$E$208,SMALL(AE$210:AE$409,167)),"")</f>
        <v/>
      </c>
      <c r="AF168" t="str">
        <f>IFERROR(INDEX('幕间与结算'!$E$9:$E$208,SMALL(AF$210:AF$409,167)),"")</f>
        <v/>
      </c>
      <c r="AG168" t="str">
        <f>IFERROR(INDEX('幕间与结算'!$E$9:$E$208,SMALL(AG$210:AG$409,167)),"")</f>
        <v/>
      </c>
      <c r="AH168" t="str">
        <f>IFERROR(INDEX('幕间与结算'!$E$9:$E$208,SMALL(AH$210:AH$409,167)),"")</f>
        <v/>
      </c>
      <c r="AI168" t="str">
        <f>IFERROR(INDEX('幕间与结算'!$E$9:$E$208,SMALL(AI$210:AI$409,167)),"")</f>
        <v/>
      </c>
      <c r="AJ168" t="str">
        <f>IFERROR(INDEX('幕间与结算'!$E$9:$E$208,SMALL(AJ$210:AJ$409,167)),"")</f>
        <v/>
      </c>
      <c r="AK168" t="str">
        <f>IFERROR(INDEX('幕间与结算'!$E$9:$E$208,SMALL(AK$210:AK$409,167)),"")</f>
        <v/>
      </c>
      <c r="AL168" t="str">
        <f>IFERROR(INDEX('幕间与结算'!$E$9:$E$208,SMALL(AL$210:AL$409,167)),"")</f>
        <v/>
      </c>
      <c r="AM168" t="str">
        <f>IFERROR(INDEX('幕间与结算'!$E$9:$E$208,SMALL(AM$210:AM$409,167)),"")</f>
        <v/>
      </c>
      <c r="AN168" t="str">
        <f>IFERROR(INDEX('幕间与结算'!$E$9:$E$208,SMALL(AN$210:AN$409,167)),"")</f>
        <v/>
      </c>
      <c r="AO168" t="str">
        <f>IFERROR(INDEX('幕间与结算'!$E$9:$E$208,SMALL(AO$210:AO$409,167)),"")</f>
        <v/>
      </c>
      <c r="AP168" t="str">
        <f>IFERROR(INDEX('幕间与结算'!$E$9:$E$208,SMALL(AP$210:AP$409,167)),"")</f>
        <v/>
      </c>
      <c r="AQ168" t="str">
        <f>IFERROR(INDEX('幕间与结算'!$E$9:$E$208,SMALL(AQ$210:AQ$409,167)),"")</f>
        <v/>
      </c>
      <c r="AR168" t="str">
        <f>IFERROR(INDEX('幕间与结算'!$E$9:$E$208,SMALL(AR$210:AR$409,167)),"")</f>
        <v/>
      </c>
      <c r="AS168" t="str">
        <f>IFERROR(INDEX('幕间与结算'!$E$9:$E$208,SMALL(AS$210:AS$409,167)),"")</f>
        <v/>
      </c>
      <c r="AT168" t="str">
        <f>IFERROR(INDEX('幕间与结算'!$E$9:$E$208,SMALL(AT$210:AT$409,167)),"")</f>
        <v/>
      </c>
    </row>
    <row r="169">
      <c r="AA169" t="str">
        <f>IFERROR(INDEX('幕间与结算'!$E$9:$E$208,SMALL(AA$210:AA$409,168)),"")</f>
        <v/>
      </c>
      <c r="AB169" t="str">
        <f>IFERROR(INDEX('幕间与结算'!$E$9:$E$208,SMALL(AB$210:AB$409,168)),"")</f>
        <v/>
      </c>
      <c r="AC169" t="str">
        <f>IFERROR(INDEX('幕间与结算'!$E$9:$E$208,SMALL(AC$210:AC$409,168)),"")</f>
        <v/>
      </c>
      <c r="AD169" t="str">
        <f>IFERROR(INDEX('幕间与结算'!$E$9:$E$208,SMALL(AD$210:AD$409,168)),"")</f>
        <v/>
      </c>
      <c r="AE169" t="str">
        <f>IFERROR(INDEX('幕间与结算'!$E$9:$E$208,SMALL(AE$210:AE$409,168)),"")</f>
        <v/>
      </c>
      <c r="AF169" t="str">
        <f>IFERROR(INDEX('幕间与结算'!$E$9:$E$208,SMALL(AF$210:AF$409,168)),"")</f>
        <v/>
      </c>
      <c r="AG169" t="str">
        <f>IFERROR(INDEX('幕间与结算'!$E$9:$E$208,SMALL(AG$210:AG$409,168)),"")</f>
        <v/>
      </c>
      <c r="AH169" t="str">
        <f>IFERROR(INDEX('幕间与结算'!$E$9:$E$208,SMALL(AH$210:AH$409,168)),"")</f>
        <v/>
      </c>
      <c r="AI169" t="str">
        <f>IFERROR(INDEX('幕间与结算'!$E$9:$E$208,SMALL(AI$210:AI$409,168)),"")</f>
        <v/>
      </c>
      <c r="AJ169" t="str">
        <f>IFERROR(INDEX('幕间与结算'!$E$9:$E$208,SMALL(AJ$210:AJ$409,168)),"")</f>
        <v/>
      </c>
      <c r="AK169" t="str">
        <f>IFERROR(INDEX('幕间与结算'!$E$9:$E$208,SMALL(AK$210:AK$409,168)),"")</f>
        <v/>
      </c>
      <c r="AL169" t="str">
        <f>IFERROR(INDEX('幕间与结算'!$E$9:$E$208,SMALL(AL$210:AL$409,168)),"")</f>
        <v/>
      </c>
      <c r="AM169" t="str">
        <f>IFERROR(INDEX('幕间与结算'!$E$9:$E$208,SMALL(AM$210:AM$409,168)),"")</f>
        <v/>
      </c>
      <c r="AN169" t="str">
        <f>IFERROR(INDEX('幕间与结算'!$E$9:$E$208,SMALL(AN$210:AN$409,168)),"")</f>
        <v/>
      </c>
      <c r="AO169" t="str">
        <f>IFERROR(INDEX('幕间与结算'!$E$9:$E$208,SMALL(AO$210:AO$409,168)),"")</f>
        <v/>
      </c>
      <c r="AP169" t="str">
        <f>IFERROR(INDEX('幕间与结算'!$E$9:$E$208,SMALL(AP$210:AP$409,168)),"")</f>
        <v/>
      </c>
      <c r="AQ169" t="str">
        <f>IFERROR(INDEX('幕间与结算'!$E$9:$E$208,SMALL(AQ$210:AQ$409,168)),"")</f>
        <v/>
      </c>
      <c r="AR169" t="str">
        <f>IFERROR(INDEX('幕间与结算'!$E$9:$E$208,SMALL(AR$210:AR$409,168)),"")</f>
        <v/>
      </c>
      <c r="AS169" t="str">
        <f>IFERROR(INDEX('幕间与结算'!$E$9:$E$208,SMALL(AS$210:AS$409,168)),"")</f>
        <v/>
      </c>
      <c r="AT169" t="str">
        <f>IFERROR(INDEX('幕间与结算'!$E$9:$E$208,SMALL(AT$210:AT$409,168)),"")</f>
        <v/>
      </c>
    </row>
    <row r="170">
      <c r="AA170" t="str">
        <f>IFERROR(INDEX('幕间与结算'!$E$9:$E$208,SMALL(AA$210:AA$409,169)),"")</f>
        <v/>
      </c>
      <c r="AB170" t="str">
        <f>IFERROR(INDEX('幕间与结算'!$E$9:$E$208,SMALL(AB$210:AB$409,169)),"")</f>
        <v/>
      </c>
      <c r="AC170" t="str">
        <f>IFERROR(INDEX('幕间与结算'!$E$9:$E$208,SMALL(AC$210:AC$409,169)),"")</f>
        <v/>
      </c>
      <c r="AD170" t="str">
        <f>IFERROR(INDEX('幕间与结算'!$E$9:$E$208,SMALL(AD$210:AD$409,169)),"")</f>
        <v/>
      </c>
      <c r="AE170" t="str">
        <f>IFERROR(INDEX('幕间与结算'!$E$9:$E$208,SMALL(AE$210:AE$409,169)),"")</f>
        <v/>
      </c>
      <c r="AF170" t="str">
        <f>IFERROR(INDEX('幕间与结算'!$E$9:$E$208,SMALL(AF$210:AF$409,169)),"")</f>
        <v/>
      </c>
      <c r="AG170" t="str">
        <f>IFERROR(INDEX('幕间与结算'!$E$9:$E$208,SMALL(AG$210:AG$409,169)),"")</f>
        <v/>
      </c>
      <c r="AH170" t="str">
        <f>IFERROR(INDEX('幕间与结算'!$E$9:$E$208,SMALL(AH$210:AH$409,169)),"")</f>
        <v/>
      </c>
      <c r="AI170" t="str">
        <f>IFERROR(INDEX('幕间与结算'!$E$9:$E$208,SMALL(AI$210:AI$409,169)),"")</f>
        <v/>
      </c>
      <c r="AJ170" t="str">
        <f>IFERROR(INDEX('幕间与结算'!$E$9:$E$208,SMALL(AJ$210:AJ$409,169)),"")</f>
        <v/>
      </c>
      <c r="AK170" t="str">
        <f>IFERROR(INDEX('幕间与结算'!$E$9:$E$208,SMALL(AK$210:AK$409,169)),"")</f>
        <v/>
      </c>
      <c r="AL170" t="str">
        <f>IFERROR(INDEX('幕间与结算'!$E$9:$E$208,SMALL(AL$210:AL$409,169)),"")</f>
        <v/>
      </c>
      <c r="AM170" t="str">
        <f>IFERROR(INDEX('幕间与结算'!$E$9:$E$208,SMALL(AM$210:AM$409,169)),"")</f>
        <v/>
      </c>
      <c r="AN170" t="str">
        <f>IFERROR(INDEX('幕间与结算'!$E$9:$E$208,SMALL(AN$210:AN$409,169)),"")</f>
        <v/>
      </c>
      <c r="AO170" t="str">
        <f>IFERROR(INDEX('幕间与结算'!$E$9:$E$208,SMALL(AO$210:AO$409,169)),"")</f>
        <v/>
      </c>
      <c r="AP170" t="str">
        <f>IFERROR(INDEX('幕间与结算'!$E$9:$E$208,SMALL(AP$210:AP$409,169)),"")</f>
        <v/>
      </c>
      <c r="AQ170" t="str">
        <f>IFERROR(INDEX('幕间与结算'!$E$9:$E$208,SMALL(AQ$210:AQ$409,169)),"")</f>
        <v/>
      </c>
      <c r="AR170" t="str">
        <f>IFERROR(INDEX('幕间与结算'!$E$9:$E$208,SMALL(AR$210:AR$409,169)),"")</f>
        <v/>
      </c>
      <c r="AS170" t="str">
        <f>IFERROR(INDEX('幕间与结算'!$E$9:$E$208,SMALL(AS$210:AS$409,169)),"")</f>
        <v/>
      </c>
      <c r="AT170" t="str">
        <f>IFERROR(INDEX('幕间与结算'!$E$9:$E$208,SMALL(AT$210:AT$409,169)),"")</f>
        <v/>
      </c>
    </row>
    <row r="171">
      <c r="AA171" t="str">
        <f>IFERROR(INDEX('幕间与结算'!$E$9:$E$208,SMALL(AA$210:AA$409,170)),"")</f>
        <v/>
      </c>
      <c r="AB171" t="str">
        <f>IFERROR(INDEX('幕间与结算'!$E$9:$E$208,SMALL(AB$210:AB$409,170)),"")</f>
        <v/>
      </c>
      <c r="AC171" t="str">
        <f>IFERROR(INDEX('幕间与结算'!$E$9:$E$208,SMALL(AC$210:AC$409,170)),"")</f>
        <v/>
      </c>
      <c r="AD171" t="str">
        <f>IFERROR(INDEX('幕间与结算'!$E$9:$E$208,SMALL(AD$210:AD$409,170)),"")</f>
        <v/>
      </c>
      <c r="AE171" t="str">
        <f>IFERROR(INDEX('幕间与结算'!$E$9:$E$208,SMALL(AE$210:AE$409,170)),"")</f>
        <v/>
      </c>
      <c r="AF171" t="str">
        <f>IFERROR(INDEX('幕间与结算'!$E$9:$E$208,SMALL(AF$210:AF$409,170)),"")</f>
        <v/>
      </c>
      <c r="AG171" t="str">
        <f>IFERROR(INDEX('幕间与结算'!$E$9:$E$208,SMALL(AG$210:AG$409,170)),"")</f>
        <v/>
      </c>
      <c r="AH171" t="str">
        <f>IFERROR(INDEX('幕间与结算'!$E$9:$E$208,SMALL(AH$210:AH$409,170)),"")</f>
        <v/>
      </c>
      <c r="AI171" t="str">
        <f>IFERROR(INDEX('幕间与结算'!$E$9:$E$208,SMALL(AI$210:AI$409,170)),"")</f>
        <v/>
      </c>
      <c r="AJ171" t="str">
        <f>IFERROR(INDEX('幕间与结算'!$E$9:$E$208,SMALL(AJ$210:AJ$409,170)),"")</f>
        <v/>
      </c>
      <c r="AK171" t="str">
        <f>IFERROR(INDEX('幕间与结算'!$E$9:$E$208,SMALL(AK$210:AK$409,170)),"")</f>
        <v/>
      </c>
      <c r="AL171" t="str">
        <f>IFERROR(INDEX('幕间与结算'!$E$9:$E$208,SMALL(AL$210:AL$409,170)),"")</f>
        <v/>
      </c>
      <c r="AM171" t="str">
        <f>IFERROR(INDEX('幕间与结算'!$E$9:$E$208,SMALL(AM$210:AM$409,170)),"")</f>
        <v/>
      </c>
      <c r="AN171" t="str">
        <f>IFERROR(INDEX('幕间与结算'!$E$9:$E$208,SMALL(AN$210:AN$409,170)),"")</f>
        <v/>
      </c>
      <c r="AO171" t="str">
        <f>IFERROR(INDEX('幕间与结算'!$E$9:$E$208,SMALL(AO$210:AO$409,170)),"")</f>
        <v/>
      </c>
      <c r="AP171" t="str">
        <f>IFERROR(INDEX('幕间与结算'!$E$9:$E$208,SMALL(AP$210:AP$409,170)),"")</f>
        <v/>
      </c>
      <c r="AQ171" t="str">
        <f>IFERROR(INDEX('幕间与结算'!$E$9:$E$208,SMALL(AQ$210:AQ$409,170)),"")</f>
        <v/>
      </c>
      <c r="AR171" t="str">
        <f>IFERROR(INDEX('幕间与结算'!$E$9:$E$208,SMALL(AR$210:AR$409,170)),"")</f>
        <v/>
      </c>
      <c r="AS171" t="str">
        <f>IFERROR(INDEX('幕间与结算'!$E$9:$E$208,SMALL(AS$210:AS$409,170)),"")</f>
        <v/>
      </c>
      <c r="AT171" t="str">
        <f>IFERROR(INDEX('幕间与结算'!$E$9:$E$208,SMALL(AT$210:AT$409,170)),"")</f>
        <v/>
      </c>
    </row>
    <row r="172">
      <c r="AA172" t="str">
        <f>IFERROR(INDEX('幕间与结算'!$E$9:$E$208,SMALL(AA$210:AA$409,171)),"")</f>
        <v/>
      </c>
      <c r="AB172" t="str">
        <f>IFERROR(INDEX('幕间与结算'!$E$9:$E$208,SMALL(AB$210:AB$409,171)),"")</f>
        <v/>
      </c>
      <c r="AC172" t="str">
        <f>IFERROR(INDEX('幕间与结算'!$E$9:$E$208,SMALL(AC$210:AC$409,171)),"")</f>
        <v/>
      </c>
      <c r="AD172" t="str">
        <f>IFERROR(INDEX('幕间与结算'!$E$9:$E$208,SMALL(AD$210:AD$409,171)),"")</f>
        <v/>
      </c>
      <c r="AE172" t="str">
        <f>IFERROR(INDEX('幕间与结算'!$E$9:$E$208,SMALL(AE$210:AE$409,171)),"")</f>
        <v/>
      </c>
      <c r="AF172" t="str">
        <f>IFERROR(INDEX('幕间与结算'!$E$9:$E$208,SMALL(AF$210:AF$409,171)),"")</f>
        <v/>
      </c>
      <c r="AG172" t="str">
        <f>IFERROR(INDEX('幕间与结算'!$E$9:$E$208,SMALL(AG$210:AG$409,171)),"")</f>
        <v/>
      </c>
      <c r="AH172" t="str">
        <f>IFERROR(INDEX('幕间与结算'!$E$9:$E$208,SMALL(AH$210:AH$409,171)),"")</f>
        <v/>
      </c>
      <c r="AI172" t="str">
        <f>IFERROR(INDEX('幕间与结算'!$E$9:$E$208,SMALL(AI$210:AI$409,171)),"")</f>
        <v/>
      </c>
      <c r="AJ172" t="str">
        <f>IFERROR(INDEX('幕间与结算'!$E$9:$E$208,SMALL(AJ$210:AJ$409,171)),"")</f>
        <v/>
      </c>
      <c r="AK172" t="str">
        <f>IFERROR(INDEX('幕间与结算'!$E$9:$E$208,SMALL(AK$210:AK$409,171)),"")</f>
        <v/>
      </c>
      <c r="AL172" t="str">
        <f>IFERROR(INDEX('幕间与结算'!$E$9:$E$208,SMALL(AL$210:AL$409,171)),"")</f>
        <v/>
      </c>
      <c r="AM172" t="str">
        <f>IFERROR(INDEX('幕间与结算'!$E$9:$E$208,SMALL(AM$210:AM$409,171)),"")</f>
        <v/>
      </c>
      <c r="AN172" t="str">
        <f>IFERROR(INDEX('幕间与结算'!$E$9:$E$208,SMALL(AN$210:AN$409,171)),"")</f>
        <v/>
      </c>
      <c r="AO172" t="str">
        <f>IFERROR(INDEX('幕间与结算'!$E$9:$E$208,SMALL(AO$210:AO$409,171)),"")</f>
        <v/>
      </c>
      <c r="AP172" t="str">
        <f>IFERROR(INDEX('幕间与结算'!$E$9:$E$208,SMALL(AP$210:AP$409,171)),"")</f>
        <v/>
      </c>
      <c r="AQ172" t="str">
        <f>IFERROR(INDEX('幕间与结算'!$E$9:$E$208,SMALL(AQ$210:AQ$409,171)),"")</f>
        <v/>
      </c>
      <c r="AR172" t="str">
        <f>IFERROR(INDEX('幕间与结算'!$E$9:$E$208,SMALL(AR$210:AR$409,171)),"")</f>
        <v/>
      </c>
      <c r="AS172" t="str">
        <f>IFERROR(INDEX('幕间与结算'!$E$9:$E$208,SMALL(AS$210:AS$409,171)),"")</f>
        <v/>
      </c>
      <c r="AT172" t="str">
        <f>IFERROR(INDEX('幕间与结算'!$E$9:$E$208,SMALL(AT$210:AT$409,171)),"")</f>
        <v/>
      </c>
    </row>
    <row r="173">
      <c r="AA173" t="str">
        <f>IFERROR(INDEX('幕间与结算'!$E$9:$E$208,SMALL(AA$210:AA$409,172)),"")</f>
        <v/>
      </c>
      <c r="AB173" t="str">
        <f>IFERROR(INDEX('幕间与结算'!$E$9:$E$208,SMALL(AB$210:AB$409,172)),"")</f>
        <v/>
      </c>
      <c r="AC173" t="str">
        <f>IFERROR(INDEX('幕间与结算'!$E$9:$E$208,SMALL(AC$210:AC$409,172)),"")</f>
        <v/>
      </c>
      <c r="AD173" t="str">
        <f>IFERROR(INDEX('幕间与结算'!$E$9:$E$208,SMALL(AD$210:AD$409,172)),"")</f>
        <v/>
      </c>
      <c r="AE173" t="str">
        <f>IFERROR(INDEX('幕间与结算'!$E$9:$E$208,SMALL(AE$210:AE$409,172)),"")</f>
        <v/>
      </c>
      <c r="AF173" t="str">
        <f>IFERROR(INDEX('幕间与结算'!$E$9:$E$208,SMALL(AF$210:AF$409,172)),"")</f>
        <v/>
      </c>
      <c r="AG173" t="str">
        <f>IFERROR(INDEX('幕间与结算'!$E$9:$E$208,SMALL(AG$210:AG$409,172)),"")</f>
        <v/>
      </c>
      <c r="AH173" t="str">
        <f>IFERROR(INDEX('幕间与结算'!$E$9:$E$208,SMALL(AH$210:AH$409,172)),"")</f>
        <v/>
      </c>
      <c r="AI173" t="str">
        <f>IFERROR(INDEX('幕间与结算'!$E$9:$E$208,SMALL(AI$210:AI$409,172)),"")</f>
        <v/>
      </c>
      <c r="AJ173" t="str">
        <f>IFERROR(INDEX('幕间与结算'!$E$9:$E$208,SMALL(AJ$210:AJ$409,172)),"")</f>
        <v/>
      </c>
      <c r="AK173" t="str">
        <f>IFERROR(INDEX('幕间与结算'!$E$9:$E$208,SMALL(AK$210:AK$409,172)),"")</f>
        <v/>
      </c>
      <c r="AL173" t="str">
        <f>IFERROR(INDEX('幕间与结算'!$E$9:$E$208,SMALL(AL$210:AL$409,172)),"")</f>
        <v/>
      </c>
      <c r="AM173" t="str">
        <f>IFERROR(INDEX('幕间与结算'!$E$9:$E$208,SMALL(AM$210:AM$409,172)),"")</f>
        <v/>
      </c>
      <c r="AN173" t="str">
        <f>IFERROR(INDEX('幕间与结算'!$E$9:$E$208,SMALL(AN$210:AN$409,172)),"")</f>
        <v/>
      </c>
      <c r="AO173" t="str">
        <f>IFERROR(INDEX('幕间与结算'!$E$9:$E$208,SMALL(AO$210:AO$409,172)),"")</f>
        <v/>
      </c>
      <c r="AP173" t="str">
        <f>IFERROR(INDEX('幕间与结算'!$E$9:$E$208,SMALL(AP$210:AP$409,172)),"")</f>
        <v/>
      </c>
      <c r="AQ173" t="str">
        <f>IFERROR(INDEX('幕间与结算'!$E$9:$E$208,SMALL(AQ$210:AQ$409,172)),"")</f>
        <v/>
      </c>
      <c r="AR173" t="str">
        <f>IFERROR(INDEX('幕间与结算'!$E$9:$E$208,SMALL(AR$210:AR$409,172)),"")</f>
        <v/>
      </c>
      <c r="AS173" t="str">
        <f>IFERROR(INDEX('幕间与结算'!$E$9:$E$208,SMALL(AS$210:AS$409,172)),"")</f>
        <v/>
      </c>
      <c r="AT173" t="str">
        <f>IFERROR(INDEX('幕间与结算'!$E$9:$E$208,SMALL(AT$210:AT$409,172)),"")</f>
        <v/>
      </c>
    </row>
    <row r="174">
      <c r="AA174" t="str">
        <f>IFERROR(INDEX('幕间与结算'!$E$9:$E$208,SMALL(AA$210:AA$409,173)),"")</f>
        <v/>
      </c>
      <c r="AB174" t="str">
        <f>IFERROR(INDEX('幕间与结算'!$E$9:$E$208,SMALL(AB$210:AB$409,173)),"")</f>
        <v/>
      </c>
      <c r="AC174" t="str">
        <f>IFERROR(INDEX('幕间与结算'!$E$9:$E$208,SMALL(AC$210:AC$409,173)),"")</f>
        <v/>
      </c>
      <c r="AD174" t="str">
        <f>IFERROR(INDEX('幕间与结算'!$E$9:$E$208,SMALL(AD$210:AD$409,173)),"")</f>
        <v/>
      </c>
      <c r="AE174" t="str">
        <f>IFERROR(INDEX('幕间与结算'!$E$9:$E$208,SMALL(AE$210:AE$409,173)),"")</f>
        <v/>
      </c>
      <c r="AF174" t="str">
        <f>IFERROR(INDEX('幕间与结算'!$E$9:$E$208,SMALL(AF$210:AF$409,173)),"")</f>
        <v/>
      </c>
      <c r="AG174" t="str">
        <f>IFERROR(INDEX('幕间与结算'!$E$9:$E$208,SMALL(AG$210:AG$409,173)),"")</f>
        <v/>
      </c>
      <c r="AH174" t="str">
        <f>IFERROR(INDEX('幕间与结算'!$E$9:$E$208,SMALL(AH$210:AH$409,173)),"")</f>
        <v/>
      </c>
      <c r="AI174" t="str">
        <f>IFERROR(INDEX('幕间与结算'!$E$9:$E$208,SMALL(AI$210:AI$409,173)),"")</f>
        <v/>
      </c>
      <c r="AJ174" t="str">
        <f>IFERROR(INDEX('幕间与结算'!$E$9:$E$208,SMALL(AJ$210:AJ$409,173)),"")</f>
        <v/>
      </c>
      <c r="AK174" t="str">
        <f>IFERROR(INDEX('幕间与结算'!$E$9:$E$208,SMALL(AK$210:AK$409,173)),"")</f>
        <v/>
      </c>
      <c r="AL174" t="str">
        <f>IFERROR(INDEX('幕间与结算'!$E$9:$E$208,SMALL(AL$210:AL$409,173)),"")</f>
        <v/>
      </c>
      <c r="AM174" t="str">
        <f>IFERROR(INDEX('幕间与结算'!$E$9:$E$208,SMALL(AM$210:AM$409,173)),"")</f>
        <v/>
      </c>
      <c r="AN174" t="str">
        <f>IFERROR(INDEX('幕间与结算'!$E$9:$E$208,SMALL(AN$210:AN$409,173)),"")</f>
        <v/>
      </c>
      <c r="AO174" t="str">
        <f>IFERROR(INDEX('幕间与结算'!$E$9:$E$208,SMALL(AO$210:AO$409,173)),"")</f>
        <v/>
      </c>
      <c r="AP174" t="str">
        <f>IFERROR(INDEX('幕间与结算'!$E$9:$E$208,SMALL(AP$210:AP$409,173)),"")</f>
        <v/>
      </c>
      <c r="AQ174" t="str">
        <f>IFERROR(INDEX('幕间与结算'!$E$9:$E$208,SMALL(AQ$210:AQ$409,173)),"")</f>
        <v/>
      </c>
      <c r="AR174" t="str">
        <f>IFERROR(INDEX('幕间与结算'!$E$9:$E$208,SMALL(AR$210:AR$409,173)),"")</f>
        <v/>
      </c>
      <c r="AS174" t="str">
        <f>IFERROR(INDEX('幕间与结算'!$E$9:$E$208,SMALL(AS$210:AS$409,173)),"")</f>
        <v/>
      </c>
      <c r="AT174" t="str">
        <f>IFERROR(INDEX('幕间与结算'!$E$9:$E$208,SMALL(AT$210:AT$409,173)),"")</f>
        <v/>
      </c>
    </row>
    <row r="175">
      <c r="AA175" t="str">
        <f>IFERROR(INDEX('幕间与结算'!$E$9:$E$208,SMALL(AA$210:AA$409,174)),"")</f>
        <v/>
      </c>
      <c r="AB175" t="str">
        <f>IFERROR(INDEX('幕间与结算'!$E$9:$E$208,SMALL(AB$210:AB$409,174)),"")</f>
        <v/>
      </c>
      <c r="AC175" t="str">
        <f>IFERROR(INDEX('幕间与结算'!$E$9:$E$208,SMALL(AC$210:AC$409,174)),"")</f>
        <v/>
      </c>
      <c r="AD175" t="str">
        <f>IFERROR(INDEX('幕间与结算'!$E$9:$E$208,SMALL(AD$210:AD$409,174)),"")</f>
        <v/>
      </c>
      <c r="AE175" t="str">
        <f>IFERROR(INDEX('幕间与结算'!$E$9:$E$208,SMALL(AE$210:AE$409,174)),"")</f>
        <v/>
      </c>
      <c r="AF175" t="str">
        <f>IFERROR(INDEX('幕间与结算'!$E$9:$E$208,SMALL(AF$210:AF$409,174)),"")</f>
        <v/>
      </c>
      <c r="AG175" t="str">
        <f>IFERROR(INDEX('幕间与结算'!$E$9:$E$208,SMALL(AG$210:AG$409,174)),"")</f>
        <v/>
      </c>
      <c r="AH175" t="str">
        <f>IFERROR(INDEX('幕间与结算'!$E$9:$E$208,SMALL(AH$210:AH$409,174)),"")</f>
        <v/>
      </c>
      <c r="AI175" t="str">
        <f>IFERROR(INDEX('幕间与结算'!$E$9:$E$208,SMALL(AI$210:AI$409,174)),"")</f>
        <v/>
      </c>
      <c r="AJ175" t="str">
        <f>IFERROR(INDEX('幕间与结算'!$E$9:$E$208,SMALL(AJ$210:AJ$409,174)),"")</f>
        <v/>
      </c>
      <c r="AK175" t="str">
        <f>IFERROR(INDEX('幕间与结算'!$E$9:$E$208,SMALL(AK$210:AK$409,174)),"")</f>
        <v/>
      </c>
      <c r="AL175" t="str">
        <f>IFERROR(INDEX('幕间与结算'!$E$9:$E$208,SMALL(AL$210:AL$409,174)),"")</f>
        <v/>
      </c>
      <c r="AM175" t="str">
        <f>IFERROR(INDEX('幕间与结算'!$E$9:$E$208,SMALL(AM$210:AM$409,174)),"")</f>
        <v/>
      </c>
      <c r="AN175" t="str">
        <f>IFERROR(INDEX('幕间与结算'!$E$9:$E$208,SMALL(AN$210:AN$409,174)),"")</f>
        <v/>
      </c>
      <c r="AO175" t="str">
        <f>IFERROR(INDEX('幕间与结算'!$E$9:$E$208,SMALL(AO$210:AO$409,174)),"")</f>
        <v/>
      </c>
      <c r="AP175" t="str">
        <f>IFERROR(INDEX('幕间与结算'!$E$9:$E$208,SMALL(AP$210:AP$409,174)),"")</f>
        <v/>
      </c>
      <c r="AQ175" t="str">
        <f>IFERROR(INDEX('幕间与结算'!$E$9:$E$208,SMALL(AQ$210:AQ$409,174)),"")</f>
        <v/>
      </c>
      <c r="AR175" t="str">
        <f>IFERROR(INDEX('幕间与结算'!$E$9:$E$208,SMALL(AR$210:AR$409,174)),"")</f>
        <v/>
      </c>
      <c r="AS175" t="str">
        <f>IFERROR(INDEX('幕间与结算'!$E$9:$E$208,SMALL(AS$210:AS$409,174)),"")</f>
        <v/>
      </c>
      <c r="AT175" t="str">
        <f>IFERROR(INDEX('幕间与结算'!$E$9:$E$208,SMALL(AT$210:AT$409,174)),"")</f>
        <v/>
      </c>
    </row>
    <row r="176">
      <c r="AA176" t="str">
        <f>IFERROR(INDEX('幕间与结算'!$E$9:$E$208,SMALL(AA$210:AA$409,175)),"")</f>
        <v/>
      </c>
      <c r="AB176" t="str">
        <f>IFERROR(INDEX('幕间与结算'!$E$9:$E$208,SMALL(AB$210:AB$409,175)),"")</f>
        <v/>
      </c>
      <c r="AC176" t="str">
        <f>IFERROR(INDEX('幕间与结算'!$E$9:$E$208,SMALL(AC$210:AC$409,175)),"")</f>
        <v/>
      </c>
      <c r="AD176" t="str">
        <f>IFERROR(INDEX('幕间与结算'!$E$9:$E$208,SMALL(AD$210:AD$409,175)),"")</f>
        <v/>
      </c>
      <c r="AE176" t="str">
        <f>IFERROR(INDEX('幕间与结算'!$E$9:$E$208,SMALL(AE$210:AE$409,175)),"")</f>
        <v/>
      </c>
      <c r="AF176" t="str">
        <f>IFERROR(INDEX('幕间与结算'!$E$9:$E$208,SMALL(AF$210:AF$409,175)),"")</f>
        <v/>
      </c>
      <c r="AG176" t="str">
        <f>IFERROR(INDEX('幕间与结算'!$E$9:$E$208,SMALL(AG$210:AG$409,175)),"")</f>
        <v/>
      </c>
      <c r="AH176" t="str">
        <f>IFERROR(INDEX('幕间与结算'!$E$9:$E$208,SMALL(AH$210:AH$409,175)),"")</f>
        <v/>
      </c>
      <c r="AI176" t="str">
        <f>IFERROR(INDEX('幕间与结算'!$E$9:$E$208,SMALL(AI$210:AI$409,175)),"")</f>
        <v/>
      </c>
      <c r="AJ176" t="str">
        <f>IFERROR(INDEX('幕间与结算'!$E$9:$E$208,SMALL(AJ$210:AJ$409,175)),"")</f>
        <v/>
      </c>
      <c r="AK176" t="str">
        <f>IFERROR(INDEX('幕间与结算'!$E$9:$E$208,SMALL(AK$210:AK$409,175)),"")</f>
        <v/>
      </c>
      <c r="AL176" t="str">
        <f>IFERROR(INDEX('幕间与结算'!$E$9:$E$208,SMALL(AL$210:AL$409,175)),"")</f>
        <v/>
      </c>
      <c r="AM176" t="str">
        <f>IFERROR(INDEX('幕间与结算'!$E$9:$E$208,SMALL(AM$210:AM$409,175)),"")</f>
        <v/>
      </c>
      <c r="AN176" t="str">
        <f>IFERROR(INDEX('幕间与结算'!$E$9:$E$208,SMALL(AN$210:AN$409,175)),"")</f>
        <v/>
      </c>
      <c r="AO176" t="str">
        <f>IFERROR(INDEX('幕间与结算'!$E$9:$E$208,SMALL(AO$210:AO$409,175)),"")</f>
        <v/>
      </c>
      <c r="AP176" t="str">
        <f>IFERROR(INDEX('幕间与结算'!$E$9:$E$208,SMALL(AP$210:AP$409,175)),"")</f>
        <v/>
      </c>
      <c r="AQ176" t="str">
        <f>IFERROR(INDEX('幕间与结算'!$E$9:$E$208,SMALL(AQ$210:AQ$409,175)),"")</f>
        <v/>
      </c>
      <c r="AR176" t="str">
        <f>IFERROR(INDEX('幕间与结算'!$E$9:$E$208,SMALL(AR$210:AR$409,175)),"")</f>
        <v/>
      </c>
      <c r="AS176" t="str">
        <f>IFERROR(INDEX('幕间与结算'!$E$9:$E$208,SMALL(AS$210:AS$409,175)),"")</f>
        <v/>
      </c>
      <c r="AT176" t="str">
        <f>IFERROR(INDEX('幕间与结算'!$E$9:$E$208,SMALL(AT$210:AT$409,175)),"")</f>
        <v/>
      </c>
    </row>
    <row r="177">
      <c r="AA177" t="str">
        <f>IFERROR(INDEX('幕间与结算'!$E$9:$E$208,SMALL(AA$210:AA$409,176)),"")</f>
        <v/>
      </c>
      <c r="AB177" t="str">
        <f>IFERROR(INDEX('幕间与结算'!$E$9:$E$208,SMALL(AB$210:AB$409,176)),"")</f>
        <v/>
      </c>
      <c r="AC177" t="str">
        <f>IFERROR(INDEX('幕间与结算'!$E$9:$E$208,SMALL(AC$210:AC$409,176)),"")</f>
        <v/>
      </c>
      <c r="AD177" t="str">
        <f>IFERROR(INDEX('幕间与结算'!$E$9:$E$208,SMALL(AD$210:AD$409,176)),"")</f>
        <v/>
      </c>
      <c r="AE177" t="str">
        <f>IFERROR(INDEX('幕间与结算'!$E$9:$E$208,SMALL(AE$210:AE$409,176)),"")</f>
        <v/>
      </c>
      <c r="AF177" t="str">
        <f>IFERROR(INDEX('幕间与结算'!$E$9:$E$208,SMALL(AF$210:AF$409,176)),"")</f>
        <v/>
      </c>
      <c r="AG177" t="str">
        <f>IFERROR(INDEX('幕间与结算'!$E$9:$E$208,SMALL(AG$210:AG$409,176)),"")</f>
        <v/>
      </c>
      <c r="AH177" t="str">
        <f>IFERROR(INDEX('幕间与结算'!$E$9:$E$208,SMALL(AH$210:AH$409,176)),"")</f>
        <v/>
      </c>
      <c r="AI177" t="str">
        <f>IFERROR(INDEX('幕间与结算'!$E$9:$E$208,SMALL(AI$210:AI$409,176)),"")</f>
        <v/>
      </c>
      <c r="AJ177" t="str">
        <f>IFERROR(INDEX('幕间与结算'!$E$9:$E$208,SMALL(AJ$210:AJ$409,176)),"")</f>
        <v/>
      </c>
      <c r="AK177" t="str">
        <f>IFERROR(INDEX('幕间与结算'!$E$9:$E$208,SMALL(AK$210:AK$409,176)),"")</f>
        <v/>
      </c>
      <c r="AL177" t="str">
        <f>IFERROR(INDEX('幕间与结算'!$E$9:$E$208,SMALL(AL$210:AL$409,176)),"")</f>
        <v/>
      </c>
      <c r="AM177" t="str">
        <f>IFERROR(INDEX('幕间与结算'!$E$9:$E$208,SMALL(AM$210:AM$409,176)),"")</f>
        <v/>
      </c>
      <c r="AN177" t="str">
        <f>IFERROR(INDEX('幕间与结算'!$E$9:$E$208,SMALL(AN$210:AN$409,176)),"")</f>
        <v/>
      </c>
      <c r="AO177" t="str">
        <f>IFERROR(INDEX('幕间与结算'!$E$9:$E$208,SMALL(AO$210:AO$409,176)),"")</f>
        <v/>
      </c>
      <c r="AP177" t="str">
        <f>IFERROR(INDEX('幕间与结算'!$E$9:$E$208,SMALL(AP$210:AP$409,176)),"")</f>
        <v/>
      </c>
      <c r="AQ177" t="str">
        <f>IFERROR(INDEX('幕间与结算'!$E$9:$E$208,SMALL(AQ$210:AQ$409,176)),"")</f>
        <v/>
      </c>
      <c r="AR177" t="str">
        <f>IFERROR(INDEX('幕间与结算'!$E$9:$E$208,SMALL(AR$210:AR$409,176)),"")</f>
        <v/>
      </c>
      <c r="AS177" t="str">
        <f>IFERROR(INDEX('幕间与结算'!$E$9:$E$208,SMALL(AS$210:AS$409,176)),"")</f>
        <v/>
      </c>
      <c r="AT177" t="str">
        <f>IFERROR(INDEX('幕间与结算'!$E$9:$E$208,SMALL(AT$210:AT$409,176)),"")</f>
        <v/>
      </c>
    </row>
    <row r="178">
      <c r="AA178" t="str">
        <f>IFERROR(INDEX('幕间与结算'!$E$9:$E$208,SMALL(AA$210:AA$409,177)),"")</f>
        <v/>
      </c>
      <c r="AB178" t="str">
        <f>IFERROR(INDEX('幕间与结算'!$E$9:$E$208,SMALL(AB$210:AB$409,177)),"")</f>
        <v/>
      </c>
      <c r="AC178" t="str">
        <f>IFERROR(INDEX('幕间与结算'!$E$9:$E$208,SMALL(AC$210:AC$409,177)),"")</f>
        <v/>
      </c>
      <c r="AD178" t="str">
        <f>IFERROR(INDEX('幕间与结算'!$E$9:$E$208,SMALL(AD$210:AD$409,177)),"")</f>
        <v/>
      </c>
      <c r="AE178" t="str">
        <f>IFERROR(INDEX('幕间与结算'!$E$9:$E$208,SMALL(AE$210:AE$409,177)),"")</f>
        <v/>
      </c>
      <c r="AF178" t="str">
        <f>IFERROR(INDEX('幕间与结算'!$E$9:$E$208,SMALL(AF$210:AF$409,177)),"")</f>
        <v/>
      </c>
      <c r="AG178" t="str">
        <f>IFERROR(INDEX('幕间与结算'!$E$9:$E$208,SMALL(AG$210:AG$409,177)),"")</f>
        <v/>
      </c>
      <c r="AH178" t="str">
        <f>IFERROR(INDEX('幕间与结算'!$E$9:$E$208,SMALL(AH$210:AH$409,177)),"")</f>
        <v/>
      </c>
      <c r="AI178" t="str">
        <f>IFERROR(INDEX('幕间与结算'!$E$9:$E$208,SMALL(AI$210:AI$409,177)),"")</f>
        <v/>
      </c>
      <c r="AJ178" t="str">
        <f>IFERROR(INDEX('幕间与结算'!$E$9:$E$208,SMALL(AJ$210:AJ$409,177)),"")</f>
        <v/>
      </c>
      <c r="AK178" t="str">
        <f>IFERROR(INDEX('幕间与结算'!$E$9:$E$208,SMALL(AK$210:AK$409,177)),"")</f>
        <v/>
      </c>
      <c r="AL178" t="str">
        <f>IFERROR(INDEX('幕间与结算'!$E$9:$E$208,SMALL(AL$210:AL$409,177)),"")</f>
        <v/>
      </c>
      <c r="AM178" t="str">
        <f>IFERROR(INDEX('幕间与结算'!$E$9:$E$208,SMALL(AM$210:AM$409,177)),"")</f>
        <v/>
      </c>
      <c r="AN178" t="str">
        <f>IFERROR(INDEX('幕间与结算'!$E$9:$E$208,SMALL(AN$210:AN$409,177)),"")</f>
        <v/>
      </c>
      <c r="AO178" t="str">
        <f>IFERROR(INDEX('幕间与结算'!$E$9:$E$208,SMALL(AO$210:AO$409,177)),"")</f>
        <v/>
      </c>
      <c r="AP178" t="str">
        <f>IFERROR(INDEX('幕间与结算'!$E$9:$E$208,SMALL(AP$210:AP$409,177)),"")</f>
        <v/>
      </c>
      <c r="AQ178" t="str">
        <f>IFERROR(INDEX('幕间与结算'!$E$9:$E$208,SMALL(AQ$210:AQ$409,177)),"")</f>
        <v/>
      </c>
      <c r="AR178" t="str">
        <f>IFERROR(INDEX('幕间与结算'!$E$9:$E$208,SMALL(AR$210:AR$409,177)),"")</f>
        <v/>
      </c>
      <c r="AS178" t="str">
        <f>IFERROR(INDEX('幕间与结算'!$E$9:$E$208,SMALL(AS$210:AS$409,177)),"")</f>
        <v/>
      </c>
      <c r="AT178" t="str">
        <f>IFERROR(INDEX('幕间与结算'!$E$9:$E$208,SMALL(AT$210:AT$409,177)),"")</f>
        <v/>
      </c>
    </row>
    <row r="179">
      <c r="AA179" t="str">
        <f>IFERROR(INDEX('幕间与结算'!$E$9:$E$208,SMALL(AA$210:AA$409,178)),"")</f>
        <v/>
      </c>
      <c r="AB179" t="str">
        <f>IFERROR(INDEX('幕间与结算'!$E$9:$E$208,SMALL(AB$210:AB$409,178)),"")</f>
        <v/>
      </c>
      <c r="AC179" t="str">
        <f>IFERROR(INDEX('幕间与结算'!$E$9:$E$208,SMALL(AC$210:AC$409,178)),"")</f>
        <v/>
      </c>
      <c r="AD179" t="str">
        <f>IFERROR(INDEX('幕间与结算'!$E$9:$E$208,SMALL(AD$210:AD$409,178)),"")</f>
        <v/>
      </c>
      <c r="AE179" t="str">
        <f>IFERROR(INDEX('幕间与结算'!$E$9:$E$208,SMALL(AE$210:AE$409,178)),"")</f>
        <v/>
      </c>
      <c r="AF179" t="str">
        <f>IFERROR(INDEX('幕间与结算'!$E$9:$E$208,SMALL(AF$210:AF$409,178)),"")</f>
        <v/>
      </c>
      <c r="AG179" t="str">
        <f>IFERROR(INDEX('幕间与结算'!$E$9:$E$208,SMALL(AG$210:AG$409,178)),"")</f>
        <v/>
      </c>
      <c r="AH179" t="str">
        <f>IFERROR(INDEX('幕间与结算'!$E$9:$E$208,SMALL(AH$210:AH$409,178)),"")</f>
        <v/>
      </c>
      <c r="AI179" t="str">
        <f>IFERROR(INDEX('幕间与结算'!$E$9:$E$208,SMALL(AI$210:AI$409,178)),"")</f>
        <v/>
      </c>
      <c r="AJ179" t="str">
        <f>IFERROR(INDEX('幕间与结算'!$E$9:$E$208,SMALL(AJ$210:AJ$409,178)),"")</f>
        <v/>
      </c>
      <c r="AK179" t="str">
        <f>IFERROR(INDEX('幕间与结算'!$E$9:$E$208,SMALL(AK$210:AK$409,178)),"")</f>
        <v/>
      </c>
      <c r="AL179" t="str">
        <f>IFERROR(INDEX('幕间与结算'!$E$9:$E$208,SMALL(AL$210:AL$409,178)),"")</f>
        <v/>
      </c>
      <c r="AM179" t="str">
        <f>IFERROR(INDEX('幕间与结算'!$E$9:$E$208,SMALL(AM$210:AM$409,178)),"")</f>
        <v/>
      </c>
      <c r="AN179" t="str">
        <f>IFERROR(INDEX('幕间与结算'!$E$9:$E$208,SMALL(AN$210:AN$409,178)),"")</f>
        <v/>
      </c>
      <c r="AO179" t="str">
        <f>IFERROR(INDEX('幕间与结算'!$E$9:$E$208,SMALL(AO$210:AO$409,178)),"")</f>
        <v/>
      </c>
      <c r="AP179" t="str">
        <f>IFERROR(INDEX('幕间与结算'!$E$9:$E$208,SMALL(AP$210:AP$409,178)),"")</f>
        <v/>
      </c>
      <c r="AQ179" t="str">
        <f>IFERROR(INDEX('幕间与结算'!$E$9:$E$208,SMALL(AQ$210:AQ$409,178)),"")</f>
        <v/>
      </c>
      <c r="AR179" t="str">
        <f>IFERROR(INDEX('幕间与结算'!$E$9:$E$208,SMALL(AR$210:AR$409,178)),"")</f>
        <v/>
      </c>
      <c r="AS179" t="str">
        <f>IFERROR(INDEX('幕间与结算'!$E$9:$E$208,SMALL(AS$210:AS$409,178)),"")</f>
        <v/>
      </c>
      <c r="AT179" t="str">
        <f>IFERROR(INDEX('幕间与结算'!$E$9:$E$208,SMALL(AT$210:AT$409,178)),"")</f>
        <v/>
      </c>
    </row>
    <row r="180">
      <c r="AA180" t="str">
        <f>IFERROR(INDEX('幕间与结算'!$E$9:$E$208,SMALL(AA$210:AA$409,179)),"")</f>
        <v/>
      </c>
      <c r="AB180" t="str">
        <f>IFERROR(INDEX('幕间与结算'!$E$9:$E$208,SMALL(AB$210:AB$409,179)),"")</f>
        <v/>
      </c>
      <c r="AC180" t="str">
        <f>IFERROR(INDEX('幕间与结算'!$E$9:$E$208,SMALL(AC$210:AC$409,179)),"")</f>
        <v/>
      </c>
      <c r="AD180" t="str">
        <f>IFERROR(INDEX('幕间与结算'!$E$9:$E$208,SMALL(AD$210:AD$409,179)),"")</f>
        <v/>
      </c>
      <c r="AE180" t="str">
        <f>IFERROR(INDEX('幕间与结算'!$E$9:$E$208,SMALL(AE$210:AE$409,179)),"")</f>
        <v/>
      </c>
      <c r="AF180" t="str">
        <f>IFERROR(INDEX('幕间与结算'!$E$9:$E$208,SMALL(AF$210:AF$409,179)),"")</f>
        <v/>
      </c>
      <c r="AG180" t="str">
        <f>IFERROR(INDEX('幕间与结算'!$E$9:$E$208,SMALL(AG$210:AG$409,179)),"")</f>
        <v/>
      </c>
      <c r="AH180" t="str">
        <f>IFERROR(INDEX('幕间与结算'!$E$9:$E$208,SMALL(AH$210:AH$409,179)),"")</f>
        <v/>
      </c>
      <c r="AI180" t="str">
        <f>IFERROR(INDEX('幕间与结算'!$E$9:$E$208,SMALL(AI$210:AI$409,179)),"")</f>
        <v/>
      </c>
      <c r="AJ180" t="str">
        <f>IFERROR(INDEX('幕间与结算'!$E$9:$E$208,SMALL(AJ$210:AJ$409,179)),"")</f>
        <v/>
      </c>
      <c r="AK180" t="str">
        <f>IFERROR(INDEX('幕间与结算'!$E$9:$E$208,SMALL(AK$210:AK$409,179)),"")</f>
        <v/>
      </c>
      <c r="AL180" t="str">
        <f>IFERROR(INDEX('幕间与结算'!$E$9:$E$208,SMALL(AL$210:AL$409,179)),"")</f>
        <v/>
      </c>
      <c r="AM180" t="str">
        <f>IFERROR(INDEX('幕间与结算'!$E$9:$E$208,SMALL(AM$210:AM$409,179)),"")</f>
        <v/>
      </c>
      <c r="AN180" t="str">
        <f>IFERROR(INDEX('幕间与结算'!$E$9:$E$208,SMALL(AN$210:AN$409,179)),"")</f>
        <v/>
      </c>
      <c r="AO180" t="str">
        <f>IFERROR(INDEX('幕间与结算'!$E$9:$E$208,SMALL(AO$210:AO$409,179)),"")</f>
        <v/>
      </c>
      <c r="AP180" t="str">
        <f>IFERROR(INDEX('幕间与结算'!$E$9:$E$208,SMALL(AP$210:AP$409,179)),"")</f>
        <v/>
      </c>
      <c r="AQ180" t="str">
        <f>IFERROR(INDEX('幕间与结算'!$E$9:$E$208,SMALL(AQ$210:AQ$409,179)),"")</f>
        <v/>
      </c>
      <c r="AR180" t="str">
        <f>IFERROR(INDEX('幕间与结算'!$E$9:$E$208,SMALL(AR$210:AR$409,179)),"")</f>
        <v/>
      </c>
      <c r="AS180" t="str">
        <f>IFERROR(INDEX('幕间与结算'!$E$9:$E$208,SMALL(AS$210:AS$409,179)),"")</f>
        <v/>
      </c>
      <c r="AT180" t="str">
        <f>IFERROR(INDEX('幕间与结算'!$E$9:$E$208,SMALL(AT$210:AT$409,179)),"")</f>
        <v/>
      </c>
    </row>
    <row r="181">
      <c r="AA181" t="str">
        <f>IFERROR(INDEX('幕间与结算'!$E$9:$E$208,SMALL(AA$210:AA$409,180)),"")</f>
        <v/>
      </c>
      <c r="AB181" t="str">
        <f>IFERROR(INDEX('幕间与结算'!$E$9:$E$208,SMALL(AB$210:AB$409,180)),"")</f>
        <v/>
      </c>
      <c r="AC181" t="str">
        <f>IFERROR(INDEX('幕间与结算'!$E$9:$E$208,SMALL(AC$210:AC$409,180)),"")</f>
        <v/>
      </c>
      <c r="AD181" t="str">
        <f>IFERROR(INDEX('幕间与结算'!$E$9:$E$208,SMALL(AD$210:AD$409,180)),"")</f>
        <v/>
      </c>
      <c r="AE181" t="str">
        <f>IFERROR(INDEX('幕间与结算'!$E$9:$E$208,SMALL(AE$210:AE$409,180)),"")</f>
        <v/>
      </c>
      <c r="AF181" t="str">
        <f>IFERROR(INDEX('幕间与结算'!$E$9:$E$208,SMALL(AF$210:AF$409,180)),"")</f>
        <v/>
      </c>
      <c r="AG181" t="str">
        <f>IFERROR(INDEX('幕间与结算'!$E$9:$E$208,SMALL(AG$210:AG$409,180)),"")</f>
        <v/>
      </c>
      <c r="AH181" t="str">
        <f>IFERROR(INDEX('幕间与结算'!$E$9:$E$208,SMALL(AH$210:AH$409,180)),"")</f>
        <v/>
      </c>
      <c r="AI181" t="str">
        <f>IFERROR(INDEX('幕间与结算'!$E$9:$E$208,SMALL(AI$210:AI$409,180)),"")</f>
        <v/>
      </c>
      <c r="AJ181" t="str">
        <f>IFERROR(INDEX('幕间与结算'!$E$9:$E$208,SMALL(AJ$210:AJ$409,180)),"")</f>
        <v/>
      </c>
      <c r="AK181" t="str">
        <f>IFERROR(INDEX('幕间与结算'!$E$9:$E$208,SMALL(AK$210:AK$409,180)),"")</f>
        <v/>
      </c>
      <c r="AL181" t="str">
        <f>IFERROR(INDEX('幕间与结算'!$E$9:$E$208,SMALL(AL$210:AL$409,180)),"")</f>
        <v/>
      </c>
      <c r="AM181" t="str">
        <f>IFERROR(INDEX('幕间与结算'!$E$9:$E$208,SMALL(AM$210:AM$409,180)),"")</f>
        <v/>
      </c>
      <c r="AN181" t="str">
        <f>IFERROR(INDEX('幕间与结算'!$E$9:$E$208,SMALL(AN$210:AN$409,180)),"")</f>
        <v/>
      </c>
      <c r="AO181" t="str">
        <f>IFERROR(INDEX('幕间与结算'!$E$9:$E$208,SMALL(AO$210:AO$409,180)),"")</f>
        <v/>
      </c>
      <c r="AP181" t="str">
        <f>IFERROR(INDEX('幕间与结算'!$E$9:$E$208,SMALL(AP$210:AP$409,180)),"")</f>
        <v/>
      </c>
      <c r="AQ181" t="str">
        <f>IFERROR(INDEX('幕间与结算'!$E$9:$E$208,SMALL(AQ$210:AQ$409,180)),"")</f>
        <v/>
      </c>
      <c r="AR181" t="str">
        <f>IFERROR(INDEX('幕间与结算'!$E$9:$E$208,SMALL(AR$210:AR$409,180)),"")</f>
        <v/>
      </c>
      <c r="AS181" t="str">
        <f>IFERROR(INDEX('幕间与结算'!$E$9:$E$208,SMALL(AS$210:AS$409,180)),"")</f>
        <v/>
      </c>
      <c r="AT181" t="str">
        <f>IFERROR(INDEX('幕间与结算'!$E$9:$E$208,SMALL(AT$210:AT$409,180)),"")</f>
        <v/>
      </c>
    </row>
    <row r="182">
      <c r="AA182" t="str">
        <f>IFERROR(INDEX('幕间与结算'!$E$9:$E$208,SMALL(AA$210:AA$409,181)),"")</f>
        <v/>
      </c>
      <c r="AB182" t="str">
        <f>IFERROR(INDEX('幕间与结算'!$E$9:$E$208,SMALL(AB$210:AB$409,181)),"")</f>
        <v/>
      </c>
      <c r="AC182" t="str">
        <f>IFERROR(INDEX('幕间与结算'!$E$9:$E$208,SMALL(AC$210:AC$409,181)),"")</f>
        <v/>
      </c>
      <c r="AD182" t="str">
        <f>IFERROR(INDEX('幕间与结算'!$E$9:$E$208,SMALL(AD$210:AD$409,181)),"")</f>
        <v/>
      </c>
      <c r="AE182" t="str">
        <f>IFERROR(INDEX('幕间与结算'!$E$9:$E$208,SMALL(AE$210:AE$409,181)),"")</f>
        <v/>
      </c>
      <c r="AF182" t="str">
        <f>IFERROR(INDEX('幕间与结算'!$E$9:$E$208,SMALL(AF$210:AF$409,181)),"")</f>
        <v/>
      </c>
      <c r="AG182" t="str">
        <f>IFERROR(INDEX('幕间与结算'!$E$9:$E$208,SMALL(AG$210:AG$409,181)),"")</f>
        <v/>
      </c>
      <c r="AH182" t="str">
        <f>IFERROR(INDEX('幕间与结算'!$E$9:$E$208,SMALL(AH$210:AH$409,181)),"")</f>
        <v/>
      </c>
      <c r="AI182" t="str">
        <f>IFERROR(INDEX('幕间与结算'!$E$9:$E$208,SMALL(AI$210:AI$409,181)),"")</f>
        <v/>
      </c>
      <c r="AJ182" t="str">
        <f>IFERROR(INDEX('幕间与结算'!$E$9:$E$208,SMALL(AJ$210:AJ$409,181)),"")</f>
        <v/>
      </c>
      <c r="AK182" t="str">
        <f>IFERROR(INDEX('幕间与结算'!$E$9:$E$208,SMALL(AK$210:AK$409,181)),"")</f>
        <v/>
      </c>
      <c r="AL182" t="str">
        <f>IFERROR(INDEX('幕间与结算'!$E$9:$E$208,SMALL(AL$210:AL$409,181)),"")</f>
        <v/>
      </c>
      <c r="AM182" t="str">
        <f>IFERROR(INDEX('幕间与结算'!$E$9:$E$208,SMALL(AM$210:AM$409,181)),"")</f>
        <v/>
      </c>
      <c r="AN182" t="str">
        <f>IFERROR(INDEX('幕间与结算'!$E$9:$E$208,SMALL(AN$210:AN$409,181)),"")</f>
        <v/>
      </c>
      <c r="AO182" t="str">
        <f>IFERROR(INDEX('幕间与结算'!$E$9:$E$208,SMALL(AO$210:AO$409,181)),"")</f>
        <v/>
      </c>
      <c r="AP182" t="str">
        <f>IFERROR(INDEX('幕间与结算'!$E$9:$E$208,SMALL(AP$210:AP$409,181)),"")</f>
        <v/>
      </c>
      <c r="AQ182" t="str">
        <f>IFERROR(INDEX('幕间与结算'!$E$9:$E$208,SMALL(AQ$210:AQ$409,181)),"")</f>
        <v/>
      </c>
      <c r="AR182" t="str">
        <f>IFERROR(INDEX('幕间与结算'!$E$9:$E$208,SMALL(AR$210:AR$409,181)),"")</f>
        <v/>
      </c>
      <c r="AS182" t="str">
        <f>IFERROR(INDEX('幕间与结算'!$E$9:$E$208,SMALL(AS$210:AS$409,181)),"")</f>
        <v/>
      </c>
      <c r="AT182" t="str">
        <f>IFERROR(INDEX('幕间与结算'!$E$9:$E$208,SMALL(AT$210:AT$409,181)),"")</f>
        <v/>
      </c>
    </row>
    <row r="183">
      <c r="AA183" t="str">
        <f>IFERROR(INDEX('幕间与结算'!$E$9:$E$208,SMALL(AA$210:AA$409,182)),"")</f>
        <v/>
      </c>
      <c r="AB183" t="str">
        <f>IFERROR(INDEX('幕间与结算'!$E$9:$E$208,SMALL(AB$210:AB$409,182)),"")</f>
        <v/>
      </c>
      <c r="AC183" t="str">
        <f>IFERROR(INDEX('幕间与结算'!$E$9:$E$208,SMALL(AC$210:AC$409,182)),"")</f>
        <v/>
      </c>
      <c r="AD183" t="str">
        <f>IFERROR(INDEX('幕间与结算'!$E$9:$E$208,SMALL(AD$210:AD$409,182)),"")</f>
        <v/>
      </c>
      <c r="AE183" t="str">
        <f>IFERROR(INDEX('幕间与结算'!$E$9:$E$208,SMALL(AE$210:AE$409,182)),"")</f>
        <v/>
      </c>
      <c r="AF183" t="str">
        <f>IFERROR(INDEX('幕间与结算'!$E$9:$E$208,SMALL(AF$210:AF$409,182)),"")</f>
        <v/>
      </c>
      <c r="AG183" t="str">
        <f>IFERROR(INDEX('幕间与结算'!$E$9:$E$208,SMALL(AG$210:AG$409,182)),"")</f>
        <v/>
      </c>
      <c r="AH183" t="str">
        <f>IFERROR(INDEX('幕间与结算'!$E$9:$E$208,SMALL(AH$210:AH$409,182)),"")</f>
        <v/>
      </c>
      <c r="AI183" t="str">
        <f>IFERROR(INDEX('幕间与结算'!$E$9:$E$208,SMALL(AI$210:AI$409,182)),"")</f>
        <v/>
      </c>
      <c r="AJ183" t="str">
        <f>IFERROR(INDEX('幕间与结算'!$E$9:$E$208,SMALL(AJ$210:AJ$409,182)),"")</f>
        <v/>
      </c>
      <c r="AK183" t="str">
        <f>IFERROR(INDEX('幕间与结算'!$E$9:$E$208,SMALL(AK$210:AK$409,182)),"")</f>
        <v/>
      </c>
      <c r="AL183" t="str">
        <f>IFERROR(INDEX('幕间与结算'!$E$9:$E$208,SMALL(AL$210:AL$409,182)),"")</f>
        <v/>
      </c>
      <c r="AM183" t="str">
        <f>IFERROR(INDEX('幕间与结算'!$E$9:$E$208,SMALL(AM$210:AM$409,182)),"")</f>
        <v/>
      </c>
      <c r="AN183" t="str">
        <f>IFERROR(INDEX('幕间与结算'!$E$9:$E$208,SMALL(AN$210:AN$409,182)),"")</f>
        <v/>
      </c>
      <c r="AO183" t="str">
        <f>IFERROR(INDEX('幕间与结算'!$E$9:$E$208,SMALL(AO$210:AO$409,182)),"")</f>
        <v/>
      </c>
      <c r="AP183" t="str">
        <f>IFERROR(INDEX('幕间与结算'!$E$9:$E$208,SMALL(AP$210:AP$409,182)),"")</f>
        <v/>
      </c>
      <c r="AQ183" t="str">
        <f>IFERROR(INDEX('幕间与结算'!$E$9:$E$208,SMALL(AQ$210:AQ$409,182)),"")</f>
        <v/>
      </c>
      <c r="AR183" t="str">
        <f>IFERROR(INDEX('幕间与结算'!$E$9:$E$208,SMALL(AR$210:AR$409,182)),"")</f>
        <v/>
      </c>
      <c r="AS183" t="str">
        <f>IFERROR(INDEX('幕间与结算'!$E$9:$E$208,SMALL(AS$210:AS$409,182)),"")</f>
        <v/>
      </c>
      <c r="AT183" t="str">
        <f>IFERROR(INDEX('幕间与结算'!$E$9:$E$208,SMALL(AT$210:AT$409,182)),"")</f>
        <v/>
      </c>
    </row>
    <row r="184">
      <c r="AA184" t="str">
        <f>IFERROR(INDEX('幕间与结算'!$E$9:$E$208,SMALL(AA$210:AA$409,183)),"")</f>
        <v/>
      </c>
      <c r="AB184" t="str">
        <f>IFERROR(INDEX('幕间与结算'!$E$9:$E$208,SMALL(AB$210:AB$409,183)),"")</f>
        <v/>
      </c>
      <c r="AC184" t="str">
        <f>IFERROR(INDEX('幕间与结算'!$E$9:$E$208,SMALL(AC$210:AC$409,183)),"")</f>
        <v/>
      </c>
      <c r="AD184" t="str">
        <f>IFERROR(INDEX('幕间与结算'!$E$9:$E$208,SMALL(AD$210:AD$409,183)),"")</f>
        <v/>
      </c>
      <c r="AE184" t="str">
        <f>IFERROR(INDEX('幕间与结算'!$E$9:$E$208,SMALL(AE$210:AE$409,183)),"")</f>
        <v/>
      </c>
      <c r="AF184" t="str">
        <f>IFERROR(INDEX('幕间与结算'!$E$9:$E$208,SMALL(AF$210:AF$409,183)),"")</f>
        <v/>
      </c>
      <c r="AG184" t="str">
        <f>IFERROR(INDEX('幕间与结算'!$E$9:$E$208,SMALL(AG$210:AG$409,183)),"")</f>
        <v/>
      </c>
      <c r="AH184" t="str">
        <f>IFERROR(INDEX('幕间与结算'!$E$9:$E$208,SMALL(AH$210:AH$409,183)),"")</f>
        <v/>
      </c>
      <c r="AI184" t="str">
        <f>IFERROR(INDEX('幕间与结算'!$E$9:$E$208,SMALL(AI$210:AI$409,183)),"")</f>
        <v/>
      </c>
      <c r="AJ184" t="str">
        <f>IFERROR(INDEX('幕间与结算'!$E$9:$E$208,SMALL(AJ$210:AJ$409,183)),"")</f>
        <v/>
      </c>
      <c r="AK184" t="str">
        <f>IFERROR(INDEX('幕间与结算'!$E$9:$E$208,SMALL(AK$210:AK$409,183)),"")</f>
        <v/>
      </c>
      <c r="AL184" t="str">
        <f>IFERROR(INDEX('幕间与结算'!$E$9:$E$208,SMALL(AL$210:AL$409,183)),"")</f>
        <v/>
      </c>
      <c r="AM184" t="str">
        <f>IFERROR(INDEX('幕间与结算'!$E$9:$E$208,SMALL(AM$210:AM$409,183)),"")</f>
        <v/>
      </c>
      <c r="AN184" t="str">
        <f>IFERROR(INDEX('幕间与结算'!$E$9:$E$208,SMALL(AN$210:AN$409,183)),"")</f>
        <v/>
      </c>
      <c r="AO184" t="str">
        <f>IFERROR(INDEX('幕间与结算'!$E$9:$E$208,SMALL(AO$210:AO$409,183)),"")</f>
        <v/>
      </c>
      <c r="AP184" t="str">
        <f>IFERROR(INDEX('幕间与结算'!$E$9:$E$208,SMALL(AP$210:AP$409,183)),"")</f>
        <v/>
      </c>
      <c r="AQ184" t="str">
        <f>IFERROR(INDEX('幕间与结算'!$E$9:$E$208,SMALL(AQ$210:AQ$409,183)),"")</f>
        <v/>
      </c>
      <c r="AR184" t="str">
        <f>IFERROR(INDEX('幕间与结算'!$E$9:$E$208,SMALL(AR$210:AR$409,183)),"")</f>
        <v/>
      </c>
      <c r="AS184" t="str">
        <f>IFERROR(INDEX('幕间与结算'!$E$9:$E$208,SMALL(AS$210:AS$409,183)),"")</f>
        <v/>
      </c>
      <c r="AT184" t="str">
        <f>IFERROR(INDEX('幕间与结算'!$E$9:$E$208,SMALL(AT$210:AT$409,183)),"")</f>
        <v/>
      </c>
    </row>
    <row r="185">
      <c r="AA185" t="str">
        <f>IFERROR(INDEX('幕间与结算'!$E$9:$E$208,SMALL(AA$210:AA$409,184)),"")</f>
        <v/>
      </c>
      <c r="AB185" t="str">
        <f>IFERROR(INDEX('幕间与结算'!$E$9:$E$208,SMALL(AB$210:AB$409,184)),"")</f>
        <v/>
      </c>
      <c r="AC185" t="str">
        <f>IFERROR(INDEX('幕间与结算'!$E$9:$E$208,SMALL(AC$210:AC$409,184)),"")</f>
        <v/>
      </c>
      <c r="AD185" t="str">
        <f>IFERROR(INDEX('幕间与结算'!$E$9:$E$208,SMALL(AD$210:AD$409,184)),"")</f>
        <v/>
      </c>
      <c r="AE185" t="str">
        <f>IFERROR(INDEX('幕间与结算'!$E$9:$E$208,SMALL(AE$210:AE$409,184)),"")</f>
        <v/>
      </c>
      <c r="AF185" t="str">
        <f>IFERROR(INDEX('幕间与结算'!$E$9:$E$208,SMALL(AF$210:AF$409,184)),"")</f>
        <v/>
      </c>
      <c r="AG185" t="str">
        <f>IFERROR(INDEX('幕间与结算'!$E$9:$E$208,SMALL(AG$210:AG$409,184)),"")</f>
        <v/>
      </c>
      <c r="AH185" t="str">
        <f>IFERROR(INDEX('幕间与结算'!$E$9:$E$208,SMALL(AH$210:AH$409,184)),"")</f>
        <v/>
      </c>
      <c r="AI185" t="str">
        <f>IFERROR(INDEX('幕间与结算'!$E$9:$E$208,SMALL(AI$210:AI$409,184)),"")</f>
        <v/>
      </c>
      <c r="AJ185" t="str">
        <f>IFERROR(INDEX('幕间与结算'!$E$9:$E$208,SMALL(AJ$210:AJ$409,184)),"")</f>
        <v/>
      </c>
      <c r="AK185" t="str">
        <f>IFERROR(INDEX('幕间与结算'!$E$9:$E$208,SMALL(AK$210:AK$409,184)),"")</f>
        <v/>
      </c>
      <c r="AL185" t="str">
        <f>IFERROR(INDEX('幕间与结算'!$E$9:$E$208,SMALL(AL$210:AL$409,184)),"")</f>
        <v/>
      </c>
      <c r="AM185" t="str">
        <f>IFERROR(INDEX('幕间与结算'!$E$9:$E$208,SMALL(AM$210:AM$409,184)),"")</f>
        <v/>
      </c>
      <c r="AN185" t="str">
        <f>IFERROR(INDEX('幕间与结算'!$E$9:$E$208,SMALL(AN$210:AN$409,184)),"")</f>
        <v/>
      </c>
      <c r="AO185" t="str">
        <f>IFERROR(INDEX('幕间与结算'!$E$9:$E$208,SMALL(AO$210:AO$409,184)),"")</f>
        <v/>
      </c>
      <c r="AP185" t="str">
        <f>IFERROR(INDEX('幕间与结算'!$E$9:$E$208,SMALL(AP$210:AP$409,184)),"")</f>
        <v/>
      </c>
      <c r="AQ185" t="str">
        <f>IFERROR(INDEX('幕间与结算'!$E$9:$E$208,SMALL(AQ$210:AQ$409,184)),"")</f>
        <v/>
      </c>
      <c r="AR185" t="str">
        <f>IFERROR(INDEX('幕间与结算'!$E$9:$E$208,SMALL(AR$210:AR$409,184)),"")</f>
        <v/>
      </c>
      <c r="AS185" t="str">
        <f>IFERROR(INDEX('幕间与结算'!$E$9:$E$208,SMALL(AS$210:AS$409,184)),"")</f>
        <v/>
      </c>
      <c r="AT185" t="str">
        <f>IFERROR(INDEX('幕间与结算'!$E$9:$E$208,SMALL(AT$210:AT$409,184)),"")</f>
        <v/>
      </c>
    </row>
    <row r="186">
      <c r="AA186" t="str">
        <f>IFERROR(INDEX('幕间与结算'!$E$9:$E$208,SMALL(AA$210:AA$409,185)),"")</f>
        <v/>
      </c>
      <c r="AB186" t="str">
        <f>IFERROR(INDEX('幕间与结算'!$E$9:$E$208,SMALL(AB$210:AB$409,185)),"")</f>
        <v/>
      </c>
      <c r="AC186" t="str">
        <f>IFERROR(INDEX('幕间与结算'!$E$9:$E$208,SMALL(AC$210:AC$409,185)),"")</f>
        <v/>
      </c>
      <c r="AD186" t="str">
        <f>IFERROR(INDEX('幕间与结算'!$E$9:$E$208,SMALL(AD$210:AD$409,185)),"")</f>
        <v/>
      </c>
      <c r="AE186" t="str">
        <f>IFERROR(INDEX('幕间与结算'!$E$9:$E$208,SMALL(AE$210:AE$409,185)),"")</f>
        <v/>
      </c>
      <c r="AF186" t="str">
        <f>IFERROR(INDEX('幕间与结算'!$E$9:$E$208,SMALL(AF$210:AF$409,185)),"")</f>
        <v/>
      </c>
      <c r="AG186" t="str">
        <f>IFERROR(INDEX('幕间与结算'!$E$9:$E$208,SMALL(AG$210:AG$409,185)),"")</f>
        <v/>
      </c>
      <c r="AH186" t="str">
        <f>IFERROR(INDEX('幕间与结算'!$E$9:$E$208,SMALL(AH$210:AH$409,185)),"")</f>
        <v/>
      </c>
      <c r="AI186" t="str">
        <f>IFERROR(INDEX('幕间与结算'!$E$9:$E$208,SMALL(AI$210:AI$409,185)),"")</f>
        <v/>
      </c>
      <c r="AJ186" t="str">
        <f>IFERROR(INDEX('幕间与结算'!$E$9:$E$208,SMALL(AJ$210:AJ$409,185)),"")</f>
        <v/>
      </c>
      <c r="AK186" t="str">
        <f>IFERROR(INDEX('幕间与结算'!$E$9:$E$208,SMALL(AK$210:AK$409,185)),"")</f>
        <v/>
      </c>
      <c r="AL186" t="str">
        <f>IFERROR(INDEX('幕间与结算'!$E$9:$E$208,SMALL(AL$210:AL$409,185)),"")</f>
        <v/>
      </c>
      <c r="AM186" t="str">
        <f>IFERROR(INDEX('幕间与结算'!$E$9:$E$208,SMALL(AM$210:AM$409,185)),"")</f>
        <v/>
      </c>
      <c r="AN186" t="str">
        <f>IFERROR(INDEX('幕间与结算'!$E$9:$E$208,SMALL(AN$210:AN$409,185)),"")</f>
        <v/>
      </c>
      <c r="AO186" t="str">
        <f>IFERROR(INDEX('幕间与结算'!$E$9:$E$208,SMALL(AO$210:AO$409,185)),"")</f>
        <v/>
      </c>
      <c r="AP186" t="str">
        <f>IFERROR(INDEX('幕间与结算'!$E$9:$E$208,SMALL(AP$210:AP$409,185)),"")</f>
        <v/>
      </c>
      <c r="AQ186" t="str">
        <f>IFERROR(INDEX('幕间与结算'!$E$9:$E$208,SMALL(AQ$210:AQ$409,185)),"")</f>
        <v/>
      </c>
      <c r="AR186" t="str">
        <f>IFERROR(INDEX('幕间与结算'!$E$9:$E$208,SMALL(AR$210:AR$409,185)),"")</f>
        <v/>
      </c>
      <c r="AS186" t="str">
        <f>IFERROR(INDEX('幕间与结算'!$E$9:$E$208,SMALL(AS$210:AS$409,185)),"")</f>
        <v/>
      </c>
      <c r="AT186" t="str">
        <f>IFERROR(INDEX('幕间与结算'!$E$9:$E$208,SMALL(AT$210:AT$409,185)),"")</f>
        <v/>
      </c>
    </row>
    <row r="187">
      <c r="AA187" t="str">
        <f>IFERROR(INDEX('幕间与结算'!$E$9:$E$208,SMALL(AA$210:AA$409,186)),"")</f>
        <v/>
      </c>
      <c r="AB187" t="str">
        <f>IFERROR(INDEX('幕间与结算'!$E$9:$E$208,SMALL(AB$210:AB$409,186)),"")</f>
        <v/>
      </c>
      <c r="AC187" t="str">
        <f>IFERROR(INDEX('幕间与结算'!$E$9:$E$208,SMALL(AC$210:AC$409,186)),"")</f>
        <v/>
      </c>
      <c r="AD187" t="str">
        <f>IFERROR(INDEX('幕间与结算'!$E$9:$E$208,SMALL(AD$210:AD$409,186)),"")</f>
        <v/>
      </c>
      <c r="AE187" t="str">
        <f>IFERROR(INDEX('幕间与结算'!$E$9:$E$208,SMALL(AE$210:AE$409,186)),"")</f>
        <v/>
      </c>
      <c r="AF187" t="str">
        <f>IFERROR(INDEX('幕间与结算'!$E$9:$E$208,SMALL(AF$210:AF$409,186)),"")</f>
        <v/>
      </c>
      <c r="AG187" t="str">
        <f>IFERROR(INDEX('幕间与结算'!$E$9:$E$208,SMALL(AG$210:AG$409,186)),"")</f>
        <v/>
      </c>
      <c r="AH187" t="str">
        <f>IFERROR(INDEX('幕间与结算'!$E$9:$E$208,SMALL(AH$210:AH$409,186)),"")</f>
        <v/>
      </c>
      <c r="AI187" t="str">
        <f>IFERROR(INDEX('幕间与结算'!$E$9:$E$208,SMALL(AI$210:AI$409,186)),"")</f>
        <v/>
      </c>
      <c r="AJ187" t="str">
        <f>IFERROR(INDEX('幕间与结算'!$E$9:$E$208,SMALL(AJ$210:AJ$409,186)),"")</f>
        <v/>
      </c>
      <c r="AK187" t="str">
        <f>IFERROR(INDEX('幕间与结算'!$E$9:$E$208,SMALL(AK$210:AK$409,186)),"")</f>
        <v/>
      </c>
      <c r="AL187" t="str">
        <f>IFERROR(INDEX('幕间与结算'!$E$9:$E$208,SMALL(AL$210:AL$409,186)),"")</f>
        <v/>
      </c>
      <c r="AM187" t="str">
        <f>IFERROR(INDEX('幕间与结算'!$E$9:$E$208,SMALL(AM$210:AM$409,186)),"")</f>
        <v/>
      </c>
      <c r="AN187" t="str">
        <f>IFERROR(INDEX('幕间与结算'!$E$9:$E$208,SMALL(AN$210:AN$409,186)),"")</f>
        <v/>
      </c>
      <c r="AO187" t="str">
        <f>IFERROR(INDEX('幕间与结算'!$E$9:$E$208,SMALL(AO$210:AO$409,186)),"")</f>
        <v/>
      </c>
      <c r="AP187" t="str">
        <f>IFERROR(INDEX('幕间与结算'!$E$9:$E$208,SMALL(AP$210:AP$409,186)),"")</f>
        <v/>
      </c>
      <c r="AQ187" t="str">
        <f>IFERROR(INDEX('幕间与结算'!$E$9:$E$208,SMALL(AQ$210:AQ$409,186)),"")</f>
        <v/>
      </c>
      <c r="AR187" t="str">
        <f>IFERROR(INDEX('幕间与结算'!$E$9:$E$208,SMALL(AR$210:AR$409,186)),"")</f>
        <v/>
      </c>
      <c r="AS187" t="str">
        <f>IFERROR(INDEX('幕间与结算'!$E$9:$E$208,SMALL(AS$210:AS$409,186)),"")</f>
        <v/>
      </c>
      <c r="AT187" t="str">
        <f>IFERROR(INDEX('幕间与结算'!$E$9:$E$208,SMALL(AT$210:AT$409,186)),"")</f>
        <v/>
      </c>
    </row>
    <row r="188">
      <c r="AA188" t="str">
        <f>IFERROR(INDEX('幕间与结算'!$E$9:$E$208,SMALL(AA$210:AA$409,187)),"")</f>
        <v/>
      </c>
      <c r="AB188" t="str">
        <f>IFERROR(INDEX('幕间与结算'!$E$9:$E$208,SMALL(AB$210:AB$409,187)),"")</f>
        <v/>
      </c>
      <c r="AC188" t="str">
        <f>IFERROR(INDEX('幕间与结算'!$E$9:$E$208,SMALL(AC$210:AC$409,187)),"")</f>
        <v/>
      </c>
      <c r="AD188" t="str">
        <f>IFERROR(INDEX('幕间与结算'!$E$9:$E$208,SMALL(AD$210:AD$409,187)),"")</f>
        <v/>
      </c>
      <c r="AE188" t="str">
        <f>IFERROR(INDEX('幕间与结算'!$E$9:$E$208,SMALL(AE$210:AE$409,187)),"")</f>
        <v/>
      </c>
      <c r="AF188" t="str">
        <f>IFERROR(INDEX('幕间与结算'!$E$9:$E$208,SMALL(AF$210:AF$409,187)),"")</f>
        <v/>
      </c>
      <c r="AG188" t="str">
        <f>IFERROR(INDEX('幕间与结算'!$E$9:$E$208,SMALL(AG$210:AG$409,187)),"")</f>
        <v/>
      </c>
      <c r="AH188" t="str">
        <f>IFERROR(INDEX('幕间与结算'!$E$9:$E$208,SMALL(AH$210:AH$409,187)),"")</f>
        <v/>
      </c>
      <c r="AI188" t="str">
        <f>IFERROR(INDEX('幕间与结算'!$E$9:$E$208,SMALL(AI$210:AI$409,187)),"")</f>
        <v/>
      </c>
      <c r="AJ188" t="str">
        <f>IFERROR(INDEX('幕间与结算'!$E$9:$E$208,SMALL(AJ$210:AJ$409,187)),"")</f>
        <v/>
      </c>
      <c r="AK188" t="str">
        <f>IFERROR(INDEX('幕间与结算'!$E$9:$E$208,SMALL(AK$210:AK$409,187)),"")</f>
        <v/>
      </c>
      <c r="AL188" t="str">
        <f>IFERROR(INDEX('幕间与结算'!$E$9:$E$208,SMALL(AL$210:AL$409,187)),"")</f>
        <v/>
      </c>
      <c r="AM188" t="str">
        <f>IFERROR(INDEX('幕间与结算'!$E$9:$E$208,SMALL(AM$210:AM$409,187)),"")</f>
        <v/>
      </c>
      <c r="AN188" t="str">
        <f>IFERROR(INDEX('幕间与结算'!$E$9:$E$208,SMALL(AN$210:AN$409,187)),"")</f>
        <v/>
      </c>
      <c r="AO188" t="str">
        <f>IFERROR(INDEX('幕间与结算'!$E$9:$E$208,SMALL(AO$210:AO$409,187)),"")</f>
        <v/>
      </c>
      <c r="AP188" t="str">
        <f>IFERROR(INDEX('幕间与结算'!$E$9:$E$208,SMALL(AP$210:AP$409,187)),"")</f>
        <v/>
      </c>
      <c r="AQ188" t="str">
        <f>IFERROR(INDEX('幕间与结算'!$E$9:$E$208,SMALL(AQ$210:AQ$409,187)),"")</f>
        <v/>
      </c>
      <c r="AR188" t="str">
        <f>IFERROR(INDEX('幕间与结算'!$E$9:$E$208,SMALL(AR$210:AR$409,187)),"")</f>
        <v/>
      </c>
      <c r="AS188" t="str">
        <f>IFERROR(INDEX('幕间与结算'!$E$9:$E$208,SMALL(AS$210:AS$409,187)),"")</f>
        <v/>
      </c>
      <c r="AT188" t="str">
        <f>IFERROR(INDEX('幕间与结算'!$E$9:$E$208,SMALL(AT$210:AT$409,187)),"")</f>
        <v/>
      </c>
    </row>
    <row r="189">
      <c r="AA189" t="str">
        <f>IFERROR(INDEX('幕间与结算'!$E$9:$E$208,SMALL(AA$210:AA$409,188)),"")</f>
        <v/>
      </c>
      <c r="AB189" t="str">
        <f>IFERROR(INDEX('幕间与结算'!$E$9:$E$208,SMALL(AB$210:AB$409,188)),"")</f>
        <v/>
      </c>
      <c r="AC189" t="str">
        <f>IFERROR(INDEX('幕间与结算'!$E$9:$E$208,SMALL(AC$210:AC$409,188)),"")</f>
        <v/>
      </c>
      <c r="AD189" t="str">
        <f>IFERROR(INDEX('幕间与结算'!$E$9:$E$208,SMALL(AD$210:AD$409,188)),"")</f>
        <v/>
      </c>
      <c r="AE189" t="str">
        <f>IFERROR(INDEX('幕间与结算'!$E$9:$E$208,SMALL(AE$210:AE$409,188)),"")</f>
        <v/>
      </c>
      <c r="AF189" t="str">
        <f>IFERROR(INDEX('幕间与结算'!$E$9:$E$208,SMALL(AF$210:AF$409,188)),"")</f>
        <v/>
      </c>
      <c r="AG189" t="str">
        <f>IFERROR(INDEX('幕间与结算'!$E$9:$E$208,SMALL(AG$210:AG$409,188)),"")</f>
        <v/>
      </c>
      <c r="AH189" t="str">
        <f>IFERROR(INDEX('幕间与结算'!$E$9:$E$208,SMALL(AH$210:AH$409,188)),"")</f>
        <v/>
      </c>
      <c r="AI189" t="str">
        <f>IFERROR(INDEX('幕间与结算'!$E$9:$E$208,SMALL(AI$210:AI$409,188)),"")</f>
        <v/>
      </c>
      <c r="AJ189" t="str">
        <f>IFERROR(INDEX('幕间与结算'!$E$9:$E$208,SMALL(AJ$210:AJ$409,188)),"")</f>
        <v/>
      </c>
      <c r="AK189" t="str">
        <f>IFERROR(INDEX('幕间与结算'!$E$9:$E$208,SMALL(AK$210:AK$409,188)),"")</f>
        <v/>
      </c>
      <c r="AL189" t="str">
        <f>IFERROR(INDEX('幕间与结算'!$E$9:$E$208,SMALL(AL$210:AL$409,188)),"")</f>
        <v/>
      </c>
      <c r="AM189" t="str">
        <f>IFERROR(INDEX('幕间与结算'!$E$9:$E$208,SMALL(AM$210:AM$409,188)),"")</f>
        <v/>
      </c>
      <c r="AN189" t="str">
        <f>IFERROR(INDEX('幕间与结算'!$E$9:$E$208,SMALL(AN$210:AN$409,188)),"")</f>
        <v/>
      </c>
      <c r="AO189" t="str">
        <f>IFERROR(INDEX('幕间与结算'!$E$9:$E$208,SMALL(AO$210:AO$409,188)),"")</f>
        <v/>
      </c>
      <c r="AP189" t="str">
        <f>IFERROR(INDEX('幕间与结算'!$E$9:$E$208,SMALL(AP$210:AP$409,188)),"")</f>
        <v/>
      </c>
      <c r="AQ189" t="str">
        <f>IFERROR(INDEX('幕间与结算'!$E$9:$E$208,SMALL(AQ$210:AQ$409,188)),"")</f>
        <v/>
      </c>
      <c r="AR189" t="str">
        <f>IFERROR(INDEX('幕间与结算'!$E$9:$E$208,SMALL(AR$210:AR$409,188)),"")</f>
        <v/>
      </c>
      <c r="AS189" t="str">
        <f>IFERROR(INDEX('幕间与结算'!$E$9:$E$208,SMALL(AS$210:AS$409,188)),"")</f>
        <v/>
      </c>
      <c r="AT189" t="str">
        <f>IFERROR(INDEX('幕间与结算'!$E$9:$E$208,SMALL(AT$210:AT$409,188)),"")</f>
        <v/>
      </c>
    </row>
    <row r="190">
      <c r="AA190" t="str">
        <f>IFERROR(INDEX('幕间与结算'!$E$9:$E$208,SMALL(AA$210:AA$409,189)),"")</f>
        <v/>
      </c>
      <c r="AB190" t="str">
        <f>IFERROR(INDEX('幕间与结算'!$E$9:$E$208,SMALL(AB$210:AB$409,189)),"")</f>
        <v/>
      </c>
      <c r="AC190" t="str">
        <f>IFERROR(INDEX('幕间与结算'!$E$9:$E$208,SMALL(AC$210:AC$409,189)),"")</f>
        <v/>
      </c>
      <c r="AD190" t="str">
        <f>IFERROR(INDEX('幕间与结算'!$E$9:$E$208,SMALL(AD$210:AD$409,189)),"")</f>
        <v/>
      </c>
      <c r="AE190" t="str">
        <f>IFERROR(INDEX('幕间与结算'!$E$9:$E$208,SMALL(AE$210:AE$409,189)),"")</f>
        <v/>
      </c>
      <c r="AF190" t="str">
        <f>IFERROR(INDEX('幕间与结算'!$E$9:$E$208,SMALL(AF$210:AF$409,189)),"")</f>
        <v/>
      </c>
      <c r="AG190" t="str">
        <f>IFERROR(INDEX('幕间与结算'!$E$9:$E$208,SMALL(AG$210:AG$409,189)),"")</f>
        <v/>
      </c>
      <c r="AH190" t="str">
        <f>IFERROR(INDEX('幕间与结算'!$E$9:$E$208,SMALL(AH$210:AH$409,189)),"")</f>
        <v/>
      </c>
      <c r="AI190" t="str">
        <f>IFERROR(INDEX('幕间与结算'!$E$9:$E$208,SMALL(AI$210:AI$409,189)),"")</f>
        <v/>
      </c>
      <c r="AJ190" t="str">
        <f>IFERROR(INDEX('幕间与结算'!$E$9:$E$208,SMALL(AJ$210:AJ$409,189)),"")</f>
        <v/>
      </c>
      <c r="AK190" t="str">
        <f>IFERROR(INDEX('幕间与结算'!$E$9:$E$208,SMALL(AK$210:AK$409,189)),"")</f>
        <v/>
      </c>
      <c r="AL190" t="str">
        <f>IFERROR(INDEX('幕间与结算'!$E$9:$E$208,SMALL(AL$210:AL$409,189)),"")</f>
        <v/>
      </c>
      <c r="AM190" t="str">
        <f>IFERROR(INDEX('幕间与结算'!$E$9:$E$208,SMALL(AM$210:AM$409,189)),"")</f>
        <v/>
      </c>
      <c r="AN190" t="str">
        <f>IFERROR(INDEX('幕间与结算'!$E$9:$E$208,SMALL(AN$210:AN$409,189)),"")</f>
        <v/>
      </c>
      <c r="AO190" t="str">
        <f>IFERROR(INDEX('幕间与结算'!$E$9:$E$208,SMALL(AO$210:AO$409,189)),"")</f>
        <v/>
      </c>
      <c r="AP190" t="str">
        <f>IFERROR(INDEX('幕间与结算'!$E$9:$E$208,SMALL(AP$210:AP$409,189)),"")</f>
        <v/>
      </c>
      <c r="AQ190" t="str">
        <f>IFERROR(INDEX('幕间与结算'!$E$9:$E$208,SMALL(AQ$210:AQ$409,189)),"")</f>
        <v/>
      </c>
      <c r="AR190" t="str">
        <f>IFERROR(INDEX('幕间与结算'!$E$9:$E$208,SMALL(AR$210:AR$409,189)),"")</f>
        <v/>
      </c>
      <c r="AS190" t="str">
        <f>IFERROR(INDEX('幕间与结算'!$E$9:$E$208,SMALL(AS$210:AS$409,189)),"")</f>
        <v/>
      </c>
      <c r="AT190" t="str">
        <f>IFERROR(INDEX('幕间与结算'!$E$9:$E$208,SMALL(AT$210:AT$409,189)),"")</f>
        <v/>
      </c>
    </row>
    <row r="191">
      <c r="AA191" t="str">
        <f>IFERROR(INDEX('幕间与结算'!$E$9:$E$208,SMALL(AA$210:AA$409,190)),"")</f>
        <v/>
      </c>
      <c r="AB191" t="str">
        <f>IFERROR(INDEX('幕间与结算'!$E$9:$E$208,SMALL(AB$210:AB$409,190)),"")</f>
        <v/>
      </c>
      <c r="AC191" t="str">
        <f>IFERROR(INDEX('幕间与结算'!$E$9:$E$208,SMALL(AC$210:AC$409,190)),"")</f>
        <v/>
      </c>
      <c r="AD191" t="str">
        <f>IFERROR(INDEX('幕间与结算'!$E$9:$E$208,SMALL(AD$210:AD$409,190)),"")</f>
        <v/>
      </c>
      <c r="AE191" t="str">
        <f>IFERROR(INDEX('幕间与结算'!$E$9:$E$208,SMALL(AE$210:AE$409,190)),"")</f>
        <v/>
      </c>
      <c r="AF191" t="str">
        <f>IFERROR(INDEX('幕间与结算'!$E$9:$E$208,SMALL(AF$210:AF$409,190)),"")</f>
        <v/>
      </c>
      <c r="AG191" t="str">
        <f>IFERROR(INDEX('幕间与结算'!$E$9:$E$208,SMALL(AG$210:AG$409,190)),"")</f>
        <v/>
      </c>
      <c r="AH191" t="str">
        <f>IFERROR(INDEX('幕间与结算'!$E$9:$E$208,SMALL(AH$210:AH$409,190)),"")</f>
        <v/>
      </c>
      <c r="AI191" t="str">
        <f>IFERROR(INDEX('幕间与结算'!$E$9:$E$208,SMALL(AI$210:AI$409,190)),"")</f>
        <v/>
      </c>
      <c r="AJ191" t="str">
        <f>IFERROR(INDEX('幕间与结算'!$E$9:$E$208,SMALL(AJ$210:AJ$409,190)),"")</f>
        <v/>
      </c>
      <c r="AK191" t="str">
        <f>IFERROR(INDEX('幕间与结算'!$E$9:$E$208,SMALL(AK$210:AK$409,190)),"")</f>
        <v/>
      </c>
      <c r="AL191" t="str">
        <f>IFERROR(INDEX('幕间与结算'!$E$9:$E$208,SMALL(AL$210:AL$409,190)),"")</f>
        <v/>
      </c>
      <c r="AM191" t="str">
        <f>IFERROR(INDEX('幕间与结算'!$E$9:$E$208,SMALL(AM$210:AM$409,190)),"")</f>
        <v/>
      </c>
      <c r="AN191" t="str">
        <f>IFERROR(INDEX('幕间与结算'!$E$9:$E$208,SMALL(AN$210:AN$409,190)),"")</f>
        <v/>
      </c>
      <c r="AO191" t="str">
        <f>IFERROR(INDEX('幕间与结算'!$E$9:$E$208,SMALL(AO$210:AO$409,190)),"")</f>
        <v/>
      </c>
      <c r="AP191" t="str">
        <f>IFERROR(INDEX('幕间与结算'!$E$9:$E$208,SMALL(AP$210:AP$409,190)),"")</f>
        <v/>
      </c>
      <c r="AQ191" t="str">
        <f>IFERROR(INDEX('幕间与结算'!$E$9:$E$208,SMALL(AQ$210:AQ$409,190)),"")</f>
        <v/>
      </c>
      <c r="AR191" t="str">
        <f>IFERROR(INDEX('幕间与结算'!$E$9:$E$208,SMALL(AR$210:AR$409,190)),"")</f>
        <v/>
      </c>
      <c r="AS191" t="str">
        <f>IFERROR(INDEX('幕间与结算'!$E$9:$E$208,SMALL(AS$210:AS$409,190)),"")</f>
        <v/>
      </c>
      <c r="AT191" t="str">
        <f>IFERROR(INDEX('幕间与结算'!$E$9:$E$208,SMALL(AT$210:AT$409,190)),"")</f>
        <v/>
      </c>
    </row>
    <row r="192">
      <c r="AA192" t="str">
        <f>IFERROR(INDEX('幕间与结算'!$E$9:$E$208,SMALL(AA$210:AA$409,191)),"")</f>
        <v/>
      </c>
      <c r="AB192" t="str">
        <f>IFERROR(INDEX('幕间与结算'!$E$9:$E$208,SMALL(AB$210:AB$409,191)),"")</f>
        <v/>
      </c>
      <c r="AC192" t="str">
        <f>IFERROR(INDEX('幕间与结算'!$E$9:$E$208,SMALL(AC$210:AC$409,191)),"")</f>
        <v/>
      </c>
      <c r="AD192" t="str">
        <f>IFERROR(INDEX('幕间与结算'!$E$9:$E$208,SMALL(AD$210:AD$409,191)),"")</f>
        <v/>
      </c>
      <c r="AE192" t="str">
        <f>IFERROR(INDEX('幕间与结算'!$E$9:$E$208,SMALL(AE$210:AE$409,191)),"")</f>
        <v/>
      </c>
      <c r="AF192" t="str">
        <f>IFERROR(INDEX('幕间与结算'!$E$9:$E$208,SMALL(AF$210:AF$409,191)),"")</f>
        <v/>
      </c>
      <c r="AG192" t="str">
        <f>IFERROR(INDEX('幕间与结算'!$E$9:$E$208,SMALL(AG$210:AG$409,191)),"")</f>
        <v/>
      </c>
      <c r="AH192" t="str">
        <f>IFERROR(INDEX('幕间与结算'!$E$9:$E$208,SMALL(AH$210:AH$409,191)),"")</f>
        <v/>
      </c>
      <c r="AI192" t="str">
        <f>IFERROR(INDEX('幕间与结算'!$E$9:$E$208,SMALL(AI$210:AI$409,191)),"")</f>
        <v/>
      </c>
      <c r="AJ192" t="str">
        <f>IFERROR(INDEX('幕间与结算'!$E$9:$E$208,SMALL(AJ$210:AJ$409,191)),"")</f>
        <v/>
      </c>
      <c r="AK192" t="str">
        <f>IFERROR(INDEX('幕间与结算'!$E$9:$E$208,SMALL(AK$210:AK$409,191)),"")</f>
        <v/>
      </c>
      <c r="AL192" t="str">
        <f>IFERROR(INDEX('幕间与结算'!$E$9:$E$208,SMALL(AL$210:AL$409,191)),"")</f>
        <v/>
      </c>
      <c r="AM192" t="str">
        <f>IFERROR(INDEX('幕间与结算'!$E$9:$E$208,SMALL(AM$210:AM$409,191)),"")</f>
        <v/>
      </c>
      <c r="AN192" t="str">
        <f>IFERROR(INDEX('幕间与结算'!$E$9:$E$208,SMALL(AN$210:AN$409,191)),"")</f>
        <v/>
      </c>
      <c r="AO192" t="str">
        <f>IFERROR(INDEX('幕间与结算'!$E$9:$E$208,SMALL(AO$210:AO$409,191)),"")</f>
        <v/>
      </c>
      <c r="AP192" t="str">
        <f>IFERROR(INDEX('幕间与结算'!$E$9:$E$208,SMALL(AP$210:AP$409,191)),"")</f>
        <v/>
      </c>
      <c r="AQ192" t="str">
        <f>IFERROR(INDEX('幕间与结算'!$E$9:$E$208,SMALL(AQ$210:AQ$409,191)),"")</f>
        <v/>
      </c>
      <c r="AR192" t="str">
        <f>IFERROR(INDEX('幕间与结算'!$E$9:$E$208,SMALL(AR$210:AR$409,191)),"")</f>
        <v/>
      </c>
      <c r="AS192" t="str">
        <f>IFERROR(INDEX('幕间与结算'!$E$9:$E$208,SMALL(AS$210:AS$409,191)),"")</f>
        <v/>
      </c>
      <c r="AT192" t="str">
        <f>IFERROR(INDEX('幕间与结算'!$E$9:$E$208,SMALL(AT$210:AT$409,191)),"")</f>
        <v/>
      </c>
    </row>
    <row r="193">
      <c r="AA193" t="str">
        <f>IFERROR(INDEX('幕间与结算'!$E$9:$E$208,SMALL(AA$210:AA$409,192)),"")</f>
        <v/>
      </c>
      <c r="AB193" t="str">
        <f>IFERROR(INDEX('幕间与结算'!$E$9:$E$208,SMALL(AB$210:AB$409,192)),"")</f>
        <v/>
      </c>
      <c r="AC193" t="str">
        <f>IFERROR(INDEX('幕间与结算'!$E$9:$E$208,SMALL(AC$210:AC$409,192)),"")</f>
        <v/>
      </c>
      <c r="AD193" t="str">
        <f>IFERROR(INDEX('幕间与结算'!$E$9:$E$208,SMALL(AD$210:AD$409,192)),"")</f>
        <v/>
      </c>
      <c r="AE193" t="str">
        <f>IFERROR(INDEX('幕间与结算'!$E$9:$E$208,SMALL(AE$210:AE$409,192)),"")</f>
        <v/>
      </c>
      <c r="AF193" t="str">
        <f>IFERROR(INDEX('幕间与结算'!$E$9:$E$208,SMALL(AF$210:AF$409,192)),"")</f>
        <v/>
      </c>
      <c r="AG193" t="str">
        <f>IFERROR(INDEX('幕间与结算'!$E$9:$E$208,SMALL(AG$210:AG$409,192)),"")</f>
        <v/>
      </c>
      <c r="AH193" t="str">
        <f>IFERROR(INDEX('幕间与结算'!$E$9:$E$208,SMALL(AH$210:AH$409,192)),"")</f>
        <v/>
      </c>
      <c r="AI193" t="str">
        <f>IFERROR(INDEX('幕间与结算'!$E$9:$E$208,SMALL(AI$210:AI$409,192)),"")</f>
        <v/>
      </c>
      <c r="AJ193" t="str">
        <f>IFERROR(INDEX('幕间与结算'!$E$9:$E$208,SMALL(AJ$210:AJ$409,192)),"")</f>
        <v/>
      </c>
      <c r="AK193" t="str">
        <f>IFERROR(INDEX('幕间与结算'!$E$9:$E$208,SMALL(AK$210:AK$409,192)),"")</f>
        <v/>
      </c>
      <c r="AL193" t="str">
        <f>IFERROR(INDEX('幕间与结算'!$E$9:$E$208,SMALL(AL$210:AL$409,192)),"")</f>
        <v/>
      </c>
      <c r="AM193" t="str">
        <f>IFERROR(INDEX('幕间与结算'!$E$9:$E$208,SMALL(AM$210:AM$409,192)),"")</f>
        <v/>
      </c>
      <c r="AN193" t="str">
        <f>IFERROR(INDEX('幕间与结算'!$E$9:$E$208,SMALL(AN$210:AN$409,192)),"")</f>
        <v/>
      </c>
      <c r="AO193" t="str">
        <f>IFERROR(INDEX('幕间与结算'!$E$9:$E$208,SMALL(AO$210:AO$409,192)),"")</f>
        <v/>
      </c>
      <c r="AP193" t="str">
        <f>IFERROR(INDEX('幕间与结算'!$E$9:$E$208,SMALL(AP$210:AP$409,192)),"")</f>
        <v/>
      </c>
      <c r="AQ193" t="str">
        <f>IFERROR(INDEX('幕间与结算'!$E$9:$E$208,SMALL(AQ$210:AQ$409,192)),"")</f>
        <v/>
      </c>
      <c r="AR193" t="str">
        <f>IFERROR(INDEX('幕间与结算'!$E$9:$E$208,SMALL(AR$210:AR$409,192)),"")</f>
        <v/>
      </c>
      <c r="AS193" t="str">
        <f>IFERROR(INDEX('幕间与结算'!$E$9:$E$208,SMALL(AS$210:AS$409,192)),"")</f>
        <v/>
      </c>
      <c r="AT193" t="str">
        <f>IFERROR(INDEX('幕间与结算'!$E$9:$E$208,SMALL(AT$210:AT$409,192)),"")</f>
        <v/>
      </c>
    </row>
    <row r="194">
      <c r="AA194" t="str">
        <f>IFERROR(INDEX('幕间与结算'!$E$9:$E$208,SMALL(AA$210:AA$409,193)),"")</f>
        <v/>
      </c>
      <c r="AB194" t="str">
        <f>IFERROR(INDEX('幕间与结算'!$E$9:$E$208,SMALL(AB$210:AB$409,193)),"")</f>
        <v/>
      </c>
      <c r="AC194" t="str">
        <f>IFERROR(INDEX('幕间与结算'!$E$9:$E$208,SMALL(AC$210:AC$409,193)),"")</f>
        <v/>
      </c>
      <c r="AD194" t="str">
        <f>IFERROR(INDEX('幕间与结算'!$E$9:$E$208,SMALL(AD$210:AD$409,193)),"")</f>
        <v/>
      </c>
      <c r="AE194" t="str">
        <f>IFERROR(INDEX('幕间与结算'!$E$9:$E$208,SMALL(AE$210:AE$409,193)),"")</f>
        <v/>
      </c>
      <c r="AF194" t="str">
        <f>IFERROR(INDEX('幕间与结算'!$E$9:$E$208,SMALL(AF$210:AF$409,193)),"")</f>
        <v/>
      </c>
      <c r="AG194" t="str">
        <f>IFERROR(INDEX('幕间与结算'!$E$9:$E$208,SMALL(AG$210:AG$409,193)),"")</f>
        <v/>
      </c>
      <c r="AH194" t="str">
        <f>IFERROR(INDEX('幕间与结算'!$E$9:$E$208,SMALL(AH$210:AH$409,193)),"")</f>
        <v/>
      </c>
      <c r="AI194" t="str">
        <f>IFERROR(INDEX('幕间与结算'!$E$9:$E$208,SMALL(AI$210:AI$409,193)),"")</f>
        <v/>
      </c>
      <c r="AJ194" t="str">
        <f>IFERROR(INDEX('幕间与结算'!$E$9:$E$208,SMALL(AJ$210:AJ$409,193)),"")</f>
        <v/>
      </c>
      <c r="AK194" t="str">
        <f>IFERROR(INDEX('幕间与结算'!$E$9:$E$208,SMALL(AK$210:AK$409,193)),"")</f>
        <v/>
      </c>
      <c r="AL194" t="str">
        <f>IFERROR(INDEX('幕间与结算'!$E$9:$E$208,SMALL(AL$210:AL$409,193)),"")</f>
        <v/>
      </c>
      <c r="AM194" t="str">
        <f>IFERROR(INDEX('幕间与结算'!$E$9:$E$208,SMALL(AM$210:AM$409,193)),"")</f>
        <v/>
      </c>
      <c r="AN194" t="str">
        <f>IFERROR(INDEX('幕间与结算'!$E$9:$E$208,SMALL(AN$210:AN$409,193)),"")</f>
        <v/>
      </c>
      <c r="AO194" t="str">
        <f>IFERROR(INDEX('幕间与结算'!$E$9:$E$208,SMALL(AO$210:AO$409,193)),"")</f>
        <v/>
      </c>
      <c r="AP194" t="str">
        <f>IFERROR(INDEX('幕间与结算'!$E$9:$E$208,SMALL(AP$210:AP$409,193)),"")</f>
        <v/>
      </c>
      <c r="AQ194" t="str">
        <f>IFERROR(INDEX('幕间与结算'!$E$9:$E$208,SMALL(AQ$210:AQ$409,193)),"")</f>
        <v/>
      </c>
      <c r="AR194" t="str">
        <f>IFERROR(INDEX('幕间与结算'!$E$9:$E$208,SMALL(AR$210:AR$409,193)),"")</f>
        <v/>
      </c>
      <c r="AS194" t="str">
        <f>IFERROR(INDEX('幕间与结算'!$E$9:$E$208,SMALL(AS$210:AS$409,193)),"")</f>
        <v/>
      </c>
      <c r="AT194" t="str">
        <f>IFERROR(INDEX('幕间与结算'!$E$9:$E$208,SMALL(AT$210:AT$409,193)),"")</f>
        <v/>
      </c>
    </row>
    <row r="195">
      <c r="AA195" t="str">
        <f>IFERROR(INDEX('幕间与结算'!$E$9:$E$208,SMALL(AA$210:AA$409,194)),"")</f>
        <v/>
      </c>
      <c r="AB195" t="str">
        <f>IFERROR(INDEX('幕间与结算'!$E$9:$E$208,SMALL(AB$210:AB$409,194)),"")</f>
        <v/>
      </c>
      <c r="AC195" t="str">
        <f>IFERROR(INDEX('幕间与结算'!$E$9:$E$208,SMALL(AC$210:AC$409,194)),"")</f>
        <v/>
      </c>
      <c r="AD195" t="str">
        <f>IFERROR(INDEX('幕间与结算'!$E$9:$E$208,SMALL(AD$210:AD$409,194)),"")</f>
        <v/>
      </c>
      <c r="AE195" t="str">
        <f>IFERROR(INDEX('幕间与结算'!$E$9:$E$208,SMALL(AE$210:AE$409,194)),"")</f>
        <v/>
      </c>
      <c r="AF195" t="str">
        <f>IFERROR(INDEX('幕间与结算'!$E$9:$E$208,SMALL(AF$210:AF$409,194)),"")</f>
        <v/>
      </c>
      <c r="AG195" t="str">
        <f>IFERROR(INDEX('幕间与结算'!$E$9:$E$208,SMALL(AG$210:AG$409,194)),"")</f>
        <v/>
      </c>
      <c r="AH195" t="str">
        <f>IFERROR(INDEX('幕间与结算'!$E$9:$E$208,SMALL(AH$210:AH$409,194)),"")</f>
        <v/>
      </c>
      <c r="AI195" t="str">
        <f>IFERROR(INDEX('幕间与结算'!$E$9:$E$208,SMALL(AI$210:AI$409,194)),"")</f>
        <v/>
      </c>
      <c r="AJ195" t="str">
        <f>IFERROR(INDEX('幕间与结算'!$E$9:$E$208,SMALL(AJ$210:AJ$409,194)),"")</f>
        <v/>
      </c>
      <c r="AK195" t="str">
        <f>IFERROR(INDEX('幕间与结算'!$E$9:$E$208,SMALL(AK$210:AK$409,194)),"")</f>
        <v/>
      </c>
      <c r="AL195" t="str">
        <f>IFERROR(INDEX('幕间与结算'!$E$9:$E$208,SMALL(AL$210:AL$409,194)),"")</f>
        <v/>
      </c>
      <c r="AM195" t="str">
        <f>IFERROR(INDEX('幕间与结算'!$E$9:$E$208,SMALL(AM$210:AM$409,194)),"")</f>
        <v/>
      </c>
      <c r="AN195" t="str">
        <f>IFERROR(INDEX('幕间与结算'!$E$9:$E$208,SMALL(AN$210:AN$409,194)),"")</f>
        <v/>
      </c>
      <c r="AO195" t="str">
        <f>IFERROR(INDEX('幕间与结算'!$E$9:$E$208,SMALL(AO$210:AO$409,194)),"")</f>
        <v/>
      </c>
      <c r="AP195" t="str">
        <f>IFERROR(INDEX('幕间与结算'!$E$9:$E$208,SMALL(AP$210:AP$409,194)),"")</f>
        <v/>
      </c>
      <c r="AQ195" t="str">
        <f>IFERROR(INDEX('幕间与结算'!$E$9:$E$208,SMALL(AQ$210:AQ$409,194)),"")</f>
        <v/>
      </c>
      <c r="AR195" t="str">
        <f>IFERROR(INDEX('幕间与结算'!$E$9:$E$208,SMALL(AR$210:AR$409,194)),"")</f>
        <v/>
      </c>
      <c r="AS195" t="str">
        <f>IFERROR(INDEX('幕间与结算'!$E$9:$E$208,SMALL(AS$210:AS$409,194)),"")</f>
        <v/>
      </c>
      <c r="AT195" t="str">
        <f>IFERROR(INDEX('幕间与结算'!$E$9:$E$208,SMALL(AT$210:AT$409,194)),"")</f>
        <v/>
      </c>
    </row>
    <row r="196">
      <c r="AA196" t="str">
        <f>IFERROR(INDEX('幕间与结算'!$E$9:$E$208,SMALL(AA$210:AA$409,195)),"")</f>
        <v/>
      </c>
      <c r="AB196" t="str">
        <f>IFERROR(INDEX('幕间与结算'!$E$9:$E$208,SMALL(AB$210:AB$409,195)),"")</f>
        <v/>
      </c>
      <c r="AC196" t="str">
        <f>IFERROR(INDEX('幕间与结算'!$E$9:$E$208,SMALL(AC$210:AC$409,195)),"")</f>
        <v/>
      </c>
      <c r="AD196" t="str">
        <f>IFERROR(INDEX('幕间与结算'!$E$9:$E$208,SMALL(AD$210:AD$409,195)),"")</f>
        <v/>
      </c>
      <c r="AE196" t="str">
        <f>IFERROR(INDEX('幕间与结算'!$E$9:$E$208,SMALL(AE$210:AE$409,195)),"")</f>
        <v/>
      </c>
      <c r="AF196" t="str">
        <f>IFERROR(INDEX('幕间与结算'!$E$9:$E$208,SMALL(AF$210:AF$409,195)),"")</f>
        <v/>
      </c>
      <c r="AG196" t="str">
        <f>IFERROR(INDEX('幕间与结算'!$E$9:$E$208,SMALL(AG$210:AG$409,195)),"")</f>
        <v/>
      </c>
      <c r="AH196" t="str">
        <f>IFERROR(INDEX('幕间与结算'!$E$9:$E$208,SMALL(AH$210:AH$409,195)),"")</f>
        <v/>
      </c>
      <c r="AI196" t="str">
        <f>IFERROR(INDEX('幕间与结算'!$E$9:$E$208,SMALL(AI$210:AI$409,195)),"")</f>
        <v/>
      </c>
      <c r="AJ196" t="str">
        <f>IFERROR(INDEX('幕间与结算'!$E$9:$E$208,SMALL(AJ$210:AJ$409,195)),"")</f>
        <v/>
      </c>
      <c r="AK196" t="str">
        <f>IFERROR(INDEX('幕间与结算'!$E$9:$E$208,SMALL(AK$210:AK$409,195)),"")</f>
        <v/>
      </c>
      <c r="AL196" t="str">
        <f>IFERROR(INDEX('幕间与结算'!$E$9:$E$208,SMALL(AL$210:AL$409,195)),"")</f>
        <v/>
      </c>
      <c r="AM196" t="str">
        <f>IFERROR(INDEX('幕间与结算'!$E$9:$E$208,SMALL(AM$210:AM$409,195)),"")</f>
        <v/>
      </c>
      <c r="AN196" t="str">
        <f>IFERROR(INDEX('幕间与结算'!$E$9:$E$208,SMALL(AN$210:AN$409,195)),"")</f>
        <v/>
      </c>
      <c r="AO196" t="str">
        <f>IFERROR(INDEX('幕间与结算'!$E$9:$E$208,SMALL(AO$210:AO$409,195)),"")</f>
        <v/>
      </c>
      <c r="AP196" t="str">
        <f>IFERROR(INDEX('幕间与结算'!$E$9:$E$208,SMALL(AP$210:AP$409,195)),"")</f>
        <v/>
      </c>
      <c r="AQ196" t="str">
        <f>IFERROR(INDEX('幕间与结算'!$E$9:$E$208,SMALL(AQ$210:AQ$409,195)),"")</f>
        <v/>
      </c>
      <c r="AR196" t="str">
        <f>IFERROR(INDEX('幕间与结算'!$E$9:$E$208,SMALL(AR$210:AR$409,195)),"")</f>
        <v/>
      </c>
      <c r="AS196" t="str">
        <f>IFERROR(INDEX('幕间与结算'!$E$9:$E$208,SMALL(AS$210:AS$409,195)),"")</f>
        <v/>
      </c>
      <c r="AT196" t="str">
        <f>IFERROR(INDEX('幕间与结算'!$E$9:$E$208,SMALL(AT$210:AT$409,195)),"")</f>
        <v/>
      </c>
    </row>
    <row r="197">
      <c r="AA197" t="str">
        <f>IFERROR(INDEX('幕间与结算'!$E$9:$E$208,SMALL(AA$210:AA$409,196)),"")</f>
        <v/>
      </c>
      <c r="AB197" t="str">
        <f>IFERROR(INDEX('幕间与结算'!$E$9:$E$208,SMALL(AB$210:AB$409,196)),"")</f>
        <v/>
      </c>
      <c r="AC197" t="str">
        <f>IFERROR(INDEX('幕间与结算'!$E$9:$E$208,SMALL(AC$210:AC$409,196)),"")</f>
        <v/>
      </c>
      <c r="AD197" t="str">
        <f>IFERROR(INDEX('幕间与结算'!$E$9:$E$208,SMALL(AD$210:AD$409,196)),"")</f>
        <v/>
      </c>
      <c r="AE197" t="str">
        <f>IFERROR(INDEX('幕间与结算'!$E$9:$E$208,SMALL(AE$210:AE$409,196)),"")</f>
        <v/>
      </c>
      <c r="AF197" t="str">
        <f>IFERROR(INDEX('幕间与结算'!$E$9:$E$208,SMALL(AF$210:AF$409,196)),"")</f>
        <v/>
      </c>
      <c r="AG197" t="str">
        <f>IFERROR(INDEX('幕间与结算'!$E$9:$E$208,SMALL(AG$210:AG$409,196)),"")</f>
        <v/>
      </c>
      <c r="AH197" t="str">
        <f>IFERROR(INDEX('幕间与结算'!$E$9:$E$208,SMALL(AH$210:AH$409,196)),"")</f>
        <v/>
      </c>
      <c r="AI197" t="str">
        <f>IFERROR(INDEX('幕间与结算'!$E$9:$E$208,SMALL(AI$210:AI$409,196)),"")</f>
        <v/>
      </c>
      <c r="AJ197" t="str">
        <f>IFERROR(INDEX('幕间与结算'!$E$9:$E$208,SMALL(AJ$210:AJ$409,196)),"")</f>
        <v/>
      </c>
      <c r="AK197" t="str">
        <f>IFERROR(INDEX('幕间与结算'!$E$9:$E$208,SMALL(AK$210:AK$409,196)),"")</f>
        <v/>
      </c>
      <c r="AL197" t="str">
        <f>IFERROR(INDEX('幕间与结算'!$E$9:$E$208,SMALL(AL$210:AL$409,196)),"")</f>
        <v/>
      </c>
      <c r="AM197" t="str">
        <f>IFERROR(INDEX('幕间与结算'!$E$9:$E$208,SMALL(AM$210:AM$409,196)),"")</f>
        <v/>
      </c>
      <c r="AN197" t="str">
        <f>IFERROR(INDEX('幕间与结算'!$E$9:$E$208,SMALL(AN$210:AN$409,196)),"")</f>
        <v/>
      </c>
      <c r="AO197" t="str">
        <f>IFERROR(INDEX('幕间与结算'!$E$9:$E$208,SMALL(AO$210:AO$409,196)),"")</f>
        <v/>
      </c>
      <c r="AP197" t="str">
        <f>IFERROR(INDEX('幕间与结算'!$E$9:$E$208,SMALL(AP$210:AP$409,196)),"")</f>
        <v/>
      </c>
      <c r="AQ197" t="str">
        <f>IFERROR(INDEX('幕间与结算'!$E$9:$E$208,SMALL(AQ$210:AQ$409,196)),"")</f>
        <v/>
      </c>
      <c r="AR197" t="str">
        <f>IFERROR(INDEX('幕间与结算'!$E$9:$E$208,SMALL(AR$210:AR$409,196)),"")</f>
        <v/>
      </c>
      <c r="AS197" t="str">
        <f>IFERROR(INDEX('幕间与结算'!$E$9:$E$208,SMALL(AS$210:AS$409,196)),"")</f>
        <v/>
      </c>
      <c r="AT197" t="str">
        <f>IFERROR(INDEX('幕间与结算'!$E$9:$E$208,SMALL(AT$210:AT$409,196)),"")</f>
        <v/>
      </c>
    </row>
    <row r="198">
      <c r="AA198" t="str">
        <f>IFERROR(INDEX('幕间与结算'!$E$9:$E$208,SMALL(AA$210:AA$409,197)),"")</f>
        <v/>
      </c>
      <c r="AB198" t="str">
        <f>IFERROR(INDEX('幕间与结算'!$E$9:$E$208,SMALL(AB$210:AB$409,197)),"")</f>
        <v/>
      </c>
      <c r="AC198" t="str">
        <f>IFERROR(INDEX('幕间与结算'!$E$9:$E$208,SMALL(AC$210:AC$409,197)),"")</f>
        <v/>
      </c>
      <c r="AD198" t="str">
        <f>IFERROR(INDEX('幕间与结算'!$E$9:$E$208,SMALL(AD$210:AD$409,197)),"")</f>
        <v/>
      </c>
      <c r="AE198" t="str">
        <f>IFERROR(INDEX('幕间与结算'!$E$9:$E$208,SMALL(AE$210:AE$409,197)),"")</f>
        <v/>
      </c>
      <c r="AF198" t="str">
        <f>IFERROR(INDEX('幕间与结算'!$E$9:$E$208,SMALL(AF$210:AF$409,197)),"")</f>
        <v/>
      </c>
      <c r="AG198" t="str">
        <f>IFERROR(INDEX('幕间与结算'!$E$9:$E$208,SMALL(AG$210:AG$409,197)),"")</f>
        <v/>
      </c>
      <c r="AH198" t="str">
        <f>IFERROR(INDEX('幕间与结算'!$E$9:$E$208,SMALL(AH$210:AH$409,197)),"")</f>
        <v/>
      </c>
      <c r="AI198" t="str">
        <f>IFERROR(INDEX('幕间与结算'!$E$9:$E$208,SMALL(AI$210:AI$409,197)),"")</f>
        <v/>
      </c>
      <c r="AJ198" t="str">
        <f>IFERROR(INDEX('幕间与结算'!$E$9:$E$208,SMALL(AJ$210:AJ$409,197)),"")</f>
        <v/>
      </c>
      <c r="AK198" t="str">
        <f>IFERROR(INDEX('幕间与结算'!$E$9:$E$208,SMALL(AK$210:AK$409,197)),"")</f>
        <v/>
      </c>
      <c r="AL198" t="str">
        <f>IFERROR(INDEX('幕间与结算'!$E$9:$E$208,SMALL(AL$210:AL$409,197)),"")</f>
        <v/>
      </c>
      <c r="AM198" t="str">
        <f>IFERROR(INDEX('幕间与结算'!$E$9:$E$208,SMALL(AM$210:AM$409,197)),"")</f>
        <v/>
      </c>
      <c r="AN198" t="str">
        <f>IFERROR(INDEX('幕间与结算'!$E$9:$E$208,SMALL(AN$210:AN$409,197)),"")</f>
        <v/>
      </c>
      <c r="AO198" t="str">
        <f>IFERROR(INDEX('幕间与结算'!$E$9:$E$208,SMALL(AO$210:AO$409,197)),"")</f>
        <v/>
      </c>
      <c r="AP198" t="str">
        <f>IFERROR(INDEX('幕间与结算'!$E$9:$E$208,SMALL(AP$210:AP$409,197)),"")</f>
        <v/>
      </c>
      <c r="AQ198" t="str">
        <f>IFERROR(INDEX('幕间与结算'!$E$9:$E$208,SMALL(AQ$210:AQ$409,197)),"")</f>
        <v/>
      </c>
      <c r="AR198" t="str">
        <f>IFERROR(INDEX('幕间与结算'!$E$9:$E$208,SMALL(AR$210:AR$409,197)),"")</f>
        <v/>
      </c>
      <c r="AS198" t="str">
        <f>IFERROR(INDEX('幕间与结算'!$E$9:$E$208,SMALL(AS$210:AS$409,197)),"")</f>
        <v/>
      </c>
      <c r="AT198" t="str">
        <f>IFERROR(INDEX('幕间与结算'!$E$9:$E$208,SMALL(AT$210:AT$409,197)),"")</f>
        <v/>
      </c>
    </row>
    <row r="199">
      <c r="AA199" t="str">
        <f>IFERROR(INDEX('幕间与结算'!$E$9:$E$208,SMALL(AA$210:AA$409,198)),"")</f>
        <v/>
      </c>
      <c r="AB199" t="str">
        <f>IFERROR(INDEX('幕间与结算'!$E$9:$E$208,SMALL(AB$210:AB$409,198)),"")</f>
        <v/>
      </c>
      <c r="AC199" t="str">
        <f>IFERROR(INDEX('幕间与结算'!$E$9:$E$208,SMALL(AC$210:AC$409,198)),"")</f>
        <v/>
      </c>
      <c r="AD199" t="str">
        <f>IFERROR(INDEX('幕间与结算'!$E$9:$E$208,SMALL(AD$210:AD$409,198)),"")</f>
        <v/>
      </c>
      <c r="AE199" t="str">
        <f>IFERROR(INDEX('幕间与结算'!$E$9:$E$208,SMALL(AE$210:AE$409,198)),"")</f>
        <v/>
      </c>
      <c r="AF199" t="str">
        <f>IFERROR(INDEX('幕间与结算'!$E$9:$E$208,SMALL(AF$210:AF$409,198)),"")</f>
        <v/>
      </c>
      <c r="AG199" t="str">
        <f>IFERROR(INDEX('幕间与结算'!$E$9:$E$208,SMALL(AG$210:AG$409,198)),"")</f>
        <v/>
      </c>
      <c r="AH199" t="str">
        <f>IFERROR(INDEX('幕间与结算'!$E$9:$E$208,SMALL(AH$210:AH$409,198)),"")</f>
        <v/>
      </c>
      <c r="AI199" t="str">
        <f>IFERROR(INDEX('幕间与结算'!$E$9:$E$208,SMALL(AI$210:AI$409,198)),"")</f>
        <v/>
      </c>
      <c r="AJ199" t="str">
        <f>IFERROR(INDEX('幕间与结算'!$E$9:$E$208,SMALL(AJ$210:AJ$409,198)),"")</f>
        <v/>
      </c>
      <c r="AK199" t="str">
        <f>IFERROR(INDEX('幕间与结算'!$E$9:$E$208,SMALL(AK$210:AK$409,198)),"")</f>
        <v/>
      </c>
      <c r="AL199" t="str">
        <f>IFERROR(INDEX('幕间与结算'!$E$9:$E$208,SMALL(AL$210:AL$409,198)),"")</f>
        <v/>
      </c>
      <c r="AM199" t="str">
        <f>IFERROR(INDEX('幕间与结算'!$E$9:$E$208,SMALL(AM$210:AM$409,198)),"")</f>
        <v/>
      </c>
      <c r="AN199" t="str">
        <f>IFERROR(INDEX('幕间与结算'!$E$9:$E$208,SMALL(AN$210:AN$409,198)),"")</f>
        <v/>
      </c>
      <c r="AO199" t="str">
        <f>IFERROR(INDEX('幕间与结算'!$E$9:$E$208,SMALL(AO$210:AO$409,198)),"")</f>
        <v/>
      </c>
      <c r="AP199" t="str">
        <f>IFERROR(INDEX('幕间与结算'!$E$9:$E$208,SMALL(AP$210:AP$409,198)),"")</f>
        <v/>
      </c>
      <c r="AQ199" t="str">
        <f>IFERROR(INDEX('幕间与结算'!$E$9:$E$208,SMALL(AQ$210:AQ$409,198)),"")</f>
        <v/>
      </c>
      <c r="AR199" t="str">
        <f>IFERROR(INDEX('幕间与结算'!$E$9:$E$208,SMALL(AR$210:AR$409,198)),"")</f>
        <v/>
      </c>
      <c r="AS199" t="str">
        <f>IFERROR(INDEX('幕间与结算'!$E$9:$E$208,SMALL(AS$210:AS$409,198)),"")</f>
        <v/>
      </c>
      <c r="AT199" t="str">
        <f>IFERROR(INDEX('幕间与结算'!$E$9:$E$208,SMALL(AT$210:AT$409,198)),"")</f>
        <v/>
      </c>
    </row>
    <row r="200">
      <c r="AA200" t="str">
        <f>IFERROR(INDEX('幕间与结算'!$E$9:$E$208,SMALL(AA$210:AA$409,199)),"")</f>
        <v/>
      </c>
      <c r="AB200" t="str">
        <f>IFERROR(INDEX('幕间与结算'!$E$9:$E$208,SMALL(AB$210:AB$409,199)),"")</f>
        <v/>
      </c>
      <c r="AC200" t="str">
        <f>IFERROR(INDEX('幕间与结算'!$E$9:$E$208,SMALL(AC$210:AC$409,199)),"")</f>
        <v/>
      </c>
      <c r="AD200" t="str">
        <f>IFERROR(INDEX('幕间与结算'!$E$9:$E$208,SMALL(AD$210:AD$409,199)),"")</f>
        <v/>
      </c>
      <c r="AE200" t="str">
        <f>IFERROR(INDEX('幕间与结算'!$E$9:$E$208,SMALL(AE$210:AE$409,199)),"")</f>
        <v/>
      </c>
      <c r="AF200" t="str">
        <f>IFERROR(INDEX('幕间与结算'!$E$9:$E$208,SMALL(AF$210:AF$409,199)),"")</f>
        <v/>
      </c>
      <c r="AG200" t="str">
        <f>IFERROR(INDEX('幕间与结算'!$E$9:$E$208,SMALL(AG$210:AG$409,199)),"")</f>
        <v/>
      </c>
      <c r="AH200" t="str">
        <f>IFERROR(INDEX('幕间与结算'!$E$9:$E$208,SMALL(AH$210:AH$409,199)),"")</f>
        <v/>
      </c>
      <c r="AI200" t="str">
        <f>IFERROR(INDEX('幕间与结算'!$E$9:$E$208,SMALL(AI$210:AI$409,199)),"")</f>
        <v/>
      </c>
      <c r="AJ200" t="str">
        <f>IFERROR(INDEX('幕间与结算'!$E$9:$E$208,SMALL(AJ$210:AJ$409,199)),"")</f>
        <v/>
      </c>
      <c r="AK200" t="str">
        <f>IFERROR(INDEX('幕间与结算'!$E$9:$E$208,SMALL(AK$210:AK$409,199)),"")</f>
        <v/>
      </c>
      <c r="AL200" t="str">
        <f>IFERROR(INDEX('幕间与结算'!$E$9:$E$208,SMALL(AL$210:AL$409,199)),"")</f>
        <v/>
      </c>
      <c r="AM200" t="str">
        <f>IFERROR(INDEX('幕间与结算'!$E$9:$E$208,SMALL(AM$210:AM$409,199)),"")</f>
        <v/>
      </c>
      <c r="AN200" t="str">
        <f>IFERROR(INDEX('幕间与结算'!$E$9:$E$208,SMALL(AN$210:AN$409,199)),"")</f>
        <v/>
      </c>
      <c r="AO200" t="str">
        <f>IFERROR(INDEX('幕间与结算'!$E$9:$E$208,SMALL(AO$210:AO$409,199)),"")</f>
        <v/>
      </c>
      <c r="AP200" t="str">
        <f>IFERROR(INDEX('幕间与结算'!$E$9:$E$208,SMALL(AP$210:AP$409,199)),"")</f>
        <v/>
      </c>
      <c r="AQ200" t="str">
        <f>IFERROR(INDEX('幕间与结算'!$E$9:$E$208,SMALL(AQ$210:AQ$409,199)),"")</f>
        <v/>
      </c>
      <c r="AR200" t="str">
        <f>IFERROR(INDEX('幕间与结算'!$E$9:$E$208,SMALL(AR$210:AR$409,199)),"")</f>
        <v/>
      </c>
      <c r="AS200" t="str">
        <f>IFERROR(INDEX('幕间与结算'!$E$9:$E$208,SMALL(AS$210:AS$409,199)),"")</f>
        <v/>
      </c>
      <c r="AT200" t="str">
        <f>IFERROR(INDEX('幕间与结算'!$E$9:$E$208,SMALL(AT$210:AT$409,199)),"")</f>
        <v/>
      </c>
    </row>
    <row r="201">
      <c r="AA201" t="str">
        <f>IFERROR(INDEX('幕间与结算'!$E$9:$E$208,SMALL(AA$210:AA$409,200)),"")</f>
        <v/>
      </c>
      <c r="AB201" t="str">
        <f>IFERROR(INDEX('幕间与结算'!$E$9:$E$208,SMALL(AB$210:AB$409,200)),"")</f>
        <v/>
      </c>
      <c r="AC201" t="str">
        <f>IFERROR(INDEX('幕间与结算'!$E$9:$E$208,SMALL(AC$210:AC$409,200)),"")</f>
        <v/>
      </c>
      <c r="AD201" t="str">
        <f>IFERROR(INDEX('幕间与结算'!$E$9:$E$208,SMALL(AD$210:AD$409,200)),"")</f>
        <v/>
      </c>
      <c r="AE201" t="str">
        <f>IFERROR(INDEX('幕间与结算'!$E$9:$E$208,SMALL(AE$210:AE$409,200)),"")</f>
        <v/>
      </c>
      <c r="AF201" t="str">
        <f>IFERROR(INDEX('幕间与结算'!$E$9:$E$208,SMALL(AF$210:AF$409,200)),"")</f>
        <v/>
      </c>
      <c r="AG201" t="str">
        <f>IFERROR(INDEX('幕间与结算'!$E$9:$E$208,SMALL(AG$210:AG$409,200)),"")</f>
        <v/>
      </c>
      <c r="AH201" t="str">
        <f>IFERROR(INDEX('幕间与结算'!$E$9:$E$208,SMALL(AH$210:AH$409,200)),"")</f>
        <v/>
      </c>
      <c r="AI201" t="str">
        <f>IFERROR(INDEX('幕间与结算'!$E$9:$E$208,SMALL(AI$210:AI$409,200)),"")</f>
        <v/>
      </c>
      <c r="AJ201" t="str">
        <f>IFERROR(INDEX('幕间与结算'!$E$9:$E$208,SMALL(AJ$210:AJ$409,200)),"")</f>
        <v/>
      </c>
      <c r="AK201" t="str">
        <f>IFERROR(INDEX('幕间与结算'!$E$9:$E$208,SMALL(AK$210:AK$409,200)),"")</f>
        <v/>
      </c>
      <c r="AL201" t="str">
        <f>IFERROR(INDEX('幕间与结算'!$E$9:$E$208,SMALL(AL$210:AL$409,200)),"")</f>
        <v/>
      </c>
      <c r="AM201" t="str">
        <f>IFERROR(INDEX('幕间与结算'!$E$9:$E$208,SMALL(AM$210:AM$409,200)),"")</f>
        <v/>
      </c>
      <c r="AN201" t="str">
        <f>IFERROR(INDEX('幕间与结算'!$E$9:$E$208,SMALL(AN$210:AN$409,200)),"")</f>
        <v/>
      </c>
      <c r="AO201" t="str">
        <f>IFERROR(INDEX('幕间与结算'!$E$9:$E$208,SMALL(AO$210:AO$409,200)),"")</f>
        <v/>
      </c>
      <c r="AP201" t="str">
        <f>IFERROR(INDEX('幕间与结算'!$E$9:$E$208,SMALL(AP$210:AP$409,200)),"")</f>
        <v/>
      </c>
      <c r="AQ201" t="str">
        <f>IFERROR(INDEX('幕间与结算'!$E$9:$E$208,SMALL(AQ$210:AQ$409,200)),"")</f>
        <v/>
      </c>
      <c r="AR201" t="str">
        <f>IFERROR(INDEX('幕间与结算'!$E$9:$E$208,SMALL(AR$210:AR$409,200)),"")</f>
        <v/>
      </c>
      <c r="AS201" t="str">
        <f>IFERROR(INDEX('幕间与结算'!$E$9:$E$208,SMALL(AS$210:AS$409,200)),"")</f>
        <v/>
      </c>
      <c r="AT201" t="str">
        <f>IFERROR(INDEX('幕间与结算'!$E$9:$E$208,SMALL(AT$210:AT$409,200)),"")</f>
        <v/>
      </c>
    </row>
    <row r="210">
      <c r="A210">
        <f>IFERROR(IF(AND(VALUE('幕间与结算'!B9)&gt;=1,VALUE('幕间与结算'!B9)&lt;=20),VALUE('幕间与结算'!B9),0),0)</f>
        <v>0</v>
      </c>
      <c r="B210">
        <f>IF(AND(A210&gt;0,'幕间与结算'!D9&lt;&gt;"",'幕间与结算'!J9="确认",ISNUMBER('幕间与结算'!K9),OR('幕间与结算'!G9="失败",'幕间与结算'!G9="大失败"),'幕间与结算'!H9="√",LEFT('幕间与结算'!E9,3)="技能：",'幕间与结算'!E9&lt;&gt;"技能：非自然知识",ISNUMBER('幕间与结算'!F9),'幕间与结算'!F9&gt;=1,'幕间与结算'!F9&lt;=99),1,0)</f>
        <v>0</v>
      </c>
      <c r="D210">
        <f>IF(AND('幕间与结算'!J9="确认",ISNUMBER('幕间与结算'!K9),'幕间与结算'!L9&lt;&gt;"",ISNUMBER('幕间与结算'!M9),'幕间与结算'!M9&gt;0,'幕间与结算'!M9&lt;=99),'幕间与结算'!M9,0)</f>
        <v>0</v>
      </c>
      <c r="E210">
        <f>IF(AND(B210=1,COUNTIFS($A$210:A210,A210,$B$210:B210,1,'幕间与结算'!$E$9:E9,'幕间与结算'!E9)=1),1,999999)</f>
        <v>999999</v>
      </c>
      <c r="F210">
        <v>9</v>
      </c>
      <c r="AA210">
        <f>IF($A210=1,$E210,999999)</f>
        <v>999999</v>
      </c>
      <c r="AB210">
        <f>IF($A210=2,$E210,999999)</f>
        <v>999999</v>
      </c>
      <c r="AC210">
        <f>IF($A210=3,$E210,999999)</f>
        <v>999999</v>
      </c>
      <c r="AD210">
        <f>IF($A210=4,$E210,999999)</f>
        <v>999999</v>
      </c>
      <c r="AE210">
        <f>IF($A210=5,$E210,999999)</f>
        <v>999999</v>
      </c>
      <c r="AF210">
        <f>IF($A210=6,$E210,999999)</f>
        <v>999999</v>
      </c>
      <c r="AG210">
        <f>IF($A210=7,$E210,999999)</f>
        <v>999999</v>
      </c>
      <c r="AH210">
        <f>IF($A210=8,$E210,999999)</f>
        <v>999999</v>
      </c>
      <c r="AI210">
        <f>IF($A210=9,$E210,999999)</f>
        <v>999999</v>
      </c>
      <c r="AJ210">
        <f>IF($A210=10,$E210,999999)</f>
        <v>999999</v>
      </c>
      <c r="AK210">
        <f>IF($A210=11,$E210,999999)</f>
        <v>999999</v>
      </c>
      <c r="AL210">
        <f>IF($A210=12,$E210,999999)</f>
        <v>999999</v>
      </c>
      <c r="AM210">
        <f>IF($A210=13,$E210,999999)</f>
        <v>999999</v>
      </c>
      <c r="AN210">
        <f>IF($A210=14,$E210,999999)</f>
        <v>999999</v>
      </c>
      <c r="AO210">
        <f>IF($A210=15,$E210,999999)</f>
        <v>999999</v>
      </c>
      <c r="AP210">
        <f>IF($A210=16,$E210,999999)</f>
        <v>999999</v>
      </c>
      <c r="AQ210">
        <f>IF($A210=17,$E210,999999)</f>
        <v>999999</v>
      </c>
      <c r="AR210">
        <f>IF($A210=18,$E210,999999)</f>
        <v>999999</v>
      </c>
      <c r="AS210">
        <f>IF($A210=19,$E210,999999)</f>
        <v>999999</v>
      </c>
      <c r="AT210">
        <f>IF($A210=20,$E210,999999)</f>
        <v>999999</v>
      </c>
      <c r="BA210">
        <f>MAX(0,MIN(CEILING((BF210+BG210)/2,1),S8+IF('幕间与结算'!E9="体力",N('幕间与结算'!K9),0)))</f>
        <v>0</v>
      </c>
      <c r="BB210">
        <f>MAX(0,MIN(BJ210,S9+IF('幕间与结算'!E9="毅力",N('幕间与结算'!K9),0)))</f>
        <v>0</v>
      </c>
      <c r="BC210">
        <f>MAX(0,MIN(99-BL210,S10+IF('幕间与结算'!E9="理智",N('幕间与结算'!K9),0)))</f>
        <v>0</v>
      </c>
      <c r="BD210">
        <f>MAX(0,MIN(99,S11+IF('幕间与结算'!E9="崩溃点",N('幕间与结算'!K9),0)))</f>
        <v>0</v>
      </c>
      <c r="BF210">
        <f>MAX(0,MIN(18,'幕间计算'!S2+IF('幕间与结算'!E9="力量",N('幕间与结算'!K9),0)))</f>
        <v>0</v>
      </c>
      <c r="BG210">
        <f>MAX(0,MIN(18,'幕间计算'!S3+IF('幕间与结算'!E9="体质",N('幕间与结算'!K9),0)))</f>
        <v>0</v>
      </c>
      <c r="BH210">
        <f>MAX(0,MIN(18,'幕间计算'!S4+IF('幕间与结算'!E9="敏捷",N('幕间与结算'!K9),0)))</f>
        <v>0</v>
      </c>
      <c r="BI210">
        <f>MAX(0,MIN(18,'幕间计算'!S5+IF('幕间与结算'!E9="智力",N('幕间与结算'!K9),0)))</f>
        <v>0</v>
      </c>
      <c r="BJ210">
        <f>MAX(0,MIN(18,'幕间计算'!S6+IF('幕间与结算'!E9="意志",N('幕间与结算'!K9),0)))</f>
        <v>0</v>
      </c>
      <c r="BK210">
        <f>MAX(0,MIN(18,'幕间计算'!S7+IF('幕间与结算'!E9="魅力",N('幕间与结算'!K9),0)))</f>
        <v>0</v>
      </c>
      <c r="BL210">
        <f>MAX(0,MIN(99,N('人物卡'!BB39)+IF('幕间与结算'!E9="技能：非自然知识",N('幕间与结算'!K9),0)))</f>
        <v>0</v>
      </c>
    </row>
    <row r="211">
      <c r="A211">
        <f>IFERROR(IF(AND(VALUE('幕间与结算'!B10)&gt;=1,VALUE('幕间与结算'!B10)&lt;=20),VALUE('幕间与结算'!B10),0),0)</f>
        <v>0</v>
      </c>
      <c r="B211">
        <f>IF(AND(A211&gt;0,'幕间与结算'!D10&lt;&gt;"",'幕间与结算'!J10="确认",ISNUMBER('幕间与结算'!K10),OR('幕间与结算'!G10="失败",'幕间与结算'!G10="大失败"),'幕间与结算'!H10="√",LEFT('幕间与结算'!E10,3)="技能：",'幕间与结算'!E10&lt;&gt;"技能：非自然知识",ISNUMBER('幕间与结算'!F10),'幕间与结算'!F10&gt;=1,'幕间与结算'!F10&lt;=99),1,0)</f>
        <v>0</v>
      </c>
      <c r="D211">
        <f>IF(AND('幕间与结算'!J10="确认",ISNUMBER('幕间与结算'!K10),'幕间与结算'!L10&lt;&gt;"",ISNUMBER('幕间与结算'!M10),'幕间与结算'!M10&gt;0,'幕间与结算'!M10&lt;=99),'幕间与结算'!M10,0)</f>
        <v>0</v>
      </c>
      <c r="E211">
        <f>IF(AND(B211=1,COUNTIFS($A$210:A211,A211,$B$210:B211,1,'幕间与结算'!$E$9:E10,'幕间与结算'!E10)=1),2,999999)</f>
        <v>999999</v>
      </c>
      <c r="F211">
        <v>10</v>
      </c>
      <c r="AA211">
        <f>IF($A211=1,$E211,999999)</f>
        <v>999999</v>
      </c>
      <c r="AB211">
        <f>IF($A211=2,$E211,999999)</f>
        <v>999999</v>
      </c>
      <c r="AC211">
        <f>IF($A211=3,$E211,999999)</f>
        <v>999999</v>
      </c>
      <c r="AD211">
        <f>IF($A211=4,$E211,999999)</f>
        <v>999999</v>
      </c>
      <c r="AE211">
        <f>IF($A211=5,$E211,999999)</f>
        <v>999999</v>
      </c>
      <c r="AF211">
        <f>IF($A211=6,$E211,999999)</f>
        <v>999999</v>
      </c>
      <c r="AG211">
        <f>IF($A211=7,$E211,999999)</f>
        <v>999999</v>
      </c>
      <c r="AH211">
        <f>IF($A211=8,$E211,999999)</f>
        <v>999999</v>
      </c>
      <c r="AI211">
        <f>IF($A211=9,$E211,999999)</f>
        <v>999999</v>
      </c>
      <c r="AJ211">
        <f>IF($A211=10,$E211,999999)</f>
        <v>999999</v>
      </c>
      <c r="AK211">
        <f>IF($A211=11,$E211,999999)</f>
        <v>999999</v>
      </c>
      <c r="AL211">
        <f>IF($A211=12,$E211,999999)</f>
        <v>999999</v>
      </c>
      <c r="AM211">
        <f>IF($A211=13,$E211,999999)</f>
        <v>999999</v>
      </c>
      <c r="AN211">
        <f>IF($A211=14,$E211,999999)</f>
        <v>999999</v>
      </c>
      <c r="AO211">
        <f>IF($A211=15,$E211,999999)</f>
        <v>999999</v>
      </c>
      <c r="AP211">
        <f>IF($A211=16,$E211,999999)</f>
        <v>999999</v>
      </c>
      <c r="AQ211">
        <f>IF($A211=17,$E211,999999)</f>
        <v>999999</v>
      </c>
      <c r="AR211">
        <f>IF($A211=18,$E211,999999)</f>
        <v>999999</v>
      </c>
      <c r="AS211">
        <f>IF($A211=19,$E211,999999)</f>
        <v>999999</v>
      </c>
      <c r="AT211">
        <f>IF($A211=20,$E211,999999)</f>
        <v>999999</v>
      </c>
      <c r="BA211">
        <f>MAX(0,MIN(CEILING((BF211+BG211)/2,1),BA210+IF('幕间与结算'!E10="体力",N('幕间与结算'!K10),0)))</f>
        <v>0</v>
      </c>
      <c r="BB211">
        <f>MAX(0,MIN(BJ211,BB210+IF('幕间与结算'!E10="毅力",N('幕间与结算'!K10),0)))</f>
        <v>0</v>
      </c>
      <c r="BC211">
        <f>MAX(0,MIN(99-BL211,BC210+IF('幕间与结算'!E10="理智",N('幕间与结算'!K10),0)))</f>
        <v>0</v>
      </c>
      <c r="BD211">
        <f>MAX(0,MIN(99,BD210+IF('幕间与结算'!E10="崩溃点",N('幕间与结算'!K10),0)))</f>
        <v>0</v>
      </c>
      <c r="BF211">
        <f>MAX(0,MIN(18,'幕间计算'!BF210+IF('幕间与结算'!E10="力量",N('幕间与结算'!K10),0)))</f>
        <v>0</v>
      </c>
      <c r="BG211">
        <f>MAX(0,MIN(18,'幕间计算'!BG210+IF('幕间与结算'!E10="体质",N('幕间与结算'!K10),0)))</f>
        <v>0</v>
      </c>
      <c r="BH211">
        <f>MAX(0,MIN(18,'幕间计算'!BH210+IF('幕间与结算'!E10="敏捷",N('幕间与结算'!K10),0)))</f>
        <v>0</v>
      </c>
      <c r="BI211">
        <f>MAX(0,MIN(18,'幕间计算'!BI210+IF('幕间与结算'!E10="智力",N('幕间与结算'!K10),0)))</f>
        <v>0</v>
      </c>
      <c r="BJ211">
        <f>MAX(0,MIN(18,'幕间计算'!BJ210+IF('幕间与结算'!E10="意志",N('幕间与结算'!K10),0)))</f>
        <v>0</v>
      </c>
      <c r="BK211">
        <f>MAX(0,MIN(18,'幕间计算'!BK210+IF('幕间与结算'!E10="魅力",N('幕间与结算'!K10),0)))</f>
        <v>0</v>
      </c>
      <c r="BL211">
        <f>MAX(0,MIN(99,'幕间计算'!BL210+IF('幕间与结算'!E10="技能：非自然知识",N('幕间与结算'!K10),0)))</f>
        <v>0</v>
      </c>
    </row>
    <row r="212">
      <c r="A212">
        <f>IFERROR(IF(AND(VALUE('幕间与结算'!B11)&gt;=1,VALUE('幕间与结算'!B11)&lt;=20),VALUE('幕间与结算'!B11),0),0)</f>
        <v>0</v>
      </c>
      <c r="B212">
        <f>IF(AND(A212&gt;0,'幕间与结算'!D11&lt;&gt;"",'幕间与结算'!J11="确认",ISNUMBER('幕间与结算'!K11),OR('幕间与结算'!G11="失败",'幕间与结算'!G11="大失败"),'幕间与结算'!H11="√",LEFT('幕间与结算'!E11,3)="技能：",'幕间与结算'!E11&lt;&gt;"技能：非自然知识",ISNUMBER('幕间与结算'!F11),'幕间与结算'!F11&gt;=1,'幕间与结算'!F11&lt;=99),1,0)</f>
        <v>0</v>
      </c>
      <c r="D212">
        <f>IF(AND('幕间与结算'!J11="确认",ISNUMBER('幕间与结算'!K11),'幕间与结算'!L11&lt;&gt;"",ISNUMBER('幕间与结算'!M11),'幕间与结算'!M11&gt;0,'幕间与结算'!M11&lt;=99),'幕间与结算'!M11,0)</f>
        <v>0</v>
      </c>
      <c r="E212">
        <f>IF(AND(B212=1,COUNTIFS($A$210:A212,A212,$B$210:B212,1,'幕间与结算'!$E$9:E11,'幕间与结算'!E11)=1),3,999999)</f>
        <v>999999</v>
      </c>
      <c r="F212">
        <v>11</v>
      </c>
      <c r="AA212">
        <f>IF($A212=1,$E212,999999)</f>
        <v>999999</v>
      </c>
      <c r="AB212">
        <f>IF($A212=2,$E212,999999)</f>
        <v>999999</v>
      </c>
      <c r="AC212">
        <f>IF($A212=3,$E212,999999)</f>
        <v>999999</v>
      </c>
      <c r="AD212">
        <f>IF($A212=4,$E212,999999)</f>
        <v>999999</v>
      </c>
      <c r="AE212">
        <f>IF($A212=5,$E212,999999)</f>
        <v>999999</v>
      </c>
      <c r="AF212">
        <f>IF($A212=6,$E212,999999)</f>
        <v>999999</v>
      </c>
      <c r="AG212">
        <f>IF($A212=7,$E212,999999)</f>
        <v>999999</v>
      </c>
      <c r="AH212">
        <f>IF($A212=8,$E212,999999)</f>
        <v>999999</v>
      </c>
      <c r="AI212">
        <f>IF($A212=9,$E212,999999)</f>
        <v>999999</v>
      </c>
      <c r="AJ212">
        <f>IF($A212=10,$E212,999999)</f>
        <v>999999</v>
      </c>
      <c r="AK212">
        <f>IF($A212=11,$E212,999999)</f>
        <v>999999</v>
      </c>
      <c r="AL212">
        <f>IF($A212=12,$E212,999999)</f>
        <v>999999</v>
      </c>
      <c r="AM212">
        <f>IF($A212=13,$E212,999999)</f>
        <v>999999</v>
      </c>
      <c r="AN212">
        <f>IF($A212=14,$E212,999999)</f>
        <v>999999</v>
      </c>
      <c r="AO212">
        <f>IF($A212=15,$E212,999999)</f>
        <v>999999</v>
      </c>
      <c r="AP212">
        <f>IF($A212=16,$E212,999999)</f>
        <v>999999</v>
      </c>
      <c r="AQ212">
        <f>IF($A212=17,$E212,999999)</f>
        <v>999999</v>
      </c>
      <c r="AR212">
        <f>IF($A212=18,$E212,999999)</f>
        <v>999999</v>
      </c>
      <c r="AS212">
        <f>IF($A212=19,$E212,999999)</f>
        <v>999999</v>
      </c>
      <c r="AT212">
        <f>IF($A212=20,$E212,999999)</f>
        <v>999999</v>
      </c>
      <c r="BA212">
        <f>MAX(0,MIN(CEILING((BF212+BG212)/2,1),BA211+IF('幕间与结算'!E11="体力",N('幕间与结算'!K11),0)))</f>
        <v>0</v>
      </c>
      <c r="BB212">
        <f>MAX(0,MIN(BJ212,BB211+IF('幕间与结算'!E11="毅力",N('幕间与结算'!K11),0)))</f>
        <v>0</v>
      </c>
      <c r="BC212">
        <f>MAX(0,MIN(99-BL212,BC211+IF('幕间与结算'!E11="理智",N('幕间与结算'!K11),0)))</f>
        <v>0</v>
      </c>
      <c r="BD212">
        <f>MAX(0,MIN(99,BD211+IF('幕间与结算'!E11="崩溃点",N('幕间与结算'!K11),0)))</f>
        <v>0</v>
      </c>
      <c r="BF212">
        <f>MAX(0,MIN(18,'幕间计算'!BF211+IF('幕间与结算'!E11="力量",N('幕间与结算'!K11),0)))</f>
        <v>0</v>
      </c>
      <c r="BG212">
        <f>MAX(0,MIN(18,'幕间计算'!BG211+IF('幕间与结算'!E11="体质",N('幕间与结算'!K11),0)))</f>
        <v>0</v>
      </c>
      <c r="BH212">
        <f>MAX(0,MIN(18,'幕间计算'!BH211+IF('幕间与结算'!E11="敏捷",N('幕间与结算'!K11),0)))</f>
        <v>0</v>
      </c>
      <c r="BI212">
        <f>MAX(0,MIN(18,'幕间计算'!BI211+IF('幕间与结算'!E11="智力",N('幕间与结算'!K11),0)))</f>
        <v>0</v>
      </c>
      <c r="BJ212">
        <f>MAX(0,MIN(18,'幕间计算'!BJ211+IF('幕间与结算'!E11="意志",N('幕间与结算'!K11),0)))</f>
        <v>0</v>
      </c>
      <c r="BK212">
        <f>MAX(0,MIN(18,'幕间计算'!BK211+IF('幕间与结算'!E11="魅力",N('幕间与结算'!K11),0)))</f>
        <v>0</v>
      </c>
      <c r="BL212">
        <f>MAX(0,MIN(99,'幕间计算'!BL211+IF('幕间与结算'!E11="技能：非自然知识",N('幕间与结算'!K11),0)))</f>
        <v>0</v>
      </c>
    </row>
    <row r="213">
      <c r="A213">
        <f>IFERROR(IF(AND(VALUE('幕间与结算'!B12)&gt;=1,VALUE('幕间与结算'!B12)&lt;=20),VALUE('幕间与结算'!B12),0),0)</f>
        <v>0</v>
      </c>
      <c r="B213">
        <f>IF(AND(A213&gt;0,'幕间与结算'!D12&lt;&gt;"",'幕间与结算'!J12="确认",ISNUMBER('幕间与结算'!K12),OR('幕间与结算'!G12="失败",'幕间与结算'!G12="大失败"),'幕间与结算'!H12="√",LEFT('幕间与结算'!E12,3)="技能：",'幕间与结算'!E12&lt;&gt;"技能：非自然知识",ISNUMBER('幕间与结算'!F12),'幕间与结算'!F12&gt;=1,'幕间与结算'!F12&lt;=99),1,0)</f>
        <v>0</v>
      </c>
      <c r="D213">
        <f>IF(AND('幕间与结算'!J12="确认",ISNUMBER('幕间与结算'!K12),'幕间与结算'!L12&lt;&gt;"",ISNUMBER('幕间与结算'!M12),'幕间与结算'!M12&gt;0,'幕间与结算'!M12&lt;=99),'幕间与结算'!M12,0)</f>
        <v>0</v>
      </c>
      <c r="E213">
        <f>IF(AND(B213=1,COUNTIFS($A$210:A213,A213,$B$210:B213,1,'幕间与结算'!$E$9:E12,'幕间与结算'!E12)=1),4,999999)</f>
        <v>999999</v>
      </c>
      <c r="F213">
        <v>12</v>
      </c>
      <c r="AA213">
        <f>IF($A213=1,$E213,999999)</f>
        <v>999999</v>
      </c>
      <c r="AB213">
        <f>IF($A213=2,$E213,999999)</f>
        <v>999999</v>
      </c>
      <c r="AC213">
        <f>IF($A213=3,$E213,999999)</f>
        <v>999999</v>
      </c>
      <c r="AD213">
        <f>IF($A213=4,$E213,999999)</f>
        <v>999999</v>
      </c>
      <c r="AE213">
        <f>IF($A213=5,$E213,999999)</f>
        <v>999999</v>
      </c>
      <c r="AF213">
        <f>IF($A213=6,$E213,999999)</f>
        <v>999999</v>
      </c>
      <c r="AG213">
        <f>IF($A213=7,$E213,999999)</f>
        <v>999999</v>
      </c>
      <c r="AH213">
        <f>IF($A213=8,$E213,999999)</f>
        <v>999999</v>
      </c>
      <c r="AI213">
        <f>IF($A213=9,$E213,999999)</f>
        <v>999999</v>
      </c>
      <c r="AJ213">
        <f>IF($A213=10,$E213,999999)</f>
        <v>999999</v>
      </c>
      <c r="AK213">
        <f>IF($A213=11,$E213,999999)</f>
        <v>999999</v>
      </c>
      <c r="AL213">
        <f>IF($A213=12,$E213,999999)</f>
        <v>999999</v>
      </c>
      <c r="AM213">
        <f>IF($A213=13,$E213,999999)</f>
        <v>999999</v>
      </c>
      <c r="AN213">
        <f>IF($A213=14,$E213,999999)</f>
        <v>999999</v>
      </c>
      <c r="AO213">
        <f>IF($A213=15,$E213,999999)</f>
        <v>999999</v>
      </c>
      <c r="AP213">
        <f>IF($A213=16,$E213,999999)</f>
        <v>999999</v>
      </c>
      <c r="AQ213">
        <f>IF($A213=17,$E213,999999)</f>
        <v>999999</v>
      </c>
      <c r="AR213">
        <f>IF($A213=18,$E213,999999)</f>
        <v>999999</v>
      </c>
      <c r="AS213">
        <f>IF($A213=19,$E213,999999)</f>
        <v>999999</v>
      </c>
      <c r="AT213">
        <f>IF($A213=20,$E213,999999)</f>
        <v>999999</v>
      </c>
      <c r="BA213">
        <f>MAX(0,MIN(CEILING((BF213+BG213)/2,1),BA212+IF('幕间与结算'!E12="体力",N('幕间与结算'!K12),0)))</f>
        <v>0</v>
      </c>
      <c r="BB213">
        <f>MAX(0,MIN(BJ213,BB212+IF('幕间与结算'!E12="毅力",N('幕间与结算'!K12),0)))</f>
        <v>0</v>
      </c>
      <c r="BC213">
        <f>MAX(0,MIN(99-BL213,BC212+IF('幕间与结算'!E12="理智",N('幕间与结算'!K12),0)))</f>
        <v>0</v>
      </c>
      <c r="BD213">
        <f>MAX(0,MIN(99,BD212+IF('幕间与结算'!E12="崩溃点",N('幕间与结算'!K12),0)))</f>
        <v>0</v>
      </c>
      <c r="BF213">
        <f>MAX(0,MIN(18,'幕间计算'!BF212+IF('幕间与结算'!E12="力量",N('幕间与结算'!K12),0)))</f>
        <v>0</v>
      </c>
      <c r="BG213">
        <f>MAX(0,MIN(18,'幕间计算'!BG212+IF('幕间与结算'!E12="体质",N('幕间与结算'!K12),0)))</f>
        <v>0</v>
      </c>
      <c r="BH213">
        <f>MAX(0,MIN(18,'幕间计算'!BH212+IF('幕间与结算'!E12="敏捷",N('幕间与结算'!K12),0)))</f>
        <v>0</v>
      </c>
      <c r="BI213">
        <f>MAX(0,MIN(18,'幕间计算'!BI212+IF('幕间与结算'!E12="智力",N('幕间与结算'!K12),0)))</f>
        <v>0</v>
      </c>
      <c r="BJ213">
        <f>MAX(0,MIN(18,'幕间计算'!BJ212+IF('幕间与结算'!E12="意志",N('幕间与结算'!K12),0)))</f>
        <v>0</v>
      </c>
      <c r="BK213">
        <f>MAX(0,MIN(18,'幕间计算'!BK212+IF('幕间与结算'!E12="魅力",N('幕间与结算'!K12),0)))</f>
        <v>0</v>
      </c>
      <c r="BL213">
        <f>MAX(0,MIN(99,'幕间计算'!BL212+IF('幕间与结算'!E12="技能：非自然知识",N('幕间与结算'!K12),0)))</f>
        <v>0</v>
      </c>
    </row>
    <row r="214">
      <c r="A214">
        <f>IFERROR(IF(AND(VALUE('幕间与结算'!B13)&gt;=1,VALUE('幕间与结算'!B13)&lt;=20),VALUE('幕间与结算'!B13),0),0)</f>
        <v>0</v>
      </c>
      <c r="B214">
        <f>IF(AND(A214&gt;0,'幕间与结算'!D13&lt;&gt;"",'幕间与结算'!J13="确认",ISNUMBER('幕间与结算'!K13),OR('幕间与结算'!G13="失败",'幕间与结算'!G13="大失败"),'幕间与结算'!H13="√",LEFT('幕间与结算'!E13,3)="技能：",'幕间与结算'!E13&lt;&gt;"技能：非自然知识",ISNUMBER('幕间与结算'!F13),'幕间与结算'!F13&gt;=1,'幕间与结算'!F13&lt;=99),1,0)</f>
        <v>0</v>
      </c>
      <c r="D214">
        <f>IF(AND('幕间与结算'!J13="确认",ISNUMBER('幕间与结算'!K13),'幕间与结算'!L13&lt;&gt;"",ISNUMBER('幕间与结算'!M13),'幕间与结算'!M13&gt;0,'幕间与结算'!M13&lt;=99),'幕间与结算'!M13,0)</f>
        <v>0</v>
      </c>
      <c r="E214">
        <f>IF(AND(B214=1,COUNTIFS($A$210:A214,A214,$B$210:B214,1,'幕间与结算'!$E$9:E13,'幕间与结算'!E13)=1),5,999999)</f>
        <v>999999</v>
      </c>
      <c r="F214">
        <v>13</v>
      </c>
      <c r="AA214">
        <f>IF($A214=1,$E214,999999)</f>
        <v>999999</v>
      </c>
      <c r="AB214">
        <f>IF($A214=2,$E214,999999)</f>
        <v>999999</v>
      </c>
      <c r="AC214">
        <f>IF($A214=3,$E214,999999)</f>
        <v>999999</v>
      </c>
      <c r="AD214">
        <f>IF($A214=4,$E214,999999)</f>
        <v>999999</v>
      </c>
      <c r="AE214">
        <f>IF($A214=5,$E214,999999)</f>
        <v>999999</v>
      </c>
      <c r="AF214">
        <f>IF($A214=6,$E214,999999)</f>
        <v>999999</v>
      </c>
      <c r="AG214">
        <f>IF($A214=7,$E214,999999)</f>
        <v>999999</v>
      </c>
      <c r="AH214">
        <f>IF($A214=8,$E214,999999)</f>
        <v>999999</v>
      </c>
      <c r="AI214">
        <f>IF($A214=9,$E214,999999)</f>
        <v>999999</v>
      </c>
      <c r="AJ214">
        <f>IF($A214=10,$E214,999999)</f>
        <v>999999</v>
      </c>
      <c r="AK214">
        <f>IF($A214=11,$E214,999999)</f>
        <v>999999</v>
      </c>
      <c r="AL214">
        <f>IF($A214=12,$E214,999999)</f>
        <v>999999</v>
      </c>
      <c r="AM214">
        <f>IF($A214=13,$E214,999999)</f>
        <v>999999</v>
      </c>
      <c r="AN214">
        <f>IF($A214=14,$E214,999999)</f>
        <v>999999</v>
      </c>
      <c r="AO214">
        <f>IF($A214=15,$E214,999999)</f>
        <v>999999</v>
      </c>
      <c r="AP214">
        <f>IF($A214=16,$E214,999999)</f>
        <v>999999</v>
      </c>
      <c r="AQ214">
        <f>IF($A214=17,$E214,999999)</f>
        <v>999999</v>
      </c>
      <c r="AR214">
        <f>IF($A214=18,$E214,999999)</f>
        <v>999999</v>
      </c>
      <c r="AS214">
        <f>IF($A214=19,$E214,999999)</f>
        <v>999999</v>
      </c>
      <c r="AT214">
        <f>IF($A214=20,$E214,999999)</f>
        <v>999999</v>
      </c>
      <c r="BA214">
        <f>MAX(0,MIN(CEILING((BF214+BG214)/2,1),BA213+IF('幕间与结算'!E13="体力",N('幕间与结算'!K13),0)))</f>
        <v>0</v>
      </c>
      <c r="BB214">
        <f>MAX(0,MIN(BJ214,BB213+IF('幕间与结算'!E13="毅力",N('幕间与结算'!K13),0)))</f>
        <v>0</v>
      </c>
      <c r="BC214">
        <f>MAX(0,MIN(99-BL214,BC213+IF('幕间与结算'!E13="理智",N('幕间与结算'!K13),0)))</f>
        <v>0</v>
      </c>
      <c r="BD214">
        <f>MAX(0,MIN(99,BD213+IF('幕间与结算'!E13="崩溃点",N('幕间与结算'!K13),0)))</f>
        <v>0</v>
      </c>
      <c r="BF214">
        <f>MAX(0,MIN(18,'幕间计算'!BF213+IF('幕间与结算'!E13="力量",N('幕间与结算'!K13),0)))</f>
        <v>0</v>
      </c>
      <c r="BG214">
        <f>MAX(0,MIN(18,'幕间计算'!BG213+IF('幕间与结算'!E13="体质",N('幕间与结算'!K13),0)))</f>
        <v>0</v>
      </c>
      <c r="BH214">
        <f>MAX(0,MIN(18,'幕间计算'!BH213+IF('幕间与结算'!E13="敏捷",N('幕间与结算'!K13),0)))</f>
        <v>0</v>
      </c>
      <c r="BI214">
        <f>MAX(0,MIN(18,'幕间计算'!BI213+IF('幕间与结算'!E13="智力",N('幕间与结算'!K13),0)))</f>
        <v>0</v>
      </c>
      <c r="BJ214">
        <f>MAX(0,MIN(18,'幕间计算'!BJ213+IF('幕间与结算'!E13="意志",N('幕间与结算'!K13),0)))</f>
        <v>0</v>
      </c>
      <c r="BK214">
        <f>MAX(0,MIN(18,'幕间计算'!BK213+IF('幕间与结算'!E13="魅力",N('幕间与结算'!K13),0)))</f>
        <v>0</v>
      </c>
      <c r="BL214">
        <f>MAX(0,MIN(99,'幕间计算'!BL213+IF('幕间与结算'!E13="技能：非自然知识",N('幕间与结算'!K13),0)))</f>
        <v>0</v>
      </c>
    </row>
    <row r="215">
      <c r="A215">
        <f>IFERROR(IF(AND(VALUE('幕间与结算'!B14)&gt;=1,VALUE('幕间与结算'!B14)&lt;=20),VALUE('幕间与结算'!B14),0),0)</f>
        <v>0</v>
      </c>
      <c r="B215">
        <f>IF(AND(A215&gt;0,'幕间与结算'!D14&lt;&gt;"",'幕间与结算'!J14="确认",ISNUMBER('幕间与结算'!K14),OR('幕间与结算'!G14="失败",'幕间与结算'!G14="大失败"),'幕间与结算'!H14="√",LEFT('幕间与结算'!E14,3)="技能：",'幕间与结算'!E14&lt;&gt;"技能：非自然知识",ISNUMBER('幕间与结算'!F14),'幕间与结算'!F14&gt;=1,'幕间与结算'!F14&lt;=99),1,0)</f>
        <v>0</v>
      </c>
      <c r="D215">
        <f>IF(AND('幕间与结算'!J14="确认",ISNUMBER('幕间与结算'!K14),'幕间与结算'!L14&lt;&gt;"",ISNUMBER('幕间与结算'!M14),'幕间与结算'!M14&gt;0,'幕间与结算'!M14&lt;=99),'幕间与结算'!M14,0)</f>
        <v>0</v>
      </c>
      <c r="E215">
        <f>IF(AND(B215=1,COUNTIFS($A$210:A215,A215,$B$210:B215,1,'幕间与结算'!$E$9:E14,'幕间与结算'!E14)=1),6,999999)</f>
        <v>999999</v>
      </c>
      <c r="F215">
        <v>14</v>
      </c>
      <c r="AA215">
        <f>IF($A215=1,$E215,999999)</f>
        <v>999999</v>
      </c>
      <c r="AB215">
        <f>IF($A215=2,$E215,999999)</f>
        <v>999999</v>
      </c>
      <c r="AC215">
        <f>IF($A215=3,$E215,999999)</f>
        <v>999999</v>
      </c>
      <c r="AD215">
        <f>IF($A215=4,$E215,999999)</f>
        <v>999999</v>
      </c>
      <c r="AE215">
        <f>IF($A215=5,$E215,999999)</f>
        <v>999999</v>
      </c>
      <c r="AF215">
        <f>IF($A215=6,$E215,999999)</f>
        <v>999999</v>
      </c>
      <c r="AG215">
        <f>IF($A215=7,$E215,999999)</f>
        <v>999999</v>
      </c>
      <c r="AH215">
        <f>IF($A215=8,$E215,999999)</f>
        <v>999999</v>
      </c>
      <c r="AI215">
        <f>IF($A215=9,$E215,999999)</f>
        <v>999999</v>
      </c>
      <c r="AJ215">
        <f>IF($A215=10,$E215,999999)</f>
        <v>999999</v>
      </c>
      <c r="AK215">
        <f>IF($A215=11,$E215,999999)</f>
        <v>999999</v>
      </c>
      <c r="AL215">
        <f>IF($A215=12,$E215,999999)</f>
        <v>999999</v>
      </c>
      <c r="AM215">
        <f>IF($A215=13,$E215,999999)</f>
        <v>999999</v>
      </c>
      <c r="AN215">
        <f>IF($A215=14,$E215,999999)</f>
        <v>999999</v>
      </c>
      <c r="AO215">
        <f>IF($A215=15,$E215,999999)</f>
        <v>999999</v>
      </c>
      <c r="AP215">
        <f>IF($A215=16,$E215,999999)</f>
        <v>999999</v>
      </c>
      <c r="AQ215">
        <f>IF($A215=17,$E215,999999)</f>
        <v>999999</v>
      </c>
      <c r="AR215">
        <f>IF($A215=18,$E215,999999)</f>
        <v>999999</v>
      </c>
      <c r="AS215">
        <f>IF($A215=19,$E215,999999)</f>
        <v>999999</v>
      </c>
      <c r="AT215">
        <f>IF($A215=20,$E215,999999)</f>
        <v>999999</v>
      </c>
      <c r="BA215">
        <f>MAX(0,MIN(CEILING((BF215+BG215)/2,1),BA214+IF('幕间与结算'!E14="体力",N('幕间与结算'!K14),0)))</f>
        <v>0</v>
      </c>
      <c r="BB215">
        <f>MAX(0,MIN(BJ215,BB214+IF('幕间与结算'!E14="毅力",N('幕间与结算'!K14),0)))</f>
        <v>0</v>
      </c>
      <c r="BC215">
        <f>MAX(0,MIN(99-BL215,BC214+IF('幕间与结算'!E14="理智",N('幕间与结算'!K14),0)))</f>
        <v>0</v>
      </c>
      <c r="BD215">
        <f>MAX(0,MIN(99,BD214+IF('幕间与结算'!E14="崩溃点",N('幕间与结算'!K14),0)))</f>
        <v>0</v>
      </c>
      <c r="BF215">
        <f>MAX(0,MIN(18,'幕间计算'!BF214+IF('幕间与结算'!E14="力量",N('幕间与结算'!K14),0)))</f>
        <v>0</v>
      </c>
      <c r="BG215">
        <f>MAX(0,MIN(18,'幕间计算'!BG214+IF('幕间与结算'!E14="体质",N('幕间与结算'!K14),0)))</f>
        <v>0</v>
      </c>
      <c r="BH215">
        <f>MAX(0,MIN(18,'幕间计算'!BH214+IF('幕间与结算'!E14="敏捷",N('幕间与结算'!K14),0)))</f>
        <v>0</v>
      </c>
      <c r="BI215">
        <f>MAX(0,MIN(18,'幕间计算'!BI214+IF('幕间与结算'!E14="智力",N('幕间与结算'!K14),0)))</f>
        <v>0</v>
      </c>
      <c r="BJ215">
        <f>MAX(0,MIN(18,'幕间计算'!BJ214+IF('幕间与结算'!E14="意志",N('幕间与结算'!K14),0)))</f>
        <v>0</v>
      </c>
      <c r="BK215">
        <f>MAX(0,MIN(18,'幕间计算'!BK214+IF('幕间与结算'!E14="魅力",N('幕间与结算'!K14),0)))</f>
        <v>0</v>
      </c>
      <c r="BL215">
        <f>MAX(0,MIN(99,'幕间计算'!BL214+IF('幕间与结算'!E14="技能：非自然知识",N('幕间与结算'!K14),0)))</f>
        <v>0</v>
      </c>
    </row>
    <row r="216">
      <c r="A216">
        <f>IFERROR(IF(AND(VALUE('幕间与结算'!B15)&gt;=1,VALUE('幕间与结算'!B15)&lt;=20),VALUE('幕间与结算'!B15),0),0)</f>
        <v>0</v>
      </c>
      <c r="B216">
        <f>IF(AND(A216&gt;0,'幕间与结算'!D15&lt;&gt;"",'幕间与结算'!J15="确认",ISNUMBER('幕间与结算'!K15),OR('幕间与结算'!G15="失败",'幕间与结算'!G15="大失败"),'幕间与结算'!H15="√",LEFT('幕间与结算'!E15,3)="技能：",'幕间与结算'!E15&lt;&gt;"技能：非自然知识",ISNUMBER('幕间与结算'!F15),'幕间与结算'!F15&gt;=1,'幕间与结算'!F15&lt;=99),1,0)</f>
        <v>0</v>
      </c>
      <c r="D216">
        <f>IF(AND('幕间与结算'!J15="确认",ISNUMBER('幕间与结算'!K15),'幕间与结算'!L15&lt;&gt;"",ISNUMBER('幕间与结算'!M15),'幕间与结算'!M15&gt;0,'幕间与结算'!M15&lt;=99),'幕间与结算'!M15,0)</f>
        <v>0</v>
      </c>
      <c r="E216">
        <f>IF(AND(B216=1,COUNTIFS($A$210:A216,A216,$B$210:B216,1,'幕间与结算'!$E$9:E15,'幕间与结算'!E15)=1),7,999999)</f>
        <v>999999</v>
      </c>
      <c r="F216">
        <v>15</v>
      </c>
      <c r="AA216">
        <f>IF($A216=1,$E216,999999)</f>
        <v>999999</v>
      </c>
      <c r="AB216">
        <f>IF($A216=2,$E216,999999)</f>
        <v>999999</v>
      </c>
      <c r="AC216">
        <f>IF($A216=3,$E216,999999)</f>
        <v>999999</v>
      </c>
      <c r="AD216">
        <f>IF($A216=4,$E216,999999)</f>
        <v>999999</v>
      </c>
      <c r="AE216">
        <f>IF($A216=5,$E216,999999)</f>
        <v>999999</v>
      </c>
      <c r="AF216">
        <f>IF($A216=6,$E216,999999)</f>
        <v>999999</v>
      </c>
      <c r="AG216">
        <f>IF($A216=7,$E216,999999)</f>
        <v>999999</v>
      </c>
      <c r="AH216">
        <f>IF($A216=8,$E216,999999)</f>
        <v>999999</v>
      </c>
      <c r="AI216">
        <f>IF($A216=9,$E216,999999)</f>
        <v>999999</v>
      </c>
      <c r="AJ216">
        <f>IF($A216=10,$E216,999999)</f>
        <v>999999</v>
      </c>
      <c r="AK216">
        <f>IF($A216=11,$E216,999999)</f>
        <v>999999</v>
      </c>
      <c r="AL216">
        <f>IF($A216=12,$E216,999999)</f>
        <v>999999</v>
      </c>
      <c r="AM216">
        <f>IF($A216=13,$E216,999999)</f>
        <v>999999</v>
      </c>
      <c r="AN216">
        <f>IF($A216=14,$E216,999999)</f>
        <v>999999</v>
      </c>
      <c r="AO216">
        <f>IF($A216=15,$E216,999999)</f>
        <v>999999</v>
      </c>
      <c r="AP216">
        <f>IF($A216=16,$E216,999999)</f>
        <v>999999</v>
      </c>
      <c r="AQ216">
        <f>IF($A216=17,$E216,999999)</f>
        <v>999999</v>
      </c>
      <c r="AR216">
        <f>IF($A216=18,$E216,999999)</f>
        <v>999999</v>
      </c>
      <c r="AS216">
        <f>IF($A216=19,$E216,999999)</f>
        <v>999999</v>
      </c>
      <c r="AT216">
        <f>IF($A216=20,$E216,999999)</f>
        <v>999999</v>
      </c>
      <c r="BA216">
        <f>MAX(0,MIN(CEILING((BF216+BG216)/2,1),BA215+IF('幕间与结算'!E15="体力",N('幕间与结算'!K15),0)))</f>
        <v>0</v>
      </c>
      <c r="BB216">
        <f>MAX(0,MIN(BJ216,BB215+IF('幕间与结算'!E15="毅力",N('幕间与结算'!K15),0)))</f>
        <v>0</v>
      </c>
      <c r="BC216">
        <f>MAX(0,MIN(99-BL216,BC215+IF('幕间与结算'!E15="理智",N('幕间与结算'!K15),0)))</f>
        <v>0</v>
      </c>
      <c r="BD216">
        <f>MAX(0,MIN(99,BD215+IF('幕间与结算'!E15="崩溃点",N('幕间与结算'!K15),0)))</f>
        <v>0</v>
      </c>
      <c r="BF216">
        <f>MAX(0,MIN(18,'幕间计算'!BF215+IF('幕间与结算'!E15="力量",N('幕间与结算'!K15),0)))</f>
        <v>0</v>
      </c>
      <c r="BG216">
        <f>MAX(0,MIN(18,'幕间计算'!BG215+IF('幕间与结算'!E15="体质",N('幕间与结算'!K15),0)))</f>
        <v>0</v>
      </c>
      <c r="BH216">
        <f>MAX(0,MIN(18,'幕间计算'!BH215+IF('幕间与结算'!E15="敏捷",N('幕间与结算'!K15),0)))</f>
        <v>0</v>
      </c>
      <c r="BI216">
        <f>MAX(0,MIN(18,'幕间计算'!BI215+IF('幕间与结算'!E15="智力",N('幕间与结算'!K15),0)))</f>
        <v>0</v>
      </c>
      <c r="BJ216">
        <f>MAX(0,MIN(18,'幕间计算'!BJ215+IF('幕间与结算'!E15="意志",N('幕间与结算'!K15),0)))</f>
        <v>0</v>
      </c>
      <c r="BK216">
        <f>MAX(0,MIN(18,'幕间计算'!BK215+IF('幕间与结算'!E15="魅力",N('幕间与结算'!K15),0)))</f>
        <v>0</v>
      </c>
      <c r="BL216">
        <f>MAX(0,MIN(99,'幕间计算'!BL215+IF('幕间与结算'!E15="技能：非自然知识",N('幕间与结算'!K15),0)))</f>
        <v>0</v>
      </c>
    </row>
    <row r="217">
      <c r="A217">
        <f>IFERROR(IF(AND(VALUE('幕间与结算'!B16)&gt;=1,VALUE('幕间与结算'!B16)&lt;=20),VALUE('幕间与结算'!B16),0),0)</f>
        <v>0</v>
      </c>
      <c r="B217">
        <f>IF(AND(A217&gt;0,'幕间与结算'!D16&lt;&gt;"",'幕间与结算'!J16="确认",ISNUMBER('幕间与结算'!K16),OR('幕间与结算'!G16="失败",'幕间与结算'!G16="大失败"),'幕间与结算'!H16="√",LEFT('幕间与结算'!E16,3)="技能：",'幕间与结算'!E16&lt;&gt;"技能：非自然知识",ISNUMBER('幕间与结算'!F16),'幕间与结算'!F16&gt;=1,'幕间与结算'!F16&lt;=99),1,0)</f>
        <v>0</v>
      </c>
      <c r="D217">
        <f>IF(AND('幕间与结算'!J16="确认",ISNUMBER('幕间与结算'!K16),'幕间与结算'!L16&lt;&gt;"",ISNUMBER('幕间与结算'!M16),'幕间与结算'!M16&gt;0,'幕间与结算'!M16&lt;=99),'幕间与结算'!M16,0)</f>
        <v>0</v>
      </c>
      <c r="E217">
        <f>IF(AND(B217=1,COUNTIFS($A$210:A217,A217,$B$210:B217,1,'幕间与结算'!$E$9:E16,'幕间与结算'!E16)=1),8,999999)</f>
        <v>999999</v>
      </c>
      <c r="F217">
        <v>16</v>
      </c>
      <c r="AA217">
        <f>IF($A217=1,$E217,999999)</f>
        <v>999999</v>
      </c>
      <c r="AB217">
        <f>IF($A217=2,$E217,999999)</f>
        <v>999999</v>
      </c>
      <c r="AC217">
        <f>IF($A217=3,$E217,999999)</f>
        <v>999999</v>
      </c>
      <c r="AD217">
        <f>IF($A217=4,$E217,999999)</f>
        <v>999999</v>
      </c>
      <c r="AE217">
        <f>IF($A217=5,$E217,999999)</f>
        <v>999999</v>
      </c>
      <c r="AF217">
        <f>IF($A217=6,$E217,999999)</f>
        <v>999999</v>
      </c>
      <c r="AG217">
        <f>IF($A217=7,$E217,999999)</f>
        <v>999999</v>
      </c>
      <c r="AH217">
        <f>IF($A217=8,$E217,999999)</f>
        <v>999999</v>
      </c>
      <c r="AI217">
        <f>IF($A217=9,$E217,999999)</f>
        <v>999999</v>
      </c>
      <c r="AJ217">
        <f>IF($A217=10,$E217,999999)</f>
        <v>999999</v>
      </c>
      <c r="AK217">
        <f>IF($A217=11,$E217,999999)</f>
        <v>999999</v>
      </c>
      <c r="AL217">
        <f>IF($A217=12,$E217,999999)</f>
        <v>999999</v>
      </c>
      <c r="AM217">
        <f>IF($A217=13,$E217,999999)</f>
        <v>999999</v>
      </c>
      <c r="AN217">
        <f>IF($A217=14,$E217,999999)</f>
        <v>999999</v>
      </c>
      <c r="AO217">
        <f>IF($A217=15,$E217,999999)</f>
        <v>999999</v>
      </c>
      <c r="AP217">
        <f>IF($A217=16,$E217,999999)</f>
        <v>999999</v>
      </c>
      <c r="AQ217">
        <f>IF($A217=17,$E217,999999)</f>
        <v>999999</v>
      </c>
      <c r="AR217">
        <f>IF($A217=18,$E217,999999)</f>
        <v>999999</v>
      </c>
      <c r="AS217">
        <f>IF($A217=19,$E217,999999)</f>
        <v>999999</v>
      </c>
      <c r="AT217">
        <f>IF($A217=20,$E217,999999)</f>
        <v>999999</v>
      </c>
      <c r="BA217">
        <f>MAX(0,MIN(CEILING((BF217+BG217)/2,1),BA216+IF('幕间与结算'!E16="体力",N('幕间与结算'!K16),0)))</f>
        <v>0</v>
      </c>
      <c r="BB217">
        <f>MAX(0,MIN(BJ217,BB216+IF('幕间与结算'!E16="毅力",N('幕间与结算'!K16),0)))</f>
        <v>0</v>
      </c>
      <c r="BC217">
        <f>MAX(0,MIN(99-BL217,BC216+IF('幕间与结算'!E16="理智",N('幕间与结算'!K16),0)))</f>
        <v>0</v>
      </c>
      <c r="BD217">
        <f>MAX(0,MIN(99,BD216+IF('幕间与结算'!E16="崩溃点",N('幕间与结算'!K16),0)))</f>
        <v>0</v>
      </c>
      <c r="BF217">
        <f>MAX(0,MIN(18,'幕间计算'!BF216+IF('幕间与结算'!E16="力量",N('幕间与结算'!K16),0)))</f>
        <v>0</v>
      </c>
      <c r="BG217">
        <f>MAX(0,MIN(18,'幕间计算'!BG216+IF('幕间与结算'!E16="体质",N('幕间与结算'!K16),0)))</f>
        <v>0</v>
      </c>
      <c r="BH217">
        <f>MAX(0,MIN(18,'幕间计算'!BH216+IF('幕间与结算'!E16="敏捷",N('幕间与结算'!K16),0)))</f>
        <v>0</v>
      </c>
      <c r="BI217">
        <f>MAX(0,MIN(18,'幕间计算'!BI216+IF('幕间与结算'!E16="智力",N('幕间与结算'!K16),0)))</f>
        <v>0</v>
      </c>
      <c r="BJ217">
        <f>MAX(0,MIN(18,'幕间计算'!BJ216+IF('幕间与结算'!E16="意志",N('幕间与结算'!K16),0)))</f>
        <v>0</v>
      </c>
      <c r="BK217">
        <f>MAX(0,MIN(18,'幕间计算'!BK216+IF('幕间与结算'!E16="魅力",N('幕间与结算'!K16),0)))</f>
        <v>0</v>
      </c>
      <c r="BL217">
        <f>MAX(0,MIN(99,'幕间计算'!BL216+IF('幕间与结算'!E16="技能：非自然知识",N('幕间与结算'!K16),0)))</f>
        <v>0</v>
      </c>
    </row>
    <row r="218">
      <c r="A218">
        <f>IFERROR(IF(AND(VALUE('幕间与结算'!B17)&gt;=1,VALUE('幕间与结算'!B17)&lt;=20),VALUE('幕间与结算'!B17),0),0)</f>
        <v>0</v>
      </c>
      <c r="B218">
        <f>IF(AND(A218&gt;0,'幕间与结算'!D17&lt;&gt;"",'幕间与结算'!J17="确认",ISNUMBER('幕间与结算'!K17),OR('幕间与结算'!G17="失败",'幕间与结算'!G17="大失败"),'幕间与结算'!H17="√",LEFT('幕间与结算'!E17,3)="技能：",'幕间与结算'!E17&lt;&gt;"技能：非自然知识",ISNUMBER('幕间与结算'!F17),'幕间与结算'!F17&gt;=1,'幕间与结算'!F17&lt;=99),1,0)</f>
        <v>0</v>
      </c>
      <c r="D218">
        <f>IF(AND('幕间与结算'!J17="确认",ISNUMBER('幕间与结算'!K17),'幕间与结算'!L17&lt;&gt;"",ISNUMBER('幕间与结算'!M17),'幕间与结算'!M17&gt;0,'幕间与结算'!M17&lt;=99),'幕间与结算'!M17,0)</f>
        <v>0</v>
      </c>
      <c r="E218">
        <f>IF(AND(B218=1,COUNTIFS($A$210:A218,A218,$B$210:B218,1,'幕间与结算'!$E$9:E17,'幕间与结算'!E17)=1),9,999999)</f>
        <v>999999</v>
      </c>
      <c r="F218">
        <v>17</v>
      </c>
      <c r="AA218">
        <f>IF($A218=1,$E218,999999)</f>
        <v>999999</v>
      </c>
      <c r="AB218">
        <f>IF($A218=2,$E218,999999)</f>
        <v>999999</v>
      </c>
      <c r="AC218">
        <f>IF($A218=3,$E218,999999)</f>
        <v>999999</v>
      </c>
      <c r="AD218">
        <f>IF($A218=4,$E218,999999)</f>
        <v>999999</v>
      </c>
      <c r="AE218">
        <f>IF($A218=5,$E218,999999)</f>
        <v>999999</v>
      </c>
      <c r="AF218">
        <f>IF($A218=6,$E218,999999)</f>
        <v>999999</v>
      </c>
      <c r="AG218">
        <f>IF($A218=7,$E218,999999)</f>
        <v>999999</v>
      </c>
      <c r="AH218">
        <f>IF($A218=8,$E218,999999)</f>
        <v>999999</v>
      </c>
      <c r="AI218">
        <f>IF($A218=9,$E218,999999)</f>
        <v>999999</v>
      </c>
      <c r="AJ218">
        <f>IF($A218=10,$E218,999999)</f>
        <v>999999</v>
      </c>
      <c r="AK218">
        <f>IF($A218=11,$E218,999999)</f>
        <v>999999</v>
      </c>
      <c r="AL218">
        <f>IF($A218=12,$E218,999999)</f>
        <v>999999</v>
      </c>
      <c r="AM218">
        <f>IF($A218=13,$E218,999999)</f>
        <v>999999</v>
      </c>
      <c r="AN218">
        <f>IF($A218=14,$E218,999999)</f>
        <v>999999</v>
      </c>
      <c r="AO218">
        <f>IF($A218=15,$E218,999999)</f>
        <v>999999</v>
      </c>
      <c r="AP218">
        <f>IF($A218=16,$E218,999999)</f>
        <v>999999</v>
      </c>
      <c r="AQ218">
        <f>IF($A218=17,$E218,999999)</f>
        <v>999999</v>
      </c>
      <c r="AR218">
        <f>IF($A218=18,$E218,999999)</f>
        <v>999999</v>
      </c>
      <c r="AS218">
        <f>IF($A218=19,$E218,999999)</f>
        <v>999999</v>
      </c>
      <c r="AT218">
        <f>IF($A218=20,$E218,999999)</f>
        <v>999999</v>
      </c>
      <c r="BA218">
        <f>MAX(0,MIN(CEILING((BF218+BG218)/2,1),BA217+IF('幕间与结算'!E17="体力",N('幕间与结算'!K17),0)))</f>
        <v>0</v>
      </c>
      <c r="BB218">
        <f>MAX(0,MIN(BJ218,BB217+IF('幕间与结算'!E17="毅力",N('幕间与结算'!K17),0)))</f>
        <v>0</v>
      </c>
      <c r="BC218">
        <f>MAX(0,MIN(99-BL218,BC217+IF('幕间与结算'!E17="理智",N('幕间与结算'!K17),0)))</f>
        <v>0</v>
      </c>
      <c r="BD218">
        <f>MAX(0,MIN(99,BD217+IF('幕间与结算'!E17="崩溃点",N('幕间与结算'!K17),0)))</f>
        <v>0</v>
      </c>
      <c r="BF218">
        <f>MAX(0,MIN(18,'幕间计算'!BF217+IF('幕间与结算'!E17="力量",N('幕间与结算'!K17),0)))</f>
        <v>0</v>
      </c>
      <c r="BG218">
        <f>MAX(0,MIN(18,'幕间计算'!BG217+IF('幕间与结算'!E17="体质",N('幕间与结算'!K17),0)))</f>
        <v>0</v>
      </c>
      <c r="BH218">
        <f>MAX(0,MIN(18,'幕间计算'!BH217+IF('幕间与结算'!E17="敏捷",N('幕间与结算'!K17),0)))</f>
        <v>0</v>
      </c>
      <c r="BI218">
        <f>MAX(0,MIN(18,'幕间计算'!BI217+IF('幕间与结算'!E17="智力",N('幕间与结算'!K17),0)))</f>
        <v>0</v>
      </c>
      <c r="BJ218">
        <f>MAX(0,MIN(18,'幕间计算'!BJ217+IF('幕间与结算'!E17="意志",N('幕间与结算'!K17),0)))</f>
        <v>0</v>
      </c>
      <c r="BK218">
        <f>MAX(0,MIN(18,'幕间计算'!BK217+IF('幕间与结算'!E17="魅力",N('幕间与结算'!K17),0)))</f>
        <v>0</v>
      </c>
      <c r="BL218">
        <f>MAX(0,MIN(99,'幕间计算'!BL217+IF('幕间与结算'!E17="技能：非自然知识",N('幕间与结算'!K17),0)))</f>
        <v>0</v>
      </c>
    </row>
    <row r="219">
      <c r="A219">
        <f>IFERROR(IF(AND(VALUE('幕间与结算'!B18)&gt;=1,VALUE('幕间与结算'!B18)&lt;=20),VALUE('幕间与结算'!B18),0),0)</f>
        <v>0</v>
      </c>
      <c r="B219">
        <f>IF(AND(A219&gt;0,'幕间与结算'!D18&lt;&gt;"",'幕间与结算'!J18="确认",ISNUMBER('幕间与结算'!K18),OR('幕间与结算'!G18="失败",'幕间与结算'!G18="大失败"),'幕间与结算'!H18="√",LEFT('幕间与结算'!E18,3)="技能：",'幕间与结算'!E18&lt;&gt;"技能：非自然知识",ISNUMBER('幕间与结算'!F18),'幕间与结算'!F18&gt;=1,'幕间与结算'!F18&lt;=99),1,0)</f>
        <v>0</v>
      </c>
      <c r="D219">
        <f>IF(AND('幕间与结算'!J18="确认",ISNUMBER('幕间与结算'!K18),'幕间与结算'!L18&lt;&gt;"",ISNUMBER('幕间与结算'!M18),'幕间与结算'!M18&gt;0,'幕间与结算'!M18&lt;=99),'幕间与结算'!M18,0)</f>
        <v>0</v>
      </c>
      <c r="E219">
        <f>IF(AND(B219=1,COUNTIFS($A$210:A219,A219,$B$210:B219,1,'幕间与结算'!$E$9:E18,'幕间与结算'!E18)=1),10,999999)</f>
        <v>999999</v>
      </c>
      <c r="F219">
        <v>18</v>
      </c>
      <c r="AA219">
        <f>IF($A219=1,$E219,999999)</f>
        <v>999999</v>
      </c>
      <c r="AB219">
        <f>IF($A219=2,$E219,999999)</f>
        <v>999999</v>
      </c>
      <c r="AC219">
        <f>IF($A219=3,$E219,999999)</f>
        <v>999999</v>
      </c>
      <c r="AD219">
        <f>IF($A219=4,$E219,999999)</f>
        <v>999999</v>
      </c>
      <c r="AE219">
        <f>IF($A219=5,$E219,999999)</f>
        <v>999999</v>
      </c>
      <c r="AF219">
        <f>IF($A219=6,$E219,999999)</f>
        <v>999999</v>
      </c>
      <c r="AG219">
        <f>IF($A219=7,$E219,999999)</f>
        <v>999999</v>
      </c>
      <c r="AH219">
        <f>IF($A219=8,$E219,999999)</f>
        <v>999999</v>
      </c>
      <c r="AI219">
        <f>IF($A219=9,$E219,999999)</f>
        <v>999999</v>
      </c>
      <c r="AJ219">
        <f>IF($A219=10,$E219,999999)</f>
        <v>999999</v>
      </c>
      <c r="AK219">
        <f>IF($A219=11,$E219,999999)</f>
        <v>999999</v>
      </c>
      <c r="AL219">
        <f>IF($A219=12,$E219,999999)</f>
        <v>999999</v>
      </c>
      <c r="AM219">
        <f>IF($A219=13,$E219,999999)</f>
        <v>999999</v>
      </c>
      <c r="AN219">
        <f>IF($A219=14,$E219,999999)</f>
        <v>999999</v>
      </c>
      <c r="AO219">
        <f>IF($A219=15,$E219,999999)</f>
        <v>999999</v>
      </c>
      <c r="AP219">
        <f>IF($A219=16,$E219,999999)</f>
        <v>999999</v>
      </c>
      <c r="AQ219">
        <f>IF($A219=17,$E219,999999)</f>
        <v>999999</v>
      </c>
      <c r="AR219">
        <f>IF($A219=18,$E219,999999)</f>
        <v>999999</v>
      </c>
      <c r="AS219">
        <f>IF($A219=19,$E219,999999)</f>
        <v>999999</v>
      </c>
      <c r="AT219">
        <f>IF($A219=20,$E219,999999)</f>
        <v>999999</v>
      </c>
      <c r="BA219">
        <f>MAX(0,MIN(CEILING((BF219+BG219)/2,1),BA218+IF('幕间与结算'!E18="体力",N('幕间与结算'!K18),0)))</f>
        <v>0</v>
      </c>
      <c r="BB219">
        <f>MAX(0,MIN(BJ219,BB218+IF('幕间与结算'!E18="毅力",N('幕间与结算'!K18),0)))</f>
        <v>0</v>
      </c>
      <c r="BC219">
        <f>MAX(0,MIN(99-BL219,BC218+IF('幕间与结算'!E18="理智",N('幕间与结算'!K18),0)))</f>
        <v>0</v>
      </c>
      <c r="BD219">
        <f>MAX(0,MIN(99,BD218+IF('幕间与结算'!E18="崩溃点",N('幕间与结算'!K18),0)))</f>
        <v>0</v>
      </c>
      <c r="BF219">
        <f>MAX(0,MIN(18,'幕间计算'!BF218+IF('幕间与结算'!E18="力量",N('幕间与结算'!K18),0)))</f>
        <v>0</v>
      </c>
      <c r="BG219">
        <f>MAX(0,MIN(18,'幕间计算'!BG218+IF('幕间与结算'!E18="体质",N('幕间与结算'!K18),0)))</f>
        <v>0</v>
      </c>
      <c r="BH219">
        <f>MAX(0,MIN(18,'幕间计算'!BH218+IF('幕间与结算'!E18="敏捷",N('幕间与结算'!K18),0)))</f>
        <v>0</v>
      </c>
      <c r="BI219">
        <f>MAX(0,MIN(18,'幕间计算'!BI218+IF('幕间与结算'!E18="智力",N('幕间与结算'!K18),0)))</f>
        <v>0</v>
      </c>
      <c r="BJ219">
        <f>MAX(0,MIN(18,'幕间计算'!BJ218+IF('幕间与结算'!E18="意志",N('幕间与结算'!K18),0)))</f>
        <v>0</v>
      </c>
      <c r="BK219">
        <f>MAX(0,MIN(18,'幕间计算'!BK218+IF('幕间与结算'!E18="魅力",N('幕间与结算'!K18),0)))</f>
        <v>0</v>
      </c>
      <c r="BL219">
        <f>MAX(0,MIN(99,'幕间计算'!BL218+IF('幕间与结算'!E18="技能：非自然知识",N('幕间与结算'!K18),0)))</f>
        <v>0</v>
      </c>
    </row>
    <row r="220">
      <c r="A220">
        <f>IFERROR(IF(AND(VALUE('幕间与结算'!B19)&gt;=1,VALUE('幕间与结算'!B19)&lt;=20),VALUE('幕间与结算'!B19),0),0)</f>
        <v>0</v>
      </c>
      <c r="B220">
        <f>IF(AND(A220&gt;0,'幕间与结算'!D19&lt;&gt;"",'幕间与结算'!J19="确认",ISNUMBER('幕间与结算'!K19),OR('幕间与结算'!G19="失败",'幕间与结算'!G19="大失败"),'幕间与结算'!H19="√",LEFT('幕间与结算'!E19,3)="技能：",'幕间与结算'!E19&lt;&gt;"技能：非自然知识",ISNUMBER('幕间与结算'!F19),'幕间与结算'!F19&gt;=1,'幕间与结算'!F19&lt;=99),1,0)</f>
        <v>0</v>
      </c>
      <c r="D220">
        <f>IF(AND('幕间与结算'!J19="确认",ISNUMBER('幕间与结算'!K19),'幕间与结算'!L19&lt;&gt;"",ISNUMBER('幕间与结算'!M19),'幕间与结算'!M19&gt;0,'幕间与结算'!M19&lt;=99),'幕间与结算'!M19,0)</f>
        <v>0</v>
      </c>
      <c r="E220">
        <f>IF(AND(B220=1,COUNTIFS($A$210:A220,A220,$B$210:B220,1,'幕间与结算'!$E$9:E19,'幕间与结算'!E19)=1),11,999999)</f>
        <v>999999</v>
      </c>
      <c r="F220">
        <v>19</v>
      </c>
      <c r="AA220">
        <f>IF($A220=1,$E220,999999)</f>
        <v>999999</v>
      </c>
      <c r="AB220">
        <f>IF($A220=2,$E220,999999)</f>
        <v>999999</v>
      </c>
      <c r="AC220">
        <f>IF($A220=3,$E220,999999)</f>
        <v>999999</v>
      </c>
      <c r="AD220">
        <f>IF($A220=4,$E220,999999)</f>
        <v>999999</v>
      </c>
      <c r="AE220">
        <f>IF($A220=5,$E220,999999)</f>
        <v>999999</v>
      </c>
      <c r="AF220">
        <f>IF($A220=6,$E220,999999)</f>
        <v>999999</v>
      </c>
      <c r="AG220">
        <f>IF($A220=7,$E220,999999)</f>
        <v>999999</v>
      </c>
      <c r="AH220">
        <f>IF($A220=8,$E220,999999)</f>
        <v>999999</v>
      </c>
      <c r="AI220">
        <f>IF($A220=9,$E220,999999)</f>
        <v>999999</v>
      </c>
      <c r="AJ220">
        <f>IF($A220=10,$E220,999999)</f>
        <v>999999</v>
      </c>
      <c r="AK220">
        <f>IF($A220=11,$E220,999999)</f>
        <v>999999</v>
      </c>
      <c r="AL220">
        <f>IF($A220=12,$E220,999999)</f>
        <v>999999</v>
      </c>
      <c r="AM220">
        <f>IF($A220=13,$E220,999999)</f>
        <v>999999</v>
      </c>
      <c r="AN220">
        <f>IF($A220=14,$E220,999999)</f>
        <v>999999</v>
      </c>
      <c r="AO220">
        <f>IF($A220=15,$E220,999999)</f>
        <v>999999</v>
      </c>
      <c r="AP220">
        <f>IF($A220=16,$E220,999999)</f>
        <v>999999</v>
      </c>
      <c r="AQ220">
        <f>IF($A220=17,$E220,999999)</f>
        <v>999999</v>
      </c>
      <c r="AR220">
        <f>IF($A220=18,$E220,999999)</f>
        <v>999999</v>
      </c>
      <c r="AS220">
        <f>IF($A220=19,$E220,999999)</f>
        <v>999999</v>
      </c>
      <c r="AT220">
        <f>IF($A220=20,$E220,999999)</f>
        <v>999999</v>
      </c>
      <c r="BA220">
        <f>MAX(0,MIN(CEILING((BF220+BG220)/2,1),BA219+IF('幕间与结算'!E19="体力",N('幕间与结算'!K19),0)))</f>
        <v>0</v>
      </c>
      <c r="BB220">
        <f>MAX(0,MIN(BJ220,BB219+IF('幕间与结算'!E19="毅力",N('幕间与结算'!K19),0)))</f>
        <v>0</v>
      </c>
      <c r="BC220">
        <f>MAX(0,MIN(99-BL220,BC219+IF('幕间与结算'!E19="理智",N('幕间与结算'!K19),0)))</f>
        <v>0</v>
      </c>
      <c r="BD220">
        <f>MAX(0,MIN(99,BD219+IF('幕间与结算'!E19="崩溃点",N('幕间与结算'!K19),0)))</f>
        <v>0</v>
      </c>
      <c r="BF220">
        <f>MAX(0,MIN(18,'幕间计算'!BF219+IF('幕间与结算'!E19="力量",N('幕间与结算'!K19),0)))</f>
        <v>0</v>
      </c>
      <c r="BG220">
        <f>MAX(0,MIN(18,'幕间计算'!BG219+IF('幕间与结算'!E19="体质",N('幕间与结算'!K19),0)))</f>
        <v>0</v>
      </c>
      <c r="BH220">
        <f>MAX(0,MIN(18,'幕间计算'!BH219+IF('幕间与结算'!E19="敏捷",N('幕间与结算'!K19),0)))</f>
        <v>0</v>
      </c>
      <c r="BI220">
        <f>MAX(0,MIN(18,'幕间计算'!BI219+IF('幕间与结算'!E19="智力",N('幕间与结算'!K19),0)))</f>
        <v>0</v>
      </c>
      <c r="BJ220">
        <f>MAX(0,MIN(18,'幕间计算'!BJ219+IF('幕间与结算'!E19="意志",N('幕间与结算'!K19),0)))</f>
        <v>0</v>
      </c>
      <c r="BK220">
        <f>MAX(0,MIN(18,'幕间计算'!BK219+IF('幕间与结算'!E19="魅力",N('幕间与结算'!K19),0)))</f>
        <v>0</v>
      </c>
      <c r="BL220">
        <f>MAX(0,MIN(99,'幕间计算'!BL219+IF('幕间与结算'!E19="技能：非自然知识",N('幕间与结算'!K19),0)))</f>
        <v>0</v>
      </c>
    </row>
    <row r="221">
      <c r="A221">
        <f>IFERROR(IF(AND(VALUE('幕间与结算'!B20)&gt;=1,VALUE('幕间与结算'!B20)&lt;=20),VALUE('幕间与结算'!B20),0),0)</f>
        <v>0</v>
      </c>
      <c r="B221">
        <f>IF(AND(A221&gt;0,'幕间与结算'!D20&lt;&gt;"",'幕间与结算'!J20="确认",ISNUMBER('幕间与结算'!K20),OR('幕间与结算'!G20="失败",'幕间与结算'!G20="大失败"),'幕间与结算'!H20="√",LEFT('幕间与结算'!E20,3)="技能：",'幕间与结算'!E20&lt;&gt;"技能：非自然知识",ISNUMBER('幕间与结算'!F20),'幕间与结算'!F20&gt;=1,'幕间与结算'!F20&lt;=99),1,0)</f>
        <v>0</v>
      </c>
      <c r="D221">
        <f>IF(AND('幕间与结算'!J20="确认",ISNUMBER('幕间与结算'!K20),'幕间与结算'!L20&lt;&gt;"",ISNUMBER('幕间与结算'!M20),'幕间与结算'!M20&gt;0,'幕间与结算'!M20&lt;=99),'幕间与结算'!M20,0)</f>
        <v>0</v>
      </c>
      <c r="E221">
        <f>IF(AND(B221=1,COUNTIFS($A$210:A221,A221,$B$210:B221,1,'幕间与结算'!$E$9:E20,'幕间与结算'!E20)=1),12,999999)</f>
        <v>999999</v>
      </c>
      <c r="F221">
        <v>20</v>
      </c>
      <c r="AA221">
        <f>IF($A221=1,$E221,999999)</f>
        <v>999999</v>
      </c>
      <c r="AB221">
        <f>IF($A221=2,$E221,999999)</f>
        <v>999999</v>
      </c>
      <c r="AC221">
        <f>IF($A221=3,$E221,999999)</f>
        <v>999999</v>
      </c>
      <c r="AD221">
        <f>IF($A221=4,$E221,999999)</f>
        <v>999999</v>
      </c>
      <c r="AE221">
        <f>IF($A221=5,$E221,999999)</f>
        <v>999999</v>
      </c>
      <c r="AF221">
        <f>IF($A221=6,$E221,999999)</f>
        <v>999999</v>
      </c>
      <c r="AG221">
        <f>IF($A221=7,$E221,999999)</f>
        <v>999999</v>
      </c>
      <c r="AH221">
        <f>IF($A221=8,$E221,999999)</f>
        <v>999999</v>
      </c>
      <c r="AI221">
        <f>IF($A221=9,$E221,999999)</f>
        <v>999999</v>
      </c>
      <c r="AJ221">
        <f>IF($A221=10,$E221,999999)</f>
        <v>999999</v>
      </c>
      <c r="AK221">
        <f>IF($A221=11,$E221,999999)</f>
        <v>999999</v>
      </c>
      <c r="AL221">
        <f>IF($A221=12,$E221,999999)</f>
        <v>999999</v>
      </c>
      <c r="AM221">
        <f>IF($A221=13,$E221,999999)</f>
        <v>999999</v>
      </c>
      <c r="AN221">
        <f>IF($A221=14,$E221,999999)</f>
        <v>999999</v>
      </c>
      <c r="AO221">
        <f>IF($A221=15,$E221,999999)</f>
        <v>999999</v>
      </c>
      <c r="AP221">
        <f>IF($A221=16,$E221,999999)</f>
        <v>999999</v>
      </c>
      <c r="AQ221">
        <f>IF($A221=17,$E221,999999)</f>
        <v>999999</v>
      </c>
      <c r="AR221">
        <f>IF($A221=18,$E221,999999)</f>
        <v>999999</v>
      </c>
      <c r="AS221">
        <f>IF($A221=19,$E221,999999)</f>
        <v>999999</v>
      </c>
      <c r="AT221">
        <f>IF($A221=20,$E221,999999)</f>
        <v>999999</v>
      </c>
      <c r="BA221">
        <f>MAX(0,MIN(CEILING((BF221+BG221)/2,1),BA220+IF('幕间与结算'!E20="体力",N('幕间与结算'!K20),0)))</f>
        <v>0</v>
      </c>
      <c r="BB221">
        <f>MAX(0,MIN(BJ221,BB220+IF('幕间与结算'!E20="毅力",N('幕间与结算'!K20),0)))</f>
        <v>0</v>
      </c>
      <c r="BC221">
        <f>MAX(0,MIN(99-BL221,BC220+IF('幕间与结算'!E20="理智",N('幕间与结算'!K20),0)))</f>
        <v>0</v>
      </c>
      <c r="BD221">
        <f>MAX(0,MIN(99,BD220+IF('幕间与结算'!E20="崩溃点",N('幕间与结算'!K20),0)))</f>
        <v>0</v>
      </c>
      <c r="BF221">
        <f>MAX(0,MIN(18,'幕间计算'!BF220+IF('幕间与结算'!E20="力量",N('幕间与结算'!K20),0)))</f>
        <v>0</v>
      </c>
      <c r="BG221">
        <f>MAX(0,MIN(18,'幕间计算'!BG220+IF('幕间与结算'!E20="体质",N('幕间与结算'!K20),0)))</f>
        <v>0</v>
      </c>
      <c r="BH221">
        <f>MAX(0,MIN(18,'幕间计算'!BH220+IF('幕间与结算'!E20="敏捷",N('幕间与结算'!K20),0)))</f>
        <v>0</v>
      </c>
      <c r="BI221">
        <f>MAX(0,MIN(18,'幕间计算'!BI220+IF('幕间与结算'!E20="智力",N('幕间与结算'!K20),0)))</f>
        <v>0</v>
      </c>
      <c r="BJ221">
        <f>MAX(0,MIN(18,'幕间计算'!BJ220+IF('幕间与结算'!E20="意志",N('幕间与结算'!K20),0)))</f>
        <v>0</v>
      </c>
      <c r="BK221">
        <f>MAX(0,MIN(18,'幕间计算'!BK220+IF('幕间与结算'!E20="魅力",N('幕间与结算'!K20),0)))</f>
        <v>0</v>
      </c>
      <c r="BL221">
        <f>MAX(0,MIN(99,'幕间计算'!BL220+IF('幕间与结算'!E20="技能：非自然知识",N('幕间与结算'!K20),0)))</f>
        <v>0</v>
      </c>
    </row>
    <row r="222">
      <c r="A222">
        <f>IFERROR(IF(AND(VALUE('幕间与结算'!B21)&gt;=1,VALUE('幕间与结算'!B21)&lt;=20),VALUE('幕间与结算'!B21),0),0)</f>
        <v>0</v>
      </c>
      <c r="B222">
        <f>IF(AND(A222&gt;0,'幕间与结算'!D21&lt;&gt;"",'幕间与结算'!J21="确认",ISNUMBER('幕间与结算'!K21),OR('幕间与结算'!G21="失败",'幕间与结算'!G21="大失败"),'幕间与结算'!H21="√",LEFT('幕间与结算'!E21,3)="技能：",'幕间与结算'!E21&lt;&gt;"技能：非自然知识",ISNUMBER('幕间与结算'!F21),'幕间与结算'!F21&gt;=1,'幕间与结算'!F21&lt;=99),1,0)</f>
        <v>0</v>
      </c>
      <c r="D222">
        <f>IF(AND('幕间与结算'!J21="确认",ISNUMBER('幕间与结算'!K21),'幕间与结算'!L21&lt;&gt;"",ISNUMBER('幕间与结算'!M21),'幕间与结算'!M21&gt;0,'幕间与结算'!M21&lt;=99),'幕间与结算'!M21,0)</f>
        <v>0</v>
      </c>
      <c r="E222">
        <f>IF(AND(B222=1,COUNTIFS($A$210:A222,A222,$B$210:B222,1,'幕间与结算'!$E$9:E21,'幕间与结算'!E21)=1),13,999999)</f>
        <v>999999</v>
      </c>
      <c r="F222">
        <v>21</v>
      </c>
      <c r="AA222">
        <f>IF($A222=1,$E222,999999)</f>
        <v>999999</v>
      </c>
      <c r="AB222">
        <f>IF($A222=2,$E222,999999)</f>
        <v>999999</v>
      </c>
      <c r="AC222">
        <f>IF($A222=3,$E222,999999)</f>
        <v>999999</v>
      </c>
      <c r="AD222">
        <f>IF($A222=4,$E222,999999)</f>
        <v>999999</v>
      </c>
      <c r="AE222">
        <f>IF($A222=5,$E222,999999)</f>
        <v>999999</v>
      </c>
      <c r="AF222">
        <f>IF($A222=6,$E222,999999)</f>
        <v>999999</v>
      </c>
      <c r="AG222">
        <f>IF($A222=7,$E222,999999)</f>
        <v>999999</v>
      </c>
      <c r="AH222">
        <f>IF($A222=8,$E222,999999)</f>
        <v>999999</v>
      </c>
      <c r="AI222">
        <f>IF($A222=9,$E222,999999)</f>
        <v>999999</v>
      </c>
      <c r="AJ222">
        <f>IF($A222=10,$E222,999999)</f>
        <v>999999</v>
      </c>
      <c r="AK222">
        <f>IF($A222=11,$E222,999999)</f>
        <v>999999</v>
      </c>
      <c r="AL222">
        <f>IF($A222=12,$E222,999999)</f>
        <v>999999</v>
      </c>
      <c r="AM222">
        <f>IF($A222=13,$E222,999999)</f>
        <v>999999</v>
      </c>
      <c r="AN222">
        <f>IF($A222=14,$E222,999999)</f>
        <v>999999</v>
      </c>
      <c r="AO222">
        <f>IF($A222=15,$E222,999999)</f>
        <v>999999</v>
      </c>
      <c r="AP222">
        <f>IF($A222=16,$E222,999999)</f>
        <v>999999</v>
      </c>
      <c r="AQ222">
        <f>IF($A222=17,$E222,999999)</f>
        <v>999999</v>
      </c>
      <c r="AR222">
        <f>IF($A222=18,$E222,999999)</f>
        <v>999999</v>
      </c>
      <c r="AS222">
        <f>IF($A222=19,$E222,999999)</f>
        <v>999999</v>
      </c>
      <c r="AT222">
        <f>IF($A222=20,$E222,999999)</f>
        <v>999999</v>
      </c>
      <c r="BA222">
        <f>MAX(0,MIN(CEILING((BF222+BG222)/2,1),BA221+IF('幕间与结算'!E21="体力",N('幕间与结算'!K21),0)))</f>
        <v>0</v>
      </c>
      <c r="BB222">
        <f>MAX(0,MIN(BJ222,BB221+IF('幕间与结算'!E21="毅力",N('幕间与结算'!K21),0)))</f>
        <v>0</v>
      </c>
      <c r="BC222">
        <f>MAX(0,MIN(99-BL222,BC221+IF('幕间与结算'!E21="理智",N('幕间与结算'!K21),0)))</f>
        <v>0</v>
      </c>
      <c r="BD222">
        <f>MAX(0,MIN(99,BD221+IF('幕间与结算'!E21="崩溃点",N('幕间与结算'!K21),0)))</f>
        <v>0</v>
      </c>
      <c r="BF222">
        <f>MAX(0,MIN(18,'幕间计算'!BF221+IF('幕间与结算'!E21="力量",N('幕间与结算'!K21),0)))</f>
        <v>0</v>
      </c>
      <c r="BG222">
        <f>MAX(0,MIN(18,'幕间计算'!BG221+IF('幕间与结算'!E21="体质",N('幕间与结算'!K21),0)))</f>
        <v>0</v>
      </c>
      <c r="BH222">
        <f>MAX(0,MIN(18,'幕间计算'!BH221+IF('幕间与结算'!E21="敏捷",N('幕间与结算'!K21),0)))</f>
        <v>0</v>
      </c>
      <c r="BI222">
        <f>MAX(0,MIN(18,'幕间计算'!BI221+IF('幕间与结算'!E21="智力",N('幕间与结算'!K21),0)))</f>
        <v>0</v>
      </c>
      <c r="BJ222">
        <f>MAX(0,MIN(18,'幕间计算'!BJ221+IF('幕间与结算'!E21="意志",N('幕间与结算'!K21),0)))</f>
        <v>0</v>
      </c>
      <c r="BK222">
        <f>MAX(0,MIN(18,'幕间计算'!BK221+IF('幕间与结算'!E21="魅力",N('幕间与结算'!K21),0)))</f>
        <v>0</v>
      </c>
      <c r="BL222">
        <f>MAX(0,MIN(99,'幕间计算'!BL221+IF('幕间与结算'!E21="技能：非自然知识",N('幕间与结算'!K21),0)))</f>
        <v>0</v>
      </c>
    </row>
    <row r="223">
      <c r="A223">
        <f>IFERROR(IF(AND(VALUE('幕间与结算'!B22)&gt;=1,VALUE('幕间与结算'!B22)&lt;=20),VALUE('幕间与结算'!B22),0),0)</f>
        <v>0</v>
      </c>
      <c r="B223">
        <f>IF(AND(A223&gt;0,'幕间与结算'!D22&lt;&gt;"",'幕间与结算'!J22="确认",ISNUMBER('幕间与结算'!K22),OR('幕间与结算'!G22="失败",'幕间与结算'!G22="大失败"),'幕间与结算'!H22="√",LEFT('幕间与结算'!E22,3)="技能：",'幕间与结算'!E22&lt;&gt;"技能：非自然知识",ISNUMBER('幕间与结算'!F22),'幕间与结算'!F22&gt;=1,'幕间与结算'!F22&lt;=99),1,0)</f>
        <v>0</v>
      </c>
      <c r="D223">
        <f>IF(AND('幕间与结算'!J22="确认",ISNUMBER('幕间与结算'!K22),'幕间与结算'!L22&lt;&gt;"",ISNUMBER('幕间与结算'!M22),'幕间与结算'!M22&gt;0,'幕间与结算'!M22&lt;=99),'幕间与结算'!M22,0)</f>
        <v>0</v>
      </c>
      <c r="E223">
        <f>IF(AND(B223=1,COUNTIFS($A$210:A223,A223,$B$210:B223,1,'幕间与结算'!$E$9:E22,'幕间与结算'!E22)=1),14,999999)</f>
        <v>999999</v>
      </c>
      <c r="F223">
        <v>22</v>
      </c>
      <c r="AA223">
        <f>IF($A223=1,$E223,999999)</f>
        <v>999999</v>
      </c>
      <c r="AB223">
        <f>IF($A223=2,$E223,999999)</f>
        <v>999999</v>
      </c>
      <c r="AC223">
        <f>IF($A223=3,$E223,999999)</f>
        <v>999999</v>
      </c>
      <c r="AD223">
        <f>IF($A223=4,$E223,999999)</f>
        <v>999999</v>
      </c>
      <c r="AE223">
        <f>IF($A223=5,$E223,999999)</f>
        <v>999999</v>
      </c>
      <c r="AF223">
        <f>IF($A223=6,$E223,999999)</f>
        <v>999999</v>
      </c>
      <c r="AG223">
        <f>IF($A223=7,$E223,999999)</f>
        <v>999999</v>
      </c>
      <c r="AH223">
        <f>IF($A223=8,$E223,999999)</f>
        <v>999999</v>
      </c>
      <c r="AI223">
        <f>IF($A223=9,$E223,999999)</f>
        <v>999999</v>
      </c>
      <c r="AJ223">
        <f>IF($A223=10,$E223,999999)</f>
        <v>999999</v>
      </c>
      <c r="AK223">
        <f>IF($A223=11,$E223,999999)</f>
        <v>999999</v>
      </c>
      <c r="AL223">
        <f>IF($A223=12,$E223,999999)</f>
        <v>999999</v>
      </c>
      <c r="AM223">
        <f>IF($A223=13,$E223,999999)</f>
        <v>999999</v>
      </c>
      <c r="AN223">
        <f>IF($A223=14,$E223,999999)</f>
        <v>999999</v>
      </c>
      <c r="AO223">
        <f>IF($A223=15,$E223,999999)</f>
        <v>999999</v>
      </c>
      <c r="AP223">
        <f>IF($A223=16,$E223,999999)</f>
        <v>999999</v>
      </c>
      <c r="AQ223">
        <f>IF($A223=17,$E223,999999)</f>
        <v>999999</v>
      </c>
      <c r="AR223">
        <f>IF($A223=18,$E223,999999)</f>
        <v>999999</v>
      </c>
      <c r="AS223">
        <f>IF($A223=19,$E223,999999)</f>
        <v>999999</v>
      </c>
      <c r="AT223">
        <f>IF($A223=20,$E223,999999)</f>
        <v>999999</v>
      </c>
      <c r="BA223">
        <f>MAX(0,MIN(CEILING((BF223+BG223)/2,1),BA222+IF('幕间与结算'!E22="体力",N('幕间与结算'!K22),0)))</f>
        <v>0</v>
      </c>
      <c r="BB223">
        <f>MAX(0,MIN(BJ223,BB222+IF('幕间与结算'!E22="毅力",N('幕间与结算'!K22),0)))</f>
        <v>0</v>
      </c>
      <c r="BC223">
        <f>MAX(0,MIN(99-BL223,BC222+IF('幕间与结算'!E22="理智",N('幕间与结算'!K22),0)))</f>
        <v>0</v>
      </c>
      <c r="BD223">
        <f>MAX(0,MIN(99,BD222+IF('幕间与结算'!E22="崩溃点",N('幕间与结算'!K22),0)))</f>
        <v>0</v>
      </c>
      <c r="BF223">
        <f>MAX(0,MIN(18,'幕间计算'!BF222+IF('幕间与结算'!E22="力量",N('幕间与结算'!K22),0)))</f>
        <v>0</v>
      </c>
      <c r="BG223">
        <f>MAX(0,MIN(18,'幕间计算'!BG222+IF('幕间与结算'!E22="体质",N('幕间与结算'!K22),0)))</f>
        <v>0</v>
      </c>
      <c r="BH223">
        <f>MAX(0,MIN(18,'幕间计算'!BH222+IF('幕间与结算'!E22="敏捷",N('幕间与结算'!K22),0)))</f>
        <v>0</v>
      </c>
      <c r="BI223">
        <f>MAX(0,MIN(18,'幕间计算'!BI222+IF('幕间与结算'!E22="智力",N('幕间与结算'!K22),0)))</f>
        <v>0</v>
      </c>
      <c r="BJ223">
        <f>MAX(0,MIN(18,'幕间计算'!BJ222+IF('幕间与结算'!E22="意志",N('幕间与结算'!K22),0)))</f>
        <v>0</v>
      </c>
      <c r="BK223">
        <f>MAX(0,MIN(18,'幕间计算'!BK222+IF('幕间与结算'!E22="魅力",N('幕间与结算'!K22),0)))</f>
        <v>0</v>
      </c>
      <c r="BL223">
        <f>MAX(0,MIN(99,'幕间计算'!BL222+IF('幕间与结算'!E22="技能：非自然知识",N('幕间与结算'!K22),0)))</f>
        <v>0</v>
      </c>
    </row>
    <row r="224">
      <c r="A224">
        <f>IFERROR(IF(AND(VALUE('幕间与结算'!B23)&gt;=1,VALUE('幕间与结算'!B23)&lt;=20),VALUE('幕间与结算'!B23),0),0)</f>
        <v>0</v>
      </c>
      <c r="B224">
        <f>IF(AND(A224&gt;0,'幕间与结算'!D23&lt;&gt;"",'幕间与结算'!J23="确认",ISNUMBER('幕间与结算'!K23),OR('幕间与结算'!G23="失败",'幕间与结算'!G23="大失败"),'幕间与结算'!H23="√",LEFT('幕间与结算'!E23,3)="技能：",'幕间与结算'!E23&lt;&gt;"技能：非自然知识",ISNUMBER('幕间与结算'!F23),'幕间与结算'!F23&gt;=1,'幕间与结算'!F23&lt;=99),1,0)</f>
        <v>0</v>
      </c>
      <c r="D224">
        <f>IF(AND('幕间与结算'!J23="确认",ISNUMBER('幕间与结算'!K23),'幕间与结算'!L23&lt;&gt;"",ISNUMBER('幕间与结算'!M23),'幕间与结算'!M23&gt;0,'幕间与结算'!M23&lt;=99),'幕间与结算'!M23,0)</f>
        <v>0</v>
      </c>
      <c r="E224">
        <f>IF(AND(B224=1,COUNTIFS($A$210:A224,A224,$B$210:B224,1,'幕间与结算'!$E$9:E23,'幕间与结算'!E23)=1),15,999999)</f>
        <v>999999</v>
      </c>
      <c r="F224">
        <v>23</v>
      </c>
      <c r="AA224">
        <f>IF($A224=1,$E224,999999)</f>
        <v>999999</v>
      </c>
      <c r="AB224">
        <f>IF($A224=2,$E224,999999)</f>
        <v>999999</v>
      </c>
      <c r="AC224">
        <f>IF($A224=3,$E224,999999)</f>
        <v>999999</v>
      </c>
      <c r="AD224">
        <f>IF($A224=4,$E224,999999)</f>
        <v>999999</v>
      </c>
      <c r="AE224">
        <f>IF($A224=5,$E224,999999)</f>
        <v>999999</v>
      </c>
      <c r="AF224">
        <f>IF($A224=6,$E224,999999)</f>
        <v>999999</v>
      </c>
      <c r="AG224">
        <f>IF($A224=7,$E224,999999)</f>
        <v>999999</v>
      </c>
      <c r="AH224">
        <f>IF($A224=8,$E224,999999)</f>
        <v>999999</v>
      </c>
      <c r="AI224">
        <f>IF($A224=9,$E224,999999)</f>
        <v>999999</v>
      </c>
      <c r="AJ224">
        <f>IF($A224=10,$E224,999999)</f>
        <v>999999</v>
      </c>
      <c r="AK224">
        <f>IF($A224=11,$E224,999999)</f>
        <v>999999</v>
      </c>
      <c r="AL224">
        <f>IF($A224=12,$E224,999999)</f>
        <v>999999</v>
      </c>
      <c r="AM224">
        <f>IF($A224=13,$E224,999999)</f>
        <v>999999</v>
      </c>
      <c r="AN224">
        <f>IF($A224=14,$E224,999999)</f>
        <v>999999</v>
      </c>
      <c r="AO224">
        <f>IF($A224=15,$E224,999999)</f>
        <v>999999</v>
      </c>
      <c r="AP224">
        <f>IF($A224=16,$E224,999999)</f>
        <v>999999</v>
      </c>
      <c r="AQ224">
        <f>IF($A224=17,$E224,999999)</f>
        <v>999999</v>
      </c>
      <c r="AR224">
        <f>IF($A224=18,$E224,999999)</f>
        <v>999999</v>
      </c>
      <c r="AS224">
        <f>IF($A224=19,$E224,999999)</f>
        <v>999999</v>
      </c>
      <c r="AT224">
        <f>IF($A224=20,$E224,999999)</f>
        <v>999999</v>
      </c>
      <c r="BA224">
        <f>MAX(0,MIN(CEILING((BF224+BG224)/2,1),BA223+IF('幕间与结算'!E23="体力",N('幕间与结算'!K23),0)))</f>
        <v>0</v>
      </c>
      <c r="BB224">
        <f>MAX(0,MIN(BJ224,BB223+IF('幕间与结算'!E23="毅力",N('幕间与结算'!K23),0)))</f>
        <v>0</v>
      </c>
      <c r="BC224">
        <f>MAX(0,MIN(99-BL224,BC223+IF('幕间与结算'!E23="理智",N('幕间与结算'!K23),0)))</f>
        <v>0</v>
      </c>
      <c r="BD224">
        <f>MAX(0,MIN(99,BD223+IF('幕间与结算'!E23="崩溃点",N('幕间与结算'!K23),0)))</f>
        <v>0</v>
      </c>
      <c r="BF224">
        <f>MAX(0,MIN(18,'幕间计算'!BF223+IF('幕间与结算'!E23="力量",N('幕间与结算'!K23),0)))</f>
        <v>0</v>
      </c>
      <c r="BG224">
        <f>MAX(0,MIN(18,'幕间计算'!BG223+IF('幕间与结算'!E23="体质",N('幕间与结算'!K23),0)))</f>
        <v>0</v>
      </c>
      <c r="BH224">
        <f>MAX(0,MIN(18,'幕间计算'!BH223+IF('幕间与结算'!E23="敏捷",N('幕间与结算'!K23),0)))</f>
        <v>0</v>
      </c>
      <c r="BI224">
        <f>MAX(0,MIN(18,'幕间计算'!BI223+IF('幕间与结算'!E23="智力",N('幕间与结算'!K23),0)))</f>
        <v>0</v>
      </c>
      <c r="BJ224">
        <f>MAX(0,MIN(18,'幕间计算'!BJ223+IF('幕间与结算'!E23="意志",N('幕间与结算'!K23),0)))</f>
        <v>0</v>
      </c>
      <c r="BK224">
        <f>MAX(0,MIN(18,'幕间计算'!BK223+IF('幕间与结算'!E23="魅力",N('幕间与结算'!K23),0)))</f>
        <v>0</v>
      </c>
      <c r="BL224">
        <f>MAX(0,MIN(99,'幕间计算'!BL223+IF('幕间与结算'!E23="技能：非自然知识",N('幕间与结算'!K23),0)))</f>
        <v>0</v>
      </c>
    </row>
    <row r="225">
      <c r="A225">
        <f>IFERROR(IF(AND(VALUE('幕间与结算'!B24)&gt;=1,VALUE('幕间与结算'!B24)&lt;=20),VALUE('幕间与结算'!B24),0),0)</f>
        <v>0</v>
      </c>
      <c r="B225">
        <f>IF(AND(A225&gt;0,'幕间与结算'!D24&lt;&gt;"",'幕间与结算'!J24="确认",ISNUMBER('幕间与结算'!K24),OR('幕间与结算'!G24="失败",'幕间与结算'!G24="大失败"),'幕间与结算'!H24="√",LEFT('幕间与结算'!E24,3)="技能：",'幕间与结算'!E24&lt;&gt;"技能：非自然知识",ISNUMBER('幕间与结算'!F24),'幕间与结算'!F24&gt;=1,'幕间与结算'!F24&lt;=99),1,0)</f>
        <v>0</v>
      </c>
      <c r="D225">
        <f>IF(AND('幕间与结算'!J24="确认",ISNUMBER('幕间与结算'!K24),'幕间与结算'!L24&lt;&gt;"",ISNUMBER('幕间与结算'!M24),'幕间与结算'!M24&gt;0,'幕间与结算'!M24&lt;=99),'幕间与结算'!M24,0)</f>
        <v>0</v>
      </c>
      <c r="E225">
        <f>IF(AND(B225=1,COUNTIFS($A$210:A225,A225,$B$210:B225,1,'幕间与结算'!$E$9:E24,'幕间与结算'!E24)=1),16,999999)</f>
        <v>999999</v>
      </c>
      <c r="F225">
        <v>24</v>
      </c>
      <c r="AA225">
        <f>IF($A225=1,$E225,999999)</f>
        <v>999999</v>
      </c>
      <c r="AB225">
        <f>IF($A225=2,$E225,999999)</f>
        <v>999999</v>
      </c>
      <c r="AC225">
        <f>IF($A225=3,$E225,999999)</f>
        <v>999999</v>
      </c>
      <c r="AD225">
        <f>IF($A225=4,$E225,999999)</f>
        <v>999999</v>
      </c>
      <c r="AE225">
        <f>IF($A225=5,$E225,999999)</f>
        <v>999999</v>
      </c>
      <c r="AF225">
        <f>IF($A225=6,$E225,999999)</f>
        <v>999999</v>
      </c>
      <c r="AG225">
        <f>IF($A225=7,$E225,999999)</f>
        <v>999999</v>
      </c>
      <c r="AH225">
        <f>IF($A225=8,$E225,999999)</f>
        <v>999999</v>
      </c>
      <c r="AI225">
        <f>IF($A225=9,$E225,999999)</f>
        <v>999999</v>
      </c>
      <c r="AJ225">
        <f>IF($A225=10,$E225,999999)</f>
        <v>999999</v>
      </c>
      <c r="AK225">
        <f>IF($A225=11,$E225,999999)</f>
        <v>999999</v>
      </c>
      <c r="AL225">
        <f>IF($A225=12,$E225,999999)</f>
        <v>999999</v>
      </c>
      <c r="AM225">
        <f>IF($A225=13,$E225,999999)</f>
        <v>999999</v>
      </c>
      <c r="AN225">
        <f>IF($A225=14,$E225,999999)</f>
        <v>999999</v>
      </c>
      <c r="AO225">
        <f>IF($A225=15,$E225,999999)</f>
        <v>999999</v>
      </c>
      <c r="AP225">
        <f>IF($A225=16,$E225,999999)</f>
        <v>999999</v>
      </c>
      <c r="AQ225">
        <f>IF($A225=17,$E225,999999)</f>
        <v>999999</v>
      </c>
      <c r="AR225">
        <f>IF($A225=18,$E225,999999)</f>
        <v>999999</v>
      </c>
      <c r="AS225">
        <f>IF($A225=19,$E225,999999)</f>
        <v>999999</v>
      </c>
      <c r="AT225">
        <f>IF($A225=20,$E225,999999)</f>
        <v>999999</v>
      </c>
      <c r="BA225">
        <f>MAX(0,MIN(CEILING((BF225+BG225)/2,1),BA224+IF('幕间与结算'!E24="体力",N('幕间与结算'!K24),0)))</f>
        <v>0</v>
      </c>
      <c r="BB225">
        <f>MAX(0,MIN(BJ225,BB224+IF('幕间与结算'!E24="毅力",N('幕间与结算'!K24),0)))</f>
        <v>0</v>
      </c>
      <c r="BC225">
        <f>MAX(0,MIN(99-BL225,BC224+IF('幕间与结算'!E24="理智",N('幕间与结算'!K24),0)))</f>
        <v>0</v>
      </c>
      <c r="BD225">
        <f>MAX(0,MIN(99,BD224+IF('幕间与结算'!E24="崩溃点",N('幕间与结算'!K24),0)))</f>
        <v>0</v>
      </c>
      <c r="BF225">
        <f>MAX(0,MIN(18,'幕间计算'!BF224+IF('幕间与结算'!E24="力量",N('幕间与结算'!K24),0)))</f>
        <v>0</v>
      </c>
      <c r="BG225">
        <f>MAX(0,MIN(18,'幕间计算'!BG224+IF('幕间与结算'!E24="体质",N('幕间与结算'!K24),0)))</f>
        <v>0</v>
      </c>
      <c r="BH225">
        <f>MAX(0,MIN(18,'幕间计算'!BH224+IF('幕间与结算'!E24="敏捷",N('幕间与结算'!K24),0)))</f>
        <v>0</v>
      </c>
      <c r="BI225">
        <f>MAX(0,MIN(18,'幕间计算'!BI224+IF('幕间与结算'!E24="智力",N('幕间与结算'!K24),0)))</f>
        <v>0</v>
      </c>
      <c r="BJ225">
        <f>MAX(0,MIN(18,'幕间计算'!BJ224+IF('幕间与结算'!E24="意志",N('幕间与结算'!K24),0)))</f>
        <v>0</v>
      </c>
      <c r="BK225">
        <f>MAX(0,MIN(18,'幕间计算'!BK224+IF('幕间与结算'!E24="魅力",N('幕间与结算'!K24),0)))</f>
        <v>0</v>
      </c>
      <c r="BL225">
        <f>MAX(0,MIN(99,'幕间计算'!BL224+IF('幕间与结算'!E24="技能：非自然知识",N('幕间与结算'!K24),0)))</f>
        <v>0</v>
      </c>
    </row>
    <row r="226">
      <c r="A226">
        <f>IFERROR(IF(AND(VALUE('幕间与结算'!B25)&gt;=1,VALUE('幕间与结算'!B25)&lt;=20),VALUE('幕间与结算'!B25),0),0)</f>
        <v>0</v>
      </c>
      <c r="B226">
        <f>IF(AND(A226&gt;0,'幕间与结算'!D25&lt;&gt;"",'幕间与结算'!J25="确认",ISNUMBER('幕间与结算'!K25),OR('幕间与结算'!G25="失败",'幕间与结算'!G25="大失败"),'幕间与结算'!H25="√",LEFT('幕间与结算'!E25,3)="技能：",'幕间与结算'!E25&lt;&gt;"技能：非自然知识",ISNUMBER('幕间与结算'!F25),'幕间与结算'!F25&gt;=1,'幕间与结算'!F25&lt;=99),1,0)</f>
        <v>0</v>
      </c>
      <c r="D226">
        <f>IF(AND('幕间与结算'!J25="确认",ISNUMBER('幕间与结算'!K25),'幕间与结算'!L25&lt;&gt;"",ISNUMBER('幕间与结算'!M25),'幕间与结算'!M25&gt;0,'幕间与结算'!M25&lt;=99),'幕间与结算'!M25,0)</f>
        <v>0</v>
      </c>
      <c r="E226">
        <f>IF(AND(B226=1,COUNTIFS($A$210:A226,A226,$B$210:B226,1,'幕间与结算'!$E$9:E25,'幕间与结算'!E25)=1),17,999999)</f>
        <v>999999</v>
      </c>
      <c r="F226">
        <v>25</v>
      </c>
      <c r="AA226">
        <f>IF($A226=1,$E226,999999)</f>
        <v>999999</v>
      </c>
      <c r="AB226">
        <f>IF($A226=2,$E226,999999)</f>
        <v>999999</v>
      </c>
      <c r="AC226">
        <f>IF($A226=3,$E226,999999)</f>
        <v>999999</v>
      </c>
      <c r="AD226">
        <f>IF($A226=4,$E226,999999)</f>
        <v>999999</v>
      </c>
      <c r="AE226">
        <f>IF($A226=5,$E226,999999)</f>
        <v>999999</v>
      </c>
      <c r="AF226">
        <f>IF($A226=6,$E226,999999)</f>
        <v>999999</v>
      </c>
      <c r="AG226">
        <f>IF($A226=7,$E226,999999)</f>
        <v>999999</v>
      </c>
      <c r="AH226">
        <f>IF($A226=8,$E226,999999)</f>
        <v>999999</v>
      </c>
      <c r="AI226">
        <f>IF($A226=9,$E226,999999)</f>
        <v>999999</v>
      </c>
      <c r="AJ226">
        <f>IF($A226=10,$E226,999999)</f>
        <v>999999</v>
      </c>
      <c r="AK226">
        <f>IF($A226=11,$E226,999999)</f>
        <v>999999</v>
      </c>
      <c r="AL226">
        <f>IF($A226=12,$E226,999999)</f>
        <v>999999</v>
      </c>
      <c r="AM226">
        <f>IF($A226=13,$E226,999999)</f>
        <v>999999</v>
      </c>
      <c r="AN226">
        <f>IF($A226=14,$E226,999999)</f>
        <v>999999</v>
      </c>
      <c r="AO226">
        <f>IF($A226=15,$E226,999999)</f>
        <v>999999</v>
      </c>
      <c r="AP226">
        <f>IF($A226=16,$E226,999999)</f>
        <v>999999</v>
      </c>
      <c r="AQ226">
        <f>IF($A226=17,$E226,999999)</f>
        <v>999999</v>
      </c>
      <c r="AR226">
        <f>IF($A226=18,$E226,999999)</f>
        <v>999999</v>
      </c>
      <c r="AS226">
        <f>IF($A226=19,$E226,999999)</f>
        <v>999999</v>
      </c>
      <c r="AT226">
        <f>IF($A226=20,$E226,999999)</f>
        <v>999999</v>
      </c>
      <c r="BA226">
        <f>MAX(0,MIN(CEILING((BF226+BG226)/2,1),BA225+IF('幕间与结算'!E25="体力",N('幕间与结算'!K25),0)))</f>
        <v>0</v>
      </c>
      <c r="BB226">
        <f>MAX(0,MIN(BJ226,BB225+IF('幕间与结算'!E25="毅力",N('幕间与结算'!K25),0)))</f>
        <v>0</v>
      </c>
      <c r="BC226">
        <f>MAX(0,MIN(99-BL226,BC225+IF('幕间与结算'!E25="理智",N('幕间与结算'!K25),0)))</f>
        <v>0</v>
      </c>
      <c r="BD226">
        <f>MAX(0,MIN(99,BD225+IF('幕间与结算'!E25="崩溃点",N('幕间与结算'!K25),0)))</f>
        <v>0</v>
      </c>
      <c r="BF226">
        <f>MAX(0,MIN(18,'幕间计算'!BF225+IF('幕间与结算'!E25="力量",N('幕间与结算'!K25),0)))</f>
        <v>0</v>
      </c>
      <c r="BG226">
        <f>MAX(0,MIN(18,'幕间计算'!BG225+IF('幕间与结算'!E25="体质",N('幕间与结算'!K25),0)))</f>
        <v>0</v>
      </c>
      <c r="BH226">
        <f>MAX(0,MIN(18,'幕间计算'!BH225+IF('幕间与结算'!E25="敏捷",N('幕间与结算'!K25),0)))</f>
        <v>0</v>
      </c>
      <c r="BI226">
        <f>MAX(0,MIN(18,'幕间计算'!BI225+IF('幕间与结算'!E25="智力",N('幕间与结算'!K25),0)))</f>
        <v>0</v>
      </c>
      <c r="BJ226">
        <f>MAX(0,MIN(18,'幕间计算'!BJ225+IF('幕间与结算'!E25="意志",N('幕间与结算'!K25),0)))</f>
        <v>0</v>
      </c>
      <c r="BK226">
        <f>MAX(0,MIN(18,'幕间计算'!BK225+IF('幕间与结算'!E25="魅力",N('幕间与结算'!K25),0)))</f>
        <v>0</v>
      </c>
      <c r="BL226">
        <f>MAX(0,MIN(99,'幕间计算'!BL225+IF('幕间与结算'!E25="技能：非自然知识",N('幕间与结算'!K25),0)))</f>
        <v>0</v>
      </c>
    </row>
    <row r="227">
      <c r="A227">
        <f>IFERROR(IF(AND(VALUE('幕间与结算'!B26)&gt;=1,VALUE('幕间与结算'!B26)&lt;=20),VALUE('幕间与结算'!B26),0),0)</f>
        <v>0</v>
      </c>
      <c r="B227">
        <f>IF(AND(A227&gt;0,'幕间与结算'!D26&lt;&gt;"",'幕间与结算'!J26="确认",ISNUMBER('幕间与结算'!K26),OR('幕间与结算'!G26="失败",'幕间与结算'!G26="大失败"),'幕间与结算'!H26="√",LEFT('幕间与结算'!E26,3)="技能：",'幕间与结算'!E26&lt;&gt;"技能：非自然知识",ISNUMBER('幕间与结算'!F26),'幕间与结算'!F26&gt;=1,'幕间与结算'!F26&lt;=99),1,0)</f>
        <v>0</v>
      </c>
      <c r="D227">
        <f>IF(AND('幕间与结算'!J26="确认",ISNUMBER('幕间与结算'!K26),'幕间与结算'!L26&lt;&gt;"",ISNUMBER('幕间与结算'!M26),'幕间与结算'!M26&gt;0,'幕间与结算'!M26&lt;=99),'幕间与结算'!M26,0)</f>
        <v>0</v>
      </c>
      <c r="E227">
        <f>IF(AND(B227=1,COUNTIFS($A$210:A227,A227,$B$210:B227,1,'幕间与结算'!$E$9:E26,'幕间与结算'!E26)=1),18,999999)</f>
        <v>999999</v>
      </c>
      <c r="F227">
        <v>26</v>
      </c>
      <c r="AA227">
        <f>IF($A227=1,$E227,999999)</f>
        <v>999999</v>
      </c>
      <c r="AB227">
        <f>IF($A227=2,$E227,999999)</f>
        <v>999999</v>
      </c>
      <c r="AC227">
        <f>IF($A227=3,$E227,999999)</f>
        <v>999999</v>
      </c>
      <c r="AD227">
        <f>IF($A227=4,$E227,999999)</f>
        <v>999999</v>
      </c>
      <c r="AE227">
        <f>IF($A227=5,$E227,999999)</f>
        <v>999999</v>
      </c>
      <c r="AF227">
        <f>IF($A227=6,$E227,999999)</f>
        <v>999999</v>
      </c>
      <c r="AG227">
        <f>IF($A227=7,$E227,999999)</f>
        <v>999999</v>
      </c>
      <c r="AH227">
        <f>IF($A227=8,$E227,999999)</f>
        <v>999999</v>
      </c>
      <c r="AI227">
        <f>IF($A227=9,$E227,999999)</f>
        <v>999999</v>
      </c>
      <c r="AJ227">
        <f>IF($A227=10,$E227,999999)</f>
        <v>999999</v>
      </c>
      <c r="AK227">
        <f>IF($A227=11,$E227,999999)</f>
        <v>999999</v>
      </c>
      <c r="AL227">
        <f>IF($A227=12,$E227,999999)</f>
        <v>999999</v>
      </c>
      <c r="AM227">
        <f>IF($A227=13,$E227,999999)</f>
        <v>999999</v>
      </c>
      <c r="AN227">
        <f>IF($A227=14,$E227,999999)</f>
        <v>999999</v>
      </c>
      <c r="AO227">
        <f>IF($A227=15,$E227,999999)</f>
        <v>999999</v>
      </c>
      <c r="AP227">
        <f>IF($A227=16,$E227,999999)</f>
        <v>999999</v>
      </c>
      <c r="AQ227">
        <f>IF($A227=17,$E227,999999)</f>
        <v>999999</v>
      </c>
      <c r="AR227">
        <f>IF($A227=18,$E227,999999)</f>
        <v>999999</v>
      </c>
      <c r="AS227">
        <f>IF($A227=19,$E227,999999)</f>
        <v>999999</v>
      </c>
      <c r="AT227">
        <f>IF($A227=20,$E227,999999)</f>
        <v>999999</v>
      </c>
      <c r="BA227">
        <f>MAX(0,MIN(CEILING((BF227+BG227)/2,1),BA226+IF('幕间与结算'!E26="体力",N('幕间与结算'!K26),0)))</f>
        <v>0</v>
      </c>
      <c r="BB227">
        <f>MAX(0,MIN(BJ227,BB226+IF('幕间与结算'!E26="毅力",N('幕间与结算'!K26),0)))</f>
        <v>0</v>
      </c>
      <c r="BC227">
        <f>MAX(0,MIN(99-BL227,BC226+IF('幕间与结算'!E26="理智",N('幕间与结算'!K26),0)))</f>
        <v>0</v>
      </c>
      <c r="BD227">
        <f>MAX(0,MIN(99,BD226+IF('幕间与结算'!E26="崩溃点",N('幕间与结算'!K26),0)))</f>
        <v>0</v>
      </c>
      <c r="BF227">
        <f>MAX(0,MIN(18,'幕间计算'!BF226+IF('幕间与结算'!E26="力量",N('幕间与结算'!K26),0)))</f>
        <v>0</v>
      </c>
      <c r="BG227">
        <f>MAX(0,MIN(18,'幕间计算'!BG226+IF('幕间与结算'!E26="体质",N('幕间与结算'!K26),0)))</f>
        <v>0</v>
      </c>
      <c r="BH227">
        <f>MAX(0,MIN(18,'幕间计算'!BH226+IF('幕间与结算'!E26="敏捷",N('幕间与结算'!K26),0)))</f>
        <v>0</v>
      </c>
      <c r="BI227">
        <f>MAX(0,MIN(18,'幕间计算'!BI226+IF('幕间与结算'!E26="智力",N('幕间与结算'!K26),0)))</f>
        <v>0</v>
      </c>
      <c r="BJ227">
        <f>MAX(0,MIN(18,'幕间计算'!BJ226+IF('幕间与结算'!E26="意志",N('幕间与结算'!K26),0)))</f>
        <v>0</v>
      </c>
      <c r="BK227">
        <f>MAX(0,MIN(18,'幕间计算'!BK226+IF('幕间与结算'!E26="魅力",N('幕间与结算'!K26),0)))</f>
        <v>0</v>
      </c>
      <c r="BL227">
        <f>MAX(0,MIN(99,'幕间计算'!BL226+IF('幕间与结算'!E26="技能：非自然知识",N('幕间与结算'!K26),0)))</f>
        <v>0</v>
      </c>
    </row>
    <row r="228">
      <c r="A228">
        <f>IFERROR(IF(AND(VALUE('幕间与结算'!B27)&gt;=1,VALUE('幕间与结算'!B27)&lt;=20),VALUE('幕间与结算'!B27),0),0)</f>
        <v>0</v>
      </c>
      <c r="B228">
        <f>IF(AND(A228&gt;0,'幕间与结算'!D27&lt;&gt;"",'幕间与结算'!J27="确认",ISNUMBER('幕间与结算'!K27),OR('幕间与结算'!G27="失败",'幕间与结算'!G27="大失败"),'幕间与结算'!H27="√",LEFT('幕间与结算'!E27,3)="技能：",'幕间与结算'!E27&lt;&gt;"技能：非自然知识",ISNUMBER('幕间与结算'!F27),'幕间与结算'!F27&gt;=1,'幕间与结算'!F27&lt;=99),1,0)</f>
        <v>0</v>
      </c>
      <c r="D228">
        <f>IF(AND('幕间与结算'!J27="确认",ISNUMBER('幕间与结算'!K27),'幕间与结算'!L27&lt;&gt;"",ISNUMBER('幕间与结算'!M27),'幕间与结算'!M27&gt;0,'幕间与结算'!M27&lt;=99),'幕间与结算'!M27,0)</f>
        <v>0</v>
      </c>
      <c r="E228">
        <f>IF(AND(B228=1,COUNTIFS($A$210:A228,A228,$B$210:B228,1,'幕间与结算'!$E$9:E27,'幕间与结算'!E27)=1),19,999999)</f>
        <v>999999</v>
      </c>
      <c r="F228">
        <v>27</v>
      </c>
      <c r="AA228">
        <f>IF($A228=1,$E228,999999)</f>
        <v>999999</v>
      </c>
      <c r="AB228">
        <f>IF($A228=2,$E228,999999)</f>
        <v>999999</v>
      </c>
      <c r="AC228">
        <f>IF($A228=3,$E228,999999)</f>
        <v>999999</v>
      </c>
      <c r="AD228">
        <f>IF($A228=4,$E228,999999)</f>
        <v>999999</v>
      </c>
      <c r="AE228">
        <f>IF($A228=5,$E228,999999)</f>
        <v>999999</v>
      </c>
      <c r="AF228">
        <f>IF($A228=6,$E228,999999)</f>
        <v>999999</v>
      </c>
      <c r="AG228">
        <f>IF($A228=7,$E228,999999)</f>
        <v>999999</v>
      </c>
      <c r="AH228">
        <f>IF($A228=8,$E228,999999)</f>
        <v>999999</v>
      </c>
      <c r="AI228">
        <f>IF($A228=9,$E228,999999)</f>
        <v>999999</v>
      </c>
      <c r="AJ228">
        <f>IF($A228=10,$E228,999999)</f>
        <v>999999</v>
      </c>
      <c r="AK228">
        <f>IF($A228=11,$E228,999999)</f>
        <v>999999</v>
      </c>
      <c r="AL228">
        <f>IF($A228=12,$E228,999999)</f>
        <v>999999</v>
      </c>
      <c r="AM228">
        <f>IF($A228=13,$E228,999999)</f>
        <v>999999</v>
      </c>
      <c r="AN228">
        <f>IF($A228=14,$E228,999999)</f>
        <v>999999</v>
      </c>
      <c r="AO228">
        <f>IF($A228=15,$E228,999999)</f>
        <v>999999</v>
      </c>
      <c r="AP228">
        <f>IF($A228=16,$E228,999999)</f>
        <v>999999</v>
      </c>
      <c r="AQ228">
        <f>IF($A228=17,$E228,999999)</f>
        <v>999999</v>
      </c>
      <c r="AR228">
        <f>IF($A228=18,$E228,999999)</f>
        <v>999999</v>
      </c>
      <c r="AS228">
        <f>IF($A228=19,$E228,999999)</f>
        <v>999999</v>
      </c>
      <c r="AT228">
        <f>IF($A228=20,$E228,999999)</f>
        <v>999999</v>
      </c>
      <c r="BA228">
        <f>MAX(0,MIN(CEILING((BF228+BG228)/2,1),BA227+IF('幕间与结算'!E27="体力",N('幕间与结算'!K27),0)))</f>
        <v>0</v>
      </c>
      <c r="BB228">
        <f>MAX(0,MIN(BJ228,BB227+IF('幕间与结算'!E27="毅力",N('幕间与结算'!K27),0)))</f>
        <v>0</v>
      </c>
      <c r="BC228">
        <f>MAX(0,MIN(99-BL228,BC227+IF('幕间与结算'!E27="理智",N('幕间与结算'!K27),0)))</f>
        <v>0</v>
      </c>
      <c r="BD228">
        <f>MAX(0,MIN(99,BD227+IF('幕间与结算'!E27="崩溃点",N('幕间与结算'!K27),0)))</f>
        <v>0</v>
      </c>
      <c r="BF228">
        <f>MAX(0,MIN(18,'幕间计算'!BF227+IF('幕间与结算'!E27="力量",N('幕间与结算'!K27),0)))</f>
        <v>0</v>
      </c>
      <c r="BG228">
        <f>MAX(0,MIN(18,'幕间计算'!BG227+IF('幕间与结算'!E27="体质",N('幕间与结算'!K27),0)))</f>
        <v>0</v>
      </c>
      <c r="BH228">
        <f>MAX(0,MIN(18,'幕间计算'!BH227+IF('幕间与结算'!E27="敏捷",N('幕间与结算'!K27),0)))</f>
        <v>0</v>
      </c>
      <c r="BI228">
        <f>MAX(0,MIN(18,'幕间计算'!BI227+IF('幕间与结算'!E27="智力",N('幕间与结算'!K27),0)))</f>
        <v>0</v>
      </c>
      <c r="BJ228">
        <f>MAX(0,MIN(18,'幕间计算'!BJ227+IF('幕间与结算'!E27="意志",N('幕间与结算'!K27),0)))</f>
        <v>0</v>
      </c>
      <c r="BK228">
        <f>MAX(0,MIN(18,'幕间计算'!BK227+IF('幕间与结算'!E27="魅力",N('幕间与结算'!K27),0)))</f>
        <v>0</v>
      </c>
      <c r="BL228">
        <f>MAX(0,MIN(99,'幕间计算'!BL227+IF('幕间与结算'!E27="技能：非自然知识",N('幕间与结算'!K27),0)))</f>
        <v>0</v>
      </c>
    </row>
    <row r="229">
      <c r="A229">
        <f>IFERROR(IF(AND(VALUE('幕间与结算'!B28)&gt;=1,VALUE('幕间与结算'!B28)&lt;=20),VALUE('幕间与结算'!B28),0),0)</f>
        <v>0</v>
      </c>
      <c r="B229">
        <f>IF(AND(A229&gt;0,'幕间与结算'!D28&lt;&gt;"",'幕间与结算'!J28="确认",ISNUMBER('幕间与结算'!K28),OR('幕间与结算'!G28="失败",'幕间与结算'!G28="大失败"),'幕间与结算'!H28="√",LEFT('幕间与结算'!E28,3)="技能：",'幕间与结算'!E28&lt;&gt;"技能：非自然知识",ISNUMBER('幕间与结算'!F28),'幕间与结算'!F28&gt;=1,'幕间与结算'!F28&lt;=99),1,0)</f>
        <v>0</v>
      </c>
      <c r="D229">
        <f>IF(AND('幕间与结算'!J28="确认",ISNUMBER('幕间与结算'!K28),'幕间与结算'!L28&lt;&gt;"",ISNUMBER('幕间与结算'!M28),'幕间与结算'!M28&gt;0,'幕间与结算'!M28&lt;=99),'幕间与结算'!M28,0)</f>
        <v>0</v>
      </c>
      <c r="E229">
        <f>IF(AND(B229=1,COUNTIFS($A$210:A229,A229,$B$210:B229,1,'幕间与结算'!$E$9:E28,'幕间与结算'!E28)=1),20,999999)</f>
        <v>999999</v>
      </c>
      <c r="F229">
        <v>28</v>
      </c>
      <c r="AA229">
        <f>IF($A229=1,$E229,999999)</f>
        <v>999999</v>
      </c>
      <c r="AB229">
        <f>IF($A229=2,$E229,999999)</f>
        <v>999999</v>
      </c>
      <c r="AC229">
        <f>IF($A229=3,$E229,999999)</f>
        <v>999999</v>
      </c>
      <c r="AD229">
        <f>IF($A229=4,$E229,999999)</f>
        <v>999999</v>
      </c>
      <c r="AE229">
        <f>IF($A229=5,$E229,999999)</f>
        <v>999999</v>
      </c>
      <c r="AF229">
        <f>IF($A229=6,$E229,999999)</f>
        <v>999999</v>
      </c>
      <c r="AG229">
        <f>IF($A229=7,$E229,999999)</f>
        <v>999999</v>
      </c>
      <c r="AH229">
        <f>IF($A229=8,$E229,999999)</f>
        <v>999999</v>
      </c>
      <c r="AI229">
        <f>IF($A229=9,$E229,999999)</f>
        <v>999999</v>
      </c>
      <c r="AJ229">
        <f>IF($A229=10,$E229,999999)</f>
        <v>999999</v>
      </c>
      <c r="AK229">
        <f>IF($A229=11,$E229,999999)</f>
        <v>999999</v>
      </c>
      <c r="AL229">
        <f>IF($A229=12,$E229,999999)</f>
        <v>999999</v>
      </c>
      <c r="AM229">
        <f>IF($A229=13,$E229,999999)</f>
        <v>999999</v>
      </c>
      <c r="AN229">
        <f>IF($A229=14,$E229,999999)</f>
        <v>999999</v>
      </c>
      <c r="AO229">
        <f>IF($A229=15,$E229,999999)</f>
        <v>999999</v>
      </c>
      <c r="AP229">
        <f>IF($A229=16,$E229,999999)</f>
        <v>999999</v>
      </c>
      <c r="AQ229">
        <f>IF($A229=17,$E229,999999)</f>
        <v>999999</v>
      </c>
      <c r="AR229">
        <f>IF($A229=18,$E229,999999)</f>
        <v>999999</v>
      </c>
      <c r="AS229">
        <f>IF($A229=19,$E229,999999)</f>
        <v>999999</v>
      </c>
      <c r="AT229">
        <f>IF($A229=20,$E229,999999)</f>
        <v>999999</v>
      </c>
      <c r="BA229">
        <f>MAX(0,MIN(CEILING((BF229+BG229)/2,1),BA228+IF('幕间与结算'!E28="体力",N('幕间与结算'!K28),0)))</f>
        <v>0</v>
      </c>
      <c r="BB229">
        <f>MAX(0,MIN(BJ229,BB228+IF('幕间与结算'!E28="毅力",N('幕间与结算'!K28),0)))</f>
        <v>0</v>
      </c>
      <c r="BC229">
        <f>MAX(0,MIN(99-BL229,BC228+IF('幕间与结算'!E28="理智",N('幕间与结算'!K28),0)))</f>
        <v>0</v>
      </c>
      <c r="BD229">
        <f>MAX(0,MIN(99,BD228+IF('幕间与结算'!E28="崩溃点",N('幕间与结算'!K28),0)))</f>
        <v>0</v>
      </c>
      <c r="BF229">
        <f>MAX(0,MIN(18,'幕间计算'!BF228+IF('幕间与结算'!E28="力量",N('幕间与结算'!K28),0)))</f>
        <v>0</v>
      </c>
      <c r="BG229">
        <f>MAX(0,MIN(18,'幕间计算'!BG228+IF('幕间与结算'!E28="体质",N('幕间与结算'!K28),0)))</f>
        <v>0</v>
      </c>
      <c r="BH229">
        <f>MAX(0,MIN(18,'幕间计算'!BH228+IF('幕间与结算'!E28="敏捷",N('幕间与结算'!K28),0)))</f>
        <v>0</v>
      </c>
      <c r="BI229">
        <f>MAX(0,MIN(18,'幕间计算'!BI228+IF('幕间与结算'!E28="智力",N('幕间与结算'!K28),0)))</f>
        <v>0</v>
      </c>
      <c r="BJ229">
        <f>MAX(0,MIN(18,'幕间计算'!BJ228+IF('幕间与结算'!E28="意志",N('幕间与结算'!K28),0)))</f>
        <v>0</v>
      </c>
      <c r="BK229">
        <f>MAX(0,MIN(18,'幕间计算'!BK228+IF('幕间与结算'!E28="魅力",N('幕间与结算'!K28),0)))</f>
        <v>0</v>
      </c>
      <c r="BL229">
        <f>MAX(0,MIN(99,'幕间计算'!BL228+IF('幕间与结算'!E28="技能：非自然知识",N('幕间与结算'!K28),0)))</f>
        <v>0</v>
      </c>
    </row>
    <row r="230">
      <c r="A230">
        <f>IFERROR(IF(AND(VALUE('幕间与结算'!B29)&gt;=1,VALUE('幕间与结算'!B29)&lt;=20),VALUE('幕间与结算'!B29),0),0)</f>
        <v>0</v>
      </c>
      <c r="B230">
        <f>IF(AND(A230&gt;0,'幕间与结算'!D29&lt;&gt;"",'幕间与结算'!J29="确认",ISNUMBER('幕间与结算'!K29),OR('幕间与结算'!G29="失败",'幕间与结算'!G29="大失败"),'幕间与结算'!H29="√",LEFT('幕间与结算'!E29,3)="技能：",'幕间与结算'!E29&lt;&gt;"技能：非自然知识",ISNUMBER('幕间与结算'!F29),'幕间与结算'!F29&gt;=1,'幕间与结算'!F29&lt;=99),1,0)</f>
        <v>0</v>
      </c>
      <c r="D230">
        <f>IF(AND('幕间与结算'!J29="确认",ISNUMBER('幕间与结算'!K29),'幕间与结算'!L29&lt;&gt;"",ISNUMBER('幕间与结算'!M29),'幕间与结算'!M29&gt;0,'幕间与结算'!M29&lt;=99),'幕间与结算'!M29,0)</f>
        <v>0</v>
      </c>
      <c r="E230">
        <f>IF(AND(B230=1,COUNTIFS($A$210:A230,A230,$B$210:B230,1,'幕间与结算'!$E$9:E29,'幕间与结算'!E29)=1),21,999999)</f>
        <v>999999</v>
      </c>
      <c r="F230">
        <v>29</v>
      </c>
      <c r="AA230">
        <f>IF($A230=1,$E230,999999)</f>
        <v>999999</v>
      </c>
      <c r="AB230">
        <f>IF($A230=2,$E230,999999)</f>
        <v>999999</v>
      </c>
      <c r="AC230">
        <f>IF($A230=3,$E230,999999)</f>
        <v>999999</v>
      </c>
      <c r="AD230">
        <f>IF($A230=4,$E230,999999)</f>
        <v>999999</v>
      </c>
      <c r="AE230">
        <f>IF($A230=5,$E230,999999)</f>
        <v>999999</v>
      </c>
      <c r="AF230">
        <f>IF($A230=6,$E230,999999)</f>
        <v>999999</v>
      </c>
      <c r="AG230">
        <f>IF($A230=7,$E230,999999)</f>
        <v>999999</v>
      </c>
      <c r="AH230">
        <f>IF($A230=8,$E230,999999)</f>
        <v>999999</v>
      </c>
      <c r="AI230">
        <f>IF($A230=9,$E230,999999)</f>
        <v>999999</v>
      </c>
      <c r="AJ230">
        <f>IF($A230=10,$E230,999999)</f>
        <v>999999</v>
      </c>
      <c r="AK230">
        <f>IF($A230=11,$E230,999999)</f>
        <v>999999</v>
      </c>
      <c r="AL230">
        <f>IF($A230=12,$E230,999999)</f>
        <v>999999</v>
      </c>
      <c r="AM230">
        <f>IF($A230=13,$E230,999999)</f>
        <v>999999</v>
      </c>
      <c r="AN230">
        <f>IF($A230=14,$E230,999999)</f>
        <v>999999</v>
      </c>
      <c r="AO230">
        <f>IF($A230=15,$E230,999999)</f>
        <v>999999</v>
      </c>
      <c r="AP230">
        <f>IF($A230=16,$E230,999999)</f>
        <v>999999</v>
      </c>
      <c r="AQ230">
        <f>IF($A230=17,$E230,999999)</f>
        <v>999999</v>
      </c>
      <c r="AR230">
        <f>IF($A230=18,$E230,999999)</f>
        <v>999999</v>
      </c>
      <c r="AS230">
        <f>IF($A230=19,$E230,999999)</f>
        <v>999999</v>
      </c>
      <c r="AT230">
        <f>IF($A230=20,$E230,999999)</f>
        <v>999999</v>
      </c>
      <c r="BA230">
        <f>MAX(0,MIN(CEILING((BF230+BG230)/2,1),BA229+IF('幕间与结算'!E29="体力",N('幕间与结算'!K29),0)))</f>
        <v>0</v>
      </c>
      <c r="BB230">
        <f>MAX(0,MIN(BJ230,BB229+IF('幕间与结算'!E29="毅力",N('幕间与结算'!K29),0)))</f>
        <v>0</v>
      </c>
      <c r="BC230">
        <f>MAX(0,MIN(99-BL230,BC229+IF('幕间与结算'!E29="理智",N('幕间与结算'!K29),0)))</f>
        <v>0</v>
      </c>
      <c r="BD230">
        <f>MAX(0,MIN(99,BD229+IF('幕间与结算'!E29="崩溃点",N('幕间与结算'!K29),0)))</f>
        <v>0</v>
      </c>
      <c r="BF230">
        <f>MAX(0,MIN(18,'幕间计算'!BF229+IF('幕间与结算'!E29="力量",N('幕间与结算'!K29),0)))</f>
        <v>0</v>
      </c>
      <c r="BG230">
        <f>MAX(0,MIN(18,'幕间计算'!BG229+IF('幕间与结算'!E29="体质",N('幕间与结算'!K29),0)))</f>
        <v>0</v>
      </c>
      <c r="BH230">
        <f>MAX(0,MIN(18,'幕间计算'!BH229+IF('幕间与结算'!E29="敏捷",N('幕间与结算'!K29),0)))</f>
        <v>0</v>
      </c>
      <c r="BI230">
        <f>MAX(0,MIN(18,'幕间计算'!BI229+IF('幕间与结算'!E29="智力",N('幕间与结算'!K29),0)))</f>
        <v>0</v>
      </c>
      <c r="BJ230">
        <f>MAX(0,MIN(18,'幕间计算'!BJ229+IF('幕间与结算'!E29="意志",N('幕间与结算'!K29),0)))</f>
        <v>0</v>
      </c>
      <c r="BK230">
        <f>MAX(0,MIN(18,'幕间计算'!BK229+IF('幕间与结算'!E29="魅力",N('幕间与结算'!K29),0)))</f>
        <v>0</v>
      </c>
      <c r="BL230">
        <f>MAX(0,MIN(99,'幕间计算'!BL229+IF('幕间与结算'!E29="技能：非自然知识",N('幕间与结算'!K29),0)))</f>
        <v>0</v>
      </c>
    </row>
    <row r="231">
      <c r="A231">
        <f>IFERROR(IF(AND(VALUE('幕间与结算'!B30)&gt;=1,VALUE('幕间与结算'!B30)&lt;=20),VALUE('幕间与结算'!B30),0),0)</f>
        <v>0</v>
      </c>
      <c r="B231">
        <f>IF(AND(A231&gt;0,'幕间与结算'!D30&lt;&gt;"",'幕间与结算'!J30="确认",ISNUMBER('幕间与结算'!K30),OR('幕间与结算'!G30="失败",'幕间与结算'!G30="大失败"),'幕间与结算'!H30="√",LEFT('幕间与结算'!E30,3)="技能：",'幕间与结算'!E30&lt;&gt;"技能：非自然知识",ISNUMBER('幕间与结算'!F30),'幕间与结算'!F30&gt;=1,'幕间与结算'!F30&lt;=99),1,0)</f>
        <v>0</v>
      </c>
      <c r="D231">
        <f>IF(AND('幕间与结算'!J30="确认",ISNUMBER('幕间与结算'!K30),'幕间与结算'!L30&lt;&gt;"",ISNUMBER('幕间与结算'!M30),'幕间与结算'!M30&gt;0,'幕间与结算'!M30&lt;=99),'幕间与结算'!M30,0)</f>
        <v>0</v>
      </c>
      <c r="E231">
        <f>IF(AND(B231=1,COUNTIFS($A$210:A231,A231,$B$210:B231,1,'幕间与结算'!$E$9:E30,'幕间与结算'!E30)=1),22,999999)</f>
        <v>999999</v>
      </c>
      <c r="F231">
        <v>30</v>
      </c>
      <c r="AA231">
        <f>IF($A231=1,$E231,999999)</f>
        <v>999999</v>
      </c>
      <c r="AB231">
        <f>IF($A231=2,$E231,999999)</f>
        <v>999999</v>
      </c>
      <c r="AC231">
        <f>IF($A231=3,$E231,999999)</f>
        <v>999999</v>
      </c>
      <c r="AD231">
        <f>IF($A231=4,$E231,999999)</f>
        <v>999999</v>
      </c>
      <c r="AE231">
        <f>IF($A231=5,$E231,999999)</f>
        <v>999999</v>
      </c>
      <c r="AF231">
        <f>IF($A231=6,$E231,999999)</f>
        <v>999999</v>
      </c>
      <c r="AG231">
        <f>IF($A231=7,$E231,999999)</f>
        <v>999999</v>
      </c>
      <c r="AH231">
        <f>IF($A231=8,$E231,999999)</f>
        <v>999999</v>
      </c>
      <c r="AI231">
        <f>IF($A231=9,$E231,999999)</f>
        <v>999999</v>
      </c>
      <c r="AJ231">
        <f>IF($A231=10,$E231,999999)</f>
        <v>999999</v>
      </c>
      <c r="AK231">
        <f>IF($A231=11,$E231,999999)</f>
        <v>999999</v>
      </c>
      <c r="AL231">
        <f>IF($A231=12,$E231,999999)</f>
        <v>999999</v>
      </c>
      <c r="AM231">
        <f>IF($A231=13,$E231,999999)</f>
        <v>999999</v>
      </c>
      <c r="AN231">
        <f>IF($A231=14,$E231,999999)</f>
        <v>999999</v>
      </c>
      <c r="AO231">
        <f>IF($A231=15,$E231,999999)</f>
        <v>999999</v>
      </c>
      <c r="AP231">
        <f>IF($A231=16,$E231,999999)</f>
        <v>999999</v>
      </c>
      <c r="AQ231">
        <f>IF($A231=17,$E231,999999)</f>
        <v>999999</v>
      </c>
      <c r="AR231">
        <f>IF($A231=18,$E231,999999)</f>
        <v>999999</v>
      </c>
      <c r="AS231">
        <f>IF($A231=19,$E231,999999)</f>
        <v>999999</v>
      </c>
      <c r="AT231">
        <f>IF($A231=20,$E231,999999)</f>
        <v>999999</v>
      </c>
      <c r="BA231">
        <f>MAX(0,MIN(CEILING((BF231+BG231)/2,1),BA230+IF('幕间与结算'!E30="体力",N('幕间与结算'!K30),0)))</f>
        <v>0</v>
      </c>
      <c r="BB231">
        <f>MAX(0,MIN(BJ231,BB230+IF('幕间与结算'!E30="毅力",N('幕间与结算'!K30),0)))</f>
        <v>0</v>
      </c>
      <c r="BC231">
        <f>MAX(0,MIN(99-BL231,BC230+IF('幕间与结算'!E30="理智",N('幕间与结算'!K30),0)))</f>
        <v>0</v>
      </c>
      <c r="BD231">
        <f>MAX(0,MIN(99,BD230+IF('幕间与结算'!E30="崩溃点",N('幕间与结算'!K30),0)))</f>
        <v>0</v>
      </c>
      <c r="BF231">
        <f>MAX(0,MIN(18,'幕间计算'!BF230+IF('幕间与结算'!E30="力量",N('幕间与结算'!K30),0)))</f>
        <v>0</v>
      </c>
      <c r="BG231">
        <f>MAX(0,MIN(18,'幕间计算'!BG230+IF('幕间与结算'!E30="体质",N('幕间与结算'!K30),0)))</f>
        <v>0</v>
      </c>
      <c r="BH231">
        <f>MAX(0,MIN(18,'幕间计算'!BH230+IF('幕间与结算'!E30="敏捷",N('幕间与结算'!K30),0)))</f>
        <v>0</v>
      </c>
      <c r="BI231">
        <f>MAX(0,MIN(18,'幕间计算'!BI230+IF('幕间与结算'!E30="智力",N('幕间与结算'!K30),0)))</f>
        <v>0</v>
      </c>
      <c r="BJ231">
        <f>MAX(0,MIN(18,'幕间计算'!BJ230+IF('幕间与结算'!E30="意志",N('幕间与结算'!K30),0)))</f>
        <v>0</v>
      </c>
      <c r="BK231">
        <f>MAX(0,MIN(18,'幕间计算'!BK230+IF('幕间与结算'!E30="魅力",N('幕间与结算'!K30),0)))</f>
        <v>0</v>
      </c>
      <c r="BL231">
        <f>MAX(0,MIN(99,'幕间计算'!BL230+IF('幕间与结算'!E30="技能：非自然知识",N('幕间与结算'!K30),0)))</f>
        <v>0</v>
      </c>
    </row>
    <row r="232">
      <c r="A232">
        <f>IFERROR(IF(AND(VALUE('幕间与结算'!B31)&gt;=1,VALUE('幕间与结算'!B31)&lt;=20),VALUE('幕间与结算'!B31),0),0)</f>
        <v>0</v>
      </c>
      <c r="B232">
        <f>IF(AND(A232&gt;0,'幕间与结算'!D31&lt;&gt;"",'幕间与结算'!J31="确认",ISNUMBER('幕间与结算'!K31),OR('幕间与结算'!G31="失败",'幕间与结算'!G31="大失败"),'幕间与结算'!H31="√",LEFT('幕间与结算'!E31,3)="技能：",'幕间与结算'!E31&lt;&gt;"技能：非自然知识",ISNUMBER('幕间与结算'!F31),'幕间与结算'!F31&gt;=1,'幕间与结算'!F31&lt;=99),1,0)</f>
        <v>0</v>
      </c>
      <c r="D232">
        <f>IF(AND('幕间与结算'!J31="确认",ISNUMBER('幕间与结算'!K31),'幕间与结算'!L31&lt;&gt;"",ISNUMBER('幕间与结算'!M31),'幕间与结算'!M31&gt;0,'幕间与结算'!M31&lt;=99),'幕间与结算'!M31,0)</f>
        <v>0</v>
      </c>
      <c r="E232">
        <f>IF(AND(B232=1,COUNTIFS($A$210:A232,A232,$B$210:B232,1,'幕间与结算'!$E$9:E31,'幕间与结算'!E31)=1),23,999999)</f>
        <v>999999</v>
      </c>
      <c r="F232">
        <v>31</v>
      </c>
      <c r="AA232">
        <f>IF($A232=1,$E232,999999)</f>
        <v>999999</v>
      </c>
      <c r="AB232">
        <f>IF($A232=2,$E232,999999)</f>
        <v>999999</v>
      </c>
      <c r="AC232">
        <f>IF($A232=3,$E232,999999)</f>
        <v>999999</v>
      </c>
      <c r="AD232">
        <f>IF($A232=4,$E232,999999)</f>
        <v>999999</v>
      </c>
      <c r="AE232">
        <f>IF($A232=5,$E232,999999)</f>
        <v>999999</v>
      </c>
      <c r="AF232">
        <f>IF($A232=6,$E232,999999)</f>
        <v>999999</v>
      </c>
      <c r="AG232">
        <f>IF($A232=7,$E232,999999)</f>
        <v>999999</v>
      </c>
      <c r="AH232">
        <f>IF($A232=8,$E232,999999)</f>
        <v>999999</v>
      </c>
      <c r="AI232">
        <f>IF($A232=9,$E232,999999)</f>
        <v>999999</v>
      </c>
      <c r="AJ232">
        <f>IF($A232=10,$E232,999999)</f>
        <v>999999</v>
      </c>
      <c r="AK232">
        <f>IF($A232=11,$E232,999999)</f>
        <v>999999</v>
      </c>
      <c r="AL232">
        <f>IF($A232=12,$E232,999999)</f>
        <v>999999</v>
      </c>
      <c r="AM232">
        <f>IF($A232=13,$E232,999999)</f>
        <v>999999</v>
      </c>
      <c r="AN232">
        <f>IF($A232=14,$E232,999999)</f>
        <v>999999</v>
      </c>
      <c r="AO232">
        <f>IF($A232=15,$E232,999999)</f>
        <v>999999</v>
      </c>
      <c r="AP232">
        <f>IF($A232=16,$E232,999999)</f>
        <v>999999</v>
      </c>
      <c r="AQ232">
        <f>IF($A232=17,$E232,999999)</f>
        <v>999999</v>
      </c>
      <c r="AR232">
        <f>IF($A232=18,$E232,999999)</f>
        <v>999999</v>
      </c>
      <c r="AS232">
        <f>IF($A232=19,$E232,999999)</f>
        <v>999999</v>
      </c>
      <c r="AT232">
        <f>IF($A232=20,$E232,999999)</f>
        <v>999999</v>
      </c>
      <c r="BA232">
        <f>MAX(0,MIN(CEILING((BF232+BG232)/2,1),BA231+IF('幕间与结算'!E31="体力",N('幕间与结算'!K31),0)))</f>
        <v>0</v>
      </c>
      <c r="BB232">
        <f>MAX(0,MIN(BJ232,BB231+IF('幕间与结算'!E31="毅力",N('幕间与结算'!K31),0)))</f>
        <v>0</v>
      </c>
      <c r="BC232">
        <f>MAX(0,MIN(99-BL232,BC231+IF('幕间与结算'!E31="理智",N('幕间与结算'!K31),0)))</f>
        <v>0</v>
      </c>
      <c r="BD232">
        <f>MAX(0,MIN(99,BD231+IF('幕间与结算'!E31="崩溃点",N('幕间与结算'!K31),0)))</f>
        <v>0</v>
      </c>
      <c r="BF232">
        <f>MAX(0,MIN(18,'幕间计算'!BF231+IF('幕间与结算'!E31="力量",N('幕间与结算'!K31),0)))</f>
        <v>0</v>
      </c>
      <c r="BG232">
        <f>MAX(0,MIN(18,'幕间计算'!BG231+IF('幕间与结算'!E31="体质",N('幕间与结算'!K31),0)))</f>
        <v>0</v>
      </c>
      <c r="BH232">
        <f>MAX(0,MIN(18,'幕间计算'!BH231+IF('幕间与结算'!E31="敏捷",N('幕间与结算'!K31),0)))</f>
        <v>0</v>
      </c>
      <c r="BI232">
        <f>MAX(0,MIN(18,'幕间计算'!BI231+IF('幕间与结算'!E31="智力",N('幕间与结算'!K31),0)))</f>
        <v>0</v>
      </c>
      <c r="BJ232">
        <f>MAX(0,MIN(18,'幕间计算'!BJ231+IF('幕间与结算'!E31="意志",N('幕间与结算'!K31),0)))</f>
        <v>0</v>
      </c>
      <c r="BK232">
        <f>MAX(0,MIN(18,'幕间计算'!BK231+IF('幕间与结算'!E31="魅力",N('幕间与结算'!K31),0)))</f>
        <v>0</v>
      </c>
      <c r="BL232">
        <f>MAX(0,MIN(99,'幕间计算'!BL231+IF('幕间与结算'!E31="技能：非自然知识",N('幕间与结算'!K31),0)))</f>
        <v>0</v>
      </c>
    </row>
    <row r="233">
      <c r="A233">
        <f>IFERROR(IF(AND(VALUE('幕间与结算'!B32)&gt;=1,VALUE('幕间与结算'!B32)&lt;=20),VALUE('幕间与结算'!B32),0),0)</f>
        <v>0</v>
      </c>
      <c r="B233">
        <f>IF(AND(A233&gt;0,'幕间与结算'!D32&lt;&gt;"",'幕间与结算'!J32="确认",ISNUMBER('幕间与结算'!K32),OR('幕间与结算'!G32="失败",'幕间与结算'!G32="大失败"),'幕间与结算'!H32="√",LEFT('幕间与结算'!E32,3)="技能：",'幕间与结算'!E32&lt;&gt;"技能：非自然知识",ISNUMBER('幕间与结算'!F32),'幕间与结算'!F32&gt;=1,'幕间与结算'!F32&lt;=99),1,0)</f>
        <v>0</v>
      </c>
      <c r="D233">
        <f>IF(AND('幕间与结算'!J32="确认",ISNUMBER('幕间与结算'!K32),'幕间与结算'!L32&lt;&gt;"",ISNUMBER('幕间与结算'!M32),'幕间与结算'!M32&gt;0,'幕间与结算'!M32&lt;=99),'幕间与结算'!M32,0)</f>
        <v>0</v>
      </c>
      <c r="E233">
        <f>IF(AND(B233=1,COUNTIFS($A$210:A233,A233,$B$210:B233,1,'幕间与结算'!$E$9:E32,'幕间与结算'!E32)=1),24,999999)</f>
        <v>999999</v>
      </c>
      <c r="F233">
        <v>32</v>
      </c>
      <c r="AA233">
        <f>IF($A233=1,$E233,999999)</f>
        <v>999999</v>
      </c>
      <c r="AB233">
        <f>IF($A233=2,$E233,999999)</f>
        <v>999999</v>
      </c>
      <c r="AC233">
        <f>IF($A233=3,$E233,999999)</f>
        <v>999999</v>
      </c>
      <c r="AD233">
        <f>IF($A233=4,$E233,999999)</f>
        <v>999999</v>
      </c>
      <c r="AE233">
        <f>IF($A233=5,$E233,999999)</f>
        <v>999999</v>
      </c>
      <c r="AF233">
        <f>IF($A233=6,$E233,999999)</f>
        <v>999999</v>
      </c>
      <c r="AG233">
        <f>IF($A233=7,$E233,999999)</f>
        <v>999999</v>
      </c>
      <c r="AH233">
        <f>IF($A233=8,$E233,999999)</f>
        <v>999999</v>
      </c>
      <c r="AI233">
        <f>IF($A233=9,$E233,999999)</f>
        <v>999999</v>
      </c>
      <c r="AJ233">
        <f>IF($A233=10,$E233,999999)</f>
        <v>999999</v>
      </c>
      <c r="AK233">
        <f>IF($A233=11,$E233,999999)</f>
        <v>999999</v>
      </c>
      <c r="AL233">
        <f>IF($A233=12,$E233,999999)</f>
        <v>999999</v>
      </c>
      <c r="AM233">
        <f>IF($A233=13,$E233,999999)</f>
        <v>999999</v>
      </c>
      <c r="AN233">
        <f>IF($A233=14,$E233,999999)</f>
        <v>999999</v>
      </c>
      <c r="AO233">
        <f>IF($A233=15,$E233,999999)</f>
        <v>999999</v>
      </c>
      <c r="AP233">
        <f>IF($A233=16,$E233,999999)</f>
        <v>999999</v>
      </c>
      <c r="AQ233">
        <f>IF($A233=17,$E233,999999)</f>
        <v>999999</v>
      </c>
      <c r="AR233">
        <f>IF($A233=18,$E233,999999)</f>
        <v>999999</v>
      </c>
      <c r="AS233">
        <f>IF($A233=19,$E233,999999)</f>
        <v>999999</v>
      </c>
      <c r="AT233">
        <f>IF($A233=20,$E233,999999)</f>
        <v>999999</v>
      </c>
      <c r="BA233">
        <f>MAX(0,MIN(CEILING((BF233+BG233)/2,1),BA232+IF('幕间与结算'!E32="体力",N('幕间与结算'!K32),0)))</f>
        <v>0</v>
      </c>
      <c r="BB233">
        <f>MAX(0,MIN(BJ233,BB232+IF('幕间与结算'!E32="毅力",N('幕间与结算'!K32),0)))</f>
        <v>0</v>
      </c>
      <c r="BC233">
        <f>MAX(0,MIN(99-BL233,BC232+IF('幕间与结算'!E32="理智",N('幕间与结算'!K32),0)))</f>
        <v>0</v>
      </c>
      <c r="BD233">
        <f>MAX(0,MIN(99,BD232+IF('幕间与结算'!E32="崩溃点",N('幕间与结算'!K32),0)))</f>
        <v>0</v>
      </c>
      <c r="BF233">
        <f>MAX(0,MIN(18,'幕间计算'!BF232+IF('幕间与结算'!E32="力量",N('幕间与结算'!K32),0)))</f>
        <v>0</v>
      </c>
      <c r="BG233">
        <f>MAX(0,MIN(18,'幕间计算'!BG232+IF('幕间与结算'!E32="体质",N('幕间与结算'!K32),0)))</f>
        <v>0</v>
      </c>
      <c r="BH233">
        <f>MAX(0,MIN(18,'幕间计算'!BH232+IF('幕间与结算'!E32="敏捷",N('幕间与结算'!K32),0)))</f>
        <v>0</v>
      </c>
      <c r="BI233">
        <f>MAX(0,MIN(18,'幕间计算'!BI232+IF('幕间与结算'!E32="智力",N('幕间与结算'!K32),0)))</f>
        <v>0</v>
      </c>
      <c r="BJ233">
        <f>MAX(0,MIN(18,'幕间计算'!BJ232+IF('幕间与结算'!E32="意志",N('幕间与结算'!K32),0)))</f>
        <v>0</v>
      </c>
      <c r="BK233">
        <f>MAX(0,MIN(18,'幕间计算'!BK232+IF('幕间与结算'!E32="魅力",N('幕间与结算'!K32),0)))</f>
        <v>0</v>
      </c>
      <c r="BL233">
        <f>MAX(0,MIN(99,'幕间计算'!BL232+IF('幕间与结算'!E32="技能：非自然知识",N('幕间与结算'!K32),0)))</f>
        <v>0</v>
      </c>
    </row>
    <row r="234">
      <c r="A234">
        <f>IFERROR(IF(AND(VALUE('幕间与结算'!B33)&gt;=1,VALUE('幕间与结算'!B33)&lt;=20),VALUE('幕间与结算'!B33),0),0)</f>
        <v>0</v>
      </c>
      <c r="B234">
        <f>IF(AND(A234&gt;0,'幕间与结算'!D33&lt;&gt;"",'幕间与结算'!J33="确认",ISNUMBER('幕间与结算'!K33),OR('幕间与结算'!G33="失败",'幕间与结算'!G33="大失败"),'幕间与结算'!H33="√",LEFT('幕间与结算'!E33,3)="技能：",'幕间与结算'!E33&lt;&gt;"技能：非自然知识",ISNUMBER('幕间与结算'!F33),'幕间与结算'!F33&gt;=1,'幕间与结算'!F33&lt;=99),1,0)</f>
        <v>0</v>
      </c>
      <c r="D234">
        <f>IF(AND('幕间与结算'!J33="确认",ISNUMBER('幕间与结算'!K33),'幕间与结算'!L33&lt;&gt;"",ISNUMBER('幕间与结算'!M33),'幕间与结算'!M33&gt;0,'幕间与结算'!M33&lt;=99),'幕间与结算'!M33,0)</f>
        <v>0</v>
      </c>
      <c r="E234">
        <f>IF(AND(B234=1,COUNTIFS($A$210:A234,A234,$B$210:B234,1,'幕间与结算'!$E$9:E33,'幕间与结算'!E33)=1),25,999999)</f>
        <v>999999</v>
      </c>
      <c r="F234">
        <v>33</v>
      </c>
      <c r="AA234">
        <f>IF($A234=1,$E234,999999)</f>
        <v>999999</v>
      </c>
      <c r="AB234">
        <f>IF($A234=2,$E234,999999)</f>
        <v>999999</v>
      </c>
      <c r="AC234">
        <f>IF($A234=3,$E234,999999)</f>
        <v>999999</v>
      </c>
      <c r="AD234">
        <f>IF($A234=4,$E234,999999)</f>
        <v>999999</v>
      </c>
      <c r="AE234">
        <f>IF($A234=5,$E234,999999)</f>
        <v>999999</v>
      </c>
      <c r="AF234">
        <f>IF($A234=6,$E234,999999)</f>
        <v>999999</v>
      </c>
      <c r="AG234">
        <f>IF($A234=7,$E234,999999)</f>
        <v>999999</v>
      </c>
      <c r="AH234">
        <f>IF($A234=8,$E234,999999)</f>
        <v>999999</v>
      </c>
      <c r="AI234">
        <f>IF($A234=9,$E234,999999)</f>
        <v>999999</v>
      </c>
      <c r="AJ234">
        <f>IF($A234=10,$E234,999999)</f>
        <v>999999</v>
      </c>
      <c r="AK234">
        <f>IF($A234=11,$E234,999999)</f>
        <v>999999</v>
      </c>
      <c r="AL234">
        <f>IF($A234=12,$E234,999999)</f>
        <v>999999</v>
      </c>
      <c r="AM234">
        <f>IF($A234=13,$E234,999999)</f>
        <v>999999</v>
      </c>
      <c r="AN234">
        <f>IF($A234=14,$E234,999999)</f>
        <v>999999</v>
      </c>
      <c r="AO234">
        <f>IF($A234=15,$E234,999999)</f>
        <v>999999</v>
      </c>
      <c r="AP234">
        <f>IF($A234=16,$E234,999999)</f>
        <v>999999</v>
      </c>
      <c r="AQ234">
        <f>IF($A234=17,$E234,999999)</f>
        <v>999999</v>
      </c>
      <c r="AR234">
        <f>IF($A234=18,$E234,999999)</f>
        <v>999999</v>
      </c>
      <c r="AS234">
        <f>IF($A234=19,$E234,999999)</f>
        <v>999999</v>
      </c>
      <c r="AT234">
        <f>IF($A234=20,$E234,999999)</f>
        <v>999999</v>
      </c>
      <c r="BA234">
        <f>MAX(0,MIN(CEILING((BF234+BG234)/2,1),BA233+IF('幕间与结算'!E33="体力",N('幕间与结算'!K33),0)))</f>
        <v>0</v>
      </c>
      <c r="BB234">
        <f>MAX(0,MIN(BJ234,BB233+IF('幕间与结算'!E33="毅力",N('幕间与结算'!K33),0)))</f>
        <v>0</v>
      </c>
      <c r="BC234">
        <f>MAX(0,MIN(99-BL234,BC233+IF('幕间与结算'!E33="理智",N('幕间与结算'!K33),0)))</f>
        <v>0</v>
      </c>
      <c r="BD234">
        <f>MAX(0,MIN(99,BD233+IF('幕间与结算'!E33="崩溃点",N('幕间与结算'!K33),0)))</f>
        <v>0</v>
      </c>
      <c r="BF234">
        <f>MAX(0,MIN(18,'幕间计算'!BF233+IF('幕间与结算'!E33="力量",N('幕间与结算'!K33),0)))</f>
        <v>0</v>
      </c>
      <c r="BG234">
        <f>MAX(0,MIN(18,'幕间计算'!BG233+IF('幕间与结算'!E33="体质",N('幕间与结算'!K33),0)))</f>
        <v>0</v>
      </c>
      <c r="BH234">
        <f>MAX(0,MIN(18,'幕间计算'!BH233+IF('幕间与结算'!E33="敏捷",N('幕间与结算'!K33),0)))</f>
        <v>0</v>
      </c>
      <c r="BI234">
        <f>MAX(0,MIN(18,'幕间计算'!BI233+IF('幕间与结算'!E33="智力",N('幕间与结算'!K33),0)))</f>
        <v>0</v>
      </c>
      <c r="BJ234">
        <f>MAX(0,MIN(18,'幕间计算'!BJ233+IF('幕间与结算'!E33="意志",N('幕间与结算'!K33),0)))</f>
        <v>0</v>
      </c>
      <c r="BK234">
        <f>MAX(0,MIN(18,'幕间计算'!BK233+IF('幕间与结算'!E33="魅力",N('幕间与结算'!K33),0)))</f>
        <v>0</v>
      </c>
      <c r="BL234">
        <f>MAX(0,MIN(99,'幕间计算'!BL233+IF('幕间与结算'!E33="技能：非自然知识",N('幕间与结算'!K33),0)))</f>
        <v>0</v>
      </c>
    </row>
    <row r="235">
      <c r="A235">
        <f>IFERROR(IF(AND(VALUE('幕间与结算'!B34)&gt;=1,VALUE('幕间与结算'!B34)&lt;=20),VALUE('幕间与结算'!B34),0),0)</f>
        <v>0</v>
      </c>
      <c r="B235">
        <f>IF(AND(A235&gt;0,'幕间与结算'!D34&lt;&gt;"",'幕间与结算'!J34="确认",ISNUMBER('幕间与结算'!K34),OR('幕间与结算'!G34="失败",'幕间与结算'!G34="大失败"),'幕间与结算'!H34="√",LEFT('幕间与结算'!E34,3)="技能：",'幕间与结算'!E34&lt;&gt;"技能：非自然知识",ISNUMBER('幕间与结算'!F34),'幕间与结算'!F34&gt;=1,'幕间与结算'!F34&lt;=99),1,0)</f>
        <v>0</v>
      </c>
      <c r="D235">
        <f>IF(AND('幕间与结算'!J34="确认",ISNUMBER('幕间与结算'!K34),'幕间与结算'!L34&lt;&gt;"",ISNUMBER('幕间与结算'!M34),'幕间与结算'!M34&gt;0,'幕间与结算'!M34&lt;=99),'幕间与结算'!M34,0)</f>
        <v>0</v>
      </c>
      <c r="E235">
        <f>IF(AND(B235=1,COUNTIFS($A$210:A235,A235,$B$210:B235,1,'幕间与结算'!$E$9:E34,'幕间与结算'!E34)=1),26,999999)</f>
        <v>999999</v>
      </c>
      <c r="F235">
        <v>34</v>
      </c>
      <c r="AA235">
        <f>IF($A235=1,$E235,999999)</f>
        <v>999999</v>
      </c>
      <c r="AB235">
        <f>IF($A235=2,$E235,999999)</f>
        <v>999999</v>
      </c>
      <c r="AC235">
        <f>IF($A235=3,$E235,999999)</f>
        <v>999999</v>
      </c>
      <c r="AD235">
        <f>IF($A235=4,$E235,999999)</f>
        <v>999999</v>
      </c>
      <c r="AE235">
        <f>IF($A235=5,$E235,999999)</f>
        <v>999999</v>
      </c>
      <c r="AF235">
        <f>IF($A235=6,$E235,999999)</f>
        <v>999999</v>
      </c>
      <c r="AG235">
        <f>IF($A235=7,$E235,999999)</f>
        <v>999999</v>
      </c>
      <c r="AH235">
        <f>IF($A235=8,$E235,999999)</f>
        <v>999999</v>
      </c>
      <c r="AI235">
        <f>IF($A235=9,$E235,999999)</f>
        <v>999999</v>
      </c>
      <c r="AJ235">
        <f>IF($A235=10,$E235,999999)</f>
        <v>999999</v>
      </c>
      <c r="AK235">
        <f>IF($A235=11,$E235,999999)</f>
        <v>999999</v>
      </c>
      <c r="AL235">
        <f>IF($A235=12,$E235,999999)</f>
        <v>999999</v>
      </c>
      <c r="AM235">
        <f>IF($A235=13,$E235,999999)</f>
        <v>999999</v>
      </c>
      <c r="AN235">
        <f>IF($A235=14,$E235,999999)</f>
        <v>999999</v>
      </c>
      <c r="AO235">
        <f>IF($A235=15,$E235,999999)</f>
        <v>999999</v>
      </c>
      <c r="AP235">
        <f>IF($A235=16,$E235,999999)</f>
        <v>999999</v>
      </c>
      <c r="AQ235">
        <f>IF($A235=17,$E235,999999)</f>
        <v>999999</v>
      </c>
      <c r="AR235">
        <f>IF($A235=18,$E235,999999)</f>
        <v>999999</v>
      </c>
      <c r="AS235">
        <f>IF($A235=19,$E235,999999)</f>
        <v>999999</v>
      </c>
      <c r="AT235">
        <f>IF($A235=20,$E235,999999)</f>
        <v>999999</v>
      </c>
      <c r="BA235">
        <f>MAX(0,MIN(CEILING((BF235+BG235)/2,1),BA234+IF('幕间与结算'!E34="体力",N('幕间与结算'!K34),0)))</f>
        <v>0</v>
      </c>
      <c r="BB235">
        <f>MAX(0,MIN(BJ235,BB234+IF('幕间与结算'!E34="毅力",N('幕间与结算'!K34),0)))</f>
        <v>0</v>
      </c>
      <c r="BC235">
        <f>MAX(0,MIN(99-BL235,BC234+IF('幕间与结算'!E34="理智",N('幕间与结算'!K34),0)))</f>
        <v>0</v>
      </c>
      <c r="BD235">
        <f>MAX(0,MIN(99,BD234+IF('幕间与结算'!E34="崩溃点",N('幕间与结算'!K34),0)))</f>
        <v>0</v>
      </c>
      <c r="BF235">
        <f>MAX(0,MIN(18,'幕间计算'!BF234+IF('幕间与结算'!E34="力量",N('幕间与结算'!K34),0)))</f>
        <v>0</v>
      </c>
      <c r="BG235">
        <f>MAX(0,MIN(18,'幕间计算'!BG234+IF('幕间与结算'!E34="体质",N('幕间与结算'!K34),0)))</f>
        <v>0</v>
      </c>
      <c r="BH235">
        <f>MAX(0,MIN(18,'幕间计算'!BH234+IF('幕间与结算'!E34="敏捷",N('幕间与结算'!K34),0)))</f>
        <v>0</v>
      </c>
      <c r="BI235">
        <f>MAX(0,MIN(18,'幕间计算'!BI234+IF('幕间与结算'!E34="智力",N('幕间与结算'!K34),0)))</f>
        <v>0</v>
      </c>
      <c r="BJ235">
        <f>MAX(0,MIN(18,'幕间计算'!BJ234+IF('幕间与结算'!E34="意志",N('幕间与结算'!K34),0)))</f>
        <v>0</v>
      </c>
      <c r="BK235">
        <f>MAX(0,MIN(18,'幕间计算'!BK234+IF('幕间与结算'!E34="魅力",N('幕间与结算'!K34),0)))</f>
        <v>0</v>
      </c>
      <c r="BL235">
        <f>MAX(0,MIN(99,'幕间计算'!BL234+IF('幕间与结算'!E34="技能：非自然知识",N('幕间与结算'!K34),0)))</f>
        <v>0</v>
      </c>
    </row>
    <row r="236">
      <c r="A236">
        <f>IFERROR(IF(AND(VALUE('幕间与结算'!B35)&gt;=1,VALUE('幕间与结算'!B35)&lt;=20),VALUE('幕间与结算'!B35),0),0)</f>
        <v>0</v>
      </c>
      <c r="B236">
        <f>IF(AND(A236&gt;0,'幕间与结算'!D35&lt;&gt;"",'幕间与结算'!J35="确认",ISNUMBER('幕间与结算'!K35),OR('幕间与结算'!G35="失败",'幕间与结算'!G35="大失败"),'幕间与结算'!H35="√",LEFT('幕间与结算'!E35,3)="技能：",'幕间与结算'!E35&lt;&gt;"技能：非自然知识",ISNUMBER('幕间与结算'!F35),'幕间与结算'!F35&gt;=1,'幕间与结算'!F35&lt;=99),1,0)</f>
        <v>0</v>
      </c>
      <c r="D236">
        <f>IF(AND('幕间与结算'!J35="确认",ISNUMBER('幕间与结算'!K35),'幕间与结算'!L35&lt;&gt;"",ISNUMBER('幕间与结算'!M35),'幕间与结算'!M35&gt;0,'幕间与结算'!M35&lt;=99),'幕间与结算'!M35,0)</f>
        <v>0</v>
      </c>
      <c r="E236">
        <f>IF(AND(B236=1,COUNTIFS($A$210:A236,A236,$B$210:B236,1,'幕间与结算'!$E$9:E35,'幕间与结算'!E35)=1),27,999999)</f>
        <v>999999</v>
      </c>
      <c r="F236">
        <v>35</v>
      </c>
      <c r="AA236">
        <f>IF($A236=1,$E236,999999)</f>
        <v>999999</v>
      </c>
      <c r="AB236">
        <f>IF($A236=2,$E236,999999)</f>
        <v>999999</v>
      </c>
      <c r="AC236">
        <f>IF($A236=3,$E236,999999)</f>
        <v>999999</v>
      </c>
      <c r="AD236">
        <f>IF($A236=4,$E236,999999)</f>
        <v>999999</v>
      </c>
      <c r="AE236">
        <f>IF($A236=5,$E236,999999)</f>
        <v>999999</v>
      </c>
      <c r="AF236">
        <f>IF($A236=6,$E236,999999)</f>
        <v>999999</v>
      </c>
      <c r="AG236">
        <f>IF($A236=7,$E236,999999)</f>
        <v>999999</v>
      </c>
      <c r="AH236">
        <f>IF($A236=8,$E236,999999)</f>
        <v>999999</v>
      </c>
      <c r="AI236">
        <f>IF($A236=9,$E236,999999)</f>
        <v>999999</v>
      </c>
      <c r="AJ236">
        <f>IF($A236=10,$E236,999999)</f>
        <v>999999</v>
      </c>
      <c r="AK236">
        <f>IF($A236=11,$E236,999999)</f>
        <v>999999</v>
      </c>
      <c r="AL236">
        <f>IF($A236=12,$E236,999999)</f>
        <v>999999</v>
      </c>
      <c r="AM236">
        <f>IF($A236=13,$E236,999999)</f>
        <v>999999</v>
      </c>
      <c r="AN236">
        <f>IF($A236=14,$E236,999999)</f>
        <v>999999</v>
      </c>
      <c r="AO236">
        <f>IF($A236=15,$E236,999999)</f>
        <v>999999</v>
      </c>
      <c r="AP236">
        <f>IF($A236=16,$E236,999999)</f>
        <v>999999</v>
      </c>
      <c r="AQ236">
        <f>IF($A236=17,$E236,999999)</f>
        <v>999999</v>
      </c>
      <c r="AR236">
        <f>IF($A236=18,$E236,999999)</f>
        <v>999999</v>
      </c>
      <c r="AS236">
        <f>IF($A236=19,$E236,999999)</f>
        <v>999999</v>
      </c>
      <c r="AT236">
        <f>IF($A236=20,$E236,999999)</f>
        <v>999999</v>
      </c>
      <c r="BA236">
        <f>MAX(0,MIN(CEILING((BF236+BG236)/2,1),BA235+IF('幕间与结算'!E35="体力",N('幕间与结算'!K35),0)))</f>
        <v>0</v>
      </c>
      <c r="BB236">
        <f>MAX(0,MIN(BJ236,BB235+IF('幕间与结算'!E35="毅力",N('幕间与结算'!K35),0)))</f>
        <v>0</v>
      </c>
      <c r="BC236">
        <f>MAX(0,MIN(99-BL236,BC235+IF('幕间与结算'!E35="理智",N('幕间与结算'!K35),0)))</f>
        <v>0</v>
      </c>
      <c r="BD236">
        <f>MAX(0,MIN(99,BD235+IF('幕间与结算'!E35="崩溃点",N('幕间与结算'!K35),0)))</f>
        <v>0</v>
      </c>
      <c r="BF236">
        <f>MAX(0,MIN(18,'幕间计算'!BF235+IF('幕间与结算'!E35="力量",N('幕间与结算'!K35),0)))</f>
        <v>0</v>
      </c>
      <c r="BG236">
        <f>MAX(0,MIN(18,'幕间计算'!BG235+IF('幕间与结算'!E35="体质",N('幕间与结算'!K35),0)))</f>
        <v>0</v>
      </c>
      <c r="BH236">
        <f>MAX(0,MIN(18,'幕间计算'!BH235+IF('幕间与结算'!E35="敏捷",N('幕间与结算'!K35),0)))</f>
        <v>0</v>
      </c>
      <c r="BI236">
        <f>MAX(0,MIN(18,'幕间计算'!BI235+IF('幕间与结算'!E35="智力",N('幕间与结算'!K35),0)))</f>
        <v>0</v>
      </c>
      <c r="BJ236">
        <f>MAX(0,MIN(18,'幕间计算'!BJ235+IF('幕间与结算'!E35="意志",N('幕间与结算'!K35),0)))</f>
        <v>0</v>
      </c>
      <c r="BK236">
        <f>MAX(0,MIN(18,'幕间计算'!BK235+IF('幕间与结算'!E35="魅力",N('幕间与结算'!K35),0)))</f>
        <v>0</v>
      </c>
      <c r="BL236">
        <f>MAX(0,MIN(99,'幕间计算'!BL235+IF('幕间与结算'!E35="技能：非自然知识",N('幕间与结算'!K35),0)))</f>
        <v>0</v>
      </c>
    </row>
    <row r="237">
      <c r="A237">
        <f>IFERROR(IF(AND(VALUE('幕间与结算'!B36)&gt;=1,VALUE('幕间与结算'!B36)&lt;=20),VALUE('幕间与结算'!B36),0),0)</f>
        <v>0</v>
      </c>
      <c r="B237">
        <f>IF(AND(A237&gt;0,'幕间与结算'!D36&lt;&gt;"",'幕间与结算'!J36="确认",ISNUMBER('幕间与结算'!K36),OR('幕间与结算'!G36="失败",'幕间与结算'!G36="大失败"),'幕间与结算'!H36="√",LEFT('幕间与结算'!E36,3)="技能：",'幕间与结算'!E36&lt;&gt;"技能：非自然知识",ISNUMBER('幕间与结算'!F36),'幕间与结算'!F36&gt;=1,'幕间与结算'!F36&lt;=99),1,0)</f>
        <v>0</v>
      </c>
      <c r="D237">
        <f>IF(AND('幕间与结算'!J36="确认",ISNUMBER('幕间与结算'!K36),'幕间与结算'!L36&lt;&gt;"",ISNUMBER('幕间与结算'!M36),'幕间与结算'!M36&gt;0,'幕间与结算'!M36&lt;=99),'幕间与结算'!M36,0)</f>
        <v>0</v>
      </c>
      <c r="E237">
        <f>IF(AND(B237=1,COUNTIFS($A$210:A237,A237,$B$210:B237,1,'幕间与结算'!$E$9:E36,'幕间与结算'!E36)=1),28,999999)</f>
        <v>999999</v>
      </c>
      <c r="F237">
        <v>36</v>
      </c>
      <c r="AA237">
        <f>IF($A237=1,$E237,999999)</f>
        <v>999999</v>
      </c>
      <c r="AB237">
        <f>IF($A237=2,$E237,999999)</f>
        <v>999999</v>
      </c>
      <c r="AC237">
        <f>IF($A237=3,$E237,999999)</f>
        <v>999999</v>
      </c>
      <c r="AD237">
        <f>IF($A237=4,$E237,999999)</f>
        <v>999999</v>
      </c>
      <c r="AE237">
        <f>IF($A237=5,$E237,999999)</f>
        <v>999999</v>
      </c>
      <c r="AF237">
        <f>IF($A237=6,$E237,999999)</f>
        <v>999999</v>
      </c>
      <c r="AG237">
        <f>IF($A237=7,$E237,999999)</f>
        <v>999999</v>
      </c>
      <c r="AH237">
        <f>IF($A237=8,$E237,999999)</f>
        <v>999999</v>
      </c>
      <c r="AI237">
        <f>IF($A237=9,$E237,999999)</f>
        <v>999999</v>
      </c>
      <c r="AJ237">
        <f>IF($A237=10,$E237,999999)</f>
        <v>999999</v>
      </c>
      <c r="AK237">
        <f>IF($A237=11,$E237,999999)</f>
        <v>999999</v>
      </c>
      <c r="AL237">
        <f>IF($A237=12,$E237,999999)</f>
        <v>999999</v>
      </c>
      <c r="AM237">
        <f>IF($A237=13,$E237,999999)</f>
        <v>999999</v>
      </c>
      <c r="AN237">
        <f>IF($A237=14,$E237,999999)</f>
        <v>999999</v>
      </c>
      <c r="AO237">
        <f>IF($A237=15,$E237,999999)</f>
        <v>999999</v>
      </c>
      <c r="AP237">
        <f>IF($A237=16,$E237,999999)</f>
        <v>999999</v>
      </c>
      <c r="AQ237">
        <f>IF($A237=17,$E237,999999)</f>
        <v>999999</v>
      </c>
      <c r="AR237">
        <f>IF($A237=18,$E237,999999)</f>
        <v>999999</v>
      </c>
      <c r="AS237">
        <f>IF($A237=19,$E237,999999)</f>
        <v>999999</v>
      </c>
      <c r="AT237">
        <f>IF($A237=20,$E237,999999)</f>
        <v>999999</v>
      </c>
      <c r="BA237">
        <f>MAX(0,MIN(CEILING((BF237+BG237)/2,1),BA236+IF('幕间与结算'!E36="体力",N('幕间与结算'!K36),0)))</f>
        <v>0</v>
      </c>
      <c r="BB237">
        <f>MAX(0,MIN(BJ237,BB236+IF('幕间与结算'!E36="毅力",N('幕间与结算'!K36),0)))</f>
        <v>0</v>
      </c>
      <c r="BC237">
        <f>MAX(0,MIN(99-BL237,BC236+IF('幕间与结算'!E36="理智",N('幕间与结算'!K36),0)))</f>
        <v>0</v>
      </c>
      <c r="BD237">
        <f>MAX(0,MIN(99,BD236+IF('幕间与结算'!E36="崩溃点",N('幕间与结算'!K36),0)))</f>
        <v>0</v>
      </c>
      <c r="BF237">
        <f>MAX(0,MIN(18,'幕间计算'!BF236+IF('幕间与结算'!E36="力量",N('幕间与结算'!K36),0)))</f>
        <v>0</v>
      </c>
      <c r="BG237">
        <f>MAX(0,MIN(18,'幕间计算'!BG236+IF('幕间与结算'!E36="体质",N('幕间与结算'!K36),0)))</f>
        <v>0</v>
      </c>
      <c r="BH237">
        <f>MAX(0,MIN(18,'幕间计算'!BH236+IF('幕间与结算'!E36="敏捷",N('幕间与结算'!K36),0)))</f>
        <v>0</v>
      </c>
      <c r="BI237">
        <f>MAX(0,MIN(18,'幕间计算'!BI236+IF('幕间与结算'!E36="智力",N('幕间与结算'!K36),0)))</f>
        <v>0</v>
      </c>
      <c r="BJ237">
        <f>MAX(0,MIN(18,'幕间计算'!BJ236+IF('幕间与结算'!E36="意志",N('幕间与结算'!K36),0)))</f>
        <v>0</v>
      </c>
      <c r="BK237">
        <f>MAX(0,MIN(18,'幕间计算'!BK236+IF('幕间与结算'!E36="魅力",N('幕间与结算'!K36),0)))</f>
        <v>0</v>
      </c>
      <c r="BL237">
        <f>MAX(0,MIN(99,'幕间计算'!BL236+IF('幕间与结算'!E36="技能：非自然知识",N('幕间与结算'!K36),0)))</f>
        <v>0</v>
      </c>
    </row>
    <row r="238">
      <c r="A238">
        <f>IFERROR(IF(AND(VALUE('幕间与结算'!B37)&gt;=1,VALUE('幕间与结算'!B37)&lt;=20),VALUE('幕间与结算'!B37),0),0)</f>
        <v>0</v>
      </c>
      <c r="B238">
        <f>IF(AND(A238&gt;0,'幕间与结算'!D37&lt;&gt;"",'幕间与结算'!J37="确认",ISNUMBER('幕间与结算'!K37),OR('幕间与结算'!G37="失败",'幕间与结算'!G37="大失败"),'幕间与结算'!H37="√",LEFT('幕间与结算'!E37,3)="技能：",'幕间与结算'!E37&lt;&gt;"技能：非自然知识",ISNUMBER('幕间与结算'!F37),'幕间与结算'!F37&gt;=1,'幕间与结算'!F37&lt;=99),1,0)</f>
        <v>0</v>
      </c>
      <c r="D238">
        <f>IF(AND('幕间与结算'!J37="确认",ISNUMBER('幕间与结算'!K37),'幕间与结算'!L37&lt;&gt;"",ISNUMBER('幕间与结算'!M37),'幕间与结算'!M37&gt;0,'幕间与结算'!M37&lt;=99),'幕间与结算'!M37,0)</f>
        <v>0</v>
      </c>
      <c r="E238">
        <f>IF(AND(B238=1,COUNTIFS($A$210:A238,A238,$B$210:B238,1,'幕间与结算'!$E$9:E37,'幕间与结算'!E37)=1),29,999999)</f>
        <v>999999</v>
      </c>
      <c r="F238">
        <v>37</v>
      </c>
      <c r="AA238">
        <f>IF($A238=1,$E238,999999)</f>
        <v>999999</v>
      </c>
      <c r="AB238">
        <f>IF($A238=2,$E238,999999)</f>
        <v>999999</v>
      </c>
      <c r="AC238">
        <f>IF($A238=3,$E238,999999)</f>
        <v>999999</v>
      </c>
      <c r="AD238">
        <f>IF($A238=4,$E238,999999)</f>
        <v>999999</v>
      </c>
      <c r="AE238">
        <f>IF($A238=5,$E238,999999)</f>
        <v>999999</v>
      </c>
      <c r="AF238">
        <f>IF($A238=6,$E238,999999)</f>
        <v>999999</v>
      </c>
      <c r="AG238">
        <f>IF($A238=7,$E238,999999)</f>
        <v>999999</v>
      </c>
      <c r="AH238">
        <f>IF($A238=8,$E238,999999)</f>
        <v>999999</v>
      </c>
      <c r="AI238">
        <f>IF($A238=9,$E238,999999)</f>
        <v>999999</v>
      </c>
      <c r="AJ238">
        <f>IF($A238=10,$E238,999999)</f>
        <v>999999</v>
      </c>
      <c r="AK238">
        <f>IF($A238=11,$E238,999999)</f>
        <v>999999</v>
      </c>
      <c r="AL238">
        <f>IF($A238=12,$E238,999999)</f>
        <v>999999</v>
      </c>
      <c r="AM238">
        <f>IF($A238=13,$E238,999999)</f>
        <v>999999</v>
      </c>
      <c r="AN238">
        <f>IF($A238=14,$E238,999999)</f>
        <v>999999</v>
      </c>
      <c r="AO238">
        <f>IF($A238=15,$E238,999999)</f>
        <v>999999</v>
      </c>
      <c r="AP238">
        <f>IF($A238=16,$E238,999999)</f>
        <v>999999</v>
      </c>
      <c r="AQ238">
        <f>IF($A238=17,$E238,999999)</f>
        <v>999999</v>
      </c>
      <c r="AR238">
        <f>IF($A238=18,$E238,999999)</f>
        <v>999999</v>
      </c>
      <c r="AS238">
        <f>IF($A238=19,$E238,999999)</f>
        <v>999999</v>
      </c>
      <c r="AT238">
        <f>IF($A238=20,$E238,999999)</f>
        <v>999999</v>
      </c>
      <c r="BA238">
        <f>MAX(0,MIN(CEILING((BF238+BG238)/2,1),BA237+IF('幕间与结算'!E37="体力",N('幕间与结算'!K37),0)))</f>
        <v>0</v>
      </c>
      <c r="BB238">
        <f>MAX(0,MIN(BJ238,BB237+IF('幕间与结算'!E37="毅力",N('幕间与结算'!K37),0)))</f>
        <v>0</v>
      </c>
      <c r="BC238">
        <f>MAX(0,MIN(99-BL238,BC237+IF('幕间与结算'!E37="理智",N('幕间与结算'!K37),0)))</f>
        <v>0</v>
      </c>
      <c r="BD238">
        <f>MAX(0,MIN(99,BD237+IF('幕间与结算'!E37="崩溃点",N('幕间与结算'!K37),0)))</f>
        <v>0</v>
      </c>
      <c r="BF238">
        <f>MAX(0,MIN(18,'幕间计算'!BF237+IF('幕间与结算'!E37="力量",N('幕间与结算'!K37),0)))</f>
        <v>0</v>
      </c>
      <c r="BG238">
        <f>MAX(0,MIN(18,'幕间计算'!BG237+IF('幕间与结算'!E37="体质",N('幕间与结算'!K37),0)))</f>
        <v>0</v>
      </c>
      <c r="BH238">
        <f>MAX(0,MIN(18,'幕间计算'!BH237+IF('幕间与结算'!E37="敏捷",N('幕间与结算'!K37),0)))</f>
        <v>0</v>
      </c>
      <c r="BI238">
        <f>MAX(0,MIN(18,'幕间计算'!BI237+IF('幕间与结算'!E37="智力",N('幕间与结算'!K37),0)))</f>
        <v>0</v>
      </c>
      <c r="BJ238">
        <f>MAX(0,MIN(18,'幕间计算'!BJ237+IF('幕间与结算'!E37="意志",N('幕间与结算'!K37),0)))</f>
        <v>0</v>
      </c>
      <c r="BK238">
        <f>MAX(0,MIN(18,'幕间计算'!BK237+IF('幕间与结算'!E37="魅力",N('幕间与结算'!K37),0)))</f>
        <v>0</v>
      </c>
      <c r="BL238">
        <f>MAX(0,MIN(99,'幕间计算'!BL237+IF('幕间与结算'!E37="技能：非自然知识",N('幕间与结算'!K37),0)))</f>
        <v>0</v>
      </c>
    </row>
    <row r="239">
      <c r="A239">
        <f>IFERROR(IF(AND(VALUE('幕间与结算'!B38)&gt;=1,VALUE('幕间与结算'!B38)&lt;=20),VALUE('幕间与结算'!B38),0),0)</f>
        <v>0</v>
      </c>
      <c r="B239">
        <f>IF(AND(A239&gt;0,'幕间与结算'!D38&lt;&gt;"",'幕间与结算'!J38="确认",ISNUMBER('幕间与结算'!K38),OR('幕间与结算'!G38="失败",'幕间与结算'!G38="大失败"),'幕间与结算'!H38="√",LEFT('幕间与结算'!E38,3)="技能：",'幕间与结算'!E38&lt;&gt;"技能：非自然知识",ISNUMBER('幕间与结算'!F38),'幕间与结算'!F38&gt;=1,'幕间与结算'!F38&lt;=99),1,0)</f>
        <v>0</v>
      </c>
      <c r="D239">
        <f>IF(AND('幕间与结算'!J38="确认",ISNUMBER('幕间与结算'!K38),'幕间与结算'!L38&lt;&gt;"",ISNUMBER('幕间与结算'!M38),'幕间与结算'!M38&gt;0,'幕间与结算'!M38&lt;=99),'幕间与结算'!M38,0)</f>
        <v>0</v>
      </c>
      <c r="E239">
        <f>IF(AND(B239=1,COUNTIFS($A$210:A239,A239,$B$210:B239,1,'幕间与结算'!$E$9:E38,'幕间与结算'!E38)=1),30,999999)</f>
        <v>999999</v>
      </c>
      <c r="F239">
        <v>38</v>
      </c>
      <c r="AA239">
        <f>IF($A239=1,$E239,999999)</f>
        <v>999999</v>
      </c>
      <c r="AB239">
        <f>IF($A239=2,$E239,999999)</f>
        <v>999999</v>
      </c>
      <c r="AC239">
        <f>IF($A239=3,$E239,999999)</f>
        <v>999999</v>
      </c>
      <c r="AD239">
        <f>IF($A239=4,$E239,999999)</f>
        <v>999999</v>
      </c>
      <c r="AE239">
        <f>IF($A239=5,$E239,999999)</f>
        <v>999999</v>
      </c>
      <c r="AF239">
        <f>IF($A239=6,$E239,999999)</f>
        <v>999999</v>
      </c>
      <c r="AG239">
        <f>IF($A239=7,$E239,999999)</f>
        <v>999999</v>
      </c>
      <c r="AH239">
        <f>IF($A239=8,$E239,999999)</f>
        <v>999999</v>
      </c>
      <c r="AI239">
        <f>IF($A239=9,$E239,999999)</f>
        <v>999999</v>
      </c>
      <c r="AJ239">
        <f>IF($A239=10,$E239,999999)</f>
        <v>999999</v>
      </c>
      <c r="AK239">
        <f>IF($A239=11,$E239,999999)</f>
        <v>999999</v>
      </c>
      <c r="AL239">
        <f>IF($A239=12,$E239,999999)</f>
        <v>999999</v>
      </c>
      <c r="AM239">
        <f>IF($A239=13,$E239,999999)</f>
        <v>999999</v>
      </c>
      <c r="AN239">
        <f>IF($A239=14,$E239,999999)</f>
        <v>999999</v>
      </c>
      <c r="AO239">
        <f>IF($A239=15,$E239,999999)</f>
        <v>999999</v>
      </c>
      <c r="AP239">
        <f>IF($A239=16,$E239,999999)</f>
        <v>999999</v>
      </c>
      <c r="AQ239">
        <f>IF($A239=17,$E239,999999)</f>
        <v>999999</v>
      </c>
      <c r="AR239">
        <f>IF($A239=18,$E239,999999)</f>
        <v>999999</v>
      </c>
      <c r="AS239">
        <f>IF($A239=19,$E239,999999)</f>
        <v>999999</v>
      </c>
      <c r="AT239">
        <f>IF($A239=20,$E239,999999)</f>
        <v>999999</v>
      </c>
      <c r="BA239">
        <f>MAX(0,MIN(CEILING((BF239+BG239)/2,1),BA238+IF('幕间与结算'!E38="体力",N('幕间与结算'!K38),0)))</f>
        <v>0</v>
      </c>
      <c r="BB239">
        <f>MAX(0,MIN(BJ239,BB238+IF('幕间与结算'!E38="毅力",N('幕间与结算'!K38),0)))</f>
        <v>0</v>
      </c>
      <c r="BC239">
        <f>MAX(0,MIN(99-BL239,BC238+IF('幕间与结算'!E38="理智",N('幕间与结算'!K38),0)))</f>
        <v>0</v>
      </c>
      <c r="BD239">
        <f>MAX(0,MIN(99,BD238+IF('幕间与结算'!E38="崩溃点",N('幕间与结算'!K38),0)))</f>
        <v>0</v>
      </c>
      <c r="BF239">
        <f>MAX(0,MIN(18,'幕间计算'!BF238+IF('幕间与结算'!E38="力量",N('幕间与结算'!K38),0)))</f>
        <v>0</v>
      </c>
      <c r="BG239">
        <f>MAX(0,MIN(18,'幕间计算'!BG238+IF('幕间与结算'!E38="体质",N('幕间与结算'!K38),0)))</f>
        <v>0</v>
      </c>
      <c r="BH239">
        <f>MAX(0,MIN(18,'幕间计算'!BH238+IF('幕间与结算'!E38="敏捷",N('幕间与结算'!K38),0)))</f>
        <v>0</v>
      </c>
      <c r="BI239">
        <f>MAX(0,MIN(18,'幕间计算'!BI238+IF('幕间与结算'!E38="智力",N('幕间与结算'!K38),0)))</f>
        <v>0</v>
      </c>
      <c r="BJ239">
        <f>MAX(0,MIN(18,'幕间计算'!BJ238+IF('幕间与结算'!E38="意志",N('幕间与结算'!K38),0)))</f>
        <v>0</v>
      </c>
      <c r="BK239">
        <f>MAX(0,MIN(18,'幕间计算'!BK238+IF('幕间与结算'!E38="魅力",N('幕间与结算'!K38),0)))</f>
        <v>0</v>
      </c>
      <c r="BL239">
        <f>MAX(0,MIN(99,'幕间计算'!BL238+IF('幕间与结算'!E38="技能：非自然知识",N('幕间与结算'!K38),0)))</f>
        <v>0</v>
      </c>
    </row>
    <row r="240">
      <c r="A240">
        <f>IFERROR(IF(AND(VALUE('幕间与结算'!B39)&gt;=1,VALUE('幕间与结算'!B39)&lt;=20),VALUE('幕间与结算'!B39),0),0)</f>
        <v>0</v>
      </c>
      <c r="B240">
        <f>IF(AND(A240&gt;0,'幕间与结算'!D39&lt;&gt;"",'幕间与结算'!J39="确认",ISNUMBER('幕间与结算'!K39),OR('幕间与结算'!G39="失败",'幕间与结算'!G39="大失败"),'幕间与结算'!H39="√",LEFT('幕间与结算'!E39,3)="技能：",'幕间与结算'!E39&lt;&gt;"技能：非自然知识",ISNUMBER('幕间与结算'!F39),'幕间与结算'!F39&gt;=1,'幕间与结算'!F39&lt;=99),1,0)</f>
        <v>0</v>
      </c>
      <c r="D240">
        <f>IF(AND('幕间与结算'!J39="确认",ISNUMBER('幕间与结算'!K39),'幕间与结算'!L39&lt;&gt;"",ISNUMBER('幕间与结算'!M39),'幕间与结算'!M39&gt;0,'幕间与结算'!M39&lt;=99),'幕间与结算'!M39,0)</f>
        <v>0</v>
      </c>
      <c r="E240">
        <f>IF(AND(B240=1,COUNTIFS($A$210:A240,A240,$B$210:B240,1,'幕间与结算'!$E$9:E39,'幕间与结算'!E39)=1),31,999999)</f>
        <v>999999</v>
      </c>
      <c r="F240">
        <v>39</v>
      </c>
      <c r="AA240">
        <f>IF($A240=1,$E240,999999)</f>
        <v>999999</v>
      </c>
      <c r="AB240">
        <f>IF($A240=2,$E240,999999)</f>
        <v>999999</v>
      </c>
      <c r="AC240">
        <f>IF($A240=3,$E240,999999)</f>
        <v>999999</v>
      </c>
      <c r="AD240">
        <f>IF($A240=4,$E240,999999)</f>
        <v>999999</v>
      </c>
      <c r="AE240">
        <f>IF($A240=5,$E240,999999)</f>
        <v>999999</v>
      </c>
      <c r="AF240">
        <f>IF($A240=6,$E240,999999)</f>
        <v>999999</v>
      </c>
      <c r="AG240">
        <f>IF($A240=7,$E240,999999)</f>
        <v>999999</v>
      </c>
      <c r="AH240">
        <f>IF($A240=8,$E240,999999)</f>
        <v>999999</v>
      </c>
      <c r="AI240">
        <f>IF($A240=9,$E240,999999)</f>
        <v>999999</v>
      </c>
      <c r="AJ240">
        <f>IF($A240=10,$E240,999999)</f>
        <v>999999</v>
      </c>
      <c r="AK240">
        <f>IF($A240=11,$E240,999999)</f>
        <v>999999</v>
      </c>
      <c r="AL240">
        <f>IF($A240=12,$E240,999999)</f>
        <v>999999</v>
      </c>
      <c r="AM240">
        <f>IF($A240=13,$E240,999999)</f>
        <v>999999</v>
      </c>
      <c r="AN240">
        <f>IF($A240=14,$E240,999999)</f>
        <v>999999</v>
      </c>
      <c r="AO240">
        <f>IF($A240=15,$E240,999999)</f>
        <v>999999</v>
      </c>
      <c r="AP240">
        <f>IF($A240=16,$E240,999999)</f>
        <v>999999</v>
      </c>
      <c r="AQ240">
        <f>IF($A240=17,$E240,999999)</f>
        <v>999999</v>
      </c>
      <c r="AR240">
        <f>IF($A240=18,$E240,999999)</f>
        <v>999999</v>
      </c>
      <c r="AS240">
        <f>IF($A240=19,$E240,999999)</f>
        <v>999999</v>
      </c>
      <c r="AT240">
        <f>IF($A240=20,$E240,999999)</f>
        <v>999999</v>
      </c>
      <c r="BA240">
        <f>MAX(0,MIN(CEILING((BF240+BG240)/2,1),BA239+IF('幕间与结算'!E39="体力",N('幕间与结算'!K39),0)))</f>
        <v>0</v>
      </c>
      <c r="BB240">
        <f>MAX(0,MIN(BJ240,BB239+IF('幕间与结算'!E39="毅力",N('幕间与结算'!K39),0)))</f>
        <v>0</v>
      </c>
      <c r="BC240">
        <f>MAX(0,MIN(99-BL240,BC239+IF('幕间与结算'!E39="理智",N('幕间与结算'!K39),0)))</f>
        <v>0</v>
      </c>
      <c r="BD240">
        <f>MAX(0,MIN(99,BD239+IF('幕间与结算'!E39="崩溃点",N('幕间与结算'!K39),0)))</f>
        <v>0</v>
      </c>
      <c r="BF240">
        <f>MAX(0,MIN(18,'幕间计算'!BF239+IF('幕间与结算'!E39="力量",N('幕间与结算'!K39),0)))</f>
        <v>0</v>
      </c>
      <c r="BG240">
        <f>MAX(0,MIN(18,'幕间计算'!BG239+IF('幕间与结算'!E39="体质",N('幕间与结算'!K39),0)))</f>
        <v>0</v>
      </c>
      <c r="BH240">
        <f>MAX(0,MIN(18,'幕间计算'!BH239+IF('幕间与结算'!E39="敏捷",N('幕间与结算'!K39),0)))</f>
        <v>0</v>
      </c>
      <c r="BI240">
        <f>MAX(0,MIN(18,'幕间计算'!BI239+IF('幕间与结算'!E39="智力",N('幕间与结算'!K39),0)))</f>
        <v>0</v>
      </c>
      <c r="BJ240">
        <f>MAX(0,MIN(18,'幕间计算'!BJ239+IF('幕间与结算'!E39="意志",N('幕间与结算'!K39),0)))</f>
        <v>0</v>
      </c>
      <c r="BK240">
        <f>MAX(0,MIN(18,'幕间计算'!BK239+IF('幕间与结算'!E39="魅力",N('幕间与结算'!K39),0)))</f>
        <v>0</v>
      </c>
      <c r="BL240">
        <f>MAX(0,MIN(99,'幕间计算'!BL239+IF('幕间与结算'!E39="技能：非自然知识",N('幕间与结算'!K39),0)))</f>
        <v>0</v>
      </c>
    </row>
    <row r="241">
      <c r="A241">
        <f>IFERROR(IF(AND(VALUE('幕间与结算'!B40)&gt;=1,VALUE('幕间与结算'!B40)&lt;=20),VALUE('幕间与结算'!B40),0),0)</f>
        <v>0</v>
      </c>
      <c r="B241">
        <f>IF(AND(A241&gt;0,'幕间与结算'!D40&lt;&gt;"",'幕间与结算'!J40="确认",ISNUMBER('幕间与结算'!K40),OR('幕间与结算'!G40="失败",'幕间与结算'!G40="大失败"),'幕间与结算'!H40="√",LEFT('幕间与结算'!E40,3)="技能：",'幕间与结算'!E40&lt;&gt;"技能：非自然知识",ISNUMBER('幕间与结算'!F40),'幕间与结算'!F40&gt;=1,'幕间与结算'!F40&lt;=99),1,0)</f>
        <v>0</v>
      </c>
      <c r="D241">
        <f>IF(AND('幕间与结算'!J40="确认",ISNUMBER('幕间与结算'!K40),'幕间与结算'!L40&lt;&gt;"",ISNUMBER('幕间与结算'!M40),'幕间与结算'!M40&gt;0,'幕间与结算'!M40&lt;=99),'幕间与结算'!M40,0)</f>
        <v>0</v>
      </c>
      <c r="E241">
        <f>IF(AND(B241=1,COUNTIFS($A$210:A241,A241,$B$210:B241,1,'幕间与结算'!$E$9:E40,'幕间与结算'!E40)=1),32,999999)</f>
        <v>999999</v>
      </c>
      <c r="F241">
        <v>40</v>
      </c>
      <c r="AA241">
        <f>IF($A241=1,$E241,999999)</f>
        <v>999999</v>
      </c>
      <c r="AB241">
        <f>IF($A241=2,$E241,999999)</f>
        <v>999999</v>
      </c>
      <c r="AC241">
        <f>IF($A241=3,$E241,999999)</f>
        <v>999999</v>
      </c>
      <c r="AD241">
        <f>IF($A241=4,$E241,999999)</f>
        <v>999999</v>
      </c>
      <c r="AE241">
        <f>IF($A241=5,$E241,999999)</f>
        <v>999999</v>
      </c>
      <c r="AF241">
        <f>IF($A241=6,$E241,999999)</f>
        <v>999999</v>
      </c>
      <c r="AG241">
        <f>IF($A241=7,$E241,999999)</f>
        <v>999999</v>
      </c>
      <c r="AH241">
        <f>IF($A241=8,$E241,999999)</f>
        <v>999999</v>
      </c>
      <c r="AI241">
        <f>IF($A241=9,$E241,999999)</f>
        <v>999999</v>
      </c>
      <c r="AJ241">
        <f>IF($A241=10,$E241,999999)</f>
        <v>999999</v>
      </c>
      <c r="AK241">
        <f>IF($A241=11,$E241,999999)</f>
        <v>999999</v>
      </c>
      <c r="AL241">
        <f>IF($A241=12,$E241,999999)</f>
        <v>999999</v>
      </c>
      <c r="AM241">
        <f>IF($A241=13,$E241,999999)</f>
        <v>999999</v>
      </c>
      <c r="AN241">
        <f>IF($A241=14,$E241,999999)</f>
        <v>999999</v>
      </c>
      <c r="AO241">
        <f>IF($A241=15,$E241,999999)</f>
        <v>999999</v>
      </c>
      <c r="AP241">
        <f>IF($A241=16,$E241,999999)</f>
        <v>999999</v>
      </c>
      <c r="AQ241">
        <f>IF($A241=17,$E241,999999)</f>
        <v>999999</v>
      </c>
      <c r="AR241">
        <f>IF($A241=18,$E241,999999)</f>
        <v>999999</v>
      </c>
      <c r="AS241">
        <f>IF($A241=19,$E241,999999)</f>
        <v>999999</v>
      </c>
      <c r="AT241">
        <f>IF($A241=20,$E241,999999)</f>
        <v>999999</v>
      </c>
      <c r="BA241">
        <f>MAX(0,MIN(CEILING((BF241+BG241)/2,1),BA240+IF('幕间与结算'!E40="体力",N('幕间与结算'!K40),0)))</f>
        <v>0</v>
      </c>
      <c r="BB241">
        <f>MAX(0,MIN(BJ241,BB240+IF('幕间与结算'!E40="毅力",N('幕间与结算'!K40),0)))</f>
        <v>0</v>
      </c>
      <c r="BC241">
        <f>MAX(0,MIN(99-BL241,BC240+IF('幕间与结算'!E40="理智",N('幕间与结算'!K40),0)))</f>
        <v>0</v>
      </c>
      <c r="BD241">
        <f>MAX(0,MIN(99,BD240+IF('幕间与结算'!E40="崩溃点",N('幕间与结算'!K40),0)))</f>
        <v>0</v>
      </c>
      <c r="BF241">
        <f>MAX(0,MIN(18,'幕间计算'!BF240+IF('幕间与结算'!E40="力量",N('幕间与结算'!K40),0)))</f>
        <v>0</v>
      </c>
      <c r="BG241">
        <f>MAX(0,MIN(18,'幕间计算'!BG240+IF('幕间与结算'!E40="体质",N('幕间与结算'!K40),0)))</f>
        <v>0</v>
      </c>
      <c r="BH241">
        <f>MAX(0,MIN(18,'幕间计算'!BH240+IF('幕间与结算'!E40="敏捷",N('幕间与结算'!K40),0)))</f>
        <v>0</v>
      </c>
      <c r="BI241">
        <f>MAX(0,MIN(18,'幕间计算'!BI240+IF('幕间与结算'!E40="智力",N('幕间与结算'!K40),0)))</f>
        <v>0</v>
      </c>
      <c r="BJ241">
        <f>MAX(0,MIN(18,'幕间计算'!BJ240+IF('幕间与结算'!E40="意志",N('幕间与结算'!K40),0)))</f>
        <v>0</v>
      </c>
      <c r="BK241">
        <f>MAX(0,MIN(18,'幕间计算'!BK240+IF('幕间与结算'!E40="魅力",N('幕间与结算'!K40),0)))</f>
        <v>0</v>
      </c>
      <c r="BL241">
        <f>MAX(0,MIN(99,'幕间计算'!BL240+IF('幕间与结算'!E40="技能：非自然知识",N('幕间与结算'!K40),0)))</f>
        <v>0</v>
      </c>
    </row>
    <row r="242">
      <c r="A242">
        <f>IFERROR(IF(AND(VALUE('幕间与结算'!B41)&gt;=1,VALUE('幕间与结算'!B41)&lt;=20),VALUE('幕间与结算'!B41),0),0)</f>
        <v>0</v>
      </c>
      <c r="B242">
        <f>IF(AND(A242&gt;0,'幕间与结算'!D41&lt;&gt;"",'幕间与结算'!J41="确认",ISNUMBER('幕间与结算'!K41),OR('幕间与结算'!G41="失败",'幕间与结算'!G41="大失败"),'幕间与结算'!H41="√",LEFT('幕间与结算'!E41,3)="技能：",'幕间与结算'!E41&lt;&gt;"技能：非自然知识",ISNUMBER('幕间与结算'!F41),'幕间与结算'!F41&gt;=1,'幕间与结算'!F41&lt;=99),1,0)</f>
        <v>0</v>
      </c>
      <c r="D242">
        <f>IF(AND('幕间与结算'!J41="确认",ISNUMBER('幕间与结算'!K41),'幕间与结算'!L41&lt;&gt;"",ISNUMBER('幕间与结算'!M41),'幕间与结算'!M41&gt;0,'幕间与结算'!M41&lt;=99),'幕间与结算'!M41,0)</f>
        <v>0</v>
      </c>
      <c r="E242">
        <f>IF(AND(B242=1,COUNTIFS($A$210:A242,A242,$B$210:B242,1,'幕间与结算'!$E$9:E41,'幕间与结算'!E41)=1),33,999999)</f>
        <v>999999</v>
      </c>
      <c r="F242">
        <v>41</v>
      </c>
      <c r="AA242">
        <f>IF($A242=1,$E242,999999)</f>
        <v>999999</v>
      </c>
      <c r="AB242">
        <f>IF($A242=2,$E242,999999)</f>
        <v>999999</v>
      </c>
      <c r="AC242">
        <f>IF($A242=3,$E242,999999)</f>
        <v>999999</v>
      </c>
      <c r="AD242">
        <f>IF($A242=4,$E242,999999)</f>
        <v>999999</v>
      </c>
      <c r="AE242">
        <f>IF($A242=5,$E242,999999)</f>
        <v>999999</v>
      </c>
      <c r="AF242">
        <f>IF($A242=6,$E242,999999)</f>
        <v>999999</v>
      </c>
      <c r="AG242">
        <f>IF($A242=7,$E242,999999)</f>
        <v>999999</v>
      </c>
      <c r="AH242">
        <f>IF($A242=8,$E242,999999)</f>
        <v>999999</v>
      </c>
      <c r="AI242">
        <f>IF($A242=9,$E242,999999)</f>
        <v>999999</v>
      </c>
      <c r="AJ242">
        <f>IF($A242=10,$E242,999999)</f>
        <v>999999</v>
      </c>
      <c r="AK242">
        <f>IF($A242=11,$E242,999999)</f>
        <v>999999</v>
      </c>
      <c r="AL242">
        <f>IF($A242=12,$E242,999999)</f>
        <v>999999</v>
      </c>
      <c r="AM242">
        <f>IF($A242=13,$E242,999999)</f>
        <v>999999</v>
      </c>
      <c r="AN242">
        <f>IF($A242=14,$E242,999999)</f>
        <v>999999</v>
      </c>
      <c r="AO242">
        <f>IF($A242=15,$E242,999999)</f>
        <v>999999</v>
      </c>
      <c r="AP242">
        <f>IF($A242=16,$E242,999999)</f>
        <v>999999</v>
      </c>
      <c r="AQ242">
        <f>IF($A242=17,$E242,999999)</f>
        <v>999999</v>
      </c>
      <c r="AR242">
        <f>IF($A242=18,$E242,999999)</f>
        <v>999999</v>
      </c>
      <c r="AS242">
        <f>IF($A242=19,$E242,999999)</f>
        <v>999999</v>
      </c>
      <c r="AT242">
        <f>IF($A242=20,$E242,999999)</f>
        <v>999999</v>
      </c>
      <c r="BA242">
        <f>MAX(0,MIN(CEILING((BF242+BG242)/2,1),BA241+IF('幕间与结算'!E41="体力",N('幕间与结算'!K41),0)))</f>
        <v>0</v>
      </c>
      <c r="BB242">
        <f>MAX(0,MIN(BJ242,BB241+IF('幕间与结算'!E41="毅力",N('幕间与结算'!K41),0)))</f>
        <v>0</v>
      </c>
      <c r="BC242">
        <f>MAX(0,MIN(99-BL242,BC241+IF('幕间与结算'!E41="理智",N('幕间与结算'!K41),0)))</f>
        <v>0</v>
      </c>
      <c r="BD242">
        <f>MAX(0,MIN(99,BD241+IF('幕间与结算'!E41="崩溃点",N('幕间与结算'!K41),0)))</f>
        <v>0</v>
      </c>
      <c r="BF242">
        <f>MAX(0,MIN(18,'幕间计算'!BF241+IF('幕间与结算'!E41="力量",N('幕间与结算'!K41),0)))</f>
        <v>0</v>
      </c>
      <c r="BG242">
        <f>MAX(0,MIN(18,'幕间计算'!BG241+IF('幕间与结算'!E41="体质",N('幕间与结算'!K41),0)))</f>
        <v>0</v>
      </c>
      <c r="BH242">
        <f>MAX(0,MIN(18,'幕间计算'!BH241+IF('幕间与结算'!E41="敏捷",N('幕间与结算'!K41),0)))</f>
        <v>0</v>
      </c>
      <c r="BI242">
        <f>MAX(0,MIN(18,'幕间计算'!BI241+IF('幕间与结算'!E41="智力",N('幕间与结算'!K41),0)))</f>
        <v>0</v>
      </c>
      <c r="BJ242">
        <f>MAX(0,MIN(18,'幕间计算'!BJ241+IF('幕间与结算'!E41="意志",N('幕间与结算'!K41),0)))</f>
        <v>0</v>
      </c>
      <c r="BK242">
        <f>MAX(0,MIN(18,'幕间计算'!BK241+IF('幕间与结算'!E41="魅力",N('幕间与结算'!K41),0)))</f>
        <v>0</v>
      </c>
      <c r="BL242">
        <f>MAX(0,MIN(99,'幕间计算'!BL241+IF('幕间与结算'!E41="技能：非自然知识",N('幕间与结算'!K41),0)))</f>
        <v>0</v>
      </c>
    </row>
    <row r="243">
      <c r="A243">
        <f>IFERROR(IF(AND(VALUE('幕间与结算'!B42)&gt;=1,VALUE('幕间与结算'!B42)&lt;=20),VALUE('幕间与结算'!B42),0),0)</f>
        <v>0</v>
      </c>
      <c r="B243">
        <f>IF(AND(A243&gt;0,'幕间与结算'!D42&lt;&gt;"",'幕间与结算'!J42="确认",ISNUMBER('幕间与结算'!K42),OR('幕间与结算'!G42="失败",'幕间与结算'!G42="大失败"),'幕间与结算'!H42="√",LEFT('幕间与结算'!E42,3)="技能：",'幕间与结算'!E42&lt;&gt;"技能：非自然知识",ISNUMBER('幕间与结算'!F42),'幕间与结算'!F42&gt;=1,'幕间与结算'!F42&lt;=99),1,0)</f>
        <v>0</v>
      </c>
      <c r="D243">
        <f>IF(AND('幕间与结算'!J42="确认",ISNUMBER('幕间与结算'!K42),'幕间与结算'!L42&lt;&gt;"",ISNUMBER('幕间与结算'!M42),'幕间与结算'!M42&gt;0,'幕间与结算'!M42&lt;=99),'幕间与结算'!M42,0)</f>
        <v>0</v>
      </c>
      <c r="E243">
        <f>IF(AND(B243=1,COUNTIFS($A$210:A243,A243,$B$210:B243,1,'幕间与结算'!$E$9:E42,'幕间与结算'!E42)=1),34,999999)</f>
        <v>999999</v>
      </c>
      <c r="F243">
        <v>42</v>
      </c>
      <c r="AA243">
        <f>IF($A243=1,$E243,999999)</f>
        <v>999999</v>
      </c>
      <c r="AB243">
        <f>IF($A243=2,$E243,999999)</f>
        <v>999999</v>
      </c>
      <c r="AC243">
        <f>IF($A243=3,$E243,999999)</f>
        <v>999999</v>
      </c>
      <c r="AD243">
        <f>IF($A243=4,$E243,999999)</f>
        <v>999999</v>
      </c>
      <c r="AE243">
        <f>IF($A243=5,$E243,999999)</f>
        <v>999999</v>
      </c>
      <c r="AF243">
        <f>IF($A243=6,$E243,999999)</f>
        <v>999999</v>
      </c>
      <c r="AG243">
        <f>IF($A243=7,$E243,999999)</f>
        <v>999999</v>
      </c>
      <c r="AH243">
        <f>IF($A243=8,$E243,999999)</f>
        <v>999999</v>
      </c>
      <c r="AI243">
        <f>IF($A243=9,$E243,999999)</f>
        <v>999999</v>
      </c>
      <c r="AJ243">
        <f>IF($A243=10,$E243,999999)</f>
        <v>999999</v>
      </c>
      <c r="AK243">
        <f>IF($A243=11,$E243,999999)</f>
        <v>999999</v>
      </c>
      <c r="AL243">
        <f>IF($A243=12,$E243,999999)</f>
        <v>999999</v>
      </c>
      <c r="AM243">
        <f>IF($A243=13,$E243,999999)</f>
        <v>999999</v>
      </c>
      <c r="AN243">
        <f>IF($A243=14,$E243,999999)</f>
        <v>999999</v>
      </c>
      <c r="AO243">
        <f>IF($A243=15,$E243,999999)</f>
        <v>999999</v>
      </c>
      <c r="AP243">
        <f>IF($A243=16,$E243,999999)</f>
        <v>999999</v>
      </c>
      <c r="AQ243">
        <f>IF($A243=17,$E243,999999)</f>
        <v>999999</v>
      </c>
      <c r="AR243">
        <f>IF($A243=18,$E243,999999)</f>
        <v>999999</v>
      </c>
      <c r="AS243">
        <f>IF($A243=19,$E243,999999)</f>
        <v>999999</v>
      </c>
      <c r="AT243">
        <f>IF($A243=20,$E243,999999)</f>
        <v>999999</v>
      </c>
      <c r="BA243">
        <f>MAX(0,MIN(CEILING((BF243+BG243)/2,1),BA242+IF('幕间与结算'!E42="体力",N('幕间与结算'!K42),0)))</f>
        <v>0</v>
      </c>
      <c r="BB243">
        <f>MAX(0,MIN(BJ243,BB242+IF('幕间与结算'!E42="毅力",N('幕间与结算'!K42),0)))</f>
        <v>0</v>
      </c>
      <c r="BC243">
        <f>MAX(0,MIN(99-BL243,BC242+IF('幕间与结算'!E42="理智",N('幕间与结算'!K42),0)))</f>
        <v>0</v>
      </c>
      <c r="BD243">
        <f>MAX(0,MIN(99,BD242+IF('幕间与结算'!E42="崩溃点",N('幕间与结算'!K42),0)))</f>
        <v>0</v>
      </c>
      <c r="BF243">
        <f>MAX(0,MIN(18,'幕间计算'!BF242+IF('幕间与结算'!E42="力量",N('幕间与结算'!K42),0)))</f>
        <v>0</v>
      </c>
      <c r="BG243">
        <f>MAX(0,MIN(18,'幕间计算'!BG242+IF('幕间与结算'!E42="体质",N('幕间与结算'!K42),0)))</f>
        <v>0</v>
      </c>
      <c r="BH243">
        <f>MAX(0,MIN(18,'幕间计算'!BH242+IF('幕间与结算'!E42="敏捷",N('幕间与结算'!K42),0)))</f>
        <v>0</v>
      </c>
      <c r="BI243">
        <f>MAX(0,MIN(18,'幕间计算'!BI242+IF('幕间与结算'!E42="智力",N('幕间与结算'!K42),0)))</f>
        <v>0</v>
      </c>
      <c r="BJ243">
        <f>MAX(0,MIN(18,'幕间计算'!BJ242+IF('幕间与结算'!E42="意志",N('幕间与结算'!K42),0)))</f>
        <v>0</v>
      </c>
      <c r="BK243">
        <f>MAX(0,MIN(18,'幕间计算'!BK242+IF('幕间与结算'!E42="魅力",N('幕间与结算'!K42),0)))</f>
        <v>0</v>
      </c>
      <c r="BL243">
        <f>MAX(0,MIN(99,'幕间计算'!BL242+IF('幕间与结算'!E42="技能：非自然知识",N('幕间与结算'!K42),0)))</f>
        <v>0</v>
      </c>
    </row>
    <row r="244">
      <c r="A244">
        <f>IFERROR(IF(AND(VALUE('幕间与结算'!B43)&gt;=1,VALUE('幕间与结算'!B43)&lt;=20),VALUE('幕间与结算'!B43),0),0)</f>
        <v>0</v>
      </c>
      <c r="B244">
        <f>IF(AND(A244&gt;0,'幕间与结算'!D43&lt;&gt;"",'幕间与结算'!J43="确认",ISNUMBER('幕间与结算'!K43),OR('幕间与结算'!G43="失败",'幕间与结算'!G43="大失败"),'幕间与结算'!H43="√",LEFT('幕间与结算'!E43,3)="技能：",'幕间与结算'!E43&lt;&gt;"技能：非自然知识",ISNUMBER('幕间与结算'!F43),'幕间与结算'!F43&gt;=1,'幕间与结算'!F43&lt;=99),1,0)</f>
        <v>0</v>
      </c>
      <c r="D244">
        <f>IF(AND('幕间与结算'!J43="确认",ISNUMBER('幕间与结算'!K43),'幕间与结算'!L43&lt;&gt;"",ISNUMBER('幕间与结算'!M43),'幕间与结算'!M43&gt;0,'幕间与结算'!M43&lt;=99),'幕间与结算'!M43,0)</f>
        <v>0</v>
      </c>
      <c r="E244">
        <f>IF(AND(B244=1,COUNTIFS($A$210:A244,A244,$B$210:B244,1,'幕间与结算'!$E$9:E43,'幕间与结算'!E43)=1),35,999999)</f>
        <v>999999</v>
      </c>
      <c r="F244">
        <v>43</v>
      </c>
      <c r="AA244">
        <f>IF($A244=1,$E244,999999)</f>
        <v>999999</v>
      </c>
      <c r="AB244">
        <f>IF($A244=2,$E244,999999)</f>
        <v>999999</v>
      </c>
      <c r="AC244">
        <f>IF($A244=3,$E244,999999)</f>
        <v>999999</v>
      </c>
      <c r="AD244">
        <f>IF($A244=4,$E244,999999)</f>
        <v>999999</v>
      </c>
      <c r="AE244">
        <f>IF($A244=5,$E244,999999)</f>
        <v>999999</v>
      </c>
      <c r="AF244">
        <f>IF($A244=6,$E244,999999)</f>
        <v>999999</v>
      </c>
      <c r="AG244">
        <f>IF($A244=7,$E244,999999)</f>
        <v>999999</v>
      </c>
      <c r="AH244">
        <f>IF($A244=8,$E244,999999)</f>
        <v>999999</v>
      </c>
      <c r="AI244">
        <f>IF($A244=9,$E244,999999)</f>
        <v>999999</v>
      </c>
      <c r="AJ244">
        <f>IF($A244=10,$E244,999999)</f>
        <v>999999</v>
      </c>
      <c r="AK244">
        <f>IF($A244=11,$E244,999999)</f>
        <v>999999</v>
      </c>
      <c r="AL244">
        <f>IF($A244=12,$E244,999999)</f>
        <v>999999</v>
      </c>
      <c r="AM244">
        <f>IF($A244=13,$E244,999999)</f>
        <v>999999</v>
      </c>
      <c r="AN244">
        <f>IF($A244=14,$E244,999999)</f>
        <v>999999</v>
      </c>
      <c r="AO244">
        <f>IF($A244=15,$E244,999999)</f>
        <v>999999</v>
      </c>
      <c r="AP244">
        <f>IF($A244=16,$E244,999999)</f>
        <v>999999</v>
      </c>
      <c r="AQ244">
        <f>IF($A244=17,$E244,999999)</f>
        <v>999999</v>
      </c>
      <c r="AR244">
        <f>IF($A244=18,$E244,999999)</f>
        <v>999999</v>
      </c>
      <c r="AS244">
        <f>IF($A244=19,$E244,999999)</f>
        <v>999999</v>
      </c>
      <c r="AT244">
        <f>IF($A244=20,$E244,999999)</f>
        <v>999999</v>
      </c>
      <c r="BA244">
        <f>MAX(0,MIN(CEILING((BF244+BG244)/2,1),BA243+IF('幕间与结算'!E43="体力",N('幕间与结算'!K43),0)))</f>
        <v>0</v>
      </c>
      <c r="BB244">
        <f>MAX(0,MIN(BJ244,BB243+IF('幕间与结算'!E43="毅力",N('幕间与结算'!K43),0)))</f>
        <v>0</v>
      </c>
      <c r="BC244">
        <f>MAX(0,MIN(99-BL244,BC243+IF('幕间与结算'!E43="理智",N('幕间与结算'!K43),0)))</f>
        <v>0</v>
      </c>
      <c r="BD244">
        <f>MAX(0,MIN(99,BD243+IF('幕间与结算'!E43="崩溃点",N('幕间与结算'!K43),0)))</f>
        <v>0</v>
      </c>
      <c r="BF244">
        <f>MAX(0,MIN(18,'幕间计算'!BF243+IF('幕间与结算'!E43="力量",N('幕间与结算'!K43),0)))</f>
        <v>0</v>
      </c>
      <c r="BG244">
        <f>MAX(0,MIN(18,'幕间计算'!BG243+IF('幕间与结算'!E43="体质",N('幕间与结算'!K43),0)))</f>
        <v>0</v>
      </c>
      <c r="BH244">
        <f>MAX(0,MIN(18,'幕间计算'!BH243+IF('幕间与结算'!E43="敏捷",N('幕间与结算'!K43),0)))</f>
        <v>0</v>
      </c>
      <c r="BI244">
        <f>MAX(0,MIN(18,'幕间计算'!BI243+IF('幕间与结算'!E43="智力",N('幕间与结算'!K43),0)))</f>
        <v>0</v>
      </c>
      <c r="BJ244">
        <f>MAX(0,MIN(18,'幕间计算'!BJ243+IF('幕间与结算'!E43="意志",N('幕间与结算'!K43),0)))</f>
        <v>0</v>
      </c>
      <c r="BK244">
        <f>MAX(0,MIN(18,'幕间计算'!BK243+IF('幕间与结算'!E43="魅力",N('幕间与结算'!K43),0)))</f>
        <v>0</v>
      </c>
      <c r="BL244">
        <f>MAX(0,MIN(99,'幕间计算'!BL243+IF('幕间与结算'!E43="技能：非自然知识",N('幕间与结算'!K43),0)))</f>
        <v>0</v>
      </c>
    </row>
    <row r="245">
      <c r="A245">
        <f>IFERROR(IF(AND(VALUE('幕间与结算'!B44)&gt;=1,VALUE('幕间与结算'!B44)&lt;=20),VALUE('幕间与结算'!B44),0),0)</f>
        <v>0</v>
      </c>
      <c r="B245">
        <f>IF(AND(A245&gt;0,'幕间与结算'!D44&lt;&gt;"",'幕间与结算'!J44="确认",ISNUMBER('幕间与结算'!K44),OR('幕间与结算'!G44="失败",'幕间与结算'!G44="大失败"),'幕间与结算'!H44="√",LEFT('幕间与结算'!E44,3)="技能：",'幕间与结算'!E44&lt;&gt;"技能：非自然知识",ISNUMBER('幕间与结算'!F44),'幕间与结算'!F44&gt;=1,'幕间与结算'!F44&lt;=99),1,0)</f>
        <v>0</v>
      </c>
      <c r="D245">
        <f>IF(AND('幕间与结算'!J44="确认",ISNUMBER('幕间与结算'!K44),'幕间与结算'!L44&lt;&gt;"",ISNUMBER('幕间与结算'!M44),'幕间与结算'!M44&gt;0,'幕间与结算'!M44&lt;=99),'幕间与结算'!M44,0)</f>
        <v>0</v>
      </c>
      <c r="E245">
        <f>IF(AND(B245=1,COUNTIFS($A$210:A245,A245,$B$210:B245,1,'幕间与结算'!$E$9:E44,'幕间与结算'!E44)=1),36,999999)</f>
        <v>999999</v>
      </c>
      <c r="F245">
        <v>44</v>
      </c>
      <c r="AA245">
        <f>IF($A245=1,$E245,999999)</f>
        <v>999999</v>
      </c>
      <c r="AB245">
        <f>IF($A245=2,$E245,999999)</f>
        <v>999999</v>
      </c>
      <c r="AC245">
        <f>IF($A245=3,$E245,999999)</f>
        <v>999999</v>
      </c>
      <c r="AD245">
        <f>IF($A245=4,$E245,999999)</f>
        <v>999999</v>
      </c>
      <c r="AE245">
        <f>IF($A245=5,$E245,999999)</f>
        <v>999999</v>
      </c>
      <c r="AF245">
        <f>IF($A245=6,$E245,999999)</f>
        <v>999999</v>
      </c>
      <c r="AG245">
        <f>IF($A245=7,$E245,999999)</f>
        <v>999999</v>
      </c>
      <c r="AH245">
        <f>IF($A245=8,$E245,999999)</f>
        <v>999999</v>
      </c>
      <c r="AI245">
        <f>IF($A245=9,$E245,999999)</f>
        <v>999999</v>
      </c>
      <c r="AJ245">
        <f>IF($A245=10,$E245,999999)</f>
        <v>999999</v>
      </c>
      <c r="AK245">
        <f>IF($A245=11,$E245,999999)</f>
        <v>999999</v>
      </c>
      <c r="AL245">
        <f>IF($A245=12,$E245,999999)</f>
        <v>999999</v>
      </c>
      <c r="AM245">
        <f>IF($A245=13,$E245,999999)</f>
        <v>999999</v>
      </c>
      <c r="AN245">
        <f>IF($A245=14,$E245,999999)</f>
        <v>999999</v>
      </c>
      <c r="AO245">
        <f>IF($A245=15,$E245,999999)</f>
        <v>999999</v>
      </c>
      <c r="AP245">
        <f>IF($A245=16,$E245,999999)</f>
        <v>999999</v>
      </c>
      <c r="AQ245">
        <f>IF($A245=17,$E245,999999)</f>
        <v>999999</v>
      </c>
      <c r="AR245">
        <f>IF($A245=18,$E245,999999)</f>
        <v>999999</v>
      </c>
      <c r="AS245">
        <f>IF($A245=19,$E245,999999)</f>
        <v>999999</v>
      </c>
      <c r="AT245">
        <f>IF($A245=20,$E245,999999)</f>
        <v>999999</v>
      </c>
      <c r="BA245">
        <f>MAX(0,MIN(CEILING((BF245+BG245)/2,1),BA244+IF('幕间与结算'!E44="体力",N('幕间与结算'!K44),0)))</f>
        <v>0</v>
      </c>
      <c r="BB245">
        <f>MAX(0,MIN(BJ245,BB244+IF('幕间与结算'!E44="毅力",N('幕间与结算'!K44),0)))</f>
        <v>0</v>
      </c>
      <c r="BC245">
        <f>MAX(0,MIN(99-BL245,BC244+IF('幕间与结算'!E44="理智",N('幕间与结算'!K44),0)))</f>
        <v>0</v>
      </c>
      <c r="BD245">
        <f>MAX(0,MIN(99,BD244+IF('幕间与结算'!E44="崩溃点",N('幕间与结算'!K44),0)))</f>
        <v>0</v>
      </c>
      <c r="BF245">
        <f>MAX(0,MIN(18,'幕间计算'!BF244+IF('幕间与结算'!E44="力量",N('幕间与结算'!K44),0)))</f>
        <v>0</v>
      </c>
      <c r="BG245">
        <f>MAX(0,MIN(18,'幕间计算'!BG244+IF('幕间与结算'!E44="体质",N('幕间与结算'!K44),0)))</f>
        <v>0</v>
      </c>
      <c r="BH245">
        <f>MAX(0,MIN(18,'幕间计算'!BH244+IF('幕间与结算'!E44="敏捷",N('幕间与结算'!K44),0)))</f>
        <v>0</v>
      </c>
      <c r="BI245">
        <f>MAX(0,MIN(18,'幕间计算'!BI244+IF('幕间与结算'!E44="智力",N('幕间与结算'!K44),0)))</f>
        <v>0</v>
      </c>
      <c r="BJ245">
        <f>MAX(0,MIN(18,'幕间计算'!BJ244+IF('幕间与结算'!E44="意志",N('幕间与结算'!K44),0)))</f>
        <v>0</v>
      </c>
      <c r="BK245">
        <f>MAX(0,MIN(18,'幕间计算'!BK244+IF('幕间与结算'!E44="魅力",N('幕间与结算'!K44),0)))</f>
        <v>0</v>
      </c>
      <c r="BL245">
        <f>MAX(0,MIN(99,'幕间计算'!BL244+IF('幕间与结算'!E44="技能：非自然知识",N('幕间与结算'!K44),0)))</f>
        <v>0</v>
      </c>
    </row>
    <row r="246">
      <c r="A246">
        <f>IFERROR(IF(AND(VALUE('幕间与结算'!B45)&gt;=1,VALUE('幕间与结算'!B45)&lt;=20),VALUE('幕间与结算'!B45),0),0)</f>
        <v>0</v>
      </c>
      <c r="B246">
        <f>IF(AND(A246&gt;0,'幕间与结算'!D45&lt;&gt;"",'幕间与结算'!J45="确认",ISNUMBER('幕间与结算'!K45),OR('幕间与结算'!G45="失败",'幕间与结算'!G45="大失败"),'幕间与结算'!H45="√",LEFT('幕间与结算'!E45,3)="技能：",'幕间与结算'!E45&lt;&gt;"技能：非自然知识",ISNUMBER('幕间与结算'!F45),'幕间与结算'!F45&gt;=1,'幕间与结算'!F45&lt;=99),1,0)</f>
        <v>0</v>
      </c>
      <c r="D246">
        <f>IF(AND('幕间与结算'!J45="确认",ISNUMBER('幕间与结算'!K45),'幕间与结算'!L45&lt;&gt;"",ISNUMBER('幕间与结算'!M45),'幕间与结算'!M45&gt;0,'幕间与结算'!M45&lt;=99),'幕间与结算'!M45,0)</f>
        <v>0</v>
      </c>
      <c r="E246">
        <f>IF(AND(B246=1,COUNTIFS($A$210:A246,A246,$B$210:B246,1,'幕间与结算'!$E$9:E45,'幕间与结算'!E45)=1),37,999999)</f>
        <v>999999</v>
      </c>
      <c r="F246">
        <v>45</v>
      </c>
      <c r="AA246">
        <f>IF($A246=1,$E246,999999)</f>
        <v>999999</v>
      </c>
      <c r="AB246">
        <f>IF($A246=2,$E246,999999)</f>
        <v>999999</v>
      </c>
      <c r="AC246">
        <f>IF($A246=3,$E246,999999)</f>
        <v>999999</v>
      </c>
      <c r="AD246">
        <f>IF($A246=4,$E246,999999)</f>
        <v>999999</v>
      </c>
      <c r="AE246">
        <f>IF($A246=5,$E246,999999)</f>
        <v>999999</v>
      </c>
      <c r="AF246">
        <f>IF($A246=6,$E246,999999)</f>
        <v>999999</v>
      </c>
      <c r="AG246">
        <f>IF($A246=7,$E246,999999)</f>
        <v>999999</v>
      </c>
      <c r="AH246">
        <f>IF($A246=8,$E246,999999)</f>
        <v>999999</v>
      </c>
      <c r="AI246">
        <f>IF($A246=9,$E246,999999)</f>
        <v>999999</v>
      </c>
      <c r="AJ246">
        <f>IF($A246=10,$E246,999999)</f>
        <v>999999</v>
      </c>
      <c r="AK246">
        <f>IF($A246=11,$E246,999999)</f>
        <v>999999</v>
      </c>
      <c r="AL246">
        <f>IF($A246=12,$E246,999999)</f>
        <v>999999</v>
      </c>
      <c r="AM246">
        <f>IF($A246=13,$E246,999999)</f>
        <v>999999</v>
      </c>
      <c r="AN246">
        <f>IF($A246=14,$E246,999999)</f>
        <v>999999</v>
      </c>
      <c r="AO246">
        <f>IF($A246=15,$E246,999999)</f>
        <v>999999</v>
      </c>
      <c r="AP246">
        <f>IF($A246=16,$E246,999999)</f>
        <v>999999</v>
      </c>
      <c r="AQ246">
        <f>IF($A246=17,$E246,999999)</f>
        <v>999999</v>
      </c>
      <c r="AR246">
        <f>IF($A246=18,$E246,999999)</f>
        <v>999999</v>
      </c>
      <c r="AS246">
        <f>IF($A246=19,$E246,999999)</f>
        <v>999999</v>
      </c>
      <c r="AT246">
        <f>IF($A246=20,$E246,999999)</f>
        <v>999999</v>
      </c>
      <c r="BA246">
        <f>MAX(0,MIN(CEILING((BF246+BG246)/2,1),BA245+IF('幕间与结算'!E45="体力",N('幕间与结算'!K45),0)))</f>
        <v>0</v>
      </c>
      <c r="BB246">
        <f>MAX(0,MIN(BJ246,BB245+IF('幕间与结算'!E45="毅力",N('幕间与结算'!K45),0)))</f>
        <v>0</v>
      </c>
      <c r="BC246">
        <f>MAX(0,MIN(99-BL246,BC245+IF('幕间与结算'!E45="理智",N('幕间与结算'!K45),0)))</f>
        <v>0</v>
      </c>
      <c r="BD246">
        <f>MAX(0,MIN(99,BD245+IF('幕间与结算'!E45="崩溃点",N('幕间与结算'!K45),0)))</f>
        <v>0</v>
      </c>
      <c r="BF246">
        <f>MAX(0,MIN(18,'幕间计算'!BF245+IF('幕间与结算'!E45="力量",N('幕间与结算'!K45),0)))</f>
        <v>0</v>
      </c>
      <c r="BG246">
        <f>MAX(0,MIN(18,'幕间计算'!BG245+IF('幕间与结算'!E45="体质",N('幕间与结算'!K45),0)))</f>
        <v>0</v>
      </c>
      <c r="BH246">
        <f>MAX(0,MIN(18,'幕间计算'!BH245+IF('幕间与结算'!E45="敏捷",N('幕间与结算'!K45),0)))</f>
        <v>0</v>
      </c>
      <c r="BI246">
        <f>MAX(0,MIN(18,'幕间计算'!BI245+IF('幕间与结算'!E45="智力",N('幕间与结算'!K45),0)))</f>
        <v>0</v>
      </c>
      <c r="BJ246">
        <f>MAX(0,MIN(18,'幕间计算'!BJ245+IF('幕间与结算'!E45="意志",N('幕间与结算'!K45),0)))</f>
        <v>0</v>
      </c>
      <c r="BK246">
        <f>MAX(0,MIN(18,'幕间计算'!BK245+IF('幕间与结算'!E45="魅力",N('幕间与结算'!K45),0)))</f>
        <v>0</v>
      </c>
      <c r="BL246">
        <f>MAX(0,MIN(99,'幕间计算'!BL245+IF('幕间与结算'!E45="技能：非自然知识",N('幕间与结算'!K45),0)))</f>
        <v>0</v>
      </c>
    </row>
    <row r="247">
      <c r="A247">
        <f>IFERROR(IF(AND(VALUE('幕间与结算'!B46)&gt;=1,VALUE('幕间与结算'!B46)&lt;=20),VALUE('幕间与结算'!B46),0),0)</f>
        <v>0</v>
      </c>
      <c r="B247">
        <f>IF(AND(A247&gt;0,'幕间与结算'!D46&lt;&gt;"",'幕间与结算'!J46="确认",ISNUMBER('幕间与结算'!K46),OR('幕间与结算'!G46="失败",'幕间与结算'!G46="大失败"),'幕间与结算'!H46="√",LEFT('幕间与结算'!E46,3)="技能：",'幕间与结算'!E46&lt;&gt;"技能：非自然知识",ISNUMBER('幕间与结算'!F46),'幕间与结算'!F46&gt;=1,'幕间与结算'!F46&lt;=99),1,0)</f>
        <v>0</v>
      </c>
      <c r="D247">
        <f>IF(AND('幕间与结算'!J46="确认",ISNUMBER('幕间与结算'!K46),'幕间与结算'!L46&lt;&gt;"",ISNUMBER('幕间与结算'!M46),'幕间与结算'!M46&gt;0,'幕间与结算'!M46&lt;=99),'幕间与结算'!M46,0)</f>
        <v>0</v>
      </c>
      <c r="E247">
        <f>IF(AND(B247=1,COUNTIFS($A$210:A247,A247,$B$210:B247,1,'幕间与结算'!$E$9:E46,'幕间与结算'!E46)=1),38,999999)</f>
        <v>999999</v>
      </c>
      <c r="F247">
        <v>46</v>
      </c>
      <c r="AA247">
        <f>IF($A247=1,$E247,999999)</f>
        <v>999999</v>
      </c>
      <c r="AB247">
        <f>IF($A247=2,$E247,999999)</f>
        <v>999999</v>
      </c>
      <c r="AC247">
        <f>IF($A247=3,$E247,999999)</f>
        <v>999999</v>
      </c>
      <c r="AD247">
        <f>IF($A247=4,$E247,999999)</f>
        <v>999999</v>
      </c>
      <c r="AE247">
        <f>IF($A247=5,$E247,999999)</f>
        <v>999999</v>
      </c>
      <c r="AF247">
        <f>IF($A247=6,$E247,999999)</f>
        <v>999999</v>
      </c>
      <c r="AG247">
        <f>IF($A247=7,$E247,999999)</f>
        <v>999999</v>
      </c>
      <c r="AH247">
        <f>IF($A247=8,$E247,999999)</f>
        <v>999999</v>
      </c>
      <c r="AI247">
        <f>IF($A247=9,$E247,999999)</f>
        <v>999999</v>
      </c>
      <c r="AJ247">
        <f>IF($A247=10,$E247,999999)</f>
        <v>999999</v>
      </c>
      <c r="AK247">
        <f>IF($A247=11,$E247,999999)</f>
        <v>999999</v>
      </c>
      <c r="AL247">
        <f>IF($A247=12,$E247,999999)</f>
        <v>999999</v>
      </c>
      <c r="AM247">
        <f>IF($A247=13,$E247,999999)</f>
        <v>999999</v>
      </c>
      <c r="AN247">
        <f>IF($A247=14,$E247,999999)</f>
        <v>999999</v>
      </c>
      <c r="AO247">
        <f>IF($A247=15,$E247,999999)</f>
        <v>999999</v>
      </c>
      <c r="AP247">
        <f>IF($A247=16,$E247,999999)</f>
        <v>999999</v>
      </c>
      <c r="AQ247">
        <f>IF($A247=17,$E247,999999)</f>
        <v>999999</v>
      </c>
      <c r="AR247">
        <f>IF($A247=18,$E247,999999)</f>
        <v>999999</v>
      </c>
      <c r="AS247">
        <f>IF($A247=19,$E247,999999)</f>
        <v>999999</v>
      </c>
      <c r="AT247">
        <f>IF($A247=20,$E247,999999)</f>
        <v>999999</v>
      </c>
      <c r="BA247">
        <f>MAX(0,MIN(CEILING((BF247+BG247)/2,1),BA246+IF('幕间与结算'!E46="体力",N('幕间与结算'!K46),0)))</f>
        <v>0</v>
      </c>
      <c r="BB247">
        <f>MAX(0,MIN(BJ247,BB246+IF('幕间与结算'!E46="毅力",N('幕间与结算'!K46),0)))</f>
        <v>0</v>
      </c>
      <c r="BC247">
        <f>MAX(0,MIN(99-BL247,BC246+IF('幕间与结算'!E46="理智",N('幕间与结算'!K46),0)))</f>
        <v>0</v>
      </c>
      <c r="BD247">
        <f>MAX(0,MIN(99,BD246+IF('幕间与结算'!E46="崩溃点",N('幕间与结算'!K46),0)))</f>
        <v>0</v>
      </c>
      <c r="BF247">
        <f>MAX(0,MIN(18,'幕间计算'!BF246+IF('幕间与结算'!E46="力量",N('幕间与结算'!K46),0)))</f>
        <v>0</v>
      </c>
      <c r="BG247">
        <f>MAX(0,MIN(18,'幕间计算'!BG246+IF('幕间与结算'!E46="体质",N('幕间与结算'!K46),0)))</f>
        <v>0</v>
      </c>
      <c r="BH247">
        <f>MAX(0,MIN(18,'幕间计算'!BH246+IF('幕间与结算'!E46="敏捷",N('幕间与结算'!K46),0)))</f>
        <v>0</v>
      </c>
      <c r="BI247">
        <f>MAX(0,MIN(18,'幕间计算'!BI246+IF('幕间与结算'!E46="智力",N('幕间与结算'!K46),0)))</f>
        <v>0</v>
      </c>
      <c r="BJ247">
        <f>MAX(0,MIN(18,'幕间计算'!BJ246+IF('幕间与结算'!E46="意志",N('幕间与结算'!K46),0)))</f>
        <v>0</v>
      </c>
      <c r="BK247">
        <f>MAX(0,MIN(18,'幕间计算'!BK246+IF('幕间与结算'!E46="魅力",N('幕间与结算'!K46),0)))</f>
        <v>0</v>
      </c>
      <c r="BL247">
        <f>MAX(0,MIN(99,'幕间计算'!BL246+IF('幕间与结算'!E46="技能：非自然知识",N('幕间与结算'!K46),0)))</f>
        <v>0</v>
      </c>
    </row>
    <row r="248">
      <c r="A248">
        <f>IFERROR(IF(AND(VALUE('幕间与结算'!B47)&gt;=1,VALUE('幕间与结算'!B47)&lt;=20),VALUE('幕间与结算'!B47),0),0)</f>
        <v>0</v>
      </c>
      <c r="B248">
        <f>IF(AND(A248&gt;0,'幕间与结算'!D47&lt;&gt;"",'幕间与结算'!J47="确认",ISNUMBER('幕间与结算'!K47),OR('幕间与结算'!G47="失败",'幕间与结算'!G47="大失败"),'幕间与结算'!H47="√",LEFT('幕间与结算'!E47,3)="技能：",'幕间与结算'!E47&lt;&gt;"技能：非自然知识",ISNUMBER('幕间与结算'!F47),'幕间与结算'!F47&gt;=1,'幕间与结算'!F47&lt;=99),1,0)</f>
        <v>0</v>
      </c>
      <c r="D248">
        <f>IF(AND('幕间与结算'!J47="确认",ISNUMBER('幕间与结算'!K47),'幕间与结算'!L47&lt;&gt;"",ISNUMBER('幕间与结算'!M47),'幕间与结算'!M47&gt;0,'幕间与结算'!M47&lt;=99),'幕间与结算'!M47,0)</f>
        <v>0</v>
      </c>
      <c r="E248">
        <f>IF(AND(B248=1,COUNTIFS($A$210:A248,A248,$B$210:B248,1,'幕间与结算'!$E$9:E47,'幕间与结算'!E47)=1),39,999999)</f>
        <v>999999</v>
      </c>
      <c r="F248">
        <v>47</v>
      </c>
      <c r="AA248">
        <f>IF($A248=1,$E248,999999)</f>
        <v>999999</v>
      </c>
      <c r="AB248">
        <f>IF($A248=2,$E248,999999)</f>
        <v>999999</v>
      </c>
      <c r="AC248">
        <f>IF($A248=3,$E248,999999)</f>
        <v>999999</v>
      </c>
      <c r="AD248">
        <f>IF($A248=4,$E248,999999)</f>
        <v>999999</v>
      </c>
      <c r="AE248">
        <f>IF($A248=5,$E248,999999)</f>
        <v>999999</v>
      </c>
      <c r="AF248">
        <f>IF($A248=6,$E248,999999)</f>
        <v>999999</v>
      </c>
      <c r="AG248">
        <f>IF($A248=7,$E248,999999)</f>
        <v>999999</v>
      </c>
      <c r="AH248">
        <f>IF($A248=8,$E248,999999)</f>
        <v>999999</v>
      </c>
      <c r="AI248">
        <f>IF($A248=9,$E248,999999)</f>
        <v>999999</v>
      </c>
      <c r="AJ248">
        <f>IF($A248=10,$E248,999999)</f>
        <v>999999</v>
      </c>
      <c r="AK248">
        <f>IF($A248=11,$E248,999999)</f>
        <v>999999</v>
      </c>
      <c r="AL248">
        <f>IF($A248=12,$E248,999999)</f>
        <v>999999</v>
      </c>
      <c r="AM248">
        <f>IF($A248=13,$E248,999999)</f>
        <v>999999</v>
      </c>
      <c r="AN248">
        <f>IF($A248=14,$E248,999999)</f>
        <v>999999</v>
      </c>
      <c r="AO248">
        <f>IF($A248=15,$E248,999999)</f>
        <v>999999</v>
      </c>
      <c r="AP248">
        <f>IF($A248=16,$E248,999999)</f>
        <v>999999</v>
      </c>
      <c r="AQ248">
        <f>IF($A248=17,$E248,999999)</f>
        <v>999999</v>
      </c>
      <c r="AR248">
        <f>IF($A248=18,$E248,999999)</f>
        <v>999999</v>
      </c>
      <c r="AS248">
        <f>IF($A248=19,$E248,999999)</f>
        <v>999999</v>
      </c>
      <c r="AT248">
        <f>IF($A248=20,$E248,999999)</f>
        <v>999999</v>
      </c>
      <c r="BA248">
        <f>MAX(0,MIN(CEILING((BF248+BG248)/2,1),BA247+IF('幕间与结算'!E47="体力",N('幕间与结算'!K47),0)))</f>
        <v>0</v>
      </c>
      <c r="BB248">
        <f>MAX(0,MIN(BJ248,BB247+IF('幕间与结算'!E47="毅力",N('幕间与结算'!K47),0)))</f>
        <v>0</v>
      </c>
      <c r="BC248">
        <f>MAX(0,MIN(99-BL248,BC247+IF('幕间与结算'!E47="理智",N('幕间与结算'!K47),0)))</f>
        <v>0</v>
      </c>
      <c r="BD248">
        <f>MAX(0,MIN(99,BD247+IF('幕间与结算'!E47="崩溃点",N('幕间与结算'!K47),0)))</f>
        <v>0</v>
      </c>
      <c r="BF248">
        <f>MAX(0,MIN(18,'幕间计算'!BF247+IF('幕间与结算'!E47="力量",N('幕间与结算'!K47),0)))</f>
        <v>0</v>
      </c>
      <c r="BG248">
        <f>MAX(0,MIN(18,'幕间计算'!BG247+IF('幕间与结算'!E47="体质",N('幕间与结算'!K47),0)))</f>
        <v>0</v>
      </c>
      <c r="BH248">
        <f>MAX(0,MIN(18,'幕间计算'!BH247+IF('幕间与结算'!E47="敏捷",N('幕间与结算'!K47),0)))</f>
        <v>0</v>
      </c>
      <c r="BI248">
        <f>MAX(0,MIN(18,'幕间计算'!BI247+IF('幕间与结算'!E47="智力",N('幕间与结算'!K47),0)))</f>
        <v>0</v>
      </c>
      <c r="BJ248">
        <f>MAX(0,MIN(18,'幕间计算'!BJ247+IF('幕间与结算'!E47="意志",N('幕间与结算'!K47),0)))</f>
        <v>0</v>
      </c>
      <c r="BK248">
        <f>MAX(0,MIN(18,'幕间计算'!BK247+IF('幕间与结算'!E47="魅力",N('幕间与结算'!K47),0)))</f>
        <v>0</v>
      </c>
      <c r="BL248">
        <f>MAX(0,MIN(99,'幕间计算'!BL247+IF('幕间与结算'!E47="技能：非自然知识",N('幕间与结算'!K47),0)))</f>
        <v>0</v>
      </c>
    </row>
    <row r="249">
      <c r="A249">
        <f>IFERROR(IF(AND(VALUE('幕间与结算'!B48)&gt;=1,VALUE('幕间与结算'!B48)&lt;=20),VALUE('幕间与结算'!B48),0),0)</f>
        <v>0</v>
      </c>
      <c r="B249">
        <f>IF(AND(A249&gt;0,'幕间与结算'!D48&lt;&gt;"",'幕间与结算'!J48="确认",ISNUMBER('幕间与结算'!K48),OR('幕间与结算'!G48="失败",'幕间与结算'!G48="大失败"),'幕间与结算'!H48="√",LEFT('幕间与结算'!E48,3)="技能：",'幕间与结算'!E48&lt;&gt;"技能：非自然知识",ISNUMBER('幕间与结算'!F48),'幕间与结算'!F48&gt;=1,'幕间与结算'!F48&lt;=99),1,0)</f>
        <v>0</v>
      </c>
      <c r="D249">
        <f>IF(AND('幕间与结算'!J48="确认",ISNUMBER('幕间与结算'!K48),'幕间与结算'!L48&lt;&gt;"",ISNUMBER('幕间与结算'!M48),'幕间与结算'!M48&gt;0,'幕间与结算'!M48&lt;=99),'幕间与结算'!M48,0)</f>
        <v>0</v>
      </c>
      <c r="E249">
        <f>IF(AND(B249=1,COUNTIFS($A$210:A249,A249,$B$210:B249,1,'幕间与结算'!$E$9:E48,'幕间与结算'!E48)=1),40,999999)</f>
        <v>999999</v>
      </c>
      <c r="F249">
        <v>48</v>
      </c>
      <c r="AA249">
        <f>IF($A249=1,$E249,999999)</f>
        <v>999999</v>
      </c>
      <c r="AB249">
        <f>IF($A249=2,$E249,999999)</f>
        <v>999999</v>
      </c>
      <c r="AC249">
        <f>IF($A249=3,$E249,999999)</f>
        <v>999999</v>
      </c>
      <c r="AD249">
        <f>IF($A249=4,$E249,999999)</f>
        <v>999999</v>
      </c>
      <c r="AE249">
        <f>IF($A249=5,$E249,999999)</f>
        <v>999999</v>
      </c>
      <c r="AF249">
        <f>IF($A249=6,$E249,999999)</f>
        <v>999999</v>
      </c>
      <c r="AG249">
        <f>IF($A249=7,$E249,999999)</f>
        <v>999999</v>
      </c>
      <c r="AH249">
        <f>IF($A249=8,$E249,999999)</f>
        <v>999999</v>
      </c>
      <c r="AI249">
        <f>IF($A249=9,$E249,999999)</f>
        <v>999999</v>
      </c>
      <c r="AJ249">
        <f>IF($A249=10,$E249,999999)</f>
        <v>999999</v>
      </c>
      <c r="AK249">
        <f>IF($A249=11,$E249,999999)</f>
        <v>999999</v>
      </c>
      <c r="AL249">
        <f>IF($A249=12,$E249,999999)</f>
        <v>999999</v>
      </c>
      <c r="AM249">
        <f>IF($A249=13,$E249,999999)</f>
        <v>999999</v>
      </c>
      <c r="AN249">
        <f>IF($A249=14,$E249,999999)</f>
        <v>999999</v>
      </c>
      <c r="AO249">
        <f>IF($A249=15,$E249,999999)</f>
        <v>999999</v>
      </c>
      <c r="AP249">
        <f>IF($A249=16,$E249,999999)</f>
        <v>999999</v>
      </c>
      <c r="AQ249">
        <f>IF($A249=17,$E249,999999)</f>
        <v>999999</v>
      </c>
      <c r="AR249">
        <f>IF($A249=18,$E249,999999)</f>
        <v>999999</v>
      </c>
      <c r="AS249">
        <f>IF($A249=19,$E249,999999)</f>
        <v>999999</v>
      </c>
      <c r="AT249">
        <f>IF($A249=20,$E249,999999)</f>
        <v>999999</v>
      </c>
      <c r="BA249">
        <f>MAX(0,MIN(CEILING((BF249+BG249)/2,1),BA248+IF('幕间与结算'!E48="体力",N('幕间与结算'!K48),0)))</f>
        <v>0</v>
      </c>
      <c r="BB249">
        <f>MAX(0,MIN(BJ249,BB248+IF('幕间与结算'!E48="毅力",N('幕间与结算'!K48),0)))</f>
        <v>0</v>
      </c>
      <c r="BC249">
        <f>MAX(0,MIN(99-BL249,BC248+IF('幕间与结算'!E48="理智",N('幕间与结算'!K48),0)))</f>
        <v>0</v>
      </c>
      <c r="BD249">
        <f>MAX(0,MIN(99,BD248+IF('幕间与结算'!E48="崩溃点",N('幕间与结算'!K48),0)))</f>
        <v>0</v>
      </c>
      <c r="BF249">
        <f>MAX(0,MIN(18,'幕间计算'!BF248+IF('幕间与结算'!E48="力量",N('幕间与结算'!K48),0)))</f>
        <v>0</v>
      </c>
      <c r="BG249">
        <f>MAX(0,MIN(18,'幕间计算'!BG248+IF('幕间与结算'!E48="体质",N('幕间与结算'!K48),0)))</f>
        <v>0</v>
      </c>
      <c r="BH249">
        <f>MAX(0,MIN(18,'幕间计算'!BH248+IF('幕间与结算'!E48="敏捷",N('幕间与结算'!K48),0)))</f>
        <v>0</v>
      </c>
      <c r="BI249">
        <f>MAX(0,MIN(18,'幕间计算'!BI248+IF('幕间与结算'!E48="智力",N('幕间与结算'!K48),0)))</f>
        <v>0</v>
      </c>
      <c r="BJ249">
        <f>MAX(0,MIN(18,'幕间计算'!BJ248+IF('幕间与结算'!E48="意志",N('幕间与结算'!K48),0)))</f>
        <v>0</v>
      </c>
      <c r="BK249">
        <f>MAX(0,MIN(18,'幕间计算'!BK248+IF('幕间与结算'!E48="魅力",N('幕间与结算'!K48),0)))</f>
        <v>0</v>
      </c>
      <c r="BL249">
        <f>MAX(0,MIN(99,'幕间计算'!BL248+IF('幕间与结算'!E48="技能：非自然知识",N('幕间与结算'!K48),0)))</f>
        <v>0</v>
      </c>
    </row>
    <row r="250">
      <c r="A250">
        <f>IFERROR(IF(AND(VALUE('幕间与结算'!B49)&gt;=1,VALUE('幕间与结算'!B49)&lt;=20),VALUE('幕间与结算'!B49),0),0)</f>
        <v>0</v>
      </c>
      <c r="B250">
        <f>IF(AND(A250&gt;0,'幕间与结算'!D49&lt;&gt;"",'幕间与结算'!J49="确认",ISNUMBER('幕间与结算'!K49),OR('幕间与结算'!G49="失败",'幕间与结算'!G49="大失败"),'幕间与结算'!H49="√",LEFT('幕间与结算'!E49,3)="技能：",'幕间与结算'!E49&lt;&gt;"技能：非自然知识",ISNUMBER('幕间与结算'!F49),'幕间与结算'!F49&gt;=1,'幕间与结算'!F49&lt;=99),1,0)</f>
        <v>0</v>
      </c>
      <c r="D250">
        <f>IF(AND('幕间与结算'!J49="确认",ISNUMBER('幕间与结算'!K49),'幕间与结算'!L49&lt;&gt;"",ISNUMBER('幕间与结算'!M49),'幕间与结算'!M49&gt;0,'幕间与结算'!M49&lt;=99),'幕间与结算'!M49,0)</f>
        <v>0</v>
      </c>
      <c r="E250">
        <f>IF(AND(B250=1,COUNTIFS($A$210:A250,A250,$B$210:B250,1,'幕间与结算'!$E$9:E49,'幕间与结算'!E49)=1),41,999999)</f>
        <v>999999</v>
      </c>
      <c r="F250">
        <v>49</v>
      </c>
      <c r="AA250">
        <f>IF($A250=1,$E250,999999)</f>
        <v>999999</v>
      </c>
      <c r="AB250">
        <f>IF($A250=2,$E250,999999)</f>
        <v>999999</v>
      </c>
      <c r="AC250">
        <f>IF($A250=3,$E250,999999)</f>
        <v>999999</v>
      </c>
      <c r="AD250">
        <f>IF($A250=4,$E250,999999)</f>
        <v>999999</v>
      </c>
      <c r="AE250">
        <f>IF($A250=5,$E250,999999)</f>
        <v>999999</v>
      </c>
      <c r="AF250">
        <f>IF($A250=6,$E250,999999)</f>
        <v>999999</v>
      </c>
      <c r="AG250">
        <f>IF($A250=7,$E250,999999)</f>
        <v>999999</v>
      </c>
      <c r="AH250">
        <f>IF($A250=8,$E250,999999)</f>
        <v>999999</v>
      </c>
      <c r="AI250">
        <f>IF($A250=9,$E250,999999)</f>
        <v>999999</v>
      </c>
      <c r="AJ250">
        <f>IF($A250=10,$E250,999999)</f>
        <v>999999</v>
      </c>
      <c r="AK250">
        <f>IF($A250=11,$E250,999999)</f>
        <v>999999</v>
      </c>
      <c r="AL250">
        <f>IF($A250=12,$E250,999999)</f>
        <v>999999</v>
      </c>
      <c r="AM250">
        <f>IF($A250=13,$E250,999999)</f>
        <v>999999</v>
      </c>
      <c r="AN250">
        <f>IF($A250=14,$E250,999999)</f>
        <v>999999</v>
      </c>
      <c r="AO250">
        <f>IF($A250=15,$E250,999999)</f>
        <v>999999</v>
      </c>
      <c r="AP250">
        <f>IF($A250=16,$E250,999999)</f>
        <v>999999</v>
      </c>
      <c r="AQ250">
        <f>IF($A250=17,$E250,999999)</f>
        <v>999999</v>
      </c>
      <c r="AR250">
        <f>IF($A250=18,$E250,999999)</f>
        <v>999999</v>
      </c>
      <c r="AS250">
        <f>IF($A250=19,$E250,999999)</f>
        <v>999999</v>
      </c>
      <c r="AT250">
        <f>IF($A250=20,$E250,999999)</f>
        <v>999999</v>
      </c>
      <c r="BA250">
        <f>MAX(0,MIN(CEILING((BF250+BG250)/2,1),BA249+IF('幕间与结算'!E49="体力",N('幕间与结算'!K49),0)))</f>
        <v>0</v>
      </c>
      <c r="BB250">
        <f>MAX(0,MIN(BJ250,BB249+IF('幕间与结算'!E49="毅力",N('幕间与结算'!K49),0)))</f>
        <v>0</v>
      </c>
      <c r="BC250">
        <f>MAX(0,MIN(99-BL250,BC249+IF('幕间与结算'!E49="理智",N('幕间与结算'!K49),0)))</f>
        <v>0</v>
      </c>
      <c r="BD250">
        <f>MAX(0,MIN(99,BD249+IF('幕间与结算'!E49="崩溃点",N('幕间与结算'!K49),0)))</f>
        <v>0</v>
      </c>
      <c r="BF250">
        <f>MAX(0,MIN(18,'幕间计算'!BF249+IF('幕间与结算'!E49="力量",N('幕间与结算'!K49),0)))</f>
        <v>0</v>
      </c>
      <c r="BG250">
        <f>MAX(0,MIN(18,'幕间计算'!BG249+IF('幕间与结算'!E49="体质",N('幕间与结算'!K49),0)))</f>
        <v>0</v>
      </c>
      <c r="BH250">
        <f>MAX(0,MIN(18,'幕间计算'!BH249+IF('幕间与结算'!E49="敏捷",N('幕间与结算'!K49),0)))</f>
        <v>0</v>
      </c>
      <c r="BI250">
        <f>MAX(0,MIN(18,'幕间计算'!BI249+IF('幕间与结算'!E49="智力",N('幕间与结算'!K49),0)))</f>
        <v>0</v>
      </c>
      <c r="BJ250">
        <f>MAX(0,MIN(18,'幕间计算'!BJ249+IF('幕间与结算'!E49="意志",N('幕间与结算'!K49),0)))</f>
        <v>0</v>
      </c>
      <c r="BK250">
        <f>MAX(0,MIN(18,'幕间计算'!BK249+IF('幕间与结算'!E49="魅力",N('幕间与结算'!K49),0)))</f>
        <v>0</v>
      </c>
      <c r="BL250">
        <f>MAX(0,MIN(99,'幕间计算'!BL249+IF('幕间与结算'!E49="技能：非自然知识",N('幕间与结算'!K49),0)))</f>
        <v>0</v>
      </c>
    </row>
    <row r="251">
      <c r="A251">
        <f>IFERROR(IF(AND(VALUE('幕间与结算'!B50)&gt;=1,VALUE('幕间与结算'!B50)&lt;=20),VALUE('幕间与结算'!B50),0),0)</f>
        <v>0</v>
      </c>
      <c r="B251">
        <f>IF(AND(A251&gt;0,'幕间与结算'!D50&lt;&gt;"",'幕间与结算'!J50="确认",ISNUMBER('幕间与结算'!K50),OR('幕间与结算'!G50="失败",'幕间与结算'!G50="大失败"),'幕间与结算'!H50="√",LEFT('幕间与结算'!E50,3)="技能：",'幕间与结算'!E50&lt;&gt;"技能：非自然知识",ISNUMBER('幕间与结算'!F50),'幕间与结算'!F50&gt;=1,'幕间与结算'!F50&lt;=99),1,0)</f>
        <v>0</v>
      </c>
      <c r="D251">
        <f>IF(AND('幕间与结算'!J50="确认",ISNUMBER('幕间与结算'!K50),'幕间与结算'!L50&lt;&gt;"",ISNUMBER('幕间与结算'!M50),'幕间与结算'!M50&gt;0,'幕间与结算'!M50&lt;=99),'幕间与结算'!M50,0)</f>
        <v>0</v>
      </c>
      <c r="E251">
        <f>IF(AND(B251=1,COUNTIFS($A$210:A251,A251,$B$210:B251,1,'幕间与结算'!$E$9:E50,'幕间与结算'!E50)=1),42,999999)</f>
        <v>999999</v>
      </c>
      <c r="F251">
        <v>50</v>
      </c>
      <c r="AA251">
        <f>IF($A251=1,$E251,999999)</f>
        <v>999999</v>
      </c>
      <c r="AB251">
        <f>IF($A251=2,$E251,999999)</f>
        <v>999999</v>
      </c>
      <c r="AC251">
        <f>IF($A251=3,$E251,999999)</f>
        <v>999999</v>
      </c>
      <c r="AD251">
        <f>IF($A251=4,$E251,999999)</f>
        <v>999999</v>
      </c>
      <c r="AE251">
        <f>IF($A251=5,$E251,999999)</f>
        <v>999999</v>
      </c>
      <c r="AF251">
        <f>IF($A251=6,$E251,999999)</f>
        <v>999999</v>
      </c>
      <c r="AG251">
        <f>IF($A251=7,$E251,999999)</f>
        <v>999999</v>
      </c>
      <c r="AH251">
        <f>IF($A251=8,$E251,999999)</f>
        <v>999999</v>
      </c>
      <c r="AI251">
        <f>IF($A251=9,$E251,999999)</f>
        <v>999999</v>
      </c>
      <c r="AJ251">
        <f>IF($A251=10,$E251,999999)</f>
        <v>999999</v>
      </c>
      <c r="AK251">
        <f>IF($A251=11,$E251,999999)</f>
        <v>999999</v>
      </c>
      <c r="AL251">
        <f>IF($A251=12,$E251,999999)</f>
        <v>999999</v>
      </c>
      <c r="AM251">
        <f>IF($A251=13,$E251,999999)</f>
        <v>999999</v>
      </c>
      <c r="AN251">
        <f>IF($A251=14,$E251,999999)</f>
        <v>999999</v>
      </c>
      <c r="AO251">
        <f>IF($A251=15,$E251,999999)</f>
        <v>999999</v>
      </c>
      <c r="AP251">
        <f>IF($A251=16,$E251,999999)</f>
        <v>999999</v>
      </c>
      <c r="AQ251">
        <f>IF($A251=17,$E251,999999)</f>
        <v>999999</v>
      </c>
      <c r="AR251">
        <f>IF($A251=18,$E251,999999)</f>
        <v>999999</v>
      </c>
      <c r="AS251">
        <f>IF($A251=19,$E251,999999)</f>
        <v>999999</v>
      </c>
      <c r="AT251">
        <f>IF($A251=20,$E251,999999)</f>
        <v>999999</v>
      </c>
      <c r="BA251">
        <f>MAX(0,MIN(CEILING((BF251+BG251)/2,1),BA250+IF('幕间与结算'!E50="体力",N('幕间与结算'!K50),0)))</f>
        <v>0</v>
      </c>
      <c r="BB251">
        <f>MAX(0,MIN(BJ251,BB250+IF('幕间与结算'!E50="毅力",N('幕间与结算'!K50),0)))</f>
        <v>0</v>
      </c>
      <c r="BC251">
        <f>MAX(0,MIN(99-BL251,BC250+IF('幕间与结算'!E50="理智",N('幕间与结算'!K50),0)))</f>
        <v>0</v>
      </c>
      <c r="BD251">
        <f>MAX(0,MIN(99,BD250+IF('幕间与结算'!E50="崩溃点",N('幕间与结算'!K50),0)))</f>
        <v>0</v>
      </c>
      <c r="BF251">
        <f>MAX(0,MIN(18,'幕间计算'!BF250+IF('幕间与结算'!E50="力量",N('幕间与结算'!K50),0)))</f>
        <v>0</v>
      </c>
      <c r="BG251">
        <f>MAX(0,MIN(18,'幕间计算'!BG250+IF('幕间与结算'!E50="体质",N('幕间与结算'!K50),0)))</f>
        <v>0</v>
      </c>
      <c r="BH251">
        <f>MAX(0,MIN(18,'幕间计算'!BH250+IF('幕间与结算'!E50="敏捷",N('幕间与结算'!K50),0)))</f>
        <v>0</v>
      </c>
      <c r="BI251">
        <f>MAX(0,MIN(18,'幕间计算'!BI250+IF('幕间与结算'!E50="智力",N('幕间与结算'!K50),0)))</f>
        <v>0</v>
      </c>
      <c r="BJ251">
        <f>MAX(0,MIN(18,'幕间计算'!BJ250+IF('幕间与结算'!E50="意志",N('幕间与结算'!K50),0)))</f>
        <v>0</v>
      </c>
      <c r="BK251">
        <f>MAX(0,MIN(18,'幕间计算'!BK250+IF('幕间与结算'!E50="魅力",N('幕间与结算'!K50),0)))</f>
        <v>0</v>
      </c>
      <c r="BL251">
        <f>MAX(0,MIN(99,'幕间计算'!BL250+IF('幕间与结算'!E50="技能：非自然知识",N('幕间与结算'!K50),0)))</f>
        <v>0</v>
      </c>
    </row>
    <row r="252">
      <c r="A252">
        <f>IFERROR(IF(AND(VALUE('幕间与结算'!B51)&gt;=1,VALUE('幕间与结算'!B51)&lt;=20),VALUE('幕间与结算'!B51),0),0)</f>
        <v>0</v>
      </c>
      <c r="B252">
        <f>IF(AND(A252&gt;0,'幕间与结算'!D51&lt;&gt;"",'幕间与结算'!J51="确认",ISNUMBER('幕间与结算'!K51),OR('幕间与结算'!G51="失败",'幕间与结算'!G51="大失败"),'幕间与结算'!H51="√",LEFT('幕间与结算'!E51,3)="技能：",'幕间与结算'!E51&lt;&gt;"技能：非自然知识",ISNUMBER('幕间与结算'!F51),'幕间与结算'!F51&gt;=1,'幕间与结算'!F51&lt;=99),1,0)</f>
        <v>0</v>
      </c>
      <c r="D252">
        <f>IF(AND('幕间与结算'!J51="确认",ISNUMBER('幕间与结算'!K51),'幕间与结算'!L51&lt;&gt;"",ISNUMBER('幕间与结算'!M51),'幕间与结算'!M51&gt;0,'幕间与结算'!M51&lt;=99),'幕间与结算'!M51,0)</f>
        <v>0</v>
      </c>
      <c r="E252">
        <f>IF(AND(B252=1,COUNTIFS($A$210:A252,A252,$B$210:B252,1,'幕间与结算'!$E$9:E51,'幕间与结算'!E51)=1),43,999999)</f>
        <v>999999</v>
      </c>
      <c r="F252">
        <v>51</v>
      </c>
      <c r="AA252">
        <f>IF($A252=1,$E252,999999)</f>
        <v>999999</v>
      </c>
      <c r="AB252">
        <f>IF($A252=2,$E252,999999)</f>
        <v>999999</v>
      </c>
      <c r="AC252">
        <f>IF($A252=3,$E252,999999)</f>
        <v>999999</v>
      </c>
      <c r="AD252">
        <f>IF($A252=4,$E252,999999)</f>
        <v>999999</v>
      </c>
      <c r="AE252">
        <f>IF($A252=5,$E252,999999)</f>
        <v>999999</v>
      </c>
      <c r="AF252">
        <f>IF($A252=6,$E252,999999)</f>
        <v>999999</v>
      </c>
      <c r="AG252">
        <f>IF($A252=7,$E252,999999)</f>
        <v>999999</v>
      </c>
      <c r="AH252">
        <f>IF($A252=8,$E252,999999)</f>
        <v>999999</v>
      </c>
      <c r="AI252">
        <f>IF($A252=9,$E252,999999)</f>
        <v>999999</v>
      </c>
      <c r="AJ252">
        <f>IF($A252=10,$E252,999999)</f>
        <v>999999</v>
      </c>
      <c r="AK252">
        <f>IF($A252=11,$E252,999999)</f>
        <v>999999</v>
      </c>
      <c r="AL252">
        <f>IF($A252=12,$E252,999999)</f>
        <v>999999</v>
      </c>
      <c r="AM252">
        <f>IF($A252=13,$E252,999999)</f>
        <v>999999</v>
      </c>
      <c r="AN252">
        <f>IF($A252=14,$E252,999999)</f>
        <v>999999</v>
      </c>
      <c r="AO252">
        <f>IF($A252=15,$E252,999999)</f>
        <v>999999</v>
      </c>
      <c r="AP252">
        <f>IF($A252=16,$E252,999999)</f>
        <v>999999</v>
      </c>
      <c r="AQ252">
        <f>IF($A252=17,$E252,999999)</f>
        <v>999999</v>
      </c>
      <c r="AR252">
        <f>IF($A252=18,$E252,999999)</f>
        <v>999999</v>
      </c>
      <c r="AS252">
        <f>IF($A252=19,$E252,999999)</f>
        <v>999999</v>
      </c>
      <c r="AT252">
        <f>IF($A252=20,$E252,999999)</f>
        <v>999999</v>
      </c>
      <c r="BA252">
        <f>MAX(0,MIN(CEILING((BF252+BG252)/2,1),BA251+IF('幕间与结算'!E51="体力",N('幕间与结算'!K51),0)))</f>
        <v>0</v>
      </c>
      <c r="BB252">
        <f>MAX(0,MIN(BJ252,BB251+IF('幕间与结算'!E51="毅力",N('幕间与结算'!K51),0)))</f>
        <v>0</v>
      </c>
      <c r="BC252">
        <f>MAX(0,MIN(99-BL252,BC251+IF('幕间与结算'!E51="理智",N('幕间与结算'!K51),0)))</f>
        <v>0</v>
      </c>
      <c r="BD252">
        <f>MAX(0,MIN(99,BD251+IF('幕间与结算'!E51="崩溃点",N('幕间与结算'!K51),0)))</f>
        <v>0</v>
      </c>
      <c r="BF252">
        <f>MAX(0,MIN(18,'幕间计算'!BF251+IF('幕间与结算'!E51="力量",N('幕间与结算'!K51),0)))</f>
        <v>0</v>
      </c>
      <c r="BG252">
        <f>MAX(0,MIN(18,'幕间计算'!BG251+IF('幕间与结算'!E51="体质",N('幕间与结算'!K51),0)))</f>
        <v>0</v>
      </c>
      <c r="BH252">
        <f>MAX(0,MIN(18,'幕间计算'!BH251+IF('幕间与结算'!E51="敏捷",N('幕间与结算'!K51),0)))</f>
        <v>0</v>
      </c>
      <c r="BI252">
        <f>MAX(0,MIN(18,'幕间计算'!BI251+IF('幕间与结算'!E51="智力",N('幕间与结算'!K51),0)))</f>
        <v>0</v>
      </c>
      <c r="BJ252">
        <f>MAX(0,MIN(18,'幕间计算'!BJ251+IF('幕间与结算'!E51="意志",N('幕间与结算'!K51),0)))</f>
        <v>0</v>
      </c>
      <c r="BK252">
        <f>MAX(0,MIN(18,'幕间计算'!BK251+IF('幕间与结算'!E51="魅力",N('幕间与结算'!K51),0)))</f>
        <v>0</v>
      </c>
      <c r="BL252">
        <f>MAX(0,MIN(99,'幕间计算'!BL251+IF('幕间与结算'!E51="技能：非自然知识",N('幕间与结算'!K51),0)))</f>
        <v>0</v>
      </c>
    </row>
    <row r="253">
      <c r="A253">
        <f>IFERROR(IF(AND(VALUE('幕间与结算'!B52)&gt;=1,VALUE('幕间与结算'!B52)&lt;=20),VALUE('幕间与结算'!B52),0),0)</f>
        <v>0</v>
      </c>
      <c r="B253">
        <f>IF(AND(A253&gt;0,'幕间与结算'!D52&lt;&gt;"",'幕间与结算'!J52="确认",ISNUMBER('幕间与结算'!K52),OR('幕间与结算'!G52="失败",'幕间与结算'!G52="大失败"),'幕间与结算'!H52="√",LEFT('幕间与结算'!E52,3)="技能：",'幕间与结算'!E52&lt;&gt;"技能：非自然知识",ISNUMBER('幕间与结算'!F52),'幕间与结算'!F52&gt;=1,'幕间与结算'!F52&lt;=99),1,0)</f>
        <v>0</v>
      </c>
      <c r="D253">
        <f>IF(AND('幕间与结算'!J52="确认",ISNUMBER('幕间与结算'!K52),'幕间与结算'!L52&lt;&gt;"",ISNUMBER('幕间与结算'!M52),'幕间与结算'!M52&gt;0,'幕间与结算'!M52&lt;=99),'幕间与结算'!M52,0)</f>
        <v>0</v>
      </c>
      <c r="E253">
        <f>IF(AND(B253=1,COUNTIFS($A$210:A253,A253,$B$210:B253,1,'幕间与结算'!$E$9:E52,'幕间与结算'!E52)=1),44,999999)</f>
        <v>999999</v>
      </c>
      <c r="F253">
        <v>52</v>
      </c>
      <c r="AA253">
        <f>IF($A253=1,$E253,999999)</f>
        <v>999999</v>
      </c>
      <c r="AB253">
        <f>IF($A253=2,$E253,999999)</f>
        <v>999999</v>
      </c>
      <c r="AC253">
        <f>IF($A253=3,$E253,999999)</f>
        <v>999999</v>
      </c>
      <c r="AD253">
        <f>IF($A253=4,$E253,999999)</f>
        <v>999999</v>
      </c>
      <c r="AE253">
        <f>IF($A253=5,$E253,999999)</f>
        <v>999999</v>
      </c>
      <c r="AF253">
        <f>IF($A253=6,$E253,999999)</f>
        <v>999999</v>
      </c>
      <c r="AG253">
        <f>IF($A253=7,$E253,999999)</f>
        <v>999999</v>
      </c>
      <c r="AH253">
        <f>IF($A253=8,$E253,999999)</f>
        <v>999999</v>
      </c>
      <c r="AI253">
        <f>IF($A253=9,$E253,999999)</f>
        <v>999999</v>
      </c>
      <c r="AJ253">
        <f>IF($A253=10,$E253,999999)</f>
        <v>999999</v>
      </c>
      <c r="AK253">
        <f>IF($A253=11,$E253,999999)</f>
        <v>999999</v>
      </c>
      <c r="AL253">
        <f>IF($A253=12,$E253,999999)</f>
        <v>999999</v>
      </c>
      <c r="AM253">
        <f>IF($A253=13,$E253,999999)</f>
        <v>999999</v>
      </c>
      <c r="AN253">
        <f>IF($A253=14,$E253,999999)</f>
        <v>999999</v>
      </c>
      <c r="AO253">
        <f>IF($A253=15,$E253,999999)</f>
        <v>999999</v>
      </c>
      <c r="AP253">
        <f>IF($A253=16,$E253,999999)</f>
        <v>999999</v>
      </c>
      <c r="AQ253">
        <f>IF($A253=17,$E253,999999)</f>
        <v>999999</v>
      </c>
      <c r="AR253">
        <f>IF($A253=18,$E253,999999)</f>
        <v>999999</v>
      </c>
      <c r="AS253">
        <f>IF($A253=19,$E253,999999)</f>
        <v>999999</v>
      </c>
      <c r="AT253">
        <f>IF($A253=20,$E253,999999)</f>
        <v>999999</v>
      </c>
      <c r="BA253">
        <f>MAX(0,MIN(CEILING((BF253+BG253)/2,1),BA252+IF('幕间与结算'!E52="体力",N('幕间与结算'!K52),0)))</f>
        <v>0</v>
      </c>
      <c r="BB253">
        <f>MAX(0,MIN(BJ253,BB252+IF('幕间与结算'!E52="毅力",N('幕间与结算'!K52),0)))</f>
        <v>0</v>
      </c>
      <c r="BC253">
        <f>MAX(0,MIN(99-BL253,BC252+IF('幕间与结算'!E52="理智",N('幕间与结算'!K52),0)))</f>
        <v>0</v>
      </c>
      <c r="BD253">
        <f>MAX(0,MIN(99,BD252+IF('幕间与结算'!E52="崩溃点",N('幕间与结算'!K52),0)))</f>
        <v>0</v>
      </c>
      <c r="BF253">
        <f>MAX(0,MIN(18,'幕间计算'!BF252+IF('幕间与结算'!E52="力量",N('幕间与结算'!K52),0)))</f>
        <v>0</v>
      </c>
      <c r="BG253">
        <f>MAX(0,MIN(18,'幕间计算'!BG252+IF('幕间与结算'!E52="体质",N('幕间与结算'!K52),0)))</f>
        <v>0</v>
      </c>
      <c r="BH253">
        <f>MAX(0,MIN(18,'幕间计算'!BH252+IF('幕间与结算'!E52="敏捷",N('幕间与结算'!K52),0)))</f>
        <v>0</v>
      </c>
      <c r="BI253">
        <f>MAX(0,MIN(18,'幕间计算'!BI252+IF('幕间与结算'!E52="智力",N('幕间与结算'!K52),0)))</f>
        <v>0</v>
      </c>
      <c r="BJ253">
        <f>MAX(0,MIN(18,'幕间计算'!BJ252+IF('幕间与结算'!E52="意志",N('幕间与结算'!K52),0)))</f>
        <v>0</v>
      </c>
      <c r="BK253">
        <f>MAX(0,MIN(18,'幕间计算'!BK252+IF('幕间与结算'!E52="魅力",N('幕间与结算'!K52),0)))</f>
        <v>0</v>
      </c>
      <c r="BL253">
        <f>MAX(0,MIN(99,'幕间计算'!BL252+IF('幕间与结算'!E52="技能：非自然知识",N('幕间与结算'!K52),0)))</f>
        <v>0</v>
      </c>
    </row>
    <row r="254">
      <c r="A254">
        <f>IFERROR(IF(AND(VALUE('幕间与结算'!B53)&gt;=1,VALUE('幕间与结算'!B53)&lt;=20),VALUE('幕间与结算'!B53),0),0)</f>
        <v>0</v>
      </c>
      <c r="B254">
        <f>IF(AND(A254&gt;0,'幕间与结算'!D53&lt;&gt;"",'幕间与结算'!J53="确认",ISNUMBER('幕间与结算'!K53),OR('幕间与结算'!G53="失败",'幕间与结算'!G53="大失败"),'幕间与结算'!H53="√",LEFT('幕间与结算'!E53,3)="技能：",'幕间与结算'!E53&lt;&gt;"技能：非自然知识",ISNUMBER('幕间与结算'!F53),'幕间与结算'!F53&gt;=1,'幕间与结算'!F53&lt;=99),1,0)</f>
        <v>0</v>
      </c>
      <c r="D254">
        <f>IF(AND('幕间与结算'!J53="确认",ISNUMBER('幕间与结算'!K53),'幕间与结算'!L53&lt;&gt;"",ISNUMBER('幕间与结算'!M53),'幕间与结算'!M53&gt;0,'幕间与结算'!M53&lt;=99),'幕间与结算'!M53,0)</f>
        <v>0</v>
      </c>
      <c r="E254">
        <f>IF(AND(B254=1,COUNTIFS($A$210:A254,A254,$B$210:B254,1,'幕间与结算'!$E$9:E53,'幕间与结算'!E53)=1),45,999999)</f>
        <v>999999</v>
      </c>
      <c r="F254">
        <v>53</v>
      </c>
      <c r="AA254">
        <f>IF($A254=1,$E254,999999)</f>
        <v>999999</v>
      </c>
      <c r="AB254">
        <f>IF($A254=2,$E254,999999)</f>
        <v>999999</v>
      </c>
      <c r="AC254">
        <f>IF($A254=3,$E254,999999)</f>
        <v>999999</v>
      </c>
      <c r="AD254">
        <f>IF($A254=4,$E254,999999)</f>
        <v>999999</v>
      </c>
      <c r="AE254">
        <f>IF($A254=5,$E254,999999)</f>
        <v>999999</v>
      </c>
      <c r="AF254">
        <f>IF($A254=6,$E254,999999)</f>
        <v>999999</v>
      </c>
      <c r="AG254">
        <f>IF($A254=7,$E254,999999)</f>
        <v>999999</v>
      </c>
      <c r="AH254">
        <f>IF($A254=8,$E254,999999)</f>
        <v>999999</v>
      </c>
      <c r="AI254">
        <f>IF($A254=9,$E254,999999)</f>
        <v>999999</v>
      </c>
      <c r="AJ254">
        <f>IF($A254=10,$E254,999999)</f>
        <v>999999</v>
      </c>
      <c r="AK254">
        <f>IF($A254=11,$E254,999999)</f>
        <v>999999</v>
      </c>
      <c r="AL254">
        <f>IF($A254=12,$E254,999999)</f>
        <v>999999</v>
      </c>
      <c r="AM254">
        <f>IF($A254=13,$E254,999999)</f>
        <v>999999</v>
      </c>
      <c r="AN254">
        <f>IF($A254=14,$E254,999999)</f>
        <v>999999</v>
      </c>
      <c r="AO254">
        <f>IF($A254=15,$E254,999999)</f>
        <v>999999</v>
      </c>
      <c r="AP254">
        <f>IF($A254=16,$E254,999999)</f>
        <v>999999</v>
      </c>
      <c r="AQ254">
        <f>IF($A254=17,$E254,999999)</f>
        <v>999999</v>
      </c>
      <c r="AR254">
        <f>IF($A254=18,$E254,999999)</f>
        <v>999999</v>
      </c>
      <c r="AS254">
        <f>IF($A254=19,$E254,999999)</f>
        <v>999999</v>
      </c>
      <c r="AT254">
        <f>IF($A254=20,$E254,999999)</f>
        <v>999999</v>
      </c>
      <c r="BA254">
        <f>MAX(0,MIN(CEILING((BF254+BG254)/2,1),BA253+IF('幕间与结算'!E53="体力",N('幕间与结算'!K53),0)))</f>
        <v>0</v>
      </c>
      <c r="BB254">
        <f>MAX(0,MIN(BJ254,BB253+IF('幕间与结算'!E53="毅力",N('幕间与结算'!K53),0)))</f>
        <v>0</v>
      </c>
      <c r="BC254">
        <f>MAX(0,MIN(99-BL254,BC253+IF('幕间与结算'!E53="理智",N('幕间与结算'!K53),0)))</f>
        <v>0</v>
      </c>
      <c r="BD254">
        <f>MAX(0,MIN(99,BD253+IF('幕间与结算'!E53="崩溃点",N('幕间与结算'!K53),0)))</f>
        <v>0</v>
      </c>
      <c r="BF254">
        <f>MAX(0,MIN(18,'幕间计算'!BF253+IF('幕间与结算'!E53="力量",N('幕间与结算'!K53),0)))</f>
        <v>0</v>
      </c>
      <c r="BG254">
        <f>MAX(0,MIN(18,'幕间计算'!BG253+IF('幕间与结算'!E53="体质",N('幕间与结算'!K53),0)))</f>
        <v>0</v>
      </c>
      <c r="BH254">
        <f>MAX(0,MIN(18,'幕间计算'!BH253+IF('幕间与结算'!E53="敏捷",N('幕间与结算'!K53),0)))</f>
        <v>0</v>
      </c>
      <c r="BI254">
        <f>MAX(0,MIN(18,'幕间计算'!BI253+IF('幕间与结算'!E53="智力",N('幕间与结算'!K53),0)))</f>
        <v>0</v>
      </c>
      <c r="BJ254">
        <f>MAX(0,MIN(18,'幕间计算'!BJ253+IF('幕间与结算'!E53="意志",N('幕间与结算'!K53),0)))</f>
        <v>0</v>
      </c>
      <c r="BK254">
        <f>MAX(0,MIN(18,'幕间计算'!BK253+IF('幕间与结算'!E53="魅力",N('幕间与结算'!K53),0)))</f>
        <v>0</v>
      </c>
      <c r="BL254">
        <f>MAX(0,MIN(99,'幕间计算'!BL253+IF('幕间与结算'!E53="技能：非自然知识",N('幕间与结算'!K53),0)))</f>
        <v>0</v>
      </c>
    </row>
    <row r="255">
      <c r="A255">
        <f>IFERROR(IF(AND(VALUE('幕间与结算'!B54)&gt;=1,VALUE('幕间与结算'!B54)&lt;=20),VALUE('幕间与结算'!B54),0),0)</f>
        <v>0</v>
      </c>
      <c r="B255">
        <f>IF(AND(A255&gt;0,'幕间与结算'!D54&lt;&gt;"",'幕间与结算'!J54="确认",ISNUMBER('幕间与结算'!K54),OR('幕间与结算'!G54="失败",'幕间与结算'!G54="大失败"),'幕间与结算'!H54="√",LEFT('幕间与结算'!E54,3)="技能：",'幕间与结算'!E54&lt;&gt;"技能：非自然知识",ISNUMBER('幕间与结算'!F54),'幕间与结算'!F54&gt;=1,'幕间与结算'!F54&lt;=99),1,0)</f>
        <v>0</v>
      </c>
      <c r="D255">
        <f>IF(AND('幕间与结算'!J54="确认",ISNUMBER('幕间与结算'!K54),'幕间与结算'!L54&lt;&gt;"",ISNUMBER('幕间与结算'!M54),'幕间与结算'!M54&gt;0,'幕间与结算'!M54&lt;=99),'幕间与结算'!M54,0)</f>
        <v>0</v>
      </c>
      <c r="E255">
        <f>IF(AND(B255=1,COUNTIFS($A$210:A255,A255,$B$210:B255,1,'幕间与结算'!$E$9:E54,'幕间与结算'!E54)=1),46,999999)</f>
        <v>999999</v>
      </c>
      <c r="F255">
        <v>54</v>
      </c>
      <c r="AA255">
        <f>IF($A255=1,$E255,999999)</f>
        <v>999999</v>
      </c>
      <c r="AB255">
        <f>IF($A255=2,$E255,999999)</f>
        <v>999999</v>
      </c>
      <c r="AC255">
        <f>IF($A255=3,$E255,999999)</f>
        <v>999999</v>
      </c>
      <c r="AD255">
        <f>IF($A255=4,$E255,999999)</f>
        <v>999999</v>
      </c>
      <c r="AE255">
        <f>IF($A255=5,$E255,999999)</f>
        <v>999999</v>
      </c>
      <c r="AF255">
        <f>IF($A255=6,$E255,999999)</f>
        <v>999999</v>
      </c>
      <c r="AG255">
        <f>IF($A255=7,$E255,999999)</f>
        <v>999999</v>
      </c>
      <c r="AH255">
        <f>IF($A255=8,$E255,999999)</f>
        <v>999999</v>
      </c>
      <c r="AI255">
        <f>IF($A255=9,$E255,999999)</f>
        <v>999999</v>
      </c>
      <c r="AJ255">
        <f>IF($A255=10,$E255,999999)</f>
        <v>999999</v>
      </c>
      <c r="AK255">
        <f>IF($A255=11,$E255,999999)</f>
        <v>999999</v>
      </c>
      <c r="AL255">
        <f>IF($A255=12,$E255,999999)</f>
        <v>999999</v>
      </c>
      <c r="AM255">
        <f>IF($A255=13,$E255,999999)</f>
        <v>999999</v>
      </c>
      <c r="AN255">
        <f>IF($A255=14,$E255,999999)</f>
        <v>999999</v>
      </c>
      <c r="AO255">
        <f>IF($A255=15,$E255,999999)</f>
        <v>999999</v>
      </c>
      <c r="AP255">
        <f>IF($A255=16,$E255,999999)</f>
        <v>999999</v>
      </c>
      <c r="AQ255">
        <f>IF($A255=17,$E255,999999)</f>
        <v>999999</v>
      </c>
      <c r="AR255">
        <f>IF($A255=18,$E255,999999)</f>
        <v>999999</v>
      </c>
      <c r="AS255">
        <f>IF($A255=19,$E255,999999)</f>
        <v>999999</v>
      </c>
      <c r="AT255">
        <f>IF($A255=20,$E255,999999)</f>
        <v>999999</v>
      </c>
      <c r="BA255">
        <f>MAX(0,MIN(CEILING((BF255+BG255)/2,1),BA254+IF('幕间与结算'!E54="体力",N('幕间与结算'!K54),0)))</f>
        <v>0</v>
      </c>
      <c r="BB255">
        <f>MAX(0,MIN(BJ255,BB254+IF('幕间与结算'!E54="毅力",N('幕间与结算'!K54),0)))</f>
        <v>0</v>
      </c>
      <c r="BC255">
        <f>MAX(0,MIN(99-BL255,BC254+IF('幕间与结算'!E54="理智",N('幕间与结算'!K54),0)))</f>
        <v>0</v>
      </c>
      <c r="BD255">
        <f>MAX(0,MIN(99,BD254+IF('幕间与结算'!E54="崩溃点",N('幕间与结算'!K54),0)))</f>
        <v>0</v>
      </c>
      <c r="BF255">
        <f>MAX(0,MIN(18,'幕间计算'!BF254+IF('幕间与结算'!E54="力量",N('幕间与结算'!K54),0)))</f>
        <v>0</v>
      </c>
      <c r="BG255">
        <f>MAX(0,MIN(18,'幕间计算'!BG254+IF('幕间与结算'!E54="体质",N('幕间与结算'!K54),0)))</f>
        <v>0</v>
      </c>
      <c r="BH255">
        <f>MAX(0,MIN(18,'幕间计算'!BH254+IF('幕间与结算'!E54="敏捷",N('幕间与结算'!K54),0)))</f>
        <v>0</v>
      </c>
      <c r="BI255">
        <f>MAX(0,MIN(18,'幕间计算'!BI254+IF('幕间与结算'!E54="智力",N('幕间与结算'!K54),0)))</f>
        <v>0</v>
      </c>
      <c r="BJ255">
        <f>MAX(0,MIN(18,'幕间计算'!BJ254+IF('幕间与结算'!E54="意志",N('幕间与结算'!K54),0)))</f>
        <v>0</v>
      </c>
      <c r="BK255">
        <f>MAX(0,MIN(18,'幕间计算'!BK254+IF('幕间与结算'!E54="魅力",N('幕间与结算'!K54),0)))</f>
        <v>0</v>
      </c>
      <c r="BL255">
        <f>MAX(0,MIN(99,'幕间计算'!BL254+IF('幕间与结算'!E54="技能：非自然知识",N('幕间与结算'!K54),0)))</f>
        <v>0</v>
      </c>
    </row>
    <row r="256">
      <c r="A256">
        <f>IFERROR(IF(AND(VALUE('幕间与结算'!B55)&gt;=1,VALUE('幕间与结算'!B55)&lt;=20),VALUE('幕间与结算'!B55),0),0)</f>
        <v>0</v>
      </c>
      <c r="B256">
        <f>IF(AND(A256&gt;0,'幕间与结算'!D55&lt;&gt;"",'幕间与结算'!J55="确认",ISNUMBER('幕间与结算'!K55),OR('幕间与结算'!G55="失败",'幕间与结算'!G55="大失败"),'幕间与结算'!H55="√",LEFT('幕间与结算'!E55,3)="技能：",'幕间与结算'!E55&lt;&gt;"技能：非自然知识",ISNUMBER('幕间与结算'!F55),'幕间与结算'!F55&gt;=1,'幕间与结算'!F55&lt;=99),1,0)</f>
        <v>0</v>
      </c>
      <c r="D256">
        <f>IF(AND('幕间与结算'!J55="确认",ISNUMBER('幕间与结算'!K55),'幕间与结算'!L55&lt;&gt;"",ISNUMBER('幕间与结算'!M55),'幕间与结算'!M55&gt;0,'幕间与结算'!M55&lt;=99),'幕间与结算'!M55,0)</f>
        <v>0</v>
      </c>
      <c r="E256">
        <f>IF(AND(B256=1,COUNTIFS($A$210:A256,A256,$B$210:B256,1,'幕间与结算'!$E$9:E55,'幕间与结算'!E55)=1),47,999999)</f>
        <v>999999</v>
      </c>
      <c r="F256">
        <v>55</v>
      </c>
      <c r="AA256">
        <f>IF($A256=1,$E256,999999)</f>
        <v>999999</v>
      </c>
      <c r="AB256">
        <f>IF($A256=2,$E256,999999)</f>
        <v>999999</v>
      </c>
      <c r="AC256">
        <f>IF($A256=3,$E256,999999)</f>
        <v>999999</v>
      </c>
      <c r="AD256">
        <f>IF($A256=4,$E256,999999)</f>
        <v>999999</v>
      </c>
      <c r="AE256">
        <f>IF($A256=5,$E256,999999)</f>
        <v>999999</v>
      </c>
      <c r="AF256">
        <f>IF($A256=6,$E256,999999)</f>
        <v>999999</v>
      </c>
      <c r="AG256">
        <f>IF($A256=7,$E256,999999)</f>
        <v>999999</v>
      </c>
      <c r="AH256">
        <f>IF($A256=8,$E256,999999)</f>
        <v>999999</v>
      </c>
      <c r="AI256">
        <f>IF($A256=9,$E256,999999)</f>
        <v>999999</v>
      </c>
      <c r="AJ256">
        <f>IF($A256=10,$E256,999999)</f>
        <v>999999</v>
      </c>
      <c r="AK256">
        <f>IF($A256=11,$E256,999999)</f>
        <v>999999</v>
      </c>
      <c r="AL256">
        <f>IF($A256=12,$E256,999999)</f>
        <v>999999</v>
      </c>
      <c r="AM256">
        <f>IF($A256=13,$E256,999999)</f>
        <v>999999</v>
      </c>
      <c r="AN256">
        <f>IF($A256=14,$E256,999999)</f>
        <v>999999</v>
      </c>
      <c r="AO256">
        <f>IF($A256=15,$E256,999999)</f>
        <v>999999</v>
      </c>
      <c r="AP256">
        <f>IF($A256=16,$E256,999999)</f>
        <v>999999</v>
      </c>
      <c r="AQ256">
        <f>IF($A256=17,$E256,999999)</f>
        <v>999999</v>
      </c>
      <c r="AR256">
        <f>IF($A256=18,$E256,999999)</f>
        <v>999999</v>
      </c>
      <c r="AS256">
        <f>IF($A256=19,$E256,999999)</f>
        <v>999999</v>
      </c>
      <c r="AT256">
        <f>IF($A256=20,$E256,999999)</f>
        <v>999999</v>
      </c>
      <c r="BA256">
        <f>MAX(0,MIN(CEILING((BF256+BG256)/2,1),BA255+IF('幕间与结算'!E55="体力",N('幕间与结算'!K55),0)))</f>
        <v>0</v>
      </c>
      <c r="BB256">
        <f>MAX(0,MIN(BJ256,BB255+IF('幕间与结算'!E55="毅力",N('幕间与结算'!K55),0)))</f>
        <v>0</v>
      </c>
      <c r="BC256">
        <f>MAX(0,MIN(99-BL256,BC255+IF('幕间与结算'!E55="理智",N('幕间与结算'!K55),0)))</f>
        <v>0</v>
      </c>
      <c r="BD256">
        <f>MAX(0,MIN(99,BD255+IF('幕间与结算'!E55="崩溃点",N('幕间与结算'!K55),0)))</f>
        <v>0</v>
      </c>
      <c r="BF256">
        <f>MAX(0,MIN(18,'幕间计算'!BF255+IF('幕间与结算'!E55="力量",N('幕间与结算'!K55),0)))</f>
        <v>0</v>
      </c>
      <c r="BG256">
        <f>MAX(0,MIN(18,'幕间计算'!BG255+IF('幕间与结算'!E55="体质",N('幕间与结算'!K55),0)))</f>
        <v>0</v>
      </c>
      <c r="BH256">
        <f>MAX(0,MIN(18,'幕间计算'!BH255+IF('幕间与结算'!E55="敏捷",N('幕间与结算'!K55),0)))</f>
        <v>0</v>
      </c>
      <c r="BI256">
        <f>MAX(0,MIN(18,'幕间计算'!BI255+IF('幕间与结算'!E55="智力",N('幕间与结算'!K55),0)))</f>
        <v>0</v>
      </c>
      <c r="BJ256">
        <f>MAX(0,MIN(18,'幕间计算'!BJ255+IF('幕间与结算'!E55="意志",N('幕间与结算'!K55),0)))</f>
        <v>0</v>
      </c>
      <c r="BK256">
        <f>MAX(0,MIN(18,'幕间计算'!BK255+IF('幕间与结算'!E55="魅力",N('幕间与结算'!K55),0)))</f>
        <v>0</v>
      </c>
      <c r="BL256">
        <f>MAX(0,MIN(99,'幕间计算'!BL255+IF('幕间与结算'!E55="技能：非自然知识",N('幕间与结算'!K55),0)))</f>
        <v>0</v>
      </c>
    </row>
    <row r="257">
      <c r="A257">
        <f>IFERROR(IF(AND(VALUE('幕间与结算'!B56)&gt;=1,VALUE('幕间与结算'!B56)&lt;=20),VALUE('幕间与结算'!B56),0),0)</f>
        <v>0</v>
      </c>
      <c r="B257">
        <f>IF(AND(A257&gt;0,'幕间与结算'!D56&lt;&gt;"",'幕间与结算'!J56="确认",ISNUMBER('幕间与结算'!K56),OR('幕间与结算'!G56="失败",'幕间与结算'!G56="大失败"),'幕间与结算'!H56="√",LEFT('幕间与结算'!E56,3)="技能：",'幕间与结算'!E56&lt;&gt;"技能：非自然知识",ISNUMBER('幕间与结算'!F56),'幕间与结算'!F56&gt;=1,'幕间与结算'!F56&lt;=99),1,0)</f>
        <v>0</v>
      </c>
      <c r="D257">
        <f>IF(AND('幕间与结算'!J56="确认",ISNUMBER('幕间与结算'!K56),'幕间与结算'!L56&lt;&gt;"",ISNUMBER('幕间与结算'!M56),'幕间与结算'!M56&gt;0,'幕间与结算'!M56&lt;=99),'幕间与结算'!M56,0)</f>
        <v>0</v>
      </c>
      <c r="E257">
        <f>IF(AND(B257=1,COUNTIFS($A$210:A257,A257,$B$210:B257,1,'幕间与结算'!$E$9:E56,'幕间与结算'!E56)=1),48,999999)</f>
        <v>999999</v>
      </c>
      <c r="F257">
        <v>56</v>
      </c>
      <c r="AA257">
        <f>IF($A257=1,$E257,999999)</f>
        <v>999999</v>
      </c>
      <c r="AB257">
        <f>IF($A257=2,$E257,999999)</f>
        <v>999999</v>
      </c>
      <c r="AC257">
        <f>IF($A257=3,$E257,999999)</f>
        <v>999999</v>
      </c>
      <c r="AD257">
        <f>IF($A257=4,$E257,999999)</f>
        <v>999999</v>
      </c>
      <c r="AE257">
        <f>IF($A257=5,$E257,999999)</f>
        <v>999999</v>
      </c>
      <c r="AF257">
        <f>IF($A257=6,$E257,999999)</f>
        <v>999999</v>
      </c>
      <c r="AG257">
        <f>IF($A257=7,$E257,999999)</f>
        <v>999999</v>
      </c>
      <c r="AH257">
        <f>IF($A257=8,$E257,999999)</f>
        <v>999999</v>
      </c>
      <c r="AI257">
        <f>IF($A257=9,$E257,999999)</f>
        <v>999999</v>
      </c>
      <c r="AJ257">
        <f>IF($A257=10,$E257,999999)</f>
        <v>999999</v>
      </c>
      <c r="AK257">
        <f>IF($A257=11,$E257,999999)</f>
        <v>999999</v>
      </c>
      <c r="AL257">
        <f>IF($A257=12,$E257,999999)</f>
        <v>999999</v>
      </c>
      <c r="AM257">
        <f>IF($A257=13,$E257,999999)</f>
        <v>999999</v>
      </c>
      <c r="AN257">
        <f>IF($A257=14,$E257,999999)</f>
        <v>999999</v>
      </c>
      <c r="AO257">
        <f>IF($A257=15,$E257,999999)</f>
        <v>999999</v>
      </c>
      <c r="AP257">
        <f>IF($A257=16,$E257,999999)</f>
        <v>999999</v>
      </c>
      <c r="AQ257">
        <f>IF($A257=17,$E257,999999)</f>
        <v>999999</v>
      </c>
      <c r="AR257">
        <f>IF($A257=18,$E257,999999)</f>
        <v>999999</v>
      </c>
      <c r="AS257">
        <f>IF($A257=19,$E257,999999)</f>
        <v>999999</v>
      </c>
      <c r="AT257">
        <f>IF($A257=20,$E257,999999)</f>
        <v>999999</v>
      </c>
      <c r="BA257">
        <f>MAX(0,MIN(CEILING((BF257+BG257)/2,1),BA256+IF('幕间与结算'!E56="体力",N('幕间与结算'!K56),0)))</f>
        <v>0</v>
      </c>
      <c r="BB257">
        <f>MAX(0,MIN(BJ257,BB256+IF('幕间与结算'!E56="毅力",N('幕间与结算'!K56),0)))</f>
        <v>0</v>
      </c>
      <c r="BC257">
        <f>MAX(0,MIN(99-BL257,BC256+IF('幕间与结算'!E56="理智",N('幕间与结算'!K56),0)))</f>
        <v>0</v>
      </c>
      <c r="BD257">
        <f>MAX(0,MIN(99,BD256+IF('幕间与结算'!E56="崩溃点",N('幕间与结算'!K56),0)))</f>
        <v>0</v>
      </c>
      <c r="BF257">
        <f>MAX(0,MIN(18,'幕间计算'!BF256+IF('幕间与结算'!E56="力量",N('幕间与结算'!K56),0)))</f>
        <v>0</v>
      </c>
      <c r="BG257">
        <f>MAX(0,MIN(18,'幕间计算'!BG256+IF('幕间与结算'!E56="体质",N('幕间与结算'!K56),0)))</f>
        <v>0</v>
      </c>
      <c r="BH257">
        <f>MAX(0,MIN(18,'幕间计算'!BH256+IF('幕间与结算'!E56="敏捷",N('幕间与结算'!K56),0)))</f>
        <v>0</v>
      </c>
      <c r="BI257">
        <f>MAX(0,MIN(18,'幕间计算'!BI256+IF('幕间与结算'!E56="智力",N('幕间与结算'!K56),0)))</f>
        <v>0</v>
      </c>
      <c r="BJ257">
        <f>MAX(0,MIN(18,'幕间计算'!BJ256+IF('幕间与结算'!E56="意志",N('幕间与结算'!K56),0)))</f>
        <v>0</v>
      </c>
      <c r="BK257">
        <f>MAX(0,MIN(18,'幕间计算'!BK256+IF('幕间与结算'!E56="魅力",N('幕间与结算'!K56),0)))</f>
        <v>0</v>
      </c>
      <c r="BL257">
        <f>MAX(0,MIN(99,'幕间计算'!BL256+IF('幕间与结算'!E56="技能：非自然知识",N('幕间与结算'!K56),0)))</f>
        <v>0</v>
      </c>
    </row>
    <row r="258">
      <c r="A258">
        <f>IFERROR(IF(AND(VALUE('幕间与结算'!B57)&gt;=1,VALUE('幕间与结算'!B57)&lt;=20),VALUE('幕间与结算'!B57),0),0)</f>
        <v>0</v>
      </c>
      <c r="B258">
        <f>IF(AND(A258&gt;0,'幕间与结算'!D57&lt;&gt;"",'幕间与结算'!J57="确认",ISNUMBER('幕间与结算'!K57),OR('幕间与结算'!G57="失败",'幕间与结算'!G57="大失败"),'幕间与结算'!H57="√",LEFT('幕间与结算'!E57,3)="技能：",'幕间与结算'!E57&lt;&gt;"技能：非自然知识",ISNUMBER('幕间与结算'!F57),'幕间与结算'!F57&gt;=1,'幕间与结算'!F57&lt;=99),1,0)</f>
        <v>0</v>
      </c>
      <c r="D258">
        <f>IF(AND('幕间与结算'!J57="确认",ISNUMBER('幕间与结算'!K57),'幕间与结算'!L57&lt;&gt;"",ISNUMBER('幕间与结算'!M57),'幕间与结算'!M57&gt;0,'幕间与结算'!M57&lt;=99),'幕间与结算'!M57,0)</f>
        <v>0</v>
      </c>
      <c r="E258">
        <f>IF(AND(B258=1,COUNTIFS($A$210:A258,A258,$B$210:B258,1,'幕间与结算'!$E$9:E57,'幕间与结算'!E57)=1),49,999999)</f>
        <v>999999</v>
      </c>
      <c r="F258">
        <v>57</v>
      </c>
      <c r="AA258">
        <f>IF($A258=1,$E258,999999)</f>
        <v>999999</v>
      </c>
      <c r="AB258">
        <f>IF($A258=2,$E258,999999)</f>
        <v>999999</v>
      </c>
      <c r="AC258">
        <f>IF($A258=3,$E258,999999)</f>
        <v>999999</v>
      </c>
      <c r="AD258">
        <f>IF($A258=4,$E258,999999)</f>
        <v>999999</v>
      </c>
      <c r="AE258">
        <f>IF($A258=5,$E258,999999)</f>
        <v>999999</v>
      </c>
      <c r="AF258">
        <f>IF($A258=6,$E258,999999)</f>
        <v>999999</v>
      </c>
      <c r="AG258">
        <f>IF($A258=7,$E258,999999)</f>
        <v>999999</v>
      </c>
      <c r="AH258">
        <f>IF($A258=8,$E258,999999)</f>
        <v>999999</v>
      </c>
      <c r="AI258">
        <f>IF($A258=9,$E258,999999)</f>
        <v>999999</v>
      </c>
      <c r="AJ258">
        <f>IF($A258=10,$E258,999999)</f>
        <v>999999</v>
      </c>
      <c r="AK258">
        <f>IF($A258=11,$E258,999999)</f>
        <v>999999</v>
      </c>
      <c r="AL258">
        <f>IF($A258=12,$E258,999999)</f>
        <v>999999</v>
      </c>
      <c r="AM258">
        <f>IF($A258=13,$E258,999999)</f>
        <v>999999</v>
      </c>
      <c r="AN258">
        <f>IF($A258=14,$E258,999999)</f>
        <v>999999</v>
      </c>
      <c r="AO258">
        <f>IF($A258=15,$E258,999999)</f>
        <v>999999</v>
      </c>
      <c r="AP258">
        <f>IF($A258=16,$E258,999999)</f>
        <v>999999</v>
      </c>
      <c r="AQ258">
        <f>IF($A258=17,$E258,999999)</f>
        <v>999999</v>
      </c>
      <c r="AR258">
        <f>IF($A258=18,$E258,999999)</f>
        <v>999999</v>
      </c>
      <c r="AS258">
        <f>IF($A258=19,$E258,999999)</f>
        <v>999999</v>
      </c>
      <c r="AT258">
        <f>IF($A258=20,$E258,999999)</f>
        <v>999999</v>
      </c>
      <c r="BA258">
        <f>MAX(0,MIN(CEILING((BF258+BG258)/2,1),BA257+IF('幕间与结算'!E57="体力",N('幕间与结算'!K57),0)))</f>
        <v>0</v>
      </c>
      <c r="BB258">
        <f>MAX(0,MIN(BJ258,BB257+IF('幕间与结算'!E57="毅力",N('幕间与结算'!K57),0)))</f>
        <v>0</v>
      </c>
      <c r="BC258">
        <f>MAX(0,MIN(99-BL258,BC257+IF('幕间与结算'!E57="理智",N('幕间与结算'!K57),0)))</f>
        <v>0</v>
      </c>
      <c r="BD258">
        <f>MAX(0,MIN(99,BD257+IF('幕间与结算'!E57="崩溃点",N('幕间与结算'!K57),0)))</f>
        <v>0</v>
      </c>
      <c r="BF258">
        <f>MAX(0,MIN(18,'幕间计算'!BF257+IF('幕间与结算'!E57="力量",N('幕间与结算'!K57),0)))</f>
        <v>0</v>
      </c>
      <c r="BG258">
        <f>MAX(0,MIN(18,'幕间计算'!BG257+IF('幕间与结算'!E57="体质",N('幕间与结算'!K57),0)))</f>
        <v>0</v>
      </c>
      <c r="BH258">
        <f>MAX(0,MIN(18,'幕间计算'!BH257+IF('幕间与结算'!E57="敏捷",N('幕间与结算'!K57),0)))</f>
        <v>0</v>
      </c>
      <c r="BI258">
        <f>MAX(0,MIN(18,'幕间计算'!BI257+IF('幕间与结算'!E57="智力",N('幕间与结算'!K57),0)))</f>
        <v>0</v>
      </c>
      <c r="BJ258">
        <f>MAX(0,MIN(18,'幕间计算'!BJ257+IF('幕间与结算'!E57="意志",N('幕间与结算'!K57),0)))</f>
        <v>0</v>
      </c>
      <c r="BK258">
        <f>MAX(0,MIN(18,'幕间计算'!BK257+IF('幕间与结算'!E57="魅力",N('幕间与结算'!K57),0)))</f>
        <v>0</v>
      </c>
      <c r="BL258">
        <f>MAX(0,MIN(99,'幕间计算'!BL257+IF('幕间与结算'!E57="技能：非自然知识",N('幕间与结算'!K57),0)))</f>
        <v>0</v>
      </c>
    </row>
    <row r="259">
      <c r="A259">
        <f>IFERROR(IF(AND(VALUE('幕间与结算'!B58)&gt;=1,VALUE('幕间与结算'!B58)&lt;=20),VALUE('幕间与结算'!B58),0),0)</f>
        <v>0</v>
      </c>
      <c r="B259">
        <f>IF(AND(A259&gt;0,'幕间与结算'!D58&lt;&gt;"",'幕间与结算'!J58="确认",ISNUMBER('幕间与结算'!K58),OR('幕间与结算'!G58="失败",'幕间与结算'!G58="大失败"),'幕间与结算'!H58="√",LEFT('幕间与结算'!E58,3)="技能：",'幕间与结算'!E58&lt;&gt;"技能：非自然知识",ISNUMBER('幕间与结算'!F58),'幕间与结算'!F58&gt;=1,'幕间与结算'!F58&lt;=99),1,0)</f>
        <v>0</v>
      </c>
      <c r="D259">
        <f>IF(AND('幕间与结算'!J58="确认",ISNUMBER('幕间与结算'!K58),'幕间与结算'!L58&lt;&gt;"",ISNUMBER('幕间与结算'!M58),'幕间与结算'!M58&gt;0,'幕间与结算'!M58&lt;=99),'幕间与结算'!M58,0)</f>
        <v>0</v>
      </c>
      <c r="E259">
        <f>IF(AND(B259=1,COUNTIFS($A$210:A259,A259,$B$210:B259,1,'幕间与结算'!$E$9:E58,'幕间与结算'!E58)=1),50,999999)</f>
        <v>999999</v>
      </c>
      <c r="F259">
        <v>58</v>
      </c>
      <c r="AA259">
        <f>IF($A259=1,$E259,999999)</f>
        <v>999999</v>
      </c>
      <c r="AB259">
        <f>IF($A259=2,$E259,999999)</f>
        <v>999999</v>
      </c>
      <c r="AC259">
        <f>IF($A259=3,$E259,999999)</f>
        <v>999999</v>
      </c>
      <c r="AD259">
        <f>IF($A259=4,$E259,999999)</f>
        <v>999999</v>
      </c>
      <c r="AE259">
        <f>IF($A259=5,$E259,999999)</f>
        <v>999999</v>
      </c>
      <c r="AF259">
        <f>IF($A259=6,$E259,999999)</f>
        <v>999999</v>
      </c>
      <c r="AG259">
        <f>IF($A259=7,$E259,999999)</f>
        <v>999999</v>
      </c>
      <c r="AH259">
        <f>IF($A259=8,$E259,999999)</f>
        <v>999999</v>
      </c>
      <c r="AI259">
        <f>IF($A259=9,$E259,999999)</f>
        <v>999999</v>
      </c>
      <c r="AJ259">
        <f>IF($A259=10,$E259,999999)</f>
        <v>999999</v>
      </c>
      <c r="AK259">
        <f>IF($A259=11,$E259,999999)</f>
        <v>999999</v>
      </c>
      <c r="AL259">
        <f>IF($A259=12,$E259,999999)</f>
        <v>999999</v>
      </c>
      <c r="AM259">
        <f>IF($A259=13,$E259,999999)</f>
        <v>999999</v>
      </c>
      <c r="AN259">
        <f>IF($A259=14,$E259,999999)</f>
        <v>999999</v>
      </c>
      <c r="AO259">
        <f>IF($A259=15,$E259,999999)</f>
        <v>999999</v>
      </c>
      <c r="AP259">
        <f>IF($A259=16,$E259,999999)</f>
        <v>999999</v>
      </c>
      <c r="AQ259">
        <f>IF($A259=17,$E259,999999)</f>
        <v>999999</v>
      </c>
      <c r="AR259">
        <f>IF($A259=18,$E259,999999)</f>
        <v>999999</v>
      </c>
      <c r="AS259">
        <f>IF($A259=19,$E259,999999)</f>
        <v>999999</v>
      </c>
      <c r="AT259">
        <f>IF($A259=20,$E259,999999)</f>
        <v>999999</v>
      </c>
      <c r="BA259">
        <f>MAX(0,MIN(CEILING((BF259+BG259)/2,1),BA258+IF('幕间与结算'!E58="体力",N('幕间与结算'!K58),0)))</f>
        <v>0</v>
      </c>
      <c r="BB259">
        <f>MAX(0,MIN(BJ259,BB258+IF('幕间与结算'!E58="毅力",N('幕间与结算'!K58),0)))</f>
        <v>0</v>
      </c>
      <c r="BC259">
        <f>MAX(0,MIN(99-BL259,BC258+IF('幕间与结算'!E58="理智",N('幕间与结算'!K58),0)))</f>
        <v>0</v>
      </c>
      <c r="BD259">
        <f>MAX(0,MIN(99,BD258+IF('幕间与结算'!E58="崩溃点",N('幕间与结算'!K58),0)))</f>
        <v>0</v>
      </c>
      <c r="BF259">
        <f>MAX(0,MIN(18,'幕间计算'!BF258+IF('幕间与结算'!E58="力量",N('幕间与结算'!K58),0)))</f>
        <v>0</v>
      </c>
      <c r="BG259">
        <f>MAX(0,MIN(18,'幕间计算'!BG258+IF('幕间与结算'!E58="体质",N('幕间与结算'!K58),0)))</f>
        <v>0</v>
      </c>
      <c r="BH259">
        <f>MAX(0,MIN(18,'幕间计算'!BH258+IF('幕间与结算'!E58="敏捷",N('幕间与结算'!K58),0)))</f>
        <v>0</v>
      </c>
      <c r="BI259">
        <f>MAX(0,MIN(18,'幕间计算'!BI258+IF('幕间与结算'!E58="智力",N('幕间与结算'!K58),0)))</f>
        <v>0</v>
      </c>
      <c r="BJ259">
        <f>MAX(0,MIN(18,'幕间计算'!BJ258+IF('幕间与结算'!E58="意志",N('幕间与结算'!K58),0)))</f>
        <v>0</v>
      </c>
      <c r="BK259">
        <f>MAX(0,MIN(18,'幕间计算'!BK258+IF('幕间与结算'!E58="魅力",N('幕间与结算'!K58),0)))</f>
        <v>0</v>
      </c>
      <c r="BL259">
        <f>MAX(0,MIN(99,'幕间计算'!BL258+IF('幕间与结算'!E58="技能：非自然知识",N('幕间与结算'!K58),0)))</f>
        <v>0</v>
      </c>
    </row>
    <row r="260">
      <c r="A260">
        <f>IFERROR(IF(AND(VALUE('幕间与结算'!B59)&gt;=1,VALUE('幕间与结算'!B59)&lt;=20),VALUE('幕间与结算'!B59),0),0)</f>
        <v>0</v>
      </c>
      <c r="B260">
        <f>IF(AND(A260&gt;0,'幕间与结算'!D59&lt;&gt;"",'幕间与结算'!J59="确认",ISNUMBER('幕间与结算'!K59),OR('幕间与结算'!G59="失败",'幕间与结算'!G59="大失败"),'幕间与结算'!H59="√",LEFT('幕间与结算'!E59,3)="技能：",'幕间与结算'!E59&lt;&gt;"技能：非自然知识",ISNUMBER('幕间与结算'!F59),'幕间与结算'!F59&gt;=1,'幕间与结算'!F59&lt;=99),1,0)</f>
        <v>0</v>
      </c>
      <c r="D260">
        <f>IF(AND('幕间与结算'!J59="确认",ISNUMBER('幕间与结算'!K59),'幕间与结算'!L59&lt;&gt;"",ISNUMBER('幕间与结算'!M59),'幕间与结算'!M59&gt;0,'幕间与结算'!M59&lt;=99),'幕间与结算'!M59,0)</f>
        <v>0</v>
      </c>
      <c r="E260">
        <f>IF(AND(B260=1,COUNTIFS($A$210:A260,A260,$B$210:B260,1,'幕间与结算'!$E$9:E59,'幕间与结算'!E59)=1),51,999999)</f>
        <v>999999</v>
      </c>
      <c r="F260">
        <v>59</v>
      </c>
      <c r="AA260">
        <f>IF($A260=1,$E260,999999)</f>
        <v>999999</v>
      </c>
      <c r="AB260">
        <f>IF($A260=2,$E260,999999)</f>
        <v>999999</v>
      </c>
      <c r="AC260">
        <f>IF($A260=3,$E260,999999)</f>
        <v>999999</v>
      </c>
      <c r="AD260">
        <f>IF($A260=4,$E260,999999)</f>
        <v>999999</v>
      </c>
      <c r="AE260">
        <f>IF($A260=5,$E260,999999)</f>
        <v>999999</v>
      </c>
      <c r="AF260">
        <f>IF($A260=6,$E260,999999)</f>
        <v>999999</v>
      </c>
      <c r="AG260">
        <f>IF($A260=7,$E260,999999)</f>
        <v>999999</v>
      </c>
      <c r="AH260">
        <f>IF($A260=8,$E260,999999)</f>
        <v>999999</v>
      </c>
      <c r="AI260">
        <f>IF($A260=9,$E260,999999)</f>
        <v>999999</v>
      </c>
      <c r="AJ260">
        <f>IF($A260=10,$E260,999999)</f>
        <v>999999</v>
      </c>
      <c r="AK260">
        <f>IF($A260=11,$E260,999999)</f>
        <v>999999</v>
      </c>
      <c r="AL260">
        <f>IF($A260=12,$E260,999999)</f>
        <v>999999</v>
      </c>
      <c r="AM260">
        <f>IF($A260=13,$E260,999999)</f>
        <v>999999</v>
      </c>
      <c r="AN260">
        <f>IF($A260=14,$E260,999999)</f>
        <v>999999</v>
      </c>
      <c r="AO260">
        <f>IF($A260=15,$E260,999999)</f>
        <v>999999</v>
      </c>
      <c r="AP260">
        <f>IF($A260=16,$E260,999999)</f>
        <v>999999</v>
      </c>
      <c r="AQ260">
        <f>IF($A260=17,$E260,999999)</f>
        <v>999999</v>
      </c>
      <c r="AR260">
        <f>IF($A260=18,$E260,999999)</f>
        <v>999999</v>
      </c>
      <c r="AS260">
        <f>IF($A260=19,$E260,999999)</f>
        <v>999999</v>
      </c>
      <c r="AT260">
        <f>IF($A260=20,$E260,999999)</f>
        <v>999999</v>
      </c>
      <c r="BA260">
        <f>MAX(0,MIN(CEILING((BF260+BG260)/2,1),BA259+IF('幕间与结算'!E59="体力",N('幕间与结算'!K59),0)))</f>
        <v>0</v>
      </c>
      <c r="BB260">
        <f>MAX(0,MIN(BJ260,BB259+IF('幕间与结算'!E59="毅力",N('幕间与结算'!K59),0)))</f>
        <v>0</v>
      </c>
      <c r="BC260">
        <f>MAX(0,MIN(99-BL260,BC259+IF('幕间与结算'!E59="理智",N('幕间与结算'!K59),0)))</f>
        <v>0</v>
      </c>
      <c r="BD260">
        <f>MAX(0,MIN(99,BD259+IF('幕间与结算'!E59="崩溃点",N('幕间与结算'!K59),0)))</f>
        <v>0</v>
      </c>
      <c r="BF260">
        <f>MAX(0,MIN(18,'幕间计算'!BF259+IF('幕间与结算'!E59="力量",N('幕间与结算'!K59),0)))</f>
        <v>0</v>
      </c>
      <c r="BG260">
        <f>MAX(0,MIN(18,'幕间计算'!BG259+IF('幕间与结算'!E59="体质",N('幕间与结算'!K59),0)))</f>
        <v>0</v>
      </c>
      <c r="BH260">
        <f>MAX(0,MIN(18,'幕间计算'!BH259+IF('幕间与结算'!E59="敏捷",N('幕间与结算'!K59),0)))</f>
        <v>0</v>
      </c>
      <c r="BI260">
        <f>MAX(0,MIN(18,'幕间计算'!BI259+IF('幕间与结算'!E59="智力",N('幕间与结算'!K59),0)))</f>
        <v>0</v>
      </c>
      <c r="BJ260">
        <f>MAX(0,MIN(18,'幕间计算'!BJ259+IF('幕间与结算'!E59="意志",N('幕间与结算'!K59),0)))</f>
        <v>0</v>
      </c>
      <c r="BK260">
        <f>MAX(0,MIN(18,'幕间计算'!BK259+IF('幕间与结算'!E59="魅力",N('幕间与结算'!K59),0)))</f>
        <v>0</v>
      </c>
      <c r="BL260">
        <f>MAX(0,MIN(99,'幕间计算'!BL259+IF('幕间与结算'!E59="技能：非自然知识",N('幕间与结算'!K59),0)))</f>
        <v>0</v>
      </c>
    </row>
    <row r="261">
      <c r="A261">
        <f>IFERROR(IF(AND(VALUE('幕间与结算'!B60)&gt;=1,VALUE('幕间与结算'!B60)&lt;=20),VALUE('幕间与结算'!B60),0),0)</f>
        <v>0</v>
      </c>
      <c r="B261">
        <f>IF(AND(A261&gt;0,'幕间与结算'!D60&lt;&gt;"",'幕间与结算'!J60="确认",ISNUMBER('幕间与结算'!K60),OR('幕间与结算'!G60="失败",'幕间与结算'!G60="大失败"),'幕间与结算'!H60="√",LEFT('幕间与结算'!E60,3)="技能：",'幕间与结算'!E60&lt;&gt;"技能：非自然知识",ISNUMBER('幕间与结算'!F60),'幕间与结算'!F60&gt;=1,'幕间与结算'!F60&lt;=99),1,0)</f>
        <v>0</v>
      </c>
      <c r="D261">
        <f>IF(AND('幕间与结算'!J60="确认",ISNUMBER('幕间与结算'!K60),'幕间与结算'!L60&lt;&gt;"",ISNUMBER('幕间与结算'!M60),'幕间与结算'!M60&gt;0,'幕间与结算'!M60&lt;=99),'幕间与结算'!M60,0)</f>
        <v>0</v>
      </c>
      <c r="E261">
        <f>IF(AND(B261=1,COUNTIFS($A$210:A261,A261,$B$210:B261,1,'幕间与结算'!$E$9:E60,'幕间与结算'!E60)=1),52,999999)</f>
        <v>999999</v>
      </c>
      <c r="F261">
        <v>60</v>
      </c>
      <c r="AA261">
        <f>IF($A261=1,$E261,999999)</f>
        <v>999999</v>
      </c>
      <c r="AB261">
        <f>IF($A261=2,$E261,999999)</f>
        <v>999999</v>
      </c>
      <c r="AC261">
        <f>IF($A261=3,$E261,999999)</f>
        <v>999999</v>
      </c>
      <c r="AD261">
        <f>IF($A261=4,$E261,999999)</f>
        <v>999999</v>
      </c>
      <c r="AE261">
        <f>IF($A261=5,$E261,999999)</f>
        <v>999999</v>
      </c>
      <c r="AF261">
        <f>IF($A261=6,$E261,999999)</f>
        <v>999999</v>
      </c>
      <c r="AG261">
        <f>IF($A261=7,$E261,999999)</f>
        <v>999999</v>
      </c>
      <c r="AH261">
        <f>IF($A261=8,$E261,999999)</f>
        <v>999999</v>
      </c>
      <c r="AI261">
        <f>IF($A261=9,$E261,999999)</f>
        <v>999999</v>
      </c>
      <c r="AJ261">
        <f>IF($A261=10,$E261,999999)</f>
        <v>999999</v>
      </c>
      <c r="AK261">
        <f>IF($A261=11,$E261,999999)</f>
        <v>999999</v>
      </c>
      <c r="AL261">
        <f>IF($A261=12,$E261,999999)</f>
        <v>999999</v>
      </c>
      <c r="AM261">
        <f>IF($A261=13,$E261,999999)</f>
        <v>999999</v>
      </c>
      <c r="AN261">
        <f>IF($A261=14,$E261,999999)</f>
        <v>999999</v>
      </c>
      <c r="AO261">
        <f>IF($A261=15,$E261,999999)</f>
        <v>999999</v>
      </c>
      <c r="AP261">
        <f>IF($A261=16,$E261,999999)</f>
        <v>999999</v>
      </c>
      <c r="AQ261">
        <f>IF($A261=17,$E261,999999)</f>
        <v>999999</v>
      </c>
      <c r="AR261">
        <f>IF($A261=18,$E261,999999)</f>
        <v>999999</v>
      </c>
      <c r="AS261">
        <f>IF($A261=19,$E261,999999)</f>
        <v>999999</v>
      </c>
      <c r="AT261">
        <f>IF($A261=20,$E261,999999)</f>
        <v>999999</v>
      </c>
      <c r="BA261">
        <f>MAX(0,MIN(CEILING((BF261+BG261)/2,1),BA260+IF('幕间与结算'!E60="体力",N('幕间与结算'!K60),0)))</f>
        <v>0</v>
      </c>
      <c r="BB261">
        <f>MAX(0,MIN(BJ261,BB260+IF('幕间与结算'!E60="毅力",N('幕间与结算'!K60),0)))</f>
        <v>0</v>
      </c>
      <c r="BC261">
        <f>MAX(0,MIN(99-BL261,BC260+IF('幕间与结算'!E60="理智",N('幕间与结算'!K60),0)))</f>
        <v>0</v>
      </c>
      <c r="BD261">
        <f>MAX(0,MIN(99,BD260+IF('幕间与结算'!E60="崩溃点",N('幕间与结算'!K60),0)))</f>
        <v>0</v>
      </c>
      <c r="BF261">
        <f>MAX(0,MIN(18,'幕间计算'!BF260+IF('幕间与结算'!E60="力量",N('幕间与结算'!K60),0)))</f>
        <v>0</v>
      </c>
      <c r="BG261">
        <f>MAX(0,MIN(18,'幕间计算'!BG260+IF('幕间与结算'!E60="体质",N('幕间与结算'!K60),0)))</f>
        <v>0</v>
      </c>
      <c r="BH261">
        <f>MAX(0,MIN(18,'幕间计算'!BH260+IF('幕间与结算'!E60="敏捷",N('幕间与结算'!K60),0)))</f>
        <v>0</v>
      </c>
      <c r="BI261">
        <f>MAX(0,MIN(18,'幕间计算'!BI260+IF('幕间与结算'!E60="智力",N('幕间与结算'!K60),0)))</f>
        <v>0</v>
      </c>
      <c r="BJ261">
        <f>MAX(0,MIN(18,'幕间计算'!BJ260+IF('幕间与结算'!E60="意志",N('幕间与结算'!K60),0)))</f>
        <v>0</v>
      </c>
      <c r="BK261">
        <f>MAX(0,MIN(18,'幕间计算'!BK260+IF('幕间与结算'!E60="魅力",N('幕间与结算'!K60),0)))</f>
        <v>0</v>
      </c>
      <c r="BL261">
        <f>MAX(0,MIN(99,'幕间计算'!BL260+IF('幕间与结算'!E60="技能：非自然知识",N('幕间与结算'!K60),0)))</f>
        <v>0</v>
      </c>
    </row>
    <row r="262">
      <c r="A262">
        <f>IFERROR(IF(AND(VALUE('幕间与结算'!B61)&gt;=1,VALUE('幕间与结算'!B61)&lt;=20),VALUE('幕间与结算'!B61),0),0)</f>
        <v>0</v>
      </c>
      <c r="B262">
        <f>IF(AND(A262&gt;0,'幕间与结算'!D61&lt;&gt;"",'幕间与结算'!J61="确认",ISNUMBER('幕间与结算'!K61),OR('幕间与结算'!G61="失败",'幕间与结算'!G61="大失败"),'幕间与结算'!H61="√",LEFT('幕间与结算'!E61,3)="技能：",'幕间与结算'!E61&lt;&gt;"技能：非自然知识",ISNUMBER('幕间与结算'!F61),'幕间与结算'!F61&gt;=1,'幕间与结算'!F61&lt;=99),1,0)</f>
        <v>0</v>
      </c>
      <c r="D262">
        <f>IF(AND('幕间与结算'!J61="确认",ISNUMBER('幕间与结算'!K61),'幕间与结算'!L61&lt;&gt;"",ISNUMBER('幕间与结算'!M61),'幕间与结算'!M61&gt;0,'幕间与结算'!M61&lt;=99),'幕间与结算'!M61,0)</f>
        <v>0</v>
      </c>
      <c r="E262">
        <f>IF(AND(B262=1,COUNTIFS($A$210:A262,A262,$B$210:B262,1,'幕间与结算'!$E$9:E61,'幕间与结算'!E61)=1),53,999999)</f>
        <v>999999</v>
      </c>
      <c r="F262">
        <v>61</v>
      </c>
      <c r="AA262">
        <f>IF($A262=1,$E262,999999)</f>
        <v>999999</v>
      </c>
      <c r="AB262">
        <f>IF($A262=2,$E262,999999)</f>
        <v>999999</v>
      </c>
      <c r="AC262">
        <f>IF($A262=3,$E262,999999)</f>
        <v>999999</v>
      </c>
      <c r="AD262">
        <f>IF($A262=4,$E262,999999)</f>
        <v>999999</v>
      </c>
      <c r="AE262">
        <f>IF($A262=5,$E262,999999)</f>
        <v>999999</v>
      </c>
      <c r="AF262">
        <f>IF($A262=6,$E262,999999)</f>
        <v>999999</v>
      </c>
      <c r="AG262">
        <f>IF($A262=7,$E262,999999)</f>
        <v>999999</v>
      </c>
      <c r="AH262">
        <f>IF($A262=8,$E262,999999)</f>
        <v>999999</v>
      </c>
      <c r="AI262">
        <f>IF($A262=9,$E262,999999)</f>
        <v>999999</v>
      </c>
      <c r="AJ262">
        <f>IF($A262=10,$E262,999999)</f>
        <v>999999</v>
      </c>
      <c r="AK262">
        <f>IF($A262=11,$E262,999999)</f>
        <v>999999</v>
      </c>
      <c r="AL262">
        <f>IF($A262=12,$E262,999999)</f>
        <v>999999</v>
      </c>
      <c r="AM262">
        <f>IF($A262=13,$E262,999999)</f>
        <v>999999</v>
      </c>
      <c r="AN262">
        <f>IF($A262=14,$E262,999999)</f>
        <v>999999</v>
      </c>
      <c r="AO262">
        <f>IF($A262=15,$E262,999999)</f>
        <v>999999</v>
      </c>
      <c r="AP262">
        <f>IF($A262=16,$E262,999999)</f>
        <v>999999</v>
      </c>
      <c r="AQ262">
        <f>IF($A262=17,$E262,999999)</f>
        <v>999999</v>
      </c>
      <c r="AR262">
        <f>IF($A262=18,$E262,999999)</f>
        <v>999999</v>
      </c>
      <c r="AS262">
        <f>IF($A262=19,$E262,999999)</f>
        <v>999999</v>
      </c>
      <c r="AT262">
        <f>IF($A262=20,$E262,999999)</f>
        <v>999999</v>
      </c>
      <c r="BA262">
        <f>MAX(0,MIN(CEILING((BF262+BG262)/2,1),BA261+IF('幕间与结算'!E61="体力",N('幕间与结算'!K61),0)))</f>
        <v>0</v>
      </c>
      <c r="BB262">
        <f>MAX(0,MIN(BJ262,BB261+IF('幕间与结算'!E61="毅力",N('幕间与结算'!K61),0)))</f>
        <v>0</v>
      </c>
      <c r="BC262">
        <f>MAX(0,MIN(99-BL262,BC261+IF('幕间与结算'!E61="理智",N('幕间与结算'!K61),0)))</f>
        <v>0</v>
      </c>
      <c r="BD262">
        <f>MAX(0,MIN(99,BD261+IF('幕间与结算'!E61="崩溃点",N('幕间与结算'!K61),0)))</f>
        <v>0</v>
      </c>
      <c r="BF262">
        <f>MAX(0,MIN(18,'幕间计算'!BF261+IF('幕间与结算'!E61="力量",N('幕间与结算'!K61),0)))</f>
        <v>0</v>
      </c>
      <c r="BG262">
        <f>MAX(0,MIN(18,'幕间计算'!BG261+IF('幕间与结算'!E61="体质",N('幕间与结算'!K61),0)))</f>
        <v>0</v>
      </c>
      <c r="BH262">
        <f>MAX(0,MIN(18,'幕间计算'!BH261+IF('幕间与结算'!E61="敏捷",N('幕间与结算'!K61),0)))</f>
        <v>0</v>
      </c>
      <c r="BI262">
        <f>MAX(0,MIN(18,'幕间计算'!BI261+IF('幕间与结算'!E61="智力",N('幕间与结算'!K61),0)))</f>
        <v>0</v>
      </c>
      <c r="BJ262">
        <f>MAX(0,MIN(18,'幕间计算'!BJ261+IF('幕间与结算'!E61="意志",N('幕间与结算'!K61),0)))</f>
        <v>0</v>
      </c>
      <c r="BK262">
        <f>MAX(0,MIN(18,'幕间计算'!BK261+IF('幕间与结算'!E61="魅力",N('幕间与结算'!K61),0)))</f>
        <v>0</v>
      </c>
      <c r="BL262">
        <f>MAX(0,MIN(99,'幕间计算'!BL261+IF('幕间与结算'!E61="技能：非自然知识",N('幕间与结算'!K61),0)))</f>
        <v>0</v>
      </c>
    </row>
    <row r="263">
      <c r="A263">
        <f>IFERROR(IF(AND(VALUE('幕间与结算'!B62)&gt;=1,VALUE('幕间与结算'!B62)&lt;=20),VALUE('幕间与结算'!B62),0),0)</f>
        <v>0</v>
      </c>
      <c r="B263">
        <f>IF(AND(A263&gt;0,'幕间与结算'!D62&lt;&gt;"",'幕间与结算'!J62="确认",ISNUMBER('幕间与结算'!K62),OR('幕间与结算'!G62="失败",'幕间与结算'!G62="大失败"),'幕间与结算'!H62="√",LEFT('幕间与结算'!E62,3)="技能：",'幕间与结算'!E62&lt;&gt;"技能：非自然知识",ISNUMBER('幕间与结算'!F62),'幕间与结算'!F62&gt;=1,'幕间与结算'!F62&lt;=99),1,0)</f>
        <v>0</v>
      </c>
      <c r="D263">
        <f>IF(AND('幕间与结算'!J62="确认",ISNUMBER('幕间与结算'!K62),'幕间与结算'!L62&lt;&gt;"",ISNUMBER('幕间与结算'!M62),'幕间与结算'!M62&gt;0,'幕间与结算'!M62&lt;=99),'幕间与结算'!M62,0)</f>
        <v>0</v>
      </c>
      <c r="E263">
        <f>IF(AND(B263=1,COUNTIFS($A$210:A263,A263,$B$210:B263,1,'幕间与结算'!$E$9:E62,'幕间与结算'!E62)=1),54,999999)</f>
        <v>999999</v>
      </c>
      <c r="F263">
        <v>62</v>
      </c>
      <c r="AA263">
        <f>IF($A263=1,$E263,999999)</f>
        <v>999999</v>
      </c>
      <c r="AB263">
        <f>IF($A263=2,$E263,999999)</f>
        <v>999999</v>
      </c>
      <c r="AC263">
        <f>IF($A263=3,$E263,999999)</f>
        <v>999999</v>
      </c>
      <c r="AD263">
        <f>IF($A263=4,$E263,999999)</f>
        <v>999999</v>
      </c>
      <c r="AE263">
        <f>IF($A263=5,$E263,999999)</f>
        <v>999999</v>
      </c>
      <c r="AF263">
        <f>IF($A263=6,$E263,999999)</f>
        <v>999999</v>
      </c>
      <c r="AG263">
        <f>IF($A263=7,$E263,999999)</f>
        <v>999999</v>
      </c>
      <c r="AH263">
        <f>IF($A263=8,$E263,999999)</f>
        <v>999999</v>
      </c>
      <c r="AI263">
        <f>IF($A263=9,$E263,999999)</f>
        <v>999999</v>
      </c>
      <c r="AJ263">
        <f>IF($A263=10,$E263,999999)</f>
        <v>999999</v>
      </c>
      <c r="AK263">
        <f>IF($A263=11,$E263,999999)</f>
        <v>999999</v>
      </c>
      <c r="AL263">
        <f>IF($A263=12,$E263,999999)</f>
        <v>999999</v>
      </c>
      <c r="AM263">
        <f>IF($A263=13,$E263,999999)</f>
        <v>999999</v>
      </c>
      <c r="AN263">
        <f>IF($A263=14,$E263,999999)</f>
        <v>999999</v>
      </c>
      <c r="AO263">
        <f>IF($A263=15,$E263,999999)</f>
        <v>999999</v>
      </c>
      <c r="AP263">
        <f>IF($A263=16,$E263,999999)</f>
        <v>999999</v>
      </c>
      <c r="AQ263">
        <f>IF($A263=17,$E263,999999)</f>
        <v>999999</v>
      </c>
      <c r="AR263">
        <f>IF($A263=18,$E263,999999)</f>
        <v>999999</v>
      </c>
      <c r="AS263">
        <f>IF($A263=19,$E263,999999)</f>
        <v>999999</v>
      </c>
      <c r="AT263">
        <f>IF($A263=20,$E263,999999)</f>
        <v>999999</v>
      </c>
      <c r="BA263">
        <f>MAX(0,MIN(CEILING((BF263+BG263)/2,1),BA262+IF('幕间与结算'!E62="体力",N('幕间与结算'!K62),0)))</f>
        <v>0</v>
      </c>
      <c r="BB263">
        <f>MAX(0,MIN(BJ263,BB262+IF('幕间与结算'!E62="毅力",N('幕间与结算'!K62),0)))</f>
        <v>0</v>
      </c>
      <c r="BC263">
        <f>MAX(0,MIN(99-BL263,BC262+IF('幕间与结算'!E62="理智",N('幕间与结算'!K62),0)))</f>
        <v>0</v>
      </c>
      <c r="BD263">
        <f>MAX(0,MIN(99,BD262+IF('幕间与结算'!E62="崩溃点",N('幕间与结算'!K62),0)))</f>
        <v>0</v>
      </c>
      <c r="BF263">
        <f>MAX(0,MIN(18,'幕间计算'!BF262+IF('幕间与结算'!E62="力量",N('幕间与结算'!K62),0)))</f>
        <v>0</v>
      </c>
      <c r="BG263">
        <f>MAX(0,MIN(18,'幕间计算'!BG262+IF('幕间与结算'!E62="体质",N('幕间与结算'!K62),0)))</f>
        <v>0</v>
      </c>
      <c r="BH263">
        <f>MAX(0,MIN(18,'幕间计算'!BH262+IF('幕间与结算'!E62="敏捷",N('幕间与结算'!K62),0)))</f>
        <v>0</v>
      </c>
      <c r="BI263">
        <f>MAX(0,MIN(18,'幕间计算'!BI262+IF('幕间与结算'!E62="智力",N('幕间与结算'!K62),0)))</f>
        <v>0</v>
      </c>
      <c r="BJ263">
        <f>MAX(0,MIN(18,'幕间计算'!BJ262+IF('幕间与结算'!E62="意志",N('幕间与结算'!K62),0)))</f>
        <v>0</v>
      </c>
      <c r="BK263">
        <f>MAX(0,MIN(18,'幕间计算'!BK262+IF('幕间与结算'!E62="魅力",N('幕间与结算'!K62),0)))</f>
        <v>0</v>
      </c>
      <c r="BL263">
        <f>MAX(0,MIN(99,'幕间计算'!BL262+IF('幕间与结算'!E62="技能：非自然知识",N('幕间与结算'!K62),0)))</f>
        <v>0</v>
      </c>
    </row>
    <row r="264">
      <c r="A264">
        <f>IFERROR(IF(AND(VALUE('幕间与结算'!B63)&gt;=1,VALUE('幕间与结算'!B63)&lt;=20),VALUE('幕间与结算'!B63),0),0)</f>
        <v>0</v>
      </c>
      <c r="B264">
        <f>IF(AND(A264&gt;0,'幕间与结算'!D63&lt;&gt;"",'幕间与结算'!J63="确认",ISNUMBER('幕间与结算'!K63),OR('幕间与结算'!G63="失败",'幕间与结算'!G63="大失败"),'幕间与结算'!H63="√",LEFT('幕间与结算'!E63,3)="技能：",'幕间与结算'!E63&lt;&gt;"技能：非自然知识",ISNUMBER('幕间与结算'!F63),'幕间与结算'!F63&gt;=1,'幕间与结算'!F63&lt;=99),1,0)</f>
        <v>0</v>
      </c>
      <c r="D264">
        <f>IF(AND('幕间与结算'!J63="确认",ISNUMBER('幕间与结算'!K63),'幕间与结算'!L63&lt;&gt;"",ISNUMBER('幕间与结算'!M63),'幕间与结算'!M63&gt;0,'幕间与结算'!M63&lt;=99),'幕间与结算'!M63,0)</f>
        <v>0</v>
      </c>
      <c r="E264">
        <f>IF(AND(B264=1,COUNTIFS($A$210:A264,A264,$B$210:B264,1,'幕间与结算'!$E$9:E63,'幕间与结算'!E63)=1),55,999999)</f>
        <v>999999</v>
      </c>
      <c r="F264">
        <v>63</v>
      </c>
      <c r="AA264">
        <f>IF($A264=1,$E264,999999)</f>
        <v>999999</v>
      </c>
      <c r="AB264">
        <f>IF($A264=2,$E264,999999)</f>
        <v>999999</v>
      </c>
      <c r="AC264">
        <f>IF($A264=3,$E264,999999)</f>
        <v>999999</v>
      </c>
      <c r="AD264">
        <f>IF($A264=4,$E264,999999)</f>
        <v>999999</v>
      </c>
      <c r="AE264">
        <f>IF($A264=5,$E264,999999)</f>
        <v>999999</v>
      </c>
      <c r="AF264">
        <f>IF($A264=6,$E264,999999)</f>
        <v>999999</v>
      </c>
      <c r="AG264">
        <f>IF($A264=7,$E264,999999)</f>
        <v>999999</v>
      </c>
      <c r="AH264">
        <f>IF($A264=8,$E264,999999)</f>
        <v>999999</v>
      </c>
      <c r="AI264">
        <f>IF($A264=9,$E264,999999)</f>
        <v>999999</v>
      </c>
      <c r="AJ264">
        <f>IF($A264=10,$E264,999999)</f>
        <v>999999</v>
      </c>
      <c r="AK264">
        <f>IF($A264=11,$E264,999999)</f>
        <v>999999</v>
      </c>
      <c r="AL264">
        <f>IF($A264=12,$E264,999999)</f>
        <v>999999</v>
      </c>
      <c r="AM264">
        <f>IF($A264=13,$E264,999999)</f>
        <v>999999</v>
      </c>
      <c r="AN264">
        <f>IF($A264=14,$E264,999999)</f>
        <v>999999</v>
      </c>
      <c r="AO264">
        <f>IF($A264=15,$E264,999999)</f>
        <v>999999</v>
      </c>
      <c r="AP264">
        <f>IF($A264=16,$E264,999999)</f>
        <v>999999</v>
      </c>
      <c r="AQ264">
        <f>IF($A264=17,$E264,999999)</f>
        <v>999999</v>
      </c>
      <c r="AR264">
        <f>IF($A264=18,$E264,999999)</f>
        <v>999999</v>
      </c>
      <c r="AS264">
        <f>IF($A264=19,$E264,999999)</f>
        <v>999999</v>
      </c>
      <c r="AT264">
        <f>IF($A264=20,$E264,999999)</f>
        <v>999999</v>
      </c>
      <c r="BA264">
        <f>MAX(0,MIN(CEILING((BF264+BG264)/2,1),BA263+IF('幕间与结算'!E63="体力",N('幕间与结算'!K63),0)))</f>
        <v>0</v>
      </c>
      <c r="BB264">
        <f>MAX(0,MIN(BJ264,BB263+IF('幕间与结算'!E63="毅力",N('幕间与结算'!K63),0)))</f>
        <v>0</v>
      </c>
      <c r="BC264">
        <f>MAX(0,MIN(99-BL264,BC263+IF('幕间与结算'!E63="理智",N('幕间与结算'!K63),0)))</f>
        <v>0</v>
      </c>
      <c r="BD264">
        <f>MAX(0,MIN(99,BD263+IF('幕间与结算'!E63="崩溃点",N('幕间与结算'!K63),0)))</f>
        <v>0</v>
      </c>
      <c r="BF264">
        <f>MAX(0,MIN(18,'幕间计算'!BF263+IF('幕间与结算'!E63="力量",N('幕间与结算'!K63),0)))</f>
        <v>0</v>
      </c>
      <c r="BG264">
        <f>MAX(0,MIN(18,'幕间计算'!BG263+IF('幕间与结算'!E63="体质",N('幕间与结算'!K63),0)))</f>
        <v>0</v>
      </c>
      <c r="BH264">
        <f>MAX(0,MIN(18,'幕间计算'!BH263+IF('幕间与结算'!E63="敏捷",N('幕间与结算'!K63),0)))</f>
        <v>0</v>
      </c>
      <c r="BI264">
        <f>MAX(0,MIN(18,'幕间计算'!BI263+IF('幕间与结算'!E63="智力",N('幕间与结算'!K63),0)))</f>
        <v>0</v>
      </c>
      <c r="BJ264">
        <f>MAX(0,MIN(18,'幕间计算'!BJ263+IF('幕间与结算'!E63="意志",N('幕间与结算'!K63),0)))</f>
        <v>0</v>
      </c>
      <c r="BK264">
        <f>MAX(0,MIN(18,'幕间计算'!BK263+IF('幕间与结算'!E63="魅力",N('幕间与结算'!K63),0)))</f>
        <v>0</v>
      </c>
      <c r="BL264">
        <f>MAX(0,MIN(99,'幕间计算'!BL263+IF('幕间与结算'!E63="技能：非自然知识",N('幕间与结算'!K63),0)))</f>
        <v>0</v>
      </c>
    </row>
    <row r="265">
      <c r="A265">
        <f>IFERROR(IF(AND(VALUE('幕间与结算'!B64)&gt;=1,VALUE('幕间与结算'!B64)&lt;=20),VALUE('幕间与结算'!B64),0),0)</f>
        <v>0</v>
      </c>
      <c r="B265">
        <f>IF(AND(A265&gt;0,'幕间与结算'!D64&lt;&gt;"",'幕间与结算'!J64="确认",ISNUMBER('幕间与结算'!K64),OR('幕间与结算'!G64="失败",'幕间与结算'!G64="大失败"),'幕间与结算'!H64="√",LEFT('幕间与结算'!E64,3)="技能：",'幕间与结算'!E64&lt;&gt;"技能：非自然知识",ISNUMBER('幕间与结算'!F64),'幕间与结算'!F64&gt;=1,'幕间与结算'!F64&lt;=99),1,0)</f>
        <v>0</v>
      </c>
      <c r="D265">
        <f>IF(AND('幕间与结算'!J64="确认",ISNUMBER('幕间与结算'!K64),'幕间与结算'!L64&lt;&gt;"",ISNUMBER('幕间与结算'!M64),'幕间与结算'!M64&gt;0,'幕间与结算'!M64&lt;=99),'幕间与结算'!M64,0)</f>
        <v>0</v>
      </c>
      <c r="E265">
        <f>IF(AND(B265=1,COUNTIFS($A$210:A265,A265,$B$210:B265,1,'幕间与结算'!$E$9:E64,'幕间与结算'!E64)=1),56,999999)</f>
        <v>999999</v>
      </c>
      <c r="F265">
        <v>64</v>
      </c>
      <c r="AA265">
        <f>IF($A265=1,$E265,999999)</f>
        <v>999999</v>
      </c>
      <c r="AB265">
        <f>IF($A265=2,$E265,999999)</f>
        <v>999999</v>
      </c>
      <c r="AC265">
        <f>IF($A265=3,$E265,999999)</f>
        <v>999999</v>
      </c>
      <c r="AD265">
        <f>IF($A265=4,$E265,999999)</f>
        <v>999999</v>
      </c>
      <c r="AE265">
        <f>IF($A265=5,$E265,999999)</f>
        <v>999999</v>
      </c>
      <c r="AF265">
        <f>IF($A265=6,$E265,999999)</f>
        <v>999999</v>
      </c>
      <c r="AG265">
        <f>IF($A265=7,$E265,999999)</f>
        <v>999999</v>
      </c>
      <c r="AH265">
        <f>IF($A265=8,$E265,999999)</f>
        <v>999999</v>
      </c>
      <c r="AI265">
        <f>IF($A265=9,$E265,999999)</f>
        <v>999999</v>
      </c>
      <c r="AJ265">
        <f>IF($A265=10,$E265,999999)</f>
        <v>999999</v>
      </c>
      <c r="AK265">
        <f>IF($A265=11,$E265,999999)</f>
        <v>999999</v>
      </c>
      <c r="AL265">
        <f>IF($A265=12,$E265,999999)</f>
        <v>999999</v>
      </c>
      <c r="AM265">
        <f>IF($A265=13,$E265,999999)</f>
        <v>999999</v>
      </c>
      <c r="AN265">
        <f>IF($A265=14,$E265,999999)</f>
        <v>999999</v>
      </c>
      <c r="AO265">
        <f>IF($A265=15,$E265,999999)</f>
        <v>999999</v>
      </c>
      <c r="AP265">
        <f>IF($A265=16,$E265,999999)</f>
        <v>999999</v>
      </c>
      <c r="AQ265">
        <f>IF($A265=17,$E265,999999)</f>
        <v>999999</v>
      </c>
      <c r="AR265">
        <f>IF($A265=18,$E265,999999)</f>
        <v>999999</v>
      </c>
      <c r="AS265">
        <f>IF($A265=19,$E265,999999)</f>
        <v>999999</v>
      </c>
      <c r="AT265">
        <f>IF($A265=20,$E265,999999)</f>
        <v>999999</v>
      </c>
      <c r="BA265">
        <f>MAX(0,MIN(CEILING((BF265+BG265)/2,1),BA264+IF('幕间与结算'!E64="体力",N('幕间与结算'!K64),0)))</f>
        <v>0</v>
      </c>
      <c r="BB265">
        <f>MAX(0,MIN(BJ265,BB264+IF('幕间与结算'!E64="毅力",N('幕间与结算'!K64),0)))</f>
        <v>0</v>
      </c>
      <c r="BC265">
        <f>MAX(0,MIN(99-BL265,BC264+IF('幕间与结算'!E64="理智",N('幕间与结算'!K64),0)))</f>
        <v>0</v>
      </c>
      <c r="BD265">
        <f>MAX(0,MIN(99,BD264+IF('幕间与结算'!E64="崩溃点",N('幕间与结算'!K64),0)))</f>
        <v>0</v>
      </c>
      <c r="BF265">
        <f>MAX(0,MIN(18,'幕间计算'!BF264+IF('幕间与结算'!E64="力量",N('幕间与结算'!K64),0)))</f>
        <v>0</v>
      </c>
      <c r="BG265">
        <f>MAX(0,MIN(18,'幕间计算'!BG264+IF('幕间与结算'!E64="体质",N('幕间与结算'!K64),0)))</f>
        <v>0</v>
      </c>
      <c r="BH265">
        <f>MAX(0,MIN(18,'幕间计算'!BH264+IF('幕间与结算'!E64="敏捷",N('幕间与结算'!K64),0)))</f>
        <v>0</v>
      </c>
      <c r="BI265">
        <f>MAX(0,MIN(18,'幕间计算'!BI264+IF('幕间与结算'!E64="智力",N('幕间与结算'!K64),0)))</f>
        <v>0</v>
      </c>
      <c r="BJ265">
        <f>MAX(0,MIN(18,'幕间计算'!BJ264+IF('幕间与结算'!E64="意志",N('幕间与结算'!K64),0)))</f>
        <v>0</v>
      </c>
      <c r="BK265">
        <f>MAX(0,MIN(18,'幕间计算'!BK264+IF('幕间与结算'!E64="魅力",N('幕间与结算'!K64),0)))</f>
        <v>0</v>
      </c>
      <c r="BL265">
        <f>MAX(0,MIN(99,'幕间计算'!BL264+IF('幕间与结算'!E64="技能：非自然知识",N('幕间与结算'!K64),0)))</f>
        <v>0</v>
      </c>
    </row>
    <row r="266">
      <c r="A266">
        <f>IFERROR(IF(AND(VALUE('幕间与结算'!B65)&gt;=1,VALUE('幕间与结算'!B65)&lt;=20),VALUE('幕间与结算'!B65),0),0)</f>
        <v>0</v>
      </c>
      <c r="B266">
        <f>IF(AND(A266&gt;0,'幕间与结算'!D65&lt;&gt;"",'幕间与结算'!J65="确认",ISNUMBER('幕间与结算'!K65),OR('幕间与结算'!G65="失败",'幕间与结算'!G65="大失败"),'幕间与结算'!H65="√",LEFT('幕间与结算'!E65,3)="技能：",'幕间与结算'!E65&lt;&gt;"技能：非自然知识",ISNUMBER('幕间与结算'!F65),'幕间与结算'!F65&gt;=1,'幕间与结算'!F65&lt;=99),1,0)</f>
        <v>0</v>
      </c>
      <c r="D266">
        <f>IF(AND('幕间与结算'!J65="确认",ISNUMBER('幕间与结算'!K65),'幕间与结算'!L65&lt;&gt;"",ISNUMBER('幕间与结算'!M65),'幕间与结算'!M65&gt;0,'幕间与结算'!M65&lt;=99),'幕间与结算'!M65,0)</f>
        <v>0</v>
      </c>
      <c r="E266">
        <f>IF(AND(B266=1,COUNTIFS($A$210:A266,A266,$B$210:B266,1,'幕间与结算'!$E$9:E65,'幕间与结算'!E65)=1),57,999999)</f>
        <v>999999</v>
      </c>
      <c r="F266">
        <v>65</v>
      </c>
      <c r="AA266">
        <f>IF($A266=1,$E266,999999)</f>
        <v>999999</v>
      </c>
      <c r="AB266">
        <f>IF($A266=2,$E266,999999)</f>
        <v>999999</v>
      </c>
      <c r="AC266">
        <f>IF($A266=3,$E266,999999)</f>
        <v>999999</v>
      </c>
      <c r="AD266">
        <f>IF($A266=4,$E266,999999)</f>
        <v>999999</v>
      </c>
      <c r="AE266">
        <f>IF($A266=5,$E266,999999)</f>
        <v>999999</v>
      </c>
      <c r="AF266">
        <f>IF($A266=6,$E266,999999)</f>
        <v>999999</v>
      </c>
      <c r="AG266">
        <f>IF($A266=7,$E266,999999)</f>
        <v>999999</v>
      </c>
      <c r="AH266">
        <f>IF($A266=8,$E266,999999)</f>
        <v>999999</v>
      </c>
      <c r="AI266">
        <f>IF($A266=9,$E266,999999)</f>
        <v>999999</v>
      </c>
      <c r="AJ266">
        <f>IF($A266=10,$E266,999999)</f>
        <v>999999</v>
      </c>
      <c r="AK266">
        <f>IF($A266=11,$E266,999999)</f>
        <v>999999</v>
      </c>
      <c r="AL266">
        <f>IF($A266=12,$E266,999999)</f>
        <v>999999</v>
      </c>
      <c r="AM266">
        <f>IF($A266=13,$E266,999999)</f>
        <v>999999</v>
      </c>
      <c r="AN266">
        <f>IF($A266=14,$E266,999999)</f>
        <v>999999</v>
      </c>
      <c r="AO266">
        <f>IF($A266=15,$E266,999999)</f>
        <v>999999</v>
      </c>
      <c r="AP266">
        <f>IF($A266=16,$E266,999999)</f>
        <v>999999</v>
      </c>
      <c r="AQ266">
        <f>IF($A266=17,$E266,999999)</f>
        <v>999999</v>
      </c>
      <c r="AR266">
        <f>IF($A266=18,$E266,999999)</f>
        <v>999999</v>
      </c>
      <c r="AS266">
        <f>IF($A266=19,$E266,999999)</f>
        <v>999999</v>
      </c>
      <c r="AT266">
        <f>IF($A266=20,$E266,999999)</f>
        <v>999999</v>
      </c>
      <c r="BA266">
        <f>MAX(0,MIN(CEILING((BF266+BG266)/2,1),BA265+IF('幕间与结算'!E65="体力",N('幕间与结算'!K65),0)))</f>
        <v>0</v>
      </c>
      <c r="BB266">
        <f>MAX(0,MIN(BJ266,BB265+IF('幕间与结算'!E65="毅力",N('幕间与结算'!K65),0)))</f>
        <v>0</v>
      </c>
      <c r="BC266">
        <f>MAX(0,MIN(99-BL266,BC265+IF('幕间与结算'!E65="理智",N('幕间与结算'!K65),0)))</f>
        <v>0</v>
      </c>
      <c r="BD266">
        <f>MAX(0,MIN(99,BD265+IF('幕间与结算'!E65="崩溃点",N('幕间与结算'!K65),0)))</f>
        <v>0</v>
      </c>
      <c r="BF266">
        <f>MAX(0,MIN(18,'幕间计算'!BF265+IF('幕间与结算'!E65="力量",N('幕间与结算'!K65),0)))</f>
        <v>0</v>
      </c>
      <c r="BG266">
        <f>MAX(0,MIN(18,'幕间计算'!BG265+IF('幕间与结算'!E65="体质",N('幕间与结算'!K65),0)))</f>
        <v>0</v>
      </c>
      <c r="BH266">
        <f>MAX(0,MIN(18,'幕间计算'!BH265+IF('幕间与结算'!E65="敏捷",N('幕间与结算'!K65),0)))</f>
        <v>0</v>
      </c>
      <c r="BI266">
        <f>MAX(0,MIN(18,'幕间计算'!BI265+IF('幕间与结算'!E65="智力",N('幕间与结算'!K65),0)))</f>
        <v>0</v>
      </c>
      <c r="BJ266">
        <f>MAX(0,MIN(18,'幕间计算'!BJ265+IF('幕间与结算'!E65="意志",N('幕间与结算'!K65),0)))</f>
        <v>0</v>
      </c>
      <c r="BK266">
        <f>MAX(0,MIN(18,'幕间计算'!BK265+IF('幕间与结算'!E65="魅力",N('幕间与结算'!K65),0)))</f>
        <v>0</v>
      </c>
      <c r="BL266">
        <f>MAX(0,MIN(99,'幕间计算'!BL265+IF('幕间与结算'!E65="技能：非自然知识",N('幕间与结算'!K65),0)))</f>
        <v>0</v>
      </c>
    </row>
    <row r="267">
      <c r="A267">
        <f>IFERROR(IF(AND(VALUE('幕间与结算'!B66)&gt;=1,VALUE('幕间与结算'!B66)&lt;=20),VALUE('幕间与结算'!B66),0),0)</f>
        <v>0</v>
      </c>
      <c r="B267">
        <f>IF(AND(A267&gt;0,'幕间与结算'!D66&lt;&gt;"",'幕间与结算'!J66="确认",ISNUMBER('幕间与结算'!K66),OR('幕间与结算'!G66="失败",'幕间与结算'!G66="大失败"),'幕间与结算'!H66="√",LEFT('幕间与结算'!E66,3)="技能：",'幕间与结算'!E66&lt;&gt;"技能：非自然知识",ISNUMBER('幕间与结算'!F66),'幕间与结算'!F66&gt;=1,'幕间与结算'!F66&lt;=99),1,0)</f>
        <v>0</v>
      </c>
      <c r="D267">
        <f>IF(AND('幕间与结算'!J66="确认",ISNUMBER('幕间与结算'!K66),'幕间与结算'!L66&lt;&gt;"",ISNUMBER('幕间与结算'!M66),'幕间与结算'!M66&gt;0,'幕间与结算'!M66&lt;=99),'幕间与结算'!M66,0)</f>
        <v>0</v>
      </c>
      <c r="E267">
        <f>IF(AND(B267=1,COUNTIFS($A$210:A267,A267,$B$210:B267,1,'幕间与结算'!$E$9:E66,'幕间与结算'!E66)=1),58,999999)</f>
        <v>999999</v>
      </c>
      <c r="F267">
        <v>66</v>
      </c>
      <c r="AA267">
        <f>IF($A267=1,$E267,999999)</f>
        <v>999999</v>
      </c>
      <c r="AB267">
        <f>IF($A267=2,$E267,999999)</f>
        <v>999999</v>
      </c>
      <c r="AC267">
        <f>IF($A267=3,$E267,999999)</f>
        <v>999999</v>
      </c>
      <c r="AD267">
        <f>IF($A267=4,$E267,999999)</f>
        <v>999999</v>
      </c>
      <c r="AE267">
        <f>IF($A267=5,$E267,999999)</f>
        <v>999999</v>
      </c>
      <c r="AF267">
        <f>IF($A267=6,$E267,999999)</f>
        <v>999999</v>
      </c>
      <c r="AG267">
        <f>IF($A267=7,$E267,999999)</f>
        <v>999999</v>
      </c>
      <c r="AH267">
        <f>IF($A267=8,$E267,999999)</f>
        <v>999999</v>
      </c>
      <c r="AI267">
        <f>IF($A267=9,$E267,999999)</f>
        <v>999999</v>
      </c>
      <c r="AJ267">
        <f>IF($A267=10,$E267,999999)</f>
        <v>999999</v>
      </c>
      <c r="AK267">
        <f>IF($A267=11,$E267,999999)</f>
        <v>999999</v>
      </c>
      <c r="AL267">
        <f>IF($A267=12,$E267,999999)</f>
        <v>999999</v>
      </c>
      <c r="AM267">
        <f>IF($A267=13,$E267,999999)</f>
        <v>999999</v>
      </c>
      <c r="AN267">
        <f>IF($A267=14,$E267,999999)</f>
        <v>999999</v>
      </c>
      <c r="AO267">
        <f>IF($A267=15,$E267,999999)</f>
        <v>999999</v>
      </c>
      <c r="AP267">
        <f>IF($A267=16,$E267,999999)</f>
        <v>999999</v>
      </c>
      <c r="AQ267">
        <f>IF($A267=17,$E267,999999)</f>
        <v>999999</v>
      </c>
      <c r="AR267">
        <f>IF($A267=18,$E267,999999)</f>
        <v>999999</v>
      </c>
      <c r="AS267">
        <f>IF($A267=19,$E267,999999)</f>
        <v>999999</v>
      </c>
      <c r="AT267">
        <f>IF($A267=20,$E267,999999)</f>
        <v>999999</v>
      </c>
      <c r="BA267">
        <f>MAX(0,MIN(CEILING((BF267+BG267)/2,1),BA266+IF('幕间与结算'!E66="体力",N('幕间与结算'!K66),0)))</f>
        <v>0</v>
      </c>
      <c r="BB267">
        <f>MAX(0,MIN(BJ267,BB266+IF('幕间与结算'!E66="毅力",N('幕间与结算'!K66),0)))</f>
        <v>0</v>
      </c>
      <c r="BC267">
        <f>MAX(0,MIN(99-BL267,BC266+IF('幕间与结算'!E66="理智",N('幕间与结算'!K66),0)))</f>
        <v>0</v>
      </c>
      <c r="BD267">
        <f>MAX(0,MIN(99,BD266+IF('幕间与结算'!E66="崩溃点",N('幕间与结算'!K66),0)))</f>
        <v>0</v>
      </c>
      <c r="BF267">
        <f>MAX(0,MIN(18,'幕间计算'!BF266+IF('幕间与结算'!E66="力量",N('幕间与结算'!K66),0)))</f>
        <v>0</v>
      </c>
      <c r="BG267">
        <f>MAX(0,MIN(18,'幕间计算'!BG266+IF('幕间与结算'!E66="体质",N('幕间与结算'!K66),0)))</f>
        <v>0</v>
      </c>
      <c r="BH267">
        <f>MAX(0,MIN(18,'幕间计算'!BH266+IF('幕间与结算'!E66="敏捷",N('幕间与结算'!K66),0)))</f>
        <v>0</v>
      </c>
      <c r="BI267">
        <f>MAX(0,MIN(18,'幕间计算'!BI266+IF('幕间与结算'!E66="智力",N('幕间与结算'!K66),0)))</f>
        <v>0</v>
      </c>
      <c r="BJ267">
        <f>MAX(0,MIN(18,'幕间计算'!BJ266+IF('幕间与结算'!E66="意志",N('幕间与结算'!K66),0)))</f>
        <v>0</v>
      </c>
      <c r="BK267">
        <f>MAX(0,MIN(18,'幕间计算'!BK266+IF('幕间与结算'!E66="魅力",N('幕间与结算'!K66),0)))</f>
        <v>0</v>
      </c>
      <c r="BL267">
        <f>MAX(0,MIN(99,'幕间计算'!BL266+IF('幕间与结算'!E66="技能：非自然知识",N('幕间与结算'!K66),0)))</f>
        <v>0</v>
      </c>
    </row>
    <row r="268">
      <c r="A268">
        <f>IFERROR(IF(AND(VALUE('幕间与结算'!B67)&gt;=1,VALUE('幕间与结算'!B67)&lt;=20),VALUE('幕间与结算'!B67),0),0)</f>
        <v>0</v>
      </c>
      <c r="B268">
        <f>IF(AND(A268&gt;0,'幕间与结算'!D67&lt;&gt;"",'幕间与结算'!J67="确认",ISNUMBER('幕间与结算'!K67),OR('幕间与结算'!G67="失败",'幕间与结算'!G67="大失败"),'幕间与结算'!H67="√",LEFT('幕间与结算'!E67,3)="技能：",'幕间与结算'!E67&lt;&gt;"技能：非自然知识",ISNUMBER('幕间与结算'!F67),'幕间与结算'!F67&gt;=1,'幕间与结算'!F67&lt;=99),1,0)</f>
        <v>0</v>
      </c>
      <c r="D268">
        <f>IF(AND('幕间与结算'!J67="确认",ISNUMBER('幕间与结算'!K67),'幕间与结算'!L67&lt;&gt;"",ISNUMBER('幕间与结算'!M67),'幕间与结算'!M67&gt;0,'幕间与结算'!M67&lt;=99),'幕间与结算'!M67,0)</f>
        <v>0</v>
      </c>
      <c r="E268">
        <f>IF(AND(B268=1,COUNTIFS($A$210:A268,A268,$B$210:B268,1,'幕间与结算'!$E$9:E67,'幕间与结算'!E67)=1),59,999999)</f>
        <v>999999</v>
      </c>
      <c r="F268">
        <v>67</v>
      </c>
      <c r="AA268">
        <f>IF($A268=1,$E268,999999)</f>
        <v>999999</v>
      </c>
      <c r="AB268">
        <f>IF($A268=2,$E268,999999)</f>
        <v>999999</v>
      </c>
      <c r="AC268">
        <f>IF($A268=3,$E268,999999)</f>
        <v>999999</v>
      </c>
      <c r="AD268">
        <f>IF($A268=4,$E268,999999)</f>
        <v>999999</v>
      </c>
      <c r="AE268">
        <f>IF($A268=5,$E268,999999)</f>
        <v>999999</v>
      </c>
      <c r="AF268">
        <f>IF($A268=6,$E268,999999)</f>
        <v>999999</v>
      </c>
      <c r="AG268">
        <f>IF($A268=7,$E268,999999)</f>
        <v>999999</v>
      </c>
      <c r="AH268">
        <f>IF($A268=8,$E268,999999)</f>
        <v>999999</v>
      </c>
      <c r="AI268">
        <f>IF($A268=9,$E268,999999)</f>
        <v>999999</v>
      </c>
      <c r="AJ268">
        <f>IF($A268=10,$E268,999999)</f>
        <v>999999</v>
      </c>
      <c r="AK268">
        <f>IF($A268=11,$E268,999999)</f>
        <v>999999</v>
      </c>
      <c r="AL268">
        <f>IF($A268=12,$E268,999999)</f>
        <v>999999</v>
      </c>
      <c r="AM268">
        <f>IF($A268=13,$E268,999999)</f>
        <v>999999</v>
      </c>
      <c r="AN268">
        <f>IF($A268=14,$E268,999999)</f>
        <v>999999</v>
      </c>
      <c r="AO268">
        <f>IF($A268=15,$E268,999999)</f>
        <v>999999</v>
      </c>
      <c r="AP268">
        <f>IF($A268=16,$E268,999999)</f>
        <v>999999</v>
      </c>
      <c r="AQ268">
        <f>IF($A268=17,$E268,999999)</f>
        <v>999999</v>
      </c>
      <c r="AR268">
        <f>IF($A268=18,$E268,999999)</f>
        <v>999999</v>
      </c>
      <c r="AS268">
        <f>IF($A268=19,$E268,999999)</f>
        <v>999999</v>
      </c>
      <c r="AT268">
        <f>IF($A268=20,$E268,999999)</f>
        <v>999999</v>
      </c>
      <c r="BA268">
        <f>MAX(0,MIN(CEILING((BF268+BG268)/2,1),BA267+IF('幕间与结算'!E67="体力",N('幕间与结算'!K67),0)))</f>
        <v>0</v>
      </c>
      <c r="BB268">
        <f>MAX(0,MIN(BJ268,BB267+IF('幕间与结算'!E67="毅力",N('幕间与结算'!K67),0)))</f>
        <v>0</v>
      </c>
      <c r="BC268">
        <f>MAX(0,MIN(99-BL268,BC267+IF('幕间与结算'!E67="理智",N('幕间与结算'!K67),0)))</f>
        <v>0</v>
      </c>
      <c r="BD268">
        <f>MAX(0,MIN(99,BD267+IF('幕间与结算'!E67="崩溃点",N('幕间与结算'!K67),0)))</f>
        <v>0</v>
      </c>
      <c r="BF268">
        <f>MAX(0,MIN(18,'幕间计算'!BF267+IF('幕间与结算'!E67="力量",N('幕间与结算'!K67),0)))</f>
        <v>0</v>
      </c>
      <c r="BG268">
        <f>MAX(0,MIN(18,'幕间计算'!BG267+IF('幕间与结算'!E67="体质",N('幕间与结算'!K67),0)))</f>
        <v>0</v>
      </c>
      <c r="BH268">
        <f>MAX(0,MIN(18,'幕间计算'!BH267+IF('幕间与结算'!E67="敏捷",N('幕间与结算'!K67),0)))</f>
        <v>0</v>
      </c>
      <c r="BI268">
        <f>MAX(0,MIN(18,'幕间计算'!BI267+IF('幕间与结算'!E67="智力",N('幕间与结算'!K67),0)))</f>
        <v>0</v>
      </c>
      <c r="BJ268">
        <f>MAX(0,MIN(18,'幕间计算'!BJ267+IF('幕间与结算'!E67="意志",N('幕间与结算'!K67),0)))</f>
        <v>0</v>
      </c>
      <c r="BK268">
        <f>MAX(0,MIN(18,'幕间计算'!BK267+IF('幕间与结算'!E67="魅力",N('幕间与结算'!K67),0)))</f>
        <v>0</v>
      </c>
      <c r="BL268">
        <f>MAX(0,MIN(99,'幕间计算'!BL267+IF('幕间与结算'!E67="技能：非自然知识",N('幕间与结算'!K67),0)))</f>
        <v>0</v>
      </c>
    </row>
    <row r="269">
      <c r="A269">
        <f>IFERROR(IF(AND(VALUE('幕间与结算'!B68)&gt;=1,VALUE('幕间与结算'!B68)&lt;=20),VALUE('幕间与结算'!B68),0),0)</f>
        <v>0</v>
      </c>
      <c r="B269">
        <f>IF(AND(A269&gt;0,'幕间与结算'!D68&lt;&gt;"",'幕间与结算'!J68="确认",ISNUMBER('幕间与结算'!K68),OR('幕间与结算'!G68="失败",'幕间与结算'!G68="大失败"),'幕间与结算'!H68="√",LEFT('幕间与结算'!E68,3)="技能：",'幕间与结算'!E68&lt;&gt;"技能：非自然知识",ISNUMBER('幕间与结算'!F68),'幕间与结算'!F68&gt;=1,'幕间与结算'!F68&lt;=99),1,0)</f>
        <v>0</v>
      </c>
      <c r="D269">
        <f>IF(AND('幕间与结算'!J68="确认",ISNUMBER('幕间与结算'!K68),'幕间与结算'!L68&lt;&gt;"",ISNUMBER('幕间与结算'!M68),'幕间与结算'!M68&gt;0,'幕间与结算'!M68&lt;=99),'幕间与结算'!M68,0)</f>
        <v>0</v>
      </c>
      <c r="E269">
        <f>IF(AND(B269=1,COUNTIFS($A$210:A269,A269,$B$210:B269,1,'幕间与结算'!$E$9:E68,'幕间与结算'!E68)=1),60,999999)</f>
        <v>999999</v>
      </c>
      <c r="F269">
        <v>68</v>
      </c>
      <c r="AA269">
        <f>IF($A269=1,$E269,999999)</f>
        <v>999999</v>
      </c>
      <c r="AB269">
        <f>IF($A269=2,$E269,999999)</f>
        <v>999999</v>
      </c>
      <c r="AC269">
        <f>IF($A269=3,$E269,999999)</f>
        <v>999999</v>
      </c>
      <c r="AD269">
        <f>IF($A269=4,$E269,999999)</f>
        <v>999999</v>
      </c>
      <c r="AE269">
        <f>IF($A269=5,$E269,999999)</f>
        <v>999999</v>
      </c>
      <c r="AF269">
        <f>IF($A269=6,$E269,999999)</f>
        <v>999999</v>
      </c>
      <c r="AG269">
        <f>IF($A269=7,$E269,999999)</f>
        <v>999999</v>
      </c>
      <c r="AH269">
        <f>IF($A269=8,$E269,999999)</f>
        <v>999999</v>
      </c>
      <c r="AI269">
        <f>IF($A269=9,$E269,999999)</f>
        <v>999999</v>
      </c>
      <c r="AJ269">
        <f>IF($A269=10,$E269,999999)</f>
        <v>999999</v>
      </c>
      <c r="AK269">
        <f>IF($A269=11,$E269,999999)</f>
        <v>999999</v>
      </c>
      <c r="AL269">
        <f>IF($A269=12,$E269,999999)</f>
        <v>999999</v>
      </c>
      <c r="AM269">
        <f>IF($A269=13,$E269,999999)</f>
        <v>999999</v>
      </c>
      <c r="AN269">
        <f>IF($A269=14,$E269,999999)</f>
        <v>999999</v>
      </c>
      <c r="AO269">
        <f>IF($A269=15,$E269,999999)</f>
        <v>999999</v>
      </c>
      <c r="AP269">
        <f>IF($A269=16,$E269,999999)</f>
        <v>999999</v>
      </c>
      <c r="AQ269">
        <f>IF($A269=17,$E269,999999)</f>
        <v>999999</v>
      </c>
      <c r="AR269">
        <f>IF($A269=18,$E269,999999)</f>
        <v>999999</v>
      </c>
      <c r="AS269">
        <f>IF($A269=19,$E269,999999)</f>
        <v>999999</v>
      </c>
      <c r="AT269">
        <f>IF($A269=20,$E269,999999)</f>
        <v>999999</v>
      </c>
      <c r="BA269">
        <f>MAX(0,MIN(CEILING((BF269+BG269)/2,1),BA268+IF('幕间与结算'!E68="体力",N('幕间与结算'!K68),0)))</f>
        <v>0</v>
      </c>
      <c r="BB269">
        <f>MAX(0,MIN(BJ269,BB268+IF('幕间与结算'!E68="毅力",N('幕间与结算'!K68),0)))</f>
        <v>0</v>
      </c>
      <c r="BC269">
        <f>MAX(0,MIN(99-BL269,BC268+IF('幕间与结算'!E68="理智",N('幕间与结算'!K68),0)))</f>
        <v>0</v>
      </c>
      <c r="BD269">
        <f>MAX(0,MIN(99,BD268+IF('幕间与结算'!E68="崩溃点",N('幕间与结算'!K68),0)))</f>
        <v>0</v>
      </c>
      <c r="BF269">
        <f>MAX(0,MIN(18,'幕间计算'!BF268+IF('幕间与结算'!E68="力量",N('幕间与结算'!K68),0)))</f>
        <v>0</v>
      </c>
      <c r="BG269">
        <f>MAX(0,MIN(18,'幕间计算'!BG268+IF('幕间与结算'!E68="体质",N('幕间与结算'!K68),0)))</f>
        <v>0</v>
      </c>
      <c r="BH269">
        <f>MAX(0,MIN(18,'幕间计算'!BH268+IF('幕间与结算'!E68="敏捷",N('幕间与结算'!K68),0)))</f>
        <v>0</v>
      </c>
      <c r="BI269">
        <f>MAX(0,MIN(18,'幕间计算'!BI268+IF('幕间与结算'!E68="智力",N('幕间与结算'!K68),0)))</f>
        <v>0</v>
      </c>
      <c r="BJ269">
        <f>MAX(0,MIN(18,'幕间计算'!BJ268+IF('幕间与结算'!E68="意志",N('幕间与结算'!K68),0)))</f>
        <v>0</v>
      </c>
      <c r="BK269">
        <f>MAX(0,MIN(18,'幕间计算'!BK268+IF('幕间与结算'!E68="魅力",N('幕间与结算'!K68),0)))</f>
        <v>0</v>
      </c>
      <c r="BL269">
        <f>MAX(0,MIN(99,'幕间计算'!BL268+IF('幕间与结算'!E68="技能：非自然知识",N('幕间与结算'!K68),0)))</f>
        <v>0</v>
      </c>
    </row>
    <row r="270">
      <c r="A270">
        <f>IFERROR(IF(AND(VALUE('幕间与结算'!B69)&gt;=1,VALUE('幕间与结算'!B69)&lt;=20),VALUE('幕间与结算'!B69),0),0)</f>
        <v>0</v>
      </c>
      <c r="B270">
        <f>IF(AND(A270&gt;0,'幕间与结算'!D69&lt;&gt;"",'幕间与结算'!J69="确认",ISNUMBER('幕间与结算'!K69),OR('幕间与结算'!G69="失败",'幕间与结算'!G69="大失败"),'幕间与结算'!H69="√",LEFT('幕间与结算'!E69,3)="技能：",'幕间与结算'!E69&lt;&gt;"技能：非自然知识",ISNUMBER('幕间与结算'!F69),'幕间与结算'!F69&gt;=1,'幕间与结算'!F69&lt;=99),1,0)</f>
        <v>0</v>
      </c>
      <c r="D270">
        <f>IF(AND('幕间与结算'!J69="确认",ISNUMBER('幕间与结算'!K69),'幕间与结算'!L69&lt;&gt;"",ISNUMBER('幕间与结算'!M69),'幕间与结算'!M69&gt;0,'幕间与结算'!M69&lt;=99),'幕间与结算'!M69,0)</f>
        <v>0</v>
      </c>
      <c r="E270">
        <f>IF(AND(B270=1,COUNTIFS($A$210:A270,A270,$B$210:B270,1,'幕间与结算'!$E$9:E69,'幕间与结算'!E69)=1),61,999999)</f>
        <v>999999</v>
      </c>
      <c r="F270">
        <v>69</v>
      </c>
      <c r="AA270">
        <f>IF($A270=1,$E270,999999)</f>
        <v>999999</v>
      </c>
      <c r="AB270">
        <f>IF($A270=2,$E270,999999)</f>
        <v>999999</v>
      </c>
      <c r="AC270">
        <f>IF($A270=3,$E270,999999)</f>
        <v>999999</v>
      </c>
      <c r="AD270">
        <f>IF($A270=4,$E270,999999)</f>
        <v>999999</v>
      </c>
      <c r="AE270">
        <f>IF($A270=5,$E270,999999)</f>
        <v>999999</v>
      </c>
      <c r="AF270">
        <f>IF($A270=6,$E270,999999)</f>
        <v>999999</v>
      </c>
      <c r="AG270">
        <f>IF($A270=7,$E270,999999)</f>
        <v>999999</v>
      </c>
      <c r="AH270">
        <f>IF($A270=8,$E270,999999)</f>
        <v>999999</v>
      </c>
      <c r="AI270">
        <f>IF($A270=9,$E270,999999)</f>
        <v>999999</v>
      </c>
      <c r="AJ270">
        <f>IF($A270=10,$E270,999999)</f>
        <v>999999</v>
      </c>
      <c r="AK270">
        <f>IF($A270=11,$E270,999999)</f>
        <v>999999</v>
      </c>
      <c r="AL270">
        <f>IF($A270=12,$E270,999999)</f>
        <v>999999</v>
      </c>
      <c r="AM270">
        <f>IF($A270=13,$E270,999999)</f>
        <v>999999</v>
      </c>
      <c r="AN270">
        <f>IF($A270=14,$E270,999999)</f>
        <v>999999</v>
      </c>
      <c r="AO270">
        <f>IF($A270=15,$E270,999999)</f>
        <v>999999</v>
      </c>
      <c r="AP270">
        <f>IF($A270=16,$E270,999999)</f>
        <v>999999</v>
      </c>
      <c r="AQ270">
        <f>IF($A270=17,$E270,999999)</f>
        <v>999999</v>
      </c>
      <c r="AR270">
        <f>IF($A270=18,$E270,999999)</f>
        <v>999999</v>
      </c>
      <c r="AS270">
        <f>IF($A270=19,$E270,999999)</f>
        <v>999999</v>
      </c>
      <c r="AT270">
        <f>IF($A270=20,$E270,999999)</f>
        <v>999999</v>
      </c>
      <c r="BA270">
        <f>MAX(0,MIN(CEILING((BF270+BG270)/2,1),BA269+IF('幕间与结算'!E69="体力",N('幕间与结算'!K69),0)))</f>
        <v>0</v>
      </c>
      <c r="BB270">
        <f>MAX(0,MIN(BJ270,BB269+IF('幕间与结算'!E69="毅力",N('幕间与结算'!K69),0)))</f>
        <v>0</v>
      </c>
      <c r="BC270">
        <f>MAX(0,MIN(99-BL270,BC269+IF('幕间与结算'!E69="理智",N('幕间与结算'!K69),0)))</f>
        <v>0</v>
      </c>
      <c r="BD270">
        <f>MAX(0,MIN(99,BD269+IF('幕间与结算'!E69="崩溃点",N('幕间与结算'!K69),0)))</f>
        <v>0</v>
      </c>
      <c r="BF270">
        <f>MAX(0,MIN(18,'幕间计算'!BF269+IF('幕间与结算'!E69="力量",N('幕间与结算'!K69),0)))</f>
        <v>0</v>
      </c>
      <c r="BG270">
        <f>MAX(0,MIN(18,'幕间计算'!BG269+IF('幕间与结算'!E69="体质",N('幕间与结算'!K69),0)))</f>
        <v>0</v>
      </c>
      <c r="BH270">
        <f>MAX(0,MIN(18,'幕间计算'!BH269+IF('幕间与结算'!E69="敏捷",N('幕间与结算'!K69),0)))</f>
        <v>0</v>
      </c>
      <c r="BI270">
        <f>MAX(0,MIN(18,'幕间计算'!BI269+IF('幕间与结算'!E69="智力",N('幕间与结算'!K69),0)))</f>
        <v>0</v>
      </c>
      <c r="BJ270">
        <f>MAX(0,MIN(18,'幕间计算'!BJ269+IF('幕间与结算'!E69="意志",N('幕间与结算'!K69),0)))</f>
        <v>0</v>
      </c>
      <c r="BK270">
        <f>MAX(0,MIN(18,'幕间计算'!BK269+IF('幕间与结算'!E69="魅力",N('幕间与结算'!K69),0)))</f>
        <v>0</v>
      </c>
      <c r="BL270">
        <f>MAX(0,MIN(99,'幕间计算'!BL269+IF('幕间与结算'!E69="技能：非自然知识",N('幕间与结算'!K69),0)))</f>
        <v>0</v>
      </c>
    </row>
    <row r="271">
      <c r="A271">
        <f>IFERROR(IF(AND(VALUE('幕间与结算'!B70)&gt;=1,VALUE('幕间与结算'!B70)&lt;=20),VALUE('幕间与结算'!B70),0),0)</f>
        <v>0</v>
      </c>
      <c r="B271">
        <f>IF(AND(A271&gt;0,'幕间与结算'!D70&lt;&gt;"",'幕间与结算'!J70="确认",ISNUMBER('幕间与结算'!K70),OR('幕间与结算'!G70="失败",'幕间与结算'!G70="大失败"),'幕间与结算'!H70="√",LEFT('幕间与结算'!E70,3)="技能：",'幕间与结算'!E70&lt;&gt;"技能：非自然知识",ISNUMBER('幕间与结算'!F70),'幕间与结算'!F70&gt;=1,'幕间与结算'!F70&lt;=99),1,0)</f>
        <v>0</v>
      </c>
      <c r="D271">
        <f>IF(AND('幕间与结算'!J70="确认",ISNUMBER('幕间与结算'!K70),'幕间与结算'!L70&lt;&gt;"",ISNUMBER('幕间与结算'!M70),'幕间与结算'!M70&gt;0,'幕间与结算'!M70&lt;=99),'幕间与结算'!M70,0)</f>
        <v>0</v>
      </c>
      <c r="E271">
        <f>IF(AND(B271=1,COUNTIFS($A$210:A271,A271,$B$210:B271,1,'幕间与结算'!$E$9:E70,'幕间与结算'!E70)=1),62,999999)</f>
        <v>999999</v>
      </c>
      <c r="F271">
        <v>70</v>
      </c>
      <c r="AA271">
        <f>IF($A271=1,$E271,999999)</f>
        <v>999999</v>
      </c>
      <c r="AB271">
        <f>IF($A271=2,$E271,999999)</f>
        <v>999999</v>
      </c>
      <c r="AC271">
        <f>IF($A271=3,$E271,999999)</f>
        <v>999999</v>
      </c>
      <c r="AD271">
        <f>IF($A271=4,$E271,999999)</f>
        <v>999999</v>
      </c>
      <c r="AE271">
        <f>IF($A271=5,$E271,999999)</f>
        <v>999999</v>
      </c>
      <c r="AF271">
        <f>IF($A271=6,$E271,999999)</f>
        <v>999999</v>
      </c>
      <c r="AG271">
        <f>IF($A271=7,$E271,999999)</f>
        <v>999999</v>
      </c>
      <c r="AH271">
        <f>IF($A271=8,$E271,999999)</f>
        <v>999999</v>
      </c>
      <c r="AI271">
        <f>IF($A271=9,$E271,999999)</f>
        <v>999999</v>
      </c>
      <c r="AJ271">
        <f>IF($A271=10,$E271,999999)</f>
        <v>999999</v>
      </c>
      <c r="AK271">
        <f>IF($A271=11,$E271,999999)</f>
        <v>999999</v>
      </c>
      <c r="AL271">
        <f>IF($A271=12,$E271,999999)</f>
        <v>999999</v>
      </c>
      <c r="AM271">
        <f>IF($A271=13,$E271,999999)</f>
        <v>999999</v>
      </c>
      <c r="AN271">
        <f>IF($A271=14,$E271,999999)</f>
        <v>999999</v>
      </c>
      <c r="AO271">
        <f>IF($A271=15,$E271,999999)</f>
        <v>999999</v>
      </c>
      <c r="AP271">
        <f>IF($A271=16,$E271,999999)</f>
        <v>999999</v>
      </c>
      <c r="AQ271">
        <f>IF($A271=17,$E271,999999)</f>
        <v>999999</v>
      </c>
      <c r="AR271">
        <f>IF($A271=18,$E271,999999)</f>
        <v>999999</v>
      </c>
      <c r="AS271">
        <f>IF($A271=19,$E271,999999)</f>
        <v>999999</v>
      </c>
      <c r="AT271">
        <f>IF($A271=20,$E271,999999)</f>
        <v>999999</v>
      </c>
      <c r="BA271">
        <f>MAX(0,MIN(CEILING((BF271+BG271)/2,1),BA270+IF('幕间与结算'!E70="体力",N('幕间与结算'!K70),0)))</f>
        <v>0</v>
      </c>
      <c r="BB271">
        <f>MAX(0,MIN(BJ271,BB270+IF('幕间与结算'!E70="毅力",N('幕间与结算'!K70),0)))</f>
        <v>0</v>
      </c>
      <c r="BC271">
        <f>MAX(0,MIN(99-BL271,BC270+IF('幕间与结算'!E70="理智",N('幕间与结算'!K70),0)))</f>
        <v>0</v>
      </c>
      <c r="BD271">
        <f>MAX(0,MIN(99,BD270+IF('幕间与结算'!E70="崩溃点",N('幕间与结算'!K70),0)))</f>
        <v>0</v>
      </c>
      <c r="BF271">
        <f>MAX(0,MIN(18,'幕间计算'!BF270+IF('幕间与结算'!E70="力量",N('幕间与结算'!K70),0)))</f>
        <v>0</v>
      </c>
      <c r="BG271">
        <f>MAX(0,MIN(18,'幕间计算'!BG270+IF('幕间与结算'!E70="体质",N('幕间与结算'!K70),0)))</f>
        <v>0</v>
      </c>
      <c r="BH271">
        <f>MAX(0,MIN(18,'幕间计算'!BH270+IF('幕间与结算'!E70="敏捷",N('幕间与结算'!K70),0)))</f>
        <v>0</v>
      </c>
      <c r="BI271">
        <f>MAX(0,MIN(18,'幕间计算'!BI270+IF('幕间与结算'!E70="智力",N('幕间与结算'!K70),0)))</f>
        <v>0</v>
      </c>
      <c r="BJ271">
        <f>MAX(0,MIN(18,'幕间计算'!BJ270+IF('幕间与结算'!E70="意志",N('幕间与结算'!K70),0)))</f>
        <v>0</v>
      </c>
      <c r="BK271">
        <f>MAX(0,MIN(18,'幕间计算'!BK270+IF('幕间与结算'!E70="魅力",N('幕间与结算'!K70),0)))</f>
        <v>0</v>
      </c>
      <c r="BL271">
        <f>MAX(0,MIN(99,'幕间计算'!BL270+IF('幕间与结算'!E70="技能：非自然知识",N('幕间与结算'!K70),0)))</f>
        <v>0</v>
      </c>
    </row>
    <row r="272">
      <c r="A272">
        <f>IFERROR(IF(AND(VALUE('幕间与结算'!B71)&gt;=1,VALUE('幕间与结算'!B71)&lt;=20),VALUE('幕间与结算'!B71),0),0)</f>
        <v>0</v>
      </c>
      <c r="B272">
        <f>IF(AND(A272&gt;0,'幕间与结算'!D71&lt;&gt;"",'幕间与结算'!J71="确认",ISNUMBER('幕间与结算'!K71),OR('幕间与结算'!G71="失败",'幕间与结算'!G71="大失败"),'幕间与结算'!H71="√",LEFT('幕间与结算'!E71,3)="技能：",'幕间与结算'!E71&lt;&gt;"技能：非自然知识",ISNUMBER('幕间与结算'!F71),'幕间与结算'!F71&gt;=1,'幕间与结算'!F71&lt;=99),1,0)</f>
        <v>0</v>
      </c>
      <c r="D272">
        <f>IF(AND('幕间与结算'!J71="确认",ISNUMBER('幕间与结算'!K71),'幕间与结算'!L71&lt;&gt;"",ISNUMBER('幕间与结算'!M71),'幕间与结算'!M71&gt;0,'幕间与结算'!M71&lt;=99),'幕间与结算'!M71,0)</f>
        <v>0</v>
      </c>
      <c r="E272">
        <f>IF(AND(B272=1,COUNTIFS($A$210:A272,A272,$B$210:B272,1,'幕间与结算'!$E$9:E71,'幕间与结算'!E71)=1),63,999999)</f>
        <v>999999</v>
      </c>
      <c r="F272">
        <v>71</v>
      </c>
      <c r="AA272">
        <f>IF($A272=1,$E272,999999)</f>
        <v>999999</v>
      </c>
      <c r="AB272">
        <f>IF($A272=2,$E272,999999)</f>
        <v>999999</v>
      </c>
      <c r="AC272">
        <f>IF($A272=3,$E272,999999)</f>
        <v>999999</v>
      </c>
      <c r="AD272">
        <f>IF($A272=4,$E272,999999)</f>
        <v>999999</v>
      </c>
      <c r="AE272">
        <f>IF($A272=5,$E272,999999)</f>
        <v>999999</v>
      </c>
      <c r="AF272">
        <f>IF($A272=6,$E272,999999)</f>
        <v>999999</v>
      </c>
      <c r="AG272">
        <f>IF($A272=7,$E272,999999)</f>
        <v>999999</v>
      </c>
      <c r="AH272">
        <f>IF($A272=8,$E272,999999)</f>
        <v>999999</v>
      </c>
      <c r="AI272">
        <f>IF($A272=9,$E272,999999)</f>
        <v>999999</v>
      </c>
      <c r="AJ272">
        <f>IF($A272=10,$E272,999999)</f>
        <v>999999</v>
      </c>
      <c r="AK272">
        <f>IF($A272=11,$E272,999999)</f>
        <v>999999</v>
      </c>
      <c r="AL272">
        <f>IF($A272=12,$E272,999999)</f>
        <v>999999</v>
      </c>
      <c r="AM272">
        <f>IF($A272=13,$E272,999999)</f>
        <v>999999</v>
      </c>
      <c r="AN272">
        <f>IF($A272=14,$E272,999999)</f>
        <v>999999</v>
      </c>
      <c r="AO272">
        <f>IF($A272=15,$E272,999999)</f>
        <v>999999</v>
      </c>
      <c r="AP272">
        <f>IF($A272=16,$E272,999999)</f>
        <v>999999</v>
      </c>
      <c r="AQ272">
        <f>IF($A272=17,$E272,999999)</f>
        <v>999999</v>
      </c>
      <c r="AR272">
        <f>IF($A272=18,$E272,999999)</f>
        <v>999999</v>
      </c>
      <c r="AS272">
        <f>IF($A272=19,$E272,999999)</f>
        <v>999999</v>
      </c>
      <c r="AT272">
        <f>IF($A272=20,$E272,999999)</f>
        <v>999999</v>
      </c>
      <c r="BA272">
        <f>MAX(0,MIN(CEILING((BF272+BG272)/2,1),BA271+IF('幕间与结算'!E71="体力",N('幕间与结算'!K71),0)))</f>
        <v>0</v>
      </c>
      <c r="BB272">
        <f>MAX(0,MIN(BJ272,BB271+IF('幕间与结算'!E71="毅力",N('幕间与结算'!K71),0)))</f>
        <v>0</v>
      </c>
      <c r="BC272">
        <f>MAX(0,MIN(99-BL272,BC271+IF('幕间与结算'!E71="理智",N('幕间与结算'!K71),0)))</f>
        <v>0</v>
      </c>
      <c r="BD272">
        <f>MAX(0,MIN(99,BD271+IF('幕间与结算'!E71="崩溃点",N('幕间与结算'!K71),0)))</f>
        <v>0</v>
      </c>
      <c r="BF272">
        <f>MAX(0,MIN(18,'幕间计算'!BF271+IF('幕间与结算'!E71="力量",N('幕间与结算'!K71),0)))</f>
        <v>0</v>
      </c>
      <c r="BG272">
        <f>MAX(0,MIN(18,'幕间计算'!BG271+IF('幕间与结算'!E71="体质",N('幕间与结算'!K71),0)))</f>
        <v>0</v>
      </c>
      <c r="BH272">
        <f>MAX(0,MIN(18,'幕间计算'!BH271+IF('幕间与结算'!E71="敏捷",N('幕间与结算'!K71),0)))</f>
        <v>0</v>
      </c>
      <c r="BI272">
        <f>MAX(0,MIN(18,'幕间计算'!BI271+IF('幕间与结算'!E71="智力",N('幕间与结算'!K71),0)))</f>
        <v>0</v>
      </c>
      <c r="BJ272">
        <f>MAX(0,MIN(18,'幕间计算'!BJ271+IF('幕间与结算'!E71="意志",N('幕间与结算'!K71),0)))</f>
        <v>0</v>
      </c>
      <c r="BK272">
        <f>MAX(0,MIN(18,'幕间计算'!BK271+IF('幕间与结算'!E71="魅力",N('幕间与结算'!K71),0)))</f>
        <v>0</v>
      </c>
      <c r="BL272">
        <f>MAX(0,MIN(99,'幕间计算'!BL271+IF('幕间与结算'!E71="技能：非自然知识",N('幕间与结算'!K71),0)))</f>
        <v>0</v>
      </c>
    </row>
    <row r="273">
      <c r="A273">
        <f>IFERROR(IF(AND(VALUE('幕间与结算'!B72)&gt;=1,VALUE('幕间与结算'!B72)&lt;=20),VALUE('幕间与结算'!B72),0),0)</f>
        <v>0</v>
      </c>
      <c r="B273">
        <f>IF(AND(A273&gt;0,'幕间与结算'!D72&lt;&gt;"",'幕间与结算'!J72="确认",ISNUMBER('幕间与结算'!K72),OR('幕间与结算'!G72="失败",'幕间与结算'!G72="大失败"),'幕间与结算'!H72="√",LEFT('幕间与结算'!E72,3)="技能：",'幕间与结算'!E72&lt;&gt;"技能：非自然知识",ISNUMBER('幕间与结算'!F72),'幕间与结算'!F72&gt;=1,'幕间与结算'!F72&lt;=99),1,0)</f>
        <v>0</v>
      </c>
      <c r="D273">
        <f>IF(AND('幕间与结算'!J72="确认",ISNUMBER('幕间与结算'!K72),'幕间与结算'!L72&lt;&gt;"",ISNUMBER('幕间与结算'!M72),'幕间与结算'!M72&gt;0,'幕间与结算'!M72&lt;=99),'幕间与结算'!M72,0)</f>
        <v>0</v>
      </c>
      <c r="E273">
        <f>IF(AND(B273=1,COUNTIFS($A$210:A273,A273,$B$210:B273,1,'幕间与结算'!$E$9:E72,'幕间与结算'!E72)=1),64,999999)</f>
        <v>999999</v>
      </c>
      <c r="F273">
        <v>72</v>
      </c>
      <c r="AA273">
        <f>IF($A273=1,$E273,999999)</f>
        <v>999999</v>
      </c>
      <c r="AB273">
        <f>IF($A273=2,$E273,999999)</f>
        <v>999999</v>
      </c>
      <c r="AC273">
        <f>IF($A273=3,$E273,999999)</f>
        <v>999999</v>
      </c>
      <c r="AD273">
        <f>IF($A273=4,$E273,999999)</f>
        <v>999999</v>
      </c>
      <c r="AE273">
        <f>IF($A273=5,$E273,999999)</f>
        <v>999999</v>
      </c>
      <c r="AF273">
        <f>IF($A273=6,$E273,999999)</f>
        <v>999999</v>
      </c>
      <c r="AG273">
        <f>IF($A273=7,$E273,999999)</f>
        <v>999999</v>
      </c>
      <c r="AH273">
        <f>IF($A273=8,$E273,999999)</f>
        <v>999999</v>
      </c>
      <c r="AI273">
        <f>IF($A273=9,$E273,999999)</f>
        <v>999999</v>
      </c>
      <c r="AJ273">
        <f>IF($A273=10,$E273,999999)</f>
        <v>999999</v>
      </c>
      <c r="AK273">
        <f>IF($A273=11,$E273,999999)</f>
        <v>999999</v>
      </c>
      <c r="AL273">
        <f>IF($A273=12,$E273,999999)</f>
        <v>999999</v>
      </c>
      <c r="AM273">
        <f>IF($A273=13,$E273,999999)</f>
        <v>999999</v>
      </c>
      <c r="AN273">
        <f>IF($A273=14,$E273,999999)</f>
        <v>999999</v>
      </c>
      <c r="AO273">
        <f>IF($A273=15,$E273,999999)</f>
        <v>999999</v>
      </c>
      <c r="AP273">
        <f>IF($A273=16,$E273,999999)</f>
        <v>999999</v>
      </c>
      <c r="AQ273">
        <f>IF($A273=17,$E273,999999)</f>
        <v>999999</v>
      </c>
      <c r="AR273">
        <f>IF($A273=18,$E273,999999)</f>
        <v>999999</v>
      </c>
      <c r="AS273">
        <f>IF($A273=19,$E273,999999)</f>
        <v>999999</v>
      </c>
      <c r="AT273">
        <f>IF($A273=20,$E273,999999)</f>
        <v>999999</v>
      </c>
      <c r="BA273">
        <f>MAX(0,MIN(CEILING((BF273+BG273)/2,1),BA272+IF('幕间与结算'!E72="体力",N('幕间与结算'!K72),0)))</f>
        <v>0</v>
      </c>
      <c r="BB273">
        <f>MAX(0,MIN(BJ273,BB272+IF('幕间与结算'!E72="毅力",N('幕间与结算'!K72),0)))</f>
        <v>0</v>
      </c>
      <c r="BC273">
        <f>MAX(0,MIN(99-BL273,BC272+IF('幕间与结算'!E72="理智",N('幕间与结算'!K72),0)))</f>
        <v>0</v>
      </c>
      <c r="BD273">
        <f>MAX(0,MIN(99,BD272+IF('幕间与结算'!E72="崩溃点",N('幕间与结算'!K72),0)))</f>
        <v>0</v>
      </c>
      <c r="BF273">
        <f>MAX(0,MIN(18,'幕间计算'!BF272+IF('幕间与结算'!E72="力量",N('幕间与结算'!K72),0)))</f>
        <v>0</v>
      </c>
      <c r="BG273">
        <f>MAX(0,MIN(18,'幕间计算'!BG272+IF('幕间与结算'!E72="体质",N('幕间与结算'!K72),0)))</f>
        <v>0</v>
      </c>
      <c r="BH273">
        <f>MAX(0,MIN(18,'幕间计算'!BH272+IF('幕间与结算'!E72="敏捷",N('幕间与结算'!K72),0)))</f>
        <v>0</v>
      </c>
      <c r="BI273">
        <f>MAX(0,MIN(18,'幕间计算'!BI272+IF('幕间与结算'!E72="智力",N('幕间与结算'!K72),0)))</f>
        <v>0</v>
      </c>
      <c r="BJ273">
        <f>MAX(0,MIN(18,'幕间计算'!BJ272+IF('幕间与结算'!E72="意志",N('幕间与结算'!K72),0)))</f>
        <v>0</v>
      </c>
      <c r="BK273">
        <f>MAX(0,MIN(18,'幕间计算'!BK272+IF('幕间与结算'!E72="魅力",N('幕间与结算'!K72),0)))</f>
        <v>0</v>
      </c>
      <c r="BL273">
        <f>MAX(0,MIN(99,'幕间计算'!BL272+IF('幕间与结算'!E72="技能：非自然知识",N('幕间与结算'!K72),0)))</f>
        <v>0</v>
      </c>
    </row>
    <row r="274">
      <c r="A274">
        <f>IFERROR(IF(AND(VALUE('幕间与结算'!B73)&gt;=1,VALUE('幕间与结算'!B73)&lt;=20),VALUE('幕间与结算'!B73),0),0)</f>
        <v>0</v>
      </c>
      <c r="B274">
        <f>IF(AND(A274&gt;0,'幕间与结算'!D73&lt;&gt;"",'幕间与结算'!J73="确认",ISNUMBER('幕间与结算'!K73),OR('幕间与结算'!G73="失败",'幕间与结算'!G73="大失败"),'幕间与结算'!H73="√",LEFT('幕间与结算'!E73,3)="技能：",'幕间与结算'!E73&lt;&gt;"技能：非自然知识",ISNUMBER('幕间与结算'!F73),'幕间与结算'!F73&gt;=1,'幕间与结算'!F73&lt;=99),1,0)</f>
        <v>0</v>
      </c>
      <c r="D274">
        <f>IF(AND('幕间与结算'!J73="确认",ISNUMBER('幕间与结算'!K73),'幕间与结算'!L73&lt;&gt;"",ISNUMBER('幕间与结算'!M73),'幕间与结算'!M73&gt;0,'幕间与结算'!M73&lt;=99),'幕间与结算'!M73,0)</f>
        <v>0</v>
      </c>
      <c r="E274">
        <f>IF(AND(B274=1,COUNTIFS($A$210:A274,A274,$B$210:B274,1,'幕间与结算'!$E$9:E73,'幕间与结算'!E73)=1),65,999999)</f>
        <v>999999</v>
      </c>
      <c r="F274">
        <v>73</v>
      </c>
      <c r="AA274">
        <f>IF($A274=1,$E274,999999)</f>
        <v>999999</v>
      </c>
      <c r="AB274">
        <f>IF($A274=2,$E274,999999)</f>
        <v>999999</v>
      </c>
      <c r="AC274">
        <f>IF($A274=3,$E274,999999)</f>
        <v>999999</v>
      </c>
      <c r="AD274">
        <f>IF($A274=4,$E274,999999)</f>
        <v>999999</v>
      </c>
      <c r="AE274">
        <f>IF($A274=5,$E274,999999)</f>
        <v>999999</v>
      </c>
      <c r="AF274">
        <f>IF($A274=6,$E274,999999)</f>
        <v>999999</v>
      </c>
      <c r="AG274">
        <f>IF($A274=7,$E274,999999)</f>
        <v>999999</v>
      </c>
      <c r="AH274">
        <f>IF($A274=8,$E274,999999)</f>
        <v>999999</v>
      </c>
      <c r="AI274">
        <f>IF($A274=9,$E274,999999)</f>
        <v>999999</v>
      </c>
      <c r="AJ274">
        <f>IF($A274=10,$E274,999999)</f>
        <v>999999</v>
      </c>
      <c r="AK274">
        <f>IF($A274=11,$E274,999999)</f>
        <v>999999</v>
      </c>
      <c r="AL274">
        <f>IF($A274=12,$E274,999999)</f>
        <v>999999</v>
      </c>
      <c r="AM274">
        <f>IF($A274=13,$E274,999999)</f>
        <v>999999</v>
      </c>
      <c r="AN274">
        <f>IF($A274=14,$E274,999999)</f>
        <v>999999</v>
      </c>
      <c r="AO274">
        <f>IF($A274=15,$E274,999999)</f>
        <v>999999</v>
      </c>
      <c r="AP274">
        <f>IF($A274=16,$E274,999999)</f>
        <v>999999</v>
      </c>
      <c r="AQ274">
        <f>IF($A274=17,$E274,999999)</f>
        <v>999999</v>
      </c>
      <c r="AR274">
        <f>IF($A274=18,$E274,999999)</f>
        <v>999999</v>
      </c>
      <c r="AS274">
        <f>IF($A274=19,$E274,999999)</f>
        <v>999999</v>
      </c>
      <c r="AT274">
        <f>IF($A274=20,$E274,999999)</f>
        <v>999999</v>
      </c>
      <c r="BA274">
        <f>MAX(0,MIN(CEILING((BF274+BG274)/2,1),BA273+IF('幕间与结算'!E73="体力",N('幕间与结算'!K73),0)))</f>
        <v>0</v>
      </c>
      <c r="BB274">
        <f>MAX(0,MIN(BJ274,BB273+IF('幕间与结算'!E73="毅力",N('幕间与结算'!K73),0)))</f>
        <v>0</v>
      </c>
      <c r="BC274">
        <f>MAX(0,MIN(99-BL274,BC273+IF('幕间与结算'!E73="理智",N('幕间与结算'!K73),0)))</f>
        <v>0</v>
      </c>
      <c r="BD274">
        <f>MAX(0,MIN(99,BD273+IF('幕间与结算'!E73="崩溃点",N('幕间与结算'!K73),0)))</f>
        <v>0</v>
      </c>
      <c r="BF274">
        <f>MAX(0,MIN(18,'幕间计算'!BF273+IF('幕间与结算'!E73="力量",N('幕间与结算'!K73),0)))</f>
        <v>0</v>
      </c>
      <c r="BG274">
        <f>MAX(0,MIN(18,'幕间计算'!BG273+IF('幕间与结算'!E73="体质",N('幕间与结算'!K73),0)))</f>
        <v>0</v>
      </c>
      <c r="BH274">
        <f>MAX(0,MIN(18,'幕间计算'!BH273+IF('幕间与结算'!E73="敏捷",N('幕间与结算'!K73),0)))</f>
        <v>0</v>
      </c>
      <c r="BI274">
        <f>MAX(0,MIN(18,'幕间计算'!BI273+IF('幕间与结算'!E73="智力",N('幕间与结算'!K73),0)))</f>
        <v>0</v>
      </c>
      <c r="BJ274">
        <f>MAX(0,MIN(18,'幕间计算'!BJ273+IF('幕间与结算'!E73="意志",N('幕间与结算'!K73),0)))</f>
        <v>0</v>
      </c>
      <c r="BK274">
        <f>MAX(0,MIN(18,'幕间计算'!BK273+IF('幕间与结算'!E73="魅力",N('幕间与结算'!K73),0)))</f>
        <v>0</v>
      </c>
      <c r="BL274">
        <f>MAX(0,MIN(99,'幕间计算'!BL273+IF('幕间与结算'!E73="技能：非自然知识",N('幕间与结算'!K73),0)))</f>
        <v>0</v>
      </c>
    </row>
    <row r="275">
      <c r="A275">
        <f>IFERROR(IF(AND(VALUE('幕间与结算'!B74)&gt;=1,VALUE('幕间与结算'!B74)&lt;=20),VALUE('幕间与结算'!B74),0),0)</f>
        <v>0</v>
      </c>
      <c r="B275">
        <f>IF(AND(A275&gt;0,'幕间与结算'!D74&lt;&gt;"",'幕间与结算'!J74="确认",ISNUMBER('幕间与结算'!K74),OR('幕间与结算'!G74="失败",'幕间与结算'!G74="大失败"),'幕间与结算'!H74="√",LEFT('幕间与结算'!E74,3)="技能：",'幕间与结算'!E74&lt;&gt;"技能：非自然知识",ISNUMBER('幕间与结算'!F74),'幕间与结算'!F74&gt;=1,'幕间与结算'!F74&lt;=99),1,0)</f>
        <v>0</v>
      </c>
      <c r="D275">
        <f>IF(AND('幕间与结算'!J74="确认",ISNUMBER('幕间与结算'!K74),'幕间与结算'!L74&lt;&gt;"",ISNUMBER('幕间与结算'!M74),'幕间与结算'!M74&gt;0,'幕间与结算'!M74&lt;=99),'幕间与结算'!M74,0)</f>
        <v>0</v>
      </c>
      <c r="E275">
        <f>IF(AND(B275=1,COUNTIFS($A$210:A275,A275,$B$210:B275,1,'幕间与结算'!$E$9:E74,'幕间与结算'!E74)=1),66,999999)</f>
        <v>999999</v>
      </c>
      <c r="F275">
        <v>74</v>
      </c>
      <c r="AA275">
        <f>IF($A275=1,$E275,999999)</f>
        <v>999999</v>
      </c>
      <c r="AB275">
        <f>IF($A275=2,$E275,999999)</f>
        <v>999999</v>
      </c>
      <c r="AC275">
        <f>IF($A275=3,$E275,999999)</f>
        <v>999999</v>
      </c>
      <c r="AD275">
        <f>IF($A275=4,$E275,999999)</f>
        <v>999999</v>
      </c>
      <c r="AE275">
        <f>IF($A275=5,$E275,999999)</f>
        <v>999999</v>
      </c>
      <c r="AF275">
        <f>IF($A275=6,$E275,999999)</f>
        <v>999999</v>
      </c>
      <c r="AG275">
        <f>IF($A275=7,$E275,999999)</f>
        <v>999999</v>
      </c>
      <c r="AH275">
        <f>IF($A275=8,$E275,999999)</f>
        <v>999999</v>
      </c>
      <c r="AI275">
        <f>IF($A275=9,$E275,999999)</f>
        <v>999999</v>
      </c>
      <c r="AJ275">
        <f>IF($A275=10,$E275,999999)</f>
        <v>999999</v>
      </c>
      <c r="AK275">
        <f>IF($A275=11,$E275,999999)</f>
        <v>999999</v>
      </c>
      <c r="AL275">
        <f>IF($A275=12,$E275,999999)</f>
        <v>999999</v>
      </c>
      <c r="AM275">
        <f>IF($A275=13,$E275,999999)</f>
        <v>999999</v>
      </c>
      <c r="AN275">
        <f>IF($A275=14,$E275,999999)</f>
        <v>999999</v>
      </c>
      <c r="AO275">
        <f>IF($A275=15,$E275,999999)</f>
        <v>999999</v>
      </c>
      <c r="AP275">
        <f>IF($A275=16,$E275,999999)</f>
        <v>999999</v>
      </c>
      <c r="AQ275">
        <f>IF($A275=17,$E275,999999)</f>
        <v>999999</v>
      </c>
      <c r="AR275">
        <f>IF($A275=18,$E275,999999)</f>
        <v>999999</v>
      </c>
      <c r="AS275">
        <f>IF($A275=19,$E275,999999)</f>
        <v>999999</v>
      </c>
      <c r="AT275">
        <f>IF($A275=20,$E275,999999)</f>
        <v>999999</v>
      </c>
      <c r="BA275">
        <f>MAX(0,MIN(CEILING((BF275+BG275)/2,1),BA274+IF('幕间与结算'!E74="体力",N('幕间与结算'!K74),0)))</f>
        <v>0</v>
      </c>
      <c r="BB275">
        <f>MAX(0,MIN(BJ275,BB274+IF('幕间与结算'!E74="毅力",N('幕间与结算'!K74),0)))</f>
        <v>0</v>
      </c>
      <c r="BC275">
        <f>MAX(0,MIN(99-BL275,BC274+IF('幕间与结算'!E74="理智",N('幕间与结算'!K74),0)))</f>
        <v>0</v>
      </c>
      <c r="BD275">
        <f>MAX(0,MIN(99,BD274+IF('幕间与结算'!E74="崩溃点",N('幕间与结算'!K74),0)))</f>
        <v>0</v>
      </c>
      <c r="BF275">
        <f>MAX(0,MIN(18,'幕间计算'!BF274+IF('幕间与结算'!E74="力量",N('幕间与结算'!K74),0)))</f>
        <v>0</v>
      </c>
      <c r="BG275">
        <f>MAX(0,MIN(18,'幕间计算'!BG274+IF('幕间与结算'!E74="体质",N('幕间与结算'!K74),0)))</f>
        <v>0</v>
      </c>
      <c r="BH275">
        <f>MAX(0,MIN(18,'幕间计算'!BH274+IF('幕间与结算'!E74="敏捷",N('幕间与结算'!K74),0)))</f>
        <v>0</v>
      </c>
      <c r="BI275">
        <f>MAX(0,MIN(18,'幕间计算'!BI274+IF('幕间与结算'!E74="智力",N('幕间与结算'!K74),0)))</f>
        <v>0</v>
      </c>
      <c r="BJ275">
        <f>MAX(0,MIN(18,'幕间计算'!BJ274+IF('幕间与结算'!E74="意志",N('幕间与结算'!K74),0)))</f>
        <v>0</v>
      </c>
      <c r="BK275">
        <f>MAX(0,MIN(18,'幕间计算'!BK274+IF('幕间与结算'!E74="魅力",N('幕间与结算'!K74),0)))</f>
        <v>0</v>
      </c>
      <c r="BL275">
        <f>MAX(0,MIN(99,'幕间计算'!BL274+IF('幕间与结算'!E74="技能：非自然知识",N('幕间与结算'!K74),0)))</f>
        <v>0</v>
      </c>
    </row>
    <row r="276">
      <c r="A276">
        <f>IFERROR(IF(AND(VALUE('幕间与结算'!B75)&gt;=1,VALUE('幕间与结算'!B75)&lt;=20),VALUE('幕间与结算'!B75),0),0)</f>
        <v>0</v>
      </c>
      <c r="B276">
        <f>IF(AND(A276&gt;0,'幕间与结算'!D75&lt;&gt;"",'幕间与结算'!J75="确认",ISNUMBER('幕间与结算'!K75),OR('幕间与结算'!G75="失败",'幕间与结算'!G75="大失败"),'幕间与结算'!H75="√",LEFT('幕间与结算'!E75,3)="技能：",'幕间与结算'!E75&lt;&gt;"技能：非自然知识",ISNUMBER('幕间与结算'!F75),'幕间与结算'!F75&gt;=1,'幕间与结算'!F75&lt;=99),1,0)</f>
        <v>0</v>
      </c>
      <c r="D276">
        <f>IF(AND('幕间与结算'!J75="确认",ISNUMBER('幕间与结算'!K75),'幕间与结算'!L75&lt;&gt;"",ISNUMBER('幕间与结算'!M75),'幕间与结算'!M75&gt;0,'幕间与结算'!M75&lt;=99),'幕间与结算'!M75,0)</f>
        <v>0</v>
      </c>
      <c r="E276">
        <f>IF(AND(B276=1,COUNTIFS($A$210:A276,A276,$B$210:B276,1,'幕间与结算'!$E$9:E75,'幕间与结算'!E75)=1),67,999999)</f>
        <v>999999</v>
      </c>
      <c r="F276">
        <v>75</v>
      </c>
      <c r="AA276">
        <f>IF($A276=1,$E276,999999)</f>
        <v>999999</v>
      </c>
      <c r="AB276">
        <f>IF($A276=2,$E276,999999)</f>
        <v>999999</v>
      </c>
      <c r="AC276">
        <f>IF($A276=3,$E276,999999)</f>
        <v>999999</v>
      </c>
      <c r="AD276">
        <f>IF($A276=4,$E276,999999)</f>
        <v>999999</v>
      </c>
      <c r="AE276">
        <f>IF($A276=5,$E276,999999)</f>
        <v>999999</v>
      </c>
      <c r="AF276">
        <f>IF($A276=6,$E276,999999)</f>
        <v>999999</v>
      </c>
      <c r="AG276">
        <f>IF($A276=7,$E276,999999)</f>
        <v>999999</v>
      </c>
      <c r="AH276">
        <f>IF($A276=8,$E276,999999)</f>
        <v>999999</v>
      </c>
      <c r="AI276">
        <f>IF($A276=9,$E276,999999)</f>
        <v>999999</v>
      </c>
      <c r="AJ276">
        <f>IF($A276=10,$E276,999999)</f>
        <v>999999</v>
      </c>
      <c r="AK276">
        <f>IF($A276=11,$E276,999999)</f>
        <v>999999</v>
      </c>
      <c r="AL276">
        <f>IF($A276=12,$E276,999999)</f>
        <v>999999</v>
      </c>
      <c r="AM276">
        <f>IF($A276=13,$E276,999999)</f>
        <v>999999</v>
      </c>
      <c r="AN276">
        <f>IF($A276=14,$E276,999999)</f>
        <v>999999</v>
      </c>
      <c r="AO276">
        <f>IF($A276=15,$E276,999999)</f>
        <v>999999</v>
      </c>
      <c r="AP276">
        <f>IF($A276=16,$E276,999999)</f>
        <v>999999</v>
      </c>
      <c r="AQ276">
        <f>IF($A276=17,$E276,999999)</f>
        <v>999999</v>
      </c>
      <c r="AR276">
        <f>IF($A276=18,$E276,999999)</f>
        <v>999999</v>
      </c>
      <c r="AS276">
        <f>IF($A276=19,$E276,999999)</f>
        <v>999999</v>
      </c>
      <c r="AT276">
        <f>IF($A276=20,$E276,999999)</f>
        <v>999999</v>
      </c>
      <c r="BA276">
        <f>MAX(0,MIN(CEILING((BF276+BG276)/2,1),BA275+IF('幕间与结算'!E75="体力",N('幕间与结算'!K75),0)))</f>
        <v>0</v>
      </c>
      <c r="BB276">
        <f>MAX(0,MIN(BJ276,BB275+IF('幕间与结算'!E75="毅力",N('幕间与结算'!K75),0)))</f>
        <v>0</v>
      </c>
      <c r="BC276">
        <f>MAX(0,MIN(99-BL276,BC275+IF('幕间与结算'!E75="理智",N('幕间与结算'!K75),0)))</f>
        <v>0</v>
      </c>
      <c r="BD276">
        <f>MAX(0,MIN(99,BD275+IF('幕间与结算'!E75="崩溃点",N('幕间与结算'!K75),0)))</f>
        <v>0</v>
      </c>
      <c r="BF276">
        <f>MAX(0,MIN(18,'幕间计算'!BF275+IF('幕间与结算'!E75="力量",N('幕间与结算'!K75),0)))</f>
        <v>0</v>
      </c>
      <c r="BG276">
        <f>MAX(0,MIN(18,'幕间计算'!BG275+IF('幕间与结算'!E75="体质",N('幕间与结算'!K75),0)))</f>
        <v>0</v>
      </c>
      <c r="BH276">
        <f>MAX(0,MIN(18,'幕间计算'!BH275+IF('幕间与结算'!E75="敏捷",N('幕间与结算'!K75),0)))</f>
        <v>0</v>
      </c>
      <c r="BI276">
        <f>MAX(0,MIN(18,'幕间计算'!BI275+IF('幕间与结算'!E75="智力",N('幕间与结算'!K75),0)))</f>
        <v>0</v>
      </c>
      <c r="BJ276">
        <f>MAX(0,MIN(18,'幕间计算'!BJ275+IF('幕间与结算'!E75="意志",N('幕间与结算'!K75),0)))</f>
        <v>0</v>
      </c>
      <c r="BK276">
        <f>MAX(0,MIN(18,'幕间计算'!BK275+IF('幕间与结算'!E75="魅力",N('幕间与结算'!K75),0)))</f>
        <v>0</v>
      </c>
      <c r="BL276">
        <f>MAX(0,MIN(99,'幕间计算'!BL275+IF('幕间与结算'!E75="技能：非自然知识",N('幕间与结算'!K75),0)))</f>
        <v>0</v>
      </c>
    </row>
    <row r="277">
      <c r="A277">
        <f>IFERROR(IF(AND(VALUE('幕间与结算'!B76)&gt;=1,VALUE('幕间与结算'!B76)&lt;=20),VALUE('幕间与结算'!B76),0),0)</f>
        <v>0</v>
      </c>
      <c r="B277">
        <f>IF(AND(A277&gt;0,'幕间与结算'!D76&lt;&gt;"",'幕间与结算'!J76="确认",ISNUMBER('幕间与结算'!K76),OR('幕间与结算'!G76="失败",'幕间与结算'!G76="大失败"),'幕间与结算'!H76="√",LEFT('幕间与结算'!E76,3)="技能：",'幕间与结算'!E76&lt;&gt;"技能：非自然知识",ISNUMBER('幕间与结算'!F76),'幕间与结算'!F76&gt;=1,'幕间与结算'!F76&lt;=99),1,0)</f>
        <v>0</v>
      </c>
      <c r="D277">
        <f>IF(AND('幕间与结算'!J76="确认",ISNUMBER('幕间与结算'!K76),'幕间与结算'!L76&lt;&gt;"",ISNUMBER('幕间与结算'!M76),'幕间与结算'!M76&gt;0,'幕间与结算'!M76&lt;=99),'幕间与结算'!M76,0)</f>
        <v>0</v>
      </c>
      <c r="E277">
        <f>IF(AND(B277=1,COUNTIFS($A$210:A277,A277,$B$210:B277,1,'幕间与结算'!$E$9:E76,'幕间与结算'!E76)=1),68,999999)</f>
        <v>999999</v>
      </c>
      <c r="F277">
        <v>76</v>
      </c>
      <c r="AA277">
        <f>IF($A277=1,$E277,999999)</f>
        <v>999999</v>
      </c>
      <c r="AB277">
        <f>IF($A277=2,$E277,999999)</f>
        <v>999999</v>
      </c>
      <c r="AC277">
        <f>IF($A277=3,$E277,999999)</f>
        <v>999999</v>
      </c>
      <c r="AD277">
        <f>IF($A277=4,$E277,999999)</f>
        <v>999999</v>
      </c>
      <c r="AE277">
        <f>IF($A277=5,$E277,999999)</f>
        <v>999999</v>
      </c>
      <c r="AF277">
        <f>IF($A277=6,$E277,999999)</f>
        <v>999999</v>
      </c>
      <c r="AG277">
        <f>IF($A277=7,$E277,999999)</f>
        <v>999999</v>
      </c>
      <c r="AH277">
        <f>IF($A277=8,$E277,999999)</f>
        <v>999999</v>
      </c>
      <c r="AI277">
        <f>IF($A277=9,$E277,999999)</f>
        <v>999999</v>
      </c>
      <c r="AJ277">
        <f>IF($A277=10,$E277,999999)</f>
        <v>999999</v>
      </c>
      <c r="AK277">
        <f>IF($A277=11,$E277,999999)</f>
        <v>999999</v>
      </c>
      <c r="AL277">
        <f>IF($A277=12,$E277,999999)</f>
        <v>999999</v>
      </c>
      <c r="AM277">
        <f>IF($A277=13,$E277,999999)</f>
        <v>999999</v>
      </c>
      <c r="AN277">
        <f>IF($A277=14,$E277,999999)</f>
        <v>999999</v>
      </c>
      <c r="AO277">
        <f>IF($A277=15,$E277,999999)</f>
        <v>999999</v>
      </c>
      <c r="AP277">
        <f>IF($A277=16,$E277,999999)</f>
        <v>999999</v>
      </c>
      <c r="AQ277">
        <f>IF($A277=17,$E277,999999)</f>
        <v>999999</v>
      </c>
      <c r="AR277">
        <f>IF($A277=18,$E277,999999)</f>
        <v>999999</v>
      </c>
      <c r="AS277">
        <f>IF($A277=19,$E277,999999)</f>
        <v>999999</v>
      </c>
      <c r="AT277">
        <f>IF($A277=20,$E277,999999)</f>
        <v>999999</v>
      </c>
      <c r="BA277">
        <f>MAX(0,MIN(CEILING((BF277+BG277)/2,1),BA276+IF('幕间与结算'!E76="体力",N('幕间与结算'!K76),0)))</f>
        <v>0</v>
      </c>
      <c r="BB277">
        <f>MAX(0,MIN(BJ277,BB276+IF('幕间与结算'!E76="毅力",N('幕间与结算'!K76),0)))</f>
        <v>0</v>
      </c>
      <c r="BC277">
        <f>MAX(0,MIN(99-BL277,BC276+IF('幕间与结算'!E76="理智",N('幕间与结算'!K76),0)))</f>
        <v>0</v>
      </c>
      <c r="BD277">
        <f>MAX(0,MIN(99,BD276+IF('幕间与结算'!E76="崩溃点",N('幕间与结算'!K76),0)))</f>
        <v>0</v>
      </c>
      <c r="BF277">
        <f>MAX(0,MIN(18,'幕间计算'!BF276+IF('幕间与结算'!E76="力量",N('幕间与结算'!K76),0)))</f>
        <v>0</v>
      </c>
      <c r="BG277">
        <f>MAX(0,MIN(18,'幕间计算'!BG276+IF('幕间与结算'!E76="体质",N('幕间与结算'!K76),0)))</f>
        <v>0</v>
      </c>
      <c r="BH277">
        <f>MAX(0,MIN(18,'幕间计算'!BH276+IF('幕间与结算'!E76="敏捷",N('幕间与结算'!K76),0)))</f>
        <v>0</v>
      </c>
      <c r="BI277">
        <f>MAX(0,MIN(18,'幕间计算'!BI276+IF('幕间与结算'!E76="智力",N('幕间与结算'!K76),0)))</f>
        <v>0</v>
      </c>
      <c r="BJ277">
        <f>MAX(0,MIN(18,'幕间计算'!BJ276+IF('幕间与结算'!E76="意志",N('幕间与结算'!K76),0)))</f>
        <v>0</v>
      </c>
      <c r="BK277">
        <f>MAX(0,MIN(18,'幕间计算'!BK276+IF('幕间与结算'!E76="魅力",N('幕间与结算'!K76),0)))</f>
        <v>0</v>
      </c>
      <c r="BL277">
        <f>MAX(0,MIN(99,'幕间计算'!BL276+IF('幕间与结算'!E76="技能：非自然知识",N('幕间与结算'!K76),0)))</f>
        <v>0</v>
      </c>
    </row>
    <row r="278">
      <c r="A278">
        <f>IFERROR(IF(AND(VALUE('幕间与结算'!B77)&gt;=1,VALUE('幕间与结算'!B77)&lt;=20),VALUE('幕间与结算'!B77),0),0)</f>
        <v>0</v>
      </c>
      <c r="B278">
        <f>IF(AND(A278&gt;0,'幕间与结算'!D77&lt;&gt;"",'幕间与结算'!J77="确认",ISNUMBER('幕间与结算'!K77),OR('幕间与结算'!G77="失败",'幕间与结算'!G77="大失败"),'幕间与结算'!H77="√",LEFT('幕间与结算'!E77,3)="技能：",'幕间与结算'!E77&lt;&gt;"技能：非自然知识",ISNUMBER('幕间与结算'!F77),'幕间与结算'!F77&gt;=1,'幕间与结算'!F77&lt;=99),1,0)</f>
        <v>0</v>
      </c>
      <c r="D278">
        <f>IF(AND('幕间与结算'!J77="确认",ISNUMBER('幕间与结算'!K77),'幕间与结算'!L77&lt;&gt;"",ISNUMBER('幕间与结算'!M77),'幕间与结算'!M77&gt;0,'幕间与结算'!M77&lt;=99),'幕间与结算'!M77,0)</f>
        <v>0</v>
      </c>
      <c r="E278">
        <f>IF(AND(B278=1,COUNTIFS($A$210:A278,A278,$B$210:B278,1,'幕间与结算'!$E$9:E77,'幕间与结算'!E77)=1),69,999999)</f>
        <v>999999</v>
      </c>
      <c r="F278">
        <v>77</v>
      </c>
      <c r="AA278">
        <f>IF($A278=1,$E278,999999)</f>
        <v>999999</v>
      </c>
      <c r="AB278">
        <f>IF($A278=2,$E278,999999)</f>
        <v>999999</v>
      </c>
      <c r="AC278">
        <f>IF($A278=3,$E278,999999)</f>
        <v>999999</v>
      </c>
      <c r="AD278">
        <f>IF($A278=4,$E278,999999)</f>
        <v>999999</v>
      </c>
      <c r="AE278">
        <f>IF($A278=5,$E278,999999)</f>
        <v>999999</v>
      </c>
      <c r="AF278">
        <f>IF($A278=6,$E278,999999)</f>
        <v>999999</v>
      </c>
      <c r="AG278">
        <f>IF($A278=7,$E278,999999)</f>
        <v>999999</v>
      </c>
      <c r="AH278">
        <f>IF($A278=8,$E278,999999)</f>
        <v>999999</v>
      </c>
      <c r="AI278">
        <f>IF($A278=9,$E278,999999)</f>
        <v>999999</v>
      </c>
      <c r="AJ278">
        <f>IF($A278=10,$E278,999999)</f>
        <v>999999</v>
      </c>
      <c r="AK278">
        <f>IF($A278=11,$E278,999999)</f>
        <v>999999</v>
      </c>
      <c r="AL278">
        <f>IF($A278=12,$E278,999999)</f>
        <v>999999</v>
      </c>
      <c r="AM278">
        <f>IF($A278=13,$E278,999999)</f>
        <v>999999</v>
      </c>
      <c r="AN278">
        <f>IF($A278=14,$E278,999999)</f>
        <v>999999</v>
      </c>
      <c r="AO278">
        <f>IF($A278=15,$E278,999999)</f>
        <v>999999</v>
      </c>
      <c r="AP278">
        <f>IF($A278=16,$E278,999999)</f>
        <v>999999</v>
      </c>
      <c r="AQ278">
        <f>IF($A278=17,$E278,999999)</f>
        <v>999999</v>
      </c>
      <c r="AR278">
        <f>IF($A278=18,$E278,999999)</f>
        <v>999999</v>
      </c>
      <c r="AS278">
        <f>IF($A278=19,$E278,999999)</f>
        <v>999999</v>
      </c>
      <c r="AT278">
        <f>IF($A278=20,$E278,999999)</f>
        <v>999999</v>
      </c>
      <c r="BA278">
        <f>MAX(0,MIN(CEILING((BF278+BG278)/2,1),BA277+IF('幕间与结算'!E77="体力",N('幕间与结算'!K77),0)))</f>
        <v>0</v>
      </c>
      <c r="BB278">
        <f>MAX(0,MIN(BJ278,BB277+IF('幕间与结算'!E77="毅力",N('幕间与结算'!K77),0)))</f>
        <v>0</v>
      </c>
      <c r="BC278">
        <f>MAX(0,MIN(99-BL278,BC277+IF('幕间与结算'!E77="理智",N('幕间与结算'!K77),0)))</f>
        <v>0</v>
      </c>
      <c r="BD278">
        <f>MAX(0,MIN(99,BD277+IF('幕间与结算'!E77="崩溃点",N('幕间与结算'!K77),0)))</f>
        <v>0</v>
      </c>
      <c r="BF278">
        <f>MAX(0,MIN(18,'幕间计算'!BF277+IF('幕间与结算'!E77="力量",N('幕间与结算'!K77),0)))</f>
        <v>0</v>
      </c>
      <c r="BG278">
        <f>MAX(0,MIN(18,'幕间计算'!BG277+IF('幕间与结算'!E77="体质",N('幕间与结算'!K77),0)))</f>
        <v>0</v>
      </c>
      <c r="BH278">
        <f>MAX(0,MIN(18,'幕间计算'!BH277+IF('幕间与结算'!E77="敏捷",N('幕间与结算'!K77),0)))</f>
        <v>0</v>
      </c>
      <c r="BI278">
        <f>MAX(0,MIN(18,'幕间计算'!BI277+IF('幕间与结算'!E77="智力",N('幕间与结算'!K77),0)))</f>
        <v>0</v>
      </c>
      <c r="BJ278">
        <f>MAX(0,MIN(18,'幕间计算'!BJ277+IF('幕间与结算'!E77="意志",N('幕间与结算'!K77),0)))</f>
        <v>0</v>
      </c>
      <c r="BK278">
        <f>MAX(0,MIN(18,'幕间计算'!BK277+IF('幕间与结算'!E77="魅力",N('幕间与结算'!K77),0)))</f>
        <v>0</v>
      </c>
      <c r="BL278">
        <f>MAX(0,MIN(99,'幕间计算'!BL277+IF('幕间与结算'!E77="技能：非自然知识",N('幕间与结算'!K77),0)))</f>
        <v>0</v>
      </c>
    </row>
    <row r="279">
      <c r="A279">
        <f>IFERROR(IF(AND(VALUE('幕间与结算'!B78)&gt;=1,VALUE('幕间与结算'!B78)&lt;=20),VALUE('幕间与结算'!B78),0),0)</f>
        <v>0</v>
      </c>
      <c r="B279">
        <f>IF(AND(A279&gt;0,'幕间与结算'!D78&lt;&gt;"",'幕间与结算'!J78="确认",ISNUMBER('幕间与结算'!K78),OR('幕间与结算'!G78="失败",'幕间与结算'!G78="大失败"),'幕间与结算'!H78="√",LEFT('幕间与结算'!E78,3)="技能：",'幕间与结算'!E78&lt;&gt;"技能：非自然知识",ISNUMBER('幕间与结算'!F78),'幕间与结算'!F78&gt;=1,'幕间与结算'!F78&lt;=99),1,0)</f>
        <v>0</v>
      </c>
      <c r="D279">
        <f>IF(AND('幕间与结算'!J78="确认",ISNUMBER('幕间与结算'!K78),'幕间与结算'!L78&lt;&gt;"",ISNUMBER('幕间与结算'!M78),'幕间与结算'!M78&gt;0,'幕间与结算'!M78&lt;=99),'幕间与结算'!M78,0)</f>
        <v>0</v>
      </c>
      <c r="E279">
        <f>IF(AND(B279=1,COUNTIFS($A$210:A279,A279,$B$210:B279,1,'幕间与结算'!$E$9:E78,'幕间与结算'!E78)=1),70,999999)</f>
        <v>999999</v>
      </c>
      <c r="F279">
        <v>78</v>
      </c>
      <c r="AA279">
        <f>IF($A279=1,$E279,999999)</f>
        <v>999999</v>
      </c>
      <c r="AB279">
        <f>IF($A279=2,$E279,999999)</f>
        <v>999999</v>
      </c>
      <c r="AC279">
        <f>IF($A279=3,$E279,999999)</f>
        <v>999999</v>
      </c>
      <c r="AD279">
        <f>IF($A279=4,$E279,999999)</f>
        <v>999999</v>
      </c>
      <c r="AE279">
        <f>IF($A279=5,$E279,999999)</f>
        <v>999999</v>
      </c>
      <c r="AF279">
        <f>IF($A279=6,$E279,999999)</f>
        <v>999999</v>
      </c>
      <c r="AG279">
        <f>IF($A279=7,$E279,999999)</f>
        <v>999999</v>
      </c>
      <c r="AH279">
        <f>IF($A279=8,$E279,999999)</f>
        <v>999999</v>
      </c>
      <c r="AI279">
        <f>IF($A279=9,$E279,999999)</f>
        <v>999999</v>
      </c>
      <c r="AJ279">
        <f>IF($A279=10,$E279,999999)</f>
        <v>999999</v>
      </c>
      <c r="AK279">
        <f>IF($A279=11,$E279,999999)</f>
        <v>999999</v>
      </c>
      <c r="AL279">
        <f>IF($A279=12,$E279,999999)</f>
        <v>999999</v>
      </c>
      <c r="AM279">
        <f>IF($A279=13,$E279,999999)</f>
        <v>999999</v>
      </c>
      <c r="AN279">
        <f>IF($A279=14,$E279,999999)</f>
        <v>999999</v>
      </c>
      <c r="AO279">
        <f>IF($A279=15,$E279,999999)</f>
        <v>999999</v>
      </c>
      <c r="AP279">
        <f>IF($A279=16,$E279,999999)</f>
        <v>999999</v>
      </c>
      <c r="AQ279">
        <f>IF($A279=17,$E279,999999)</f>
        <v>999999</v>
      </c>
      <c r="AR279">
        <f>IF($A279=18,$E279,999999)</f>
        <v>999999</v>
      </c>
      <c r="AS279">
        <f>IF($A279=19,$E279,999999)</f>
        <v>999999</v>
      </c>
      <c r="AT279">
        <f>IF($A279=20,$E279,999999)</f>
        <v>999999</v>
      </c>
      <c r="BA279">
        <f>MAX(0,MIN(CEILING((BF279+BG279)/2,1),BA278+IF('幕间与结算'!E78="体力",N('幕间与结算'!K78),0)))</f>
        <v>0</v>
      </c>
      <c r="BB279">
        <f>MAX(0,MIN(BJ279,BB278+IF('幕间与结算'!E78="毅力",N('幕间与结算'!K78),0)))</f>
        <v>0</v>
      </c>
      <c r="BC279">
        <f>MAX(0,MIN(99-BL279,BC278+IF('幕间与结算'!E78="理智",N('幕间与结算'!K78),0)))</f>
        <v>0</v>
      </c>
      <c r="BD279">
        <f>MAX(0,MIN(99,BD278+IF('幕间与结算'!E78="崩溃点",N('幕间与结算'!K78),0)))</f>
        <v>0</v>
      </c>
      <c r="BF279">
        <f>MAX(0,MIN(18,'幕间计算'!BF278+IF('幕间与结算'!E78="力量",N('幕间与结算'!K78),0)))</f>
        <v>0</v>
      </c>
      <c r="BG279">
        <f>MAX(0,MIN(18,'幕间计算'!BG278+IF('幕间与结算'!E78="体质",N('幕间与结算'!K78),0)))</f>
        <v>0</v>
      </c>
      <c r="BH279">
        <f>MAX(0,MIN(18,'幕间计算'!BH278+IF('幕间与结算'!E78="敏捷",N('幕间与结算'!K78),0)))</f>
        <v>0</v>
      </c>
      <c r="BI279">
        <f>MAX(0,MIN(18,'幕间计算'!BI278+IF('幕间与结算'!E78="智力",N('幕间与结算'!K78),0)))</f>
        <v>0</v>
      </c>
      <c r="BJ279">
        <f>MAX(0,MIN(18,'幕间计算'!BJ278+IF('幕间与结算'!E78="意志",N('幕间与结算'!K78),0)))</f>
        <v>0</v>
      </c>
      <c r="BK279">
        <f>MAX(0,MIN(18,'幕间计算'!BK278+IF('幕间与结算'!E78="魅力",N('幕间与结算'!K78),0)))</f>
        <v>0</v>
      </c>
      <c r="BL279">
        <f>MAX(0,MIN(99,'幕间计算'!BL278+IF('幕间与结算'!E78="技能：非自然知识",N('幕间与结算'!K78),0)))</f>
        <v>0</v>
      </c>
    </row>
    <row r="280">
      <c r="A280">
        <f>IFERROR(IF(AND(VALUE('幕间与结算'!B79)&gt;=1,VALUE('幕间与结算'!B79)&lt;=20),VALUE('幕间与结算'!B79),0),0)</f>
        <v>0</v>
      </c>
      <c r="B280">
        <f>IF(AND(A280&gt;0,'幕间与结算'!D79&lt;&gt;"",'幕间与结算'!J79="确认",ISNUMBER('幕间与结算'!K79),OR('幕间与结算'!G79="失败",'幕间与结算'!G79="大失败"),'幕间与结算'!H79="√",LEFT('幕间与结算'!E79,3)="技能：",'幕间与结算'!E79&lt;&gt;"技能：非自然知识",ISNUMBER('幕间与结算'!F79),'幕间与结算'!F79&gt;=1,'幕间与结算'!F79&lt;=99),1,0)</f>
        <v>0</v>
      </c>
      <c r="D280">
        <f>IF(AND('幕间与结算'!J79="确认",ISNUMBER('幕间与结算'!K79),'幕间与结算'!L79&lt;&gt;"",ISNUMBER('幕间与结算'!M79),'幕间与结算'!M79&gt;0,'幕间与结算'!M79&lt;=99),'幕间与结算'!M79,0)</f>
        <v>0</v>
      </c>
      <c r="E280">
        <f>IF(AND(B280=1,COUNTIFS($A$210:A280,A280,$B$210:B280,1,'幕间与结算'!$E$9:E79,'幕间与结算'!E79)=1),71,999999)</f>
        <v>999999</v>
      </c>
      <c r="F280">
        <v>79</v>
      </c>
      <c r="AA280">
        <f>IF($A280=1,$E280,999999)</f>
        <v>999999</v>
      </c>
      <c r="AB280">
        <f>IF($A280=2,$E280,999999)</f>
        <v>999999</v>
      </c>
      <c r="AC280">
        <f>IF($A280=3,$E280,999999)</f>
        <v>999999</v>
      </c>
      <c r="AD280">
        <f>IF($A280=4,$E280,999999)</f>
        <v>999999</v>
      </c>
      <c r="AE280">
        <f>IF($A280=5,$E280,999999)</f>
        <v>999999</v>
      </c>
      <c r="AF280">
        <f>IF($A280=6,$E280,999999)</f>
        <v>999999</v>
      </c>
      <c r="AG280">
        <f>IF($A280=7,$E280,999999)</f>
        <v>999999</v>
      </c>
      <c r="AH280">
        <f>IF($A280=8,$E280,999999)</f>
        <v>999999</v>
      </c>
      <c r="AI280">
        <f>IF($A280=9,$E280,999999)</f>
        <v>999999</v>
      </c>
      <c r="AJ280">
        <f>IF($A280=10,$E280,999999)</f>
        <v>999999</v>
      </c>
      <c r="AK280">
        <f>IF($A280=11,$E280,999999)</f>
        <v>999999</v>
      </c>
      <c r="AL280">
        <f>IF($A280=12,$E280,999999)</f>
        <v>999999</v>
      </c>
      <c r="AM280">
        <f>IF($A280=13,$E280,999999)</f>
        <v>999999</v>
      </c>
      <c r="AN280">
        <f>IF($A280=14,$E280,999999)</f>
        <v>999999</v>
      </c>
      <c r="AO280">
        <f>IF($A280=15,$E280,999999)</f>
        <v>999999</v>
      </c>
      <c r="AP280">
        <f>IF($A280=16,$E280,999999)</f>
        <v>999999</v>
      </c>
      <c r="AQ280">
        <f>IF($A280=17,$E280,999999)</f>
        <v>999999</v>
      </c>
      <c r="AR280">
        <f>IF($A280=18,$E280,999999)</f>
        <v>999999</v>
      </c>
      <c r="AS280">
        <f>IF($A280=19,$E280,999999)</f>
        <v>999999</v>
      </c>
      <c r="AT280">
        <f>IF($A280=20,$E280,999999)</f>
        <v>999999</v>
      </c>
      <c r="BA280">
        <f>MAX(0,MIN(CEILING((BF280+BG280)/2,1),BA279+IF('幕间与结算'!E79="体力",N('幕间与结算'!K79),0)))</f>
        <v>0</v>
      </c>
      <c r="BB280">
        <f>MAX(0,MIN(BJ280,BB279+IF('幕间与结算'!E79="毅力",N('幕间与结算'!K79),0)))</f>
        <v>0</v>
      </c>
      <c r="BC280">
        <f>MAX(0,MIN(99-BL280,BC279+IF('幕间与结算'!E79="理智",N('幕间与结算'!K79),0)))</f>
        <v>0</v>
      </c>
      <c r="BD280">
        <f>MAX(0,MIN(99,BD279+IF('幕间与结算'!E79="崩溃点",N('幕间与结算'!K79),0)))</f>
        <v>0</v>
      </c>
      <c r="BF280">
        <f>MAX(0,MIN(18,'幕间计算'!BF279+IF('幕间与结算'!E79="力量",N('幕间与结算'!K79),0)))</f>
        <v>0</v>
      </c>
      <c r="BG280">
        <f>MAX(0,MIN(18,'幕间计算'!BG279+IF('幕间与结算'!E79="体质",N('幕间与结算'!K79),0)))</f>
        <v>0</v>
      </c>
      <c r="BH280">
        <f>MAX(0,MIN(18,'幕间计算'!BH279+IF('幕间与结算'!E79="敏捷",N('幕间与结算'!K79),0)))</f>
        <v>0</v>
      </c>
      <c r="BI280">
        <f>MAX(0,MIN(18,'幕间计算'!BI279+IF('幕间与结算'!E79="智力",N('幕间与结算'!K79),0)))</f>
        <v>0</v>
      </c>
      <c r="BJ280">
        <f>MAX(0,MIN(18,'幕间计算'!BJ279+IF('幕间与结算'!E79="意志",N('幕间与结算'!K79),0)))</f>
        <v>0</v>
      </c>
      <c r="BK280">
        <f>MAX(0,MIN(18,'幕间计算'!BK279+IF('幕间与结算'!E79="魅力",N('幕间与结算'!K79),0)))</f>
        <v>0</v>
      </c>
      <c r="BL280">
        <f>MAX(0,MIN(99,'幕间计算'!BL279+IF('幕间与结算'!E79="技能：非自然知识",N('幕间与结算'!K79),0)))</f>
        <v>0</v>
      </c>
    </row>
    <row r="281">
      <c r="A281">
        <f>IFERROR(IF(AND(VALUE('幕间与结算'!B80)&gt;=1,VALUE('幕间与结算'!B80)&lt;=20),VALUE('幕间与结算'!B80),0),0)</f>
        <v>0</v>
      </c>
      <c r="B281">
        <f>IF(AND(A281&gt;0,'幕间与结算'!D80&lt;&gt;"",'幕间与结算'!J80="确认",ISNUMBER('幕间与结算'!K80),OR('幕间与结算'!G80="失败",'幕间与结算'!G80="大失败"),'幕间与结算'!H80="√",LEFT('幕间与结算'!E80,3)="技能：",'幕间与结算'!E80&lt;&gt;"技能：非自然知识",ISNUMBER('幕间与结算'!F80),'幕间与结算'!F80&gt;=1,'幕间与结算'!F80&lt;=99),1,0)</f>
        <v>0</v>
      </c>
      <c r="D281">
        <f>IF(AND('幕间与结算'!J80="确认",ISNUMBER('幕间与结算'!K80),'幕间与结算'!L80&lt;&gt;"",ISNUMBER('幕间与结算'!M80),'幕间与结算'!M80&gt;0,'幕间与结算'!M80&lt;=99),'幕间与结算'!M80,0)</f>
        <v>0</v>
      </c>
      <c r="E281">
        <f>IF(AND(B281=1,COUNTIFS($A$210:A281,A281,$B$210:B281,1,'幕间与结算'!$E$9:E80,'幕间与结算'!E80)=1),72,999999)</f>
        <v>999999</v>
      </c>
      <c r="F281">
        <v>80</v>
      </c>
      <c r="AA281">
        <f>IF($A281=1,$E281,999999)</f>
        <v>999999</v>
      </c>
      <c r="AB281">
        <f>IF($A281=2,$E281,999999)</f>
        <v>999999</v>
      </c>
      <c r="AC281">
        <f>IF($A281=3,$E281,999999)</f>
        <v>999999</v>
      </c>
      <c r="AD281">
        <f>IF($A281=4,$E281,999999)</f>
        <v>999999</v>
      </c>
      <c r="AE281">
        <f>IF($A281=5,$E281,999999)</f>
        <v>999999</v>
      </c>
      <c r="AF281">
        <f>IF($A281=6,$E281,999999)</f>
        <v>999999</v>
      </c>
      <c r="AG281">
        <f>IF($A281=7,$E281,999999)</f>
        <v>999999</v>
      </c>
      <c r="AH281">
        <f>IF($A281=8,$E281,999999)</f>
        <v>999999</v>
      </c>
      <c r="AI281">
        <f>IF($A281=9,$E281,999999)</f>
        <v>999999</v>
      </c>
      <c r="AJ281">
        <f>IF($A281=10,$E281,999999)</f>
        <v>999999</v>
      </c>
      <c r="AK281">
        <f>IF($A281=11,$E281,999999)</f>
        <v>999999</v>
      </c>
      <c r="AL281">
        <f>IF($A281=12,$E281,999999)</f>
        <v>999999</v>
      </c>
      <c r="AM281">
        <f>IF($A281=13,$E281,999999)</f>
        <v>999999</v>
      </c>
      <c r="AN281">
        <f>IF($A281=14,$E281,999999)</f>
        <v>999999</v>
      </c>
      <c r="AO281">
        <f>IF($A281=15,$E281,999999)</f>
        <v>999999</v>
      </c>
      <c r="AP281">
        <f>IF($A281=16,$E281,999999)</f>
        <v>999999</v>
      </c>
      <c r="AQ281">
        <f>IF($A281=17,$E281,999999)</f>
        <v>999999</v>
      </c>
      <c r="AR281">
        <f>IF($A281=18,$E281,999999)</f>
        <v>999999</v>
      </c>
      <c r="AS281">
        <f>IF($A281=19,$E281,999999)</f>
        <v>999999</v>
      </c>
      <c r="AT281">
        <f>IF($A281=20,$E281,999999)</f>
        <v>999999</v>
      </c>
      <c r="BA281">
        <f>MAX(0,MIN(CEILING((BF281+BG281)/2,1),BA280+IF('幕间与结算'!E80="体力",N('幕间与结算'!K80),0)))</f>
        <v>0</v>
      </c>
      <c r="BB281">
        <f>MAX(0,MIN(BJ281,BB280+IF('幕间与结算'!E80="毅力",N('幕间与结算'!K80),0)))</f>
        <v>0</v>
      </c>
      <c r="BC281">
        <f>MAX(0,MIN(99-BL281,BC280+IF('幕间与结算'!E80="理智",N('幕间与结算'!K80),0)))</f>
        <v>0</v>
      </c>
      <c r="BD281">
        <f>MAX(0,MIN(99,BD280+IF('幕间与结算'!E80="崩溃点",N('幕间与结算'!K80),0)))</f>
        <v>0</v>
      </c>
      <c r="BF281">
        <f>MAX(0,MIN(18,'幕间计算'!BF280+IF('幕间与结算'!E80="力量",N('幕间与结算'!K80),0)))</f>
        <v>0</v>
      </c>
      <c r="BG281">
        <f>MAX(0,MIN(18,'幕间计算'!BG280+IF('幕间与结算'!E80="体质",N('幕间与结算'!K80),0)))</f>
        <v>0</v>
      </c>
      <c r="BH281">
        <f>MAX(0,MIN(18,'幕间计算'!BH280+IF('幕间与结算'!E80="敏捷",N('幕间与结算'!K80),0)))</f>
        <v>0</v>
      </c>
      <c r="BI281">
        <f>MAX(0,MIN(18,'幕间计算'!BI280+IF('幕间与结算'!E80="智力",N('幕间与结算'!K80),0)))</f>
        <v>0</v>
      </c>
      <c r="BJ281">
        <f>MAX(0,MIN(18,'幕间计算'!BJ280+IF('幕间与结算'!E80="意志",N('幕间与结算'!K80),0)))</f>
        <v>0</v>
      </c>
      <c r="BK281">
        <f>MAX(0,MIN(18,'幕间计算'!BK280+IF('幕间与结算'!E80="魅力",N('幕间与结算'!K80),0)))</f>
        <v>0</v>
      </c>
      <c r="BL281">
        <f>MAX(0,MIN(99,'幕间计算'!BL280+IF('幕间与结算'!E80="技能：非自然知识",N('幕间与结算'!K80),0)))</f>
        <v>0</v>
      </c>
    </row>
    <row r="282">
      <c r="A282">
        <f>IFERROR(IF(AND(VALUE('幕间与结算'!B81)&gt;=1,VALUE('幕间与结算'!B81)&lt;=20),VALUE('幕间与结算'!B81),0),0)</f>
        <v>0</v>
      </c>
      <c r="B282">
        <f>IF(AND(A282&gt;0,'幕间与结算'!D81&lt;&gt;"",'幕间与结算'!J81="确认",ISNUMBER('幕间与结算'!K81),OR('幕间与结算'!G81="失败",'幕间与结算'!G81="大失败"),'幕间与结算'!H81="√",LEFT('幕间与结算'!E81,3)="技能：",'幕间与结算'!E81&lt;&gt;"技能：非自然知识",ISNUMBER('幕间与结算'!F81),'幕间与结算'!F81&gt;=1,'幕间与结算'!F81&lt;=99),1,0)</f>
        <v>0</v>
      </c>
      <c r="D282">
        <f>IF(AND('幕间与结算'!J81="确认",ISNUMBER('幕间与结算'!K81),'幕间与结算'!L81&lt;&gt;"",ISNUMBER('幕间与结算'!M81),'幕间与结算'!M81&gt;0,'幕间与结算'!M81&lt;=99),'幕间与结算'!M81,0)</f>
        <v>0</v>
      </c>
      <c r="E282">
        <f>IF(AND(B282=1,COUNTIFS($A$210:A282,A282,$B$210:B282,1,'幕间与结算'!$E$9:E81,'幕间与结算'!E81)=1),73,999999)</f>
        <v>999999</v>
      </c>
      <c r="F282">
        <v>81</v>
      </c>
      <c r="AA282">
        <f>IF($A282=1,$E282,999999)</f>
        <v>999999</v>
      </c>
      <c r="AB282">
        <f>IF($A282=2,$E282,999999)</f>
        <v>999999</v>
      </c>
      <c r="AC282">
        <f>IF($A282=3,$E282,999999)</f>
        <v>999999</v>
      </c>
      <c r="AD282">
        <f>IF($A282=4,$E282,999999)</f>
        <v>999999</v>
      </c>
      <c r="AE282">
        <f>IF($A282=5,$E282,999999)</f>
        <v>999999</v>
      </c>
      <c r="AF282">
        <f>IF($A282=6,$E282,999999)</f>
        <v>999999</v>
      </c>
      <c r="AG282">
        <f>IF($A282=7,$E282,999999)</f>
        <v>999999</v>
      </c>
      <c r="AH282">
        <f>IF($A282=8,$E282,999999)</f>
        <v>999999</v>
      </c>
      <c r="AI282">
        <f>IF($A282=9,$E282,999999)</f>
        <v>999999</v>
      </c>
      <c r="AJ282">
        <f>IF($A282=10,$E282,999999)</f>
        <v>999999</v>
      </c>
      <c r="AK282">
        <f>IF($A282=11,$E282,999999)</f>
        <v>999999</v>
      </c>
      <c r="AL282">
        <f>IF($A282=12,$E282,999999)</f>
        <v>999999</v>
      </c>
      <c r="AM282">
        <f>IF($A282=13,$E282,999999)</f>
        <v>999999</v>
      </c>
      <c r="AN282">
        <f>IF($A282=14,$E282,999999)</f>
        <v>999999</v>
      </c>
      <c r="AO282">
        <f>IF($A282=15,$E282,999999)</f>
        <v>999999</v>
      </c>
      <c r="AP282">
        <f>IF($A282=16,$E282,999999)</f>
        <v>999999</v>
      </c>
      <c r="AQ282">
        <f>IF($A282=17,$E282,999999)</f>
        <v>999999</v>
      </c>
      <c r="AR282">
        <f>IF($A282=18,$E282,999999)</f>
        <v>999999</v>
      </c>
      <c r="AS282">
        <f>IF($A282=19,$E282,999999)</f>
        <v>999999</v>
      </c>
      <c r="AT282">
        <f>IF($A282=20,$E282,999999)</f>
        <v>999999</v>
      </c>
      <c r="BA282">
        <f>MAX(0,MIN(CEILING((BF282+BG282)/2,1),BA281+IF('幕间与结算'!E81="体力",N('幕间与结算'!K81),0)))</f>
        <v>0</v>
      </c>
      <c r="BB282">
        <f>MAX(0,MIN(BJ282,BB281+IF('幕间与结算'!E81="毅力",N('幕间与结算'!K81),0)))</f>
        <v>0</v>
      </c>
      <c r="BC282">
        <f>MAX(0,MIN(99-BL282,BC281+IF('幕间与结算'!E81="理智",N('幕间与结算'!K81),0)))</f>
        <v>0</v>
      </c>
      <c r="BD282">
        <f>MAX(0,MIN(99,BD281+IF('幕间与结算'!E81="崩溃点",N('幕间与结算'!K81),0)))</f>
        <v>0</v>
      </c>
      <c r="BF282">
        <f>MAX(0,MIN(18,'幕间计算'!BF281+IF('幕间与结算'!E81="力量",N('幕间与结算'!K81),0)))</f>
        <v>0</v>
      </c>
      <c r="BG282">
        <f>MAX(0,MIN(18,'幕间计算'!BG281+IF('幕间与结算'!E81="体质",N('幕间与结算'!K81),0)))</f>
        <v>0</v>
      </c>
      <c r="BH282">
        <f>MAX(0,MIN(18,'幕间计算'!BH281+IF('幕间与结算'!E81="敏捷",N('幕间与结算'!K81),0)))</f>
        <v>0</v>
      </c>
      <c r="BI282">
        <f>MAX(0,MIN(18,'幕间计算'!BI281+IF('幕间与结算'!E81="智力",N('幕间与结算'!K81),0)))</f>
        <v>0</v>
      </c>
      <c r="BJ282">
        <f>MAX(0,MIN(18,'幕间计算'!BJ281+IF('幕间与结算'!E81="意志",N('幕间与结算'!K81),0)))</f>
        <v>0</v>
      </c>
      <c r="BK282">
        <f>MAX(0,MIN(18,'幕间计算'!BK281+IF('幕间与结算'!E81="魅力",N('幕间与结算'!K81),0)))</f>
        <v>0</v>
      </c>
      <c r="BL282">
        <f>MAX(0,MIN(99,'幕间计算'!BL281+IF('幕间与结算'!E81="技能：非自然知识",N('幕间与结算'!K81),0)))</f>
        <v>0</v>
      </c>
    </row>
    <row r="283">
      <c r="A283">
        <f>IFERROR(IF(AND(VALUE('幕间与结算'!B82)&gt;=1,VALUE('幕间与结算'!B82)&lt;=20),VALUE('幕间与结算'!B82),0),0)</f>
        <v>0</v>
      </c>
      <c r="B283">
        <f>IF(AND(A283&gt;0,'幕间与结算'!D82&lt;&gt;"",'幕间与结算'!J82="确认",ISNUMBER('幕间与结算'!K82),OR('幕间与结算'!G82="失败",'幕间与结算'!G82="大失败"),'幕间与结算'!H82="√",LEFT('幕间与结算'!E82,3)="技能：",'幕间与结算'!E82&lt;&gt;"技能：非自然知识",ISNUMBER('幕间与结算'!F82),'幕间与结算'!F82&gt;=1,'幕间与结算'!F82&lt;=99),1,0)</f>
        <v>0</v>
      </c>
      <c r="D283">
        <f>IF(AND('幕间与结算'!J82="确认",ISNUMBER('幕间与结算'!K82),'幕间与结算'!L82&lt;&gt;"",ISNUMBER('幕间与结算'!M82),'幕间与结算'!M82&gt;0,'幕间与结算'!M82&lt;=99),'幕间与结算'!M82,0)</f>
        <v>0</v>
      </c>
      <c r="E283">
        <f>IF(AND(B283=1,COUNTIFS($A$210:A283,A283,$B$210:B283,1,'幕间与结算'!$E$9:E82,'幕间与结算'!E82)=1),74,999999)</f>
        <v>999999</v>
      </c>
      <c r="F283">
        <v>82</v>
      </c>
      <c r="AA283">
        <f>IF($A283=1,$E283,999999)</f>
        <v>999999</v>
      </c>
      <c r="AB283">
        <f>IF($A283=2,$E283,999999)</f>
        <v>999999</v>
      </c>
      <c r="AC283">
        <f>IF($A283=3,$E283,999999)</f>
        <v>999999</v>
      </c>
      <c r="AD283">
        <f>IF($A283=4,$E283,999999)</f>
        <v>999999</v>
      </c>
      <c r="AE283">
        <f>IF($A283=5,$E283,999999)</f>
        <v>999999</v>
      </c>
      <c r="AF283">
        <f>IF($A283=6,$E283,999999)</f>
        <v>999999</v>
      </c>
      <c r="AG283">
        <f>IF($A283=7,$E283,999999)</f>
        <v>999999</v>
      </c>
      <c r="AH283">
        <f>IF($A283=8,$E283,999999)</f>
        <v>999999</v>
      </c>
      <c r="AI283">
        <f>IF($A283=9,$E283,999999)</f>
        <v>999999</v>
      </c>
      <c r="AJ283">
        <f>IF($A283=10,$E283,999999)</f>
        <v>999999</v>
      </c>
      <c r="AK283">
        <f>IF($A283=11,$E283,999999)</f>
        <v>999999</v>
      </c>
      <c r="AL283">
        <f>IF($A283=12,$E283,999999)</f>
        <v>999999</v>
      </c>
      <c r="AM283">
        <f>IF($A283=13,$E283,999999)</f>
        <v>999999</v>
      </c>
      <c r="AN283">
        <f>IF($A283=14,$E283,999999)</f>
        <v>999999</v>
      </c>
      <c r="AO283">
        <f>IF($A283=15,$E283,999999)</f>
        <v>999999</v>
      </c>
      <c r="AP283">
        <f>IF($A283=16,$E283,999999)</f>
        <v>999999</v>
      </c>
      <c r="AQ283">
        <f>IF($A283=17,$E283,999999)</f>
        <v>999999</v>
      </c>
      <c r="AR283">
        <f>IF($A283=18,$E283,999999)</f>
        <v>999999</v>
      </c>
      <c r="AS283">
        <f>IF($A283=19,$E283,999999)</f>
        <v>999999</v>
      </c>
      <c r="AT283">
        <f>IF($A283=20,$E283,999999)</f>
        <v>999999</v>
      </c>
      <c r="BA283">
        <f>MAX(0,MIN(CEILING((BF283+BG283)/2,1),BA282+IF('幕间与结算'!E82="体力",N('幕间与结算'!K82),0)))</f>
        <v>0</v>
      </c>
      <c r="BB283">
        <f>MAX(0,MIN(BJ283,BB282+IF('幕间与结算'!E82="毅力",N('幕间与结算'!K82),0)))</f>
        <v>0</v>
      </c>
      <c r="BC283">
        <f>MAX(0,MIN(99-BL283,BC282+IF('幕间与结算'!E82="理智",N('幕间与结算'!K82),0)))</f>
        <v>0</v>
      </c>
      <c r="BD283">
        <f>MAX(0,MIN(99,BD282+IF('幕间与结算'!E82="崩溃点",N('幕间与结算'!K82),0)))</f>
        <v>0</v>
      </c>
      <c r="BF283">
        <f>MAX(0,MIN(18,'幕间计算'!BF282+IF('幕间与结算'!E82="力量",N('幕间与结算'!K82),0)))</f>
        <v>0</v>
      </c>
      <c r="BG283">
        <f>MAX(0,MIN(18,'幕间计算'!BG282+IF('幕间与结算'!E82="体质",N('幕间与结算'!K82),0)))</f>
        <v>0</v>
      </c>
      <c r="BH283">
        <f>MAX(0,MIN(18,'幕间计算'!BH282+IF('幕间与结算'!E82="敏捷",N('幕间与结算'!K82),0)))</f>
        <v>0</v>
      </c>
      <c r="BI283">
        <f>MAX(0,MIN(18,'幕间计算'!BI282+IF('幕间与结算'!E82="智力",N('幕间与结算'!K82),0)))</f>
        <v>0</v>
      </c>
      <c r="BJ283">
        <f>MAX(0,MIN(18,'幕间计算'!BJ282+IF('幕间与结算'!E82="意志",N('幕间与结算'!K82),0)))</f>
        <v>0</v>
      </c>
      <c r="BK283">
        <f>MAX(0,MIN(18,'幕间计算'!BK282+IF('幕间与结算'!E82="魅力",N('幕间与结算'!K82),0)))</f>
        <v>0</v>
      </c>
      <c r="BL283">
        <f>MAX(0,MIN(99,'幕间计算'!BL282+IF('幕间与结算'!E82="技能：非自然知识",N('幕间与结算'!K82),0)))</f>
        <v>0</v>
      </c>
    </row>
    <row r="284">
      <c r="A284">
        <f>IFERROR(IF(AND(VALUE('幕间与结算'!B83)&gt;=1,VALUE('幕间与结算'!B83)&lt;=20),VALUE('幕间与结算'!B83),0),0)</f>
        <v>0</v>
      </c>
      <c r="B284">
        <f>IF(AND(A284&gt;0,'幕间与结算'!D83&lt;&gt;"",'幕间与结算'!J83="确认",ISNUMBER('幕间与结算'!K83),OR('幕间与结算'!G83="失败",'幕间与结算'!G83="大失败"),'幕间与结算'!H83="√",LEFT('幕间与结算'!E83,3)="技能：",'幕间与结算'!E83&lt;&gt;"技能：非自然知识",ISNUMBER('幕间与结算'!F83),'幕间与结算'!F83&gt;=1,'幕间与结算'!F83&lt;=99),1,0)</f>
        <v>0</v>
      </c>
      <c r="D284">
        <f>IF(AND('幕间与结算'!J83="确认",ISNUMBER('幕间与结算'!K83),'幕间与结算'!L83&lt;&gt;"",ISNUMBER('幕间与结算'!M83),'幕间与结算'!M83&gt;0,'幕间与结算'!M83&lt;=99),'幕间与结算'!M83,0)</f>
        <v>0</v>
      </c>
      <c r="E284">
        <f>IF(AND(B284=1,COUNTIFS($A$210:A284,A284,$B$210:B284,1,'幕间与结算'!$E$9:E83,'幕间与结算'!E83)=1),75,999999)</f>
        <v>999999</v>
      </c>
      <c r="F284">
        <v>83</v>
      </c>
      <c r="AA284">
        <f>IF($A284=1,$E284,999999)</f>
        <v>999999</v>
      </c>
      <c r="AB284">
        <f>IF($A284=2,$E284,999999)</f>
        <v>999999</v>
      </c>
      <c r="AC284">
        <f>IF($A284=3,$E284,999999)</f>
        <v>999999</v>
      </c>
      <c r="AD284">
        <f>IF($A284=4,$E284,999999)</f>
        <v>999999</v>
      </c>
      <c r="AE284">
        <f>IF($A284=5,$E284,999999)</f>
        <v>999999</v>
      </c>
      <c r="AF284">
        <f>IF($A284=6,$E284,999999)</f>
        <v>999999</v>
      </c>
      <c r="AG284">
        <f>IF($A284=7,$E284,999999)</f>
        <v>999999</v>
      </c>
      <c r="AH284">
        <f>IF($A284=8,$E284,999999)</f>
        <v>999999</v>
      </c>
      <c r="AI284">
        <f>IF($A284=9,$E284,999999)</f>
        <v>999999</v>
      </c>
      <c r="AJ284">
        <f>IF($A284=10,$E284,999999)</f>
        <v>999999</v>
      </c>
      <c r="AK284">
        <f>IF($A284=11,$E284,999999)</f>
        <v>999999</v>
      </c>
      <c r="AL284">
        <f>IF($A284=12,$E284,999999)</f>
        <v>999999</v>
      </c>
      <c r="AM284">
        <f>IF($A284=13,$E284,999999)</f>
        <v>999999</v>
      </c>
      <c r="AN284">
        <f>IF($A284=14,$E284,999999)</f>
        <v>999999</v>
      </c>
      <c r="AO284">
        <f>IF($A284=15,$E284,999999)</f>
        <v>999999</v>
      </c>
      <c r="AP284">
        <f>IF($A284=16,$E284,999999)</f>
        <v>999999</v>
      </c>
      <c r="AQ284">
        <f>IF($A284=17,$E284,999999)</f>
        <v>999999</v>
      </c>
      <c r="AR284">
        <f>IF($A284=18,$E284,999999)</f>
        <v>999999</v>
      </c>
      <c r="AS284">
        <f>IF($A284=19,$E284,999999)</f>
        <v>999999</v>
      </c>
      <c r="AT284">
        <f>IF($A284=20,$E284,999999)</f>
        <v>999999</v>
      </c>
      <c r="BA284">
        <f>MAX(0,MIN(CEILING((BF284+BG284)/2,1),BA283+IF('幕间与结算'!E83="体力",N('幕间与结算'!K83),0)))</f>
        <v>0</v>
      </c>
      <c r="BB284">
        <f>MAX(0,MIN(BJ284,BB283+IF('幕间与结算'!E83="毅力",N('幕间与结算'!K83),0)))</f>
        <v>0</v>
      </c>
      <c r="BC284">
        <f>MAX(0,MIN(99-BL284,BC283+IF('幕间与结算'!E83="理智",N('幕间与结算'!K83),0)))</f>
        <v>0</v>
      </c>
      <c r="BD284">
        <f>MAX(0,MIN(99,BD283+IF('幕间与结算'!E83="崩溃点",N('幕间与结算'!K83),0)))</f>
        <v>0</v>
      </c>
      <c r="BF284">
        <f>MAX(0,MIN(18,'幕间计算'!BF283+IF('幕间与结算'!E83="力量",N('幕间与结算'!K83),0)))</f>
        <v>0</v>
      </c>
      <c r="BG284">
        <f>MAX(0,MIN(18,'幕间计算'!BG283+IF('幕间与结算'!E83="体质",N('幕间与结算'!K83),0)))</f>
        <v>0</v>
      </c>
      <c r="BH284">
        <f>MAX(0,MIN(18,'幕间计算'!BH283+IF('幕间与结算'!E83="敏捷",N('幕间与结算'!K83),0)))</f>
        <v>0</v>
      </c>
      <c r="BI284">
        <f>MAX(0,MIN(18,'幕间计算'!BI283+IF('幕间与结算'!E83="智力",N('幕间与结算'!K83),0)))</f>
        <v>0</v>
      </c>
      <c r="BJ284">
        <f>MAX(0,MIN(18,'幕间计算'!BJ283+IF('幕间与结算'!E83="意志",N('幕间与结算'!K83),0)))</f>
        <v>0</v>
      </c>
      <c r="BK284">
        <f>MAX(0,MIN(18,'幕间计算'!BK283+IF('幕间与结算'!E83="魅力",N('幕间与结算'!K83),0)))</f>
        <v>0</v>
      </c>
      <c r="BL284">
        <f>MAX(0,MIN(99,'幕间计算'!BL283+IF('幕间与结算'!E83="技能：非自然知识",N('幕间与结算'!K83),0)))</f>
        <v>0</v>
      </c>
    </row>
    <row r="285">
      <c r="A285">
        <f>IFERROR(IF(AND(VALUE('幕间与结算'!B84)&gt;=1,VALUE('幕间与结算'!B84)&lt;=20),VALUE('幕间与结算'!B84),0),0)</f>
        <v>0</v>
      </c>
      <c r="B285">
        <f>IF(AND(A285&gt;0,'幕间与结算'!D84&lt;&gt;"",'幕间与结算'!J84="确认",ISNUMBER('幕间与结算'!K84),OR('幕间与结算'!G84="失败",'幕间与结算'!G84="大失败"),'幕间与结算'!H84="√",LEFT('幕间与结算'!E84,3)="技能：",'幕间与结算'!E84&lt;&gt;"技能：非自然知识",ISNUMBER('幕间与结算'!F84),'幕间与结算'!F84&gt;=1,'幕间与结算'!F84&lt;=99),1,0)</f>
        <v>0</v>
      </c>
      <c r="D285">
        <f>IF(AND('幕间与结算'!J84="确认",ISNUMBER('幕间与结算'!K84),'幕间与结算'!L84&lt;&gt;"",ISNUMBER('幕间与结算'!M84),'幕间与结算'!M84&gt;0,'幕间与结算'!M84&lt;=99),'幕间与结算'!M84,0)</f>
        <v>0</v>
      </c>
      <c r="E285">
        <f>IF(AND(B285=1,COUNTIFS($A$210:A285,A285,$B$210:B285,1,'幕间与结算'!$E$9:E84,'幕间与结算'!E84)=1),76,999999)</f>
        <v>999999</v>
      </c>
      <c r="F285">
        <v>84</v>
      </c>
      <c r="AA285">
        <f>IF($A285=1,$E285,999999)</f>
        <v>999999</v>
      </c>
      <c r="AB285">
        <f>IF($A285=2,$E285,999999)</f>
        <v>999999</v>
      </c>
      <c r="AC285">
        <f>IF($A285=3,$E285,999999)</f>
        <v>999999</v>
      </c>
      <c r="AD285">
        <f>IF($A285=4,$E285,999999)</f>
        <v>999999</v>
      </c>
      <c r="AE285">
        <f>IF($A285=5,$E285,999999)</f>
        <v>999999</v>
      </c>
      <c r="AF285">
        <f>IF($A285=6,$E285,999999)</f>
        <v>999999</v>
      </c>
      <c r="AG285">
        <f>IF($A285=7,$E285,999999)</f>
        <v>999999</v>
      </c>
      <c r="AH285">
        <f>IF($A285=8,$E285,999999)</f>
        <v>999999</v>
      </c>
      <c r="AI285">
        <f>IF($A285=9,$E285,999999)</f>
        <v>999999</v>
      </c>
      <c r="AJ285">
        <f>IF($A285=10,$E285,999999)</f>
        <v>999999</v>
      </c>
      <c r="AK285">
        <f>IF($A285=11,$E285,999999)</f>
        <v>999999</v>
      </c>
      <c r="AL285">
        <f>IF($A285=12,$E285,999999)</f>
        <v>999999</v>
      </c>
      <c r="AM285">
        <f>IF($A285=13,$E285,999999)</f>
        <v>999999</v>
      </c>
      <c r="AN285">
        <f>IF($A285=14,$E285,999999)</f>
        <v>999999</v>
      </c>
      <c r="AO285">
        <f>IF($A285=15,$E285,999999)</f>
        <v>999999</v>
      </c>
      <c r="AP285">
        <f>IF($A285=16,$E285,999999)</f>
        <v>999999</v>
      </c>
      <c r="AQ285">
        <f>IF($A285=17,$E285,999999)</f>
        <v>999999</v>
      </c>
      <c r="AR285">
        <f>IF($A285=18,$E285,999999)</f>
        <v>999999</v>
      </c>
      <c r="AS285">
        <f>IF($A285=19,$E285,999999)</f>
        <v>999999</v>
      </c>
      <c r="AT285">
        <f>IF($A285=20,$E285,999999)</f>
        <v>999999</v>
      </c>
      <c r="BA285">
        <f>MAX(0,MIN(CEILING((BF285+BG285)/2,1),BA284+IF('幕间与结算'!E84="体力",N('幕间与结算'!K84),0)))</f>
        <v>0</v>
      </c>
      <c r="BB285">
        <f>MAX(0,MIN(BJ285,BB284+IF('幕间与结算'!E84="毅力",N('幕间与结算'!K84),0)))</f>
        <v>0</v>
      </c>
      <c r="BC285">
        <f>MAX(0,MIN(99-BL285,BC284+IF('幕间与结算'!E84="理智",N('幕间与结算'!K84),0)))</f>
        <v>0</v>
      </c>
      <c r="BD285">
        <f>MAX(0,MIN(99,BD284+IF('幕间与结算'!E84="崩溃点",N('幕间与结算'!K84),0)))</f>
        <v>0</v>
      </c>
      <c r="BF285">
        <f>MAX(0,MIN(18,'幕间计算'!BF284+IF('幕间与结算'!E84="力量",N('幕间与结算'!K84),0)))</f>
        <v>0</v>
      </c>
      <c r="BG285">
        <f>MAX(0,MIN(18,'幕间计算'!BG284+IF('幕间与结算'!E84="体质",N('幕间与结算'!K84),0)))</f>
        <v>0</v>
      </c>
      <c r="BH285">
        <f>MAX(0,MIN(18,'幕间计算'!BH284+IF('幕间与结算'!E84="敏捷",N('幕间与结算'!K84),0)))</f>
        <v>0</v>
      </c>
      <c r="BI285">
        <f>MAX(0,MIN(18,'幕间计算'!BI284+IF('幕间与结算'!E84="智力",N('幕间与结算'!K84),0)))</f>
        <v>0</v>
      </c>
      <c r="BJ285">
        <f>MAX(0,MIN(18,'幕间计算'!BJ284+IF('幕间与结算'!E84="意志",N('幕间与结算'!K84),0)))</f>
        <v>0</v>
      </c>
      <c r="BK285">
        <f>MAX(0,MIN(18,'幕间计算'!BK284+IF('幕间与结算'!E84="魅力",N('幕间与结算'!K84),0)))</f>
        <v>0</v>
      </c>
      <c r="BL285">
        <f>MAX(0,MIN(99,'幕间计算'!BL284+IF('幕间与结算'!E84="技能：非自然知识",N('幕间与结算'!K84),0)))</f>
        <v>0</v>
      </c>
    </row>
    <row r="286">
      <c r="A286">
        <f>IFERROR(IF(AND(VALUE('幕间与结算'!B85)&gt;=1,VALUE('幕间与结算'!B85)&lt;=20),VALUE('幕间与结算'!B85),0),0)</f>
        <v>0</v>
      </c>
      <c r="B286">
        <f>IF(AND(A286&gt;0,'幕间与结算'!D85&lt;&gt;"",'幕间与结算'!J85="确认",ISNUMBER('幕间与结算'!K85),OR('幕间与结算'!G85="失败",'幕间与结算'!G85="大失败"),'幕间与结算'!H85="√",LEFT('幕间与结算'!E85,3)="技能：",'幕间与结算'!E85&lt;&gt;"技能：非自然知识",ISNUMBER('幕间与结算'!F85),'幕间与结算'!F85&gt;=1,'幕间与结算'!F85&lt;=99),1,0)</f>
        <v>0</v>
      </c>
      <c r="D286">
        <f>IF(AND('幕间与结算'!J85="确认",ISNUMBER('幕间与结算'!K85),'幕间与结算'!L85&lt;&gt;"",ISNUMBER('幕间与结算'!M85),'幕间与结算'!M85&gt;0,'幕间与结算'!M85&lt;=99),'幕间与结算'!M85,0)</f>
        <v>0</v>
      </c>
      <c r="E286">
        <f>IF(AND(B286=1,COUNTIFS($A$210:A286,A286,$B$210:B286,1,'幕间与结算'!$E$9:E85,'幕间与结算'!E85)=1),77,999999)</f>
        <v>999999</v>
      </c>
      <c r="F286">
        <v>85</v>
      </c>
      <c r="AA286">
        <f>IF($A286=1,$E286,999999)</f>
        <v>999999</v>
      </c>
      <c r="AB286">
        <f>IF($A286=2,$E286,999999)</f>
        <v>999999</v>
      </c>
      <c r="AC286">
        <f>IF($A286=3,$E286,999999)</f>
        <v>999999</v>
      </c>
      <c r="AD286">
        <f>IF($A286=4,$E286,999999)</f>
        <v>999999</v>
      </c>
      <c r="AE286">
        <f>IF($A286=5,$E286,999999)</f>
        <v>999999</v>
      </c>
      <c r="AF286">
        <f>IF($A286=6,$E286,999999)</f>
        <v>999999</v>
      </c>
      <c r="AG286">
        <f>IF($A286=7,$E286,999999)</f>
        <v>999999</v>
      </c>
      <c r="AH286">
        <f>IF($A286=8,$E286,999999)</f>
        <v>999999</v>
      </c>
      <c r="AI286">
        <f>IF($A286=9,$E286,999999)</f>
        <v>999999</v>
      </c>
      <c r="AJ286">
        <f>IF($A286=10,$E286,999999)</f>
        <v>999999</v>
      </c>
      <c r="AK286">
        <f>IF($A286=11,$E286,999999)</f>
        <v>999999</v>
      </c>
      <c r="AL286">
        <f>IF($A286=12,$E286,999999)</f>
        <v>999999</v>
      </c>
      <c r="AM286">
        <f>IF($A286=13,$E286,999999)</f>
        <v>999999</v>
      </c>
      <c r="AN286">
        <f>IF($A286=14,$E286,999999)</f>
        <v>999999</v>
      </c>
      <c r="AO286">
        <f>IF($A286=15,$E286,999999)</f>
        <v>999999</v>
      </c>
      <c r="AP286">
        <f>IF($A286=16,$E286,999999)</f>
        <v>999999</v>
      </c>
      <c r="AQ286">
        <f>IF($A286=17,$E286,999999)</f>
        <v>999999</v>
      </c>
      <c r="AR286">
        <f>IF($A286=18,$E286,999999)</f>
        <v>999999</v>
      </c>
      <c r="AS286">
        <f>IF($A286=19,$E286,999999)</f>
        <v>999999</v>
      </c>
      <c r="AT286">
        <f>IF($A286=20,$E286,999999)</f>
        <v>999999</v>
      </c>
      <c r="BA286">
        <f>MAX(0,MIN(CEILING((BF286+BG286)/2,1),BA285+IF('幕间与结算'!E85="体力",N('幕间与结算'!K85),0)))</f>
        <v>0</v>
      </c>
      <c r="BB286">
        <f>MAX(0,MIN(BJ286,BB285+IF('幕间与结算'!E85="毅力",N('幕间与结算'!K85),0)))</f>
        <v>0</v>
      </c>
      <c r="BC286">
        <f>MAX(0,MIN(99-BL286,BC285+IF('幕间与结算'!E85="理智",N('幕间与结算'!K85),0)))</f>
        <v>0</v>
      </c>
      <c r="BD286">
        <f>MAX(0,MIN(99,BD285+IF('幕间与结算'!E85="崩溃点",N('幕间与结算'!K85),0)))</f>
        <v>0</v>
      </c>
      <c r="BF286">
        <f>MAX(0,MIN(18,'幕间计算'!BF285+IF('幕间与结算'!E85="力量",N('幕间与结算'!K85),0)))</f>
        <v>0</v>
      </c>
      <c r="BG286">
        <f>MAX(0,MIN(18,'幕间计算'!BG285+IF('幕间与结算'!E85="体质",N('幕间与结算'!K85),0)))</f>
        <v>0</v>
      </c>
      <c r="BH286">
        <f>MAX(0,MIN(18,'幕间计算'!BH285+IF('幕间与结算'!E85="敏捷",N('幕间与结算'!K85),0)))</f>
        <v>0</v>
      </c>
      <c r="BI286">
        <f>MAX(0,MIN(18,'幕间计算'!BI285+IF('幕间与结算'!E85="智力",N('幕间与结算'!K85),0)))</f>
        <v>0</v>
      </c>
      <c r="BJ286">
        <f>MAX(0,MIN(18,'幕间计算'!BJ285+IF('幕间与结算'!E85="意志",N('幕间与结算'!K85),0)))</f>
        <v>0</v>
      </c>
      <c r="BK286">
        <f>MAX(0,MIN(18,'幕间计算'!BK285+IF('幕间与结算'!E85="魅力",N('幕间与结算'!K85),0)))</f>
        <v>0</v>
      </c>
      <c r="BL286">
        <f>MAX(0,MIN(99,'幕间计算'!BL285+IF('幕间与结算'!E85="技能：非自然知识",N('幕间与结算'!K85),0)))</f>
        <v>0</v>
      </c>
    </row>
    <row r="287">
      <c r="A287">
        <f>IFERROR(IF(AND(VALUE('幕间与结算'!B86)&gt;=1,VALUE('幕间与结算'!B86)&lt;=20),VALUE('幕间与结算'!B86),0),0)</f>
        <v>0</v>
      </c>
      <c r="B287">
        <f>IF(AND(A287&gt;0,'幕间与结算'!D86&lt;&gt;"",'幕间与结算'!J86="确认",ISNUMBER('幕间与结算'!K86),OR('幕间与结算'!G86="失败",'幕间与结算'!G86="大失败"),'幕间与结算'!H86="√",LEFT('幕间与结算'!E86,3)="技能：",'幕间与结算'!E86&lt;&gt;"技能：非自然知识",ISNUMBER('幕间与结算'!F86),'幕间与结算'!F86&gt;=1,'幕间与结算'!F86&lt;=99),1,0)</f>
        <v>0</v>
      </c>
      <c r="D287">
        <f>IF(AND('幕间与结算'!J86="确认",ISNUMBER('幕间与结算'!K86),'幕间与结算'!L86&lt;&gt;"",ISNUMBER('幕间与结算'!M86),'幕间与结算'!M86&gt;0,'幕间与结算'!M86&lt;=99),'幕间与结算'!M86,0)</f>
        <v>0</v>
      </c>
      <c r="E287">
        <f>IF(AND(B287=1,COUNTIFS($A$210:A287,A287,$B$210:B287,1,'幕间与结算'!$E$9:E86,'幕间与结算'!E86)=1),78,999999)</f>
        <v>999999</v>
      </c>
      <c r="F287">
        <v>86</v>
      </c>
      <c r="AA287">
        <f>IF($A287=1,$E287,999999)</f>
        <v>999999</v>
      </c>
      <c r="AB287">
        <f>IF($A287=2,$E287,999999)</f>
        <v>999999</v>
      </c>
      <c r="AC287">
        <f>IF($A287=3,$E287,999999)</f>
        <v>999999</v>
      </c>
      <c r="AD287">
        <f>IF($A287=4,$E287,999999)</f>
        <v>999999</v>
      </c>
      <c r="AE287">
        <f>IF($A287=5,$E287,999999)</f>
        <v>999999</v>
      </c>
      <c r="AF287">
        <f>IF($A287=6,$E287,999999)</f>
        <v>999999</v>
      </c>
      <c r="AG287">
        <f>IF($A287=7,$E287,999999)</f>
        <v>999999</v>
      </c>
      <c r="AH287">
        <f>IF($A287=8,$E287,999999)</f>
        <v>999999</v>
      </c>
      <c r="AI287">
        <f>IF($A287=9,$E287,999999)</f>
        <v>999999</v>
      </c>
      <c r="AJ287">
        <f>IF($A287=10,$E287,999999)</f>
        <v>999999</v>
      </c>
      <c r="AK287">
        <f>IF($A287=11,$E287,999999)</f>
        <v>999999</v>
      </c>
      <c r="AL287">
        <f>IF($A287=12,$E287,999999)</f>
        <v>999999</v>
      </c>
      <c r="AM287">
        <f>IF($A287=13,$E287,999999)</f>
        <v>999999</v>
      </c>
      <c r="AN287">
        <f>IF($A287=14,$E287,999999)</f>
        <v>999999</v>
      </c>
      <c r="AO287">
        <f>IF($A287=15,$E287,999999)</f>
        <v>999999</v>
      </c>
      <c r="AP287">
        <f>IF($A287=16,$E287,999999)</f>
        <v>999999</v>
      </c>
      <c r="AQ287">
        <f>IF($A287=17,$E287,999999)</f>
        <v>999999</v>
      </c>
      <c r="AR287">
        <f>IF($A287=18,$E287,999999)</f>
        <v>999999</v>
      </c>
      <c r="AS287">
        <f>IF($A287=19,$E287,999999)</f>
        <v>999999</v>
      </c>
      <c r="AT287">
        <f>IF($A287=20,$E287,999999)</f>
        <v>999999</v>
      </c>
      <c r="BA287">
        <f>MAX(0,MIN(CEILING((BF287+BG287)/2,1),BA286+IF('幕间与结算'!E86="体力",N('幕间与结算'!K86),0)))</f>
        <v>0</v>
      </c>
      <c r="BB287">
        <f>MAX(0,MIN(BJ287,BB286+IF('幕间与结算'!E86="毅力",N('幕间与结算'!K86),0)))</f>
        <v>0</v>
      </c>
      <c r="BC287">
        <f>MAX(0,MIN(99-BL287,BC286+IF('幕间与结算'!E86="理智",N('幕间与结算'!K86),0)))</f>
        <v>0</v>
      </c>
      <c r="BD287">
        <f>MAX(0,MIN(99,BD286+IF('幕间与结算'!E86="崩溃点",N('幕间与结算'!K86),0)))</f>
        <v>0</v>
      </c>
      <c r="BF287">
        <f>MAX(0,MIN(18,'幕间计算'!BF286+IF('幕间与结算'!E86="力量",N('幕间与结算'!K86),0)))</f>
        <v>0</v>
      </c>
      <c r="BG287">
        <f>MAX(0,MIN(18,'幕间计算'!BG286+IF('幕间与结算'!E86="体质",N('幕间与结算'!K86),0)))</f>
        <v>0</v>
      </c>
      <c r="BH287">
        <f>MAX(0,MIN(18,'幕间计算'!BH286+IF('幕间与结算'!E86="敏捷",N('幕间与结算'!K86),0)))</f>
        <v>0</v>
      </c>
      <c r="BI287">
        <f>MAX(0,MIN(18,'幕间计算'!BI286+IF('幕间与结算'!E86="智力",N('幕间与结算'!K86),0)))</f>
        <v>0</v>
      </c>
      <c r="BJ287">
        <f>MAX(0,MIN(18,'幕间计算'!BJ286+IF('幕间与结算'!E86="意志",N('幕间与结算'!K86),0)))</f>
        <v>0</v>
      </c>
      <c r="BK287">
        <f>MAX(0,MIN(18,'幕间计算'!BK286+IF('幕间与结算'!E86="魅力",N('幕间与结算'!K86),0)))</f>
        <v>0</v>
      </c>
      <c r="BL287">
        <f>MAX(0,MIN(99,'幕间计算'!BL286+IF('幕间与结算'!E86="技能：非自然知识",N('幕间与结算'!K86),0)))</f>
        <v>0</v>
      </c>
    </row>
    <row r="288">
      <c r="A288">
        <f>IFERROR(IF(AND(VALUE('幕间与结算'!B87)&gt;=1,VALUE('幕间与结算'!B87)&lt;=20),VALUE('幕间与结算'!B87),0),0)</f>
        <v>0</v>
      </c>
      <c r="B288">
        <f>IF(AND(A288&gt;0,'幕间与结算'!D87&lt;&gt;"",'幕间与结算'!J87="确认",ISNUMBER('幕间与结算'!K87),OR('幕间与结算'!G87="失败",'幕间与结算'!G87="大失败"),'幕间与结算'!H87="√",LEFT('幕间与结算'!E87,3)="技能：",'幕间与结算'!E87&lt;&gt;"技能：非自然知识",ISNUMBER('幕间与结算'!F87),'幕间与结算'!F87&gt;=1,'幕间与结算'!F87&lt;=99),1,0)</f>
        <v>0</v>
      </c>
      <c r="D288">
        <f>IF(AND('幕间与结算'!J87="确认",ISNUMBER('幕间与结算'!K87),'幕间与结算'!L87&lt;&gt;"",ISNUMBER('幕间与结算'!M87),'幕间与结算'!M87&gt;0,'幕间与结算'!M87&lt;=99),'幕间与结算'!M87,0)</f>
        <v>0</v>
      </c>
      <c r="E288">
        <f>IF(AND(B288=1,COUNTIFS($A$210:A288,A288,$B$210:B288,1,'幕间与结算'!$E$9:E87,'幕间与结算'!E87)=1),79,999999)</f>
        <v>999999</v>
      </c>
      <c r="F288">
        <v>87</v>
      </c>
      <c r="AA288">
        <f>IF($A288=1,$E288,999999)</f>
        <v>999999</v>
      </c>
      <c r="AB288">
        <f>IF($A288=2,$E288,999999)</f>
        <v>999999</v>
      </c>
      <c r="AC288">
        <f>IF($A288=3,$E288,999999)</f>
        <v>999999</v>
      </c>
      <c r="AD288">
        <f>IF($A288=4,$E288,999999)</f>
        <v>999999</v>
      </c>
      <c r="AE288">
        <f>IF($A288=5,$E288,999999)</f>
        <v>999999</v>
      </c>
      <c r="AF288">
        <f>IF($A288=6,$E288,999999)</f>
        <v>999999</v>
      </c>
      <c r="AG288">
        <f>IF($A288=7,$E288,999999)</f>
        <v>999999</v>
      </c>
      <c r="AH288">
        <f>IF($A288=8,$E288,999999)</f>
        <v>999999</v>
      </c>
      <c r="AI288">
        <f>IF($A288=9,$E288,999999)</f>
        <v>999999</v>
      </c>
      <c r="AJ288">
        <f>IF($A288=10,$E288,999999)</f>
        <v>999999</v>
      </c>
      <c r="AK288">
        <f>IF($A288=11,$E288,999999)</f>
        <v>999999</v>
      </c>
      <c r="AL288">
        <f>IF($A288=12,$E288,999999)</f>
        <v>999999</v>
      </c>
      <c r="AM288">
        <f>IF($A288=13,$E288,999999)</f>
        <v>999999</v>
      </c>
      <c r="AN288">
        <f>IF($A288=14,$E288,999999)</f>
        <v>999999</v>
      </c>
      <c r="AO288">
        <f>IF($A288=15,$E288,999999)</f>
        <v>999999</v>
      </c>
      <c r="AP288">
        <f>IF($A288=16,$E288,999999)</f>
        <v>999999</v>
      </c>
      <c r="AQ288">
        <f>IF($A288=17,$E288,999999)</f>
        <v>999999</v>
      </c>
      <c r="AR288">
        <f>IF($A288=18,$E288,999999)</f>
        <v>999999</v>
      </c>
      <c r="AS288">
        <f>IF($A288=19,$E288,999999)</f>
        <v>999999</v>
      </c>
      <c r="AT288">
        <f>IF($A288=20,$E288,999999)</f>
        <v>999999</v>
      </c>
      <c r="BA288">
        <f>MAX(0,MIN(CEILING((BF288+BG288)/2,1),BA287+IF('幕间与结算'!E87="体力",N('幕间与结算'!K87),0)))</f>
        <v>0</v>
      </c>
      <c r="BB288">
        <f>MAX(0,MIN(BJ288,BB287+IF('幕间与结算'!E87="毅力",N('幕间与结算'!K87),0)))</f>
        <v>0</v>
      </c>
      <c r="BC288">
        <f>MAX(0,MIN(99-BL288,BC287+IF('幕间与结算'!E87="理智",N('幕间与结算'!K87),0)))</f>
        <v>0</v>
      </c>
      <c r="BD288">
        <f>MAX(0,MIN(99,BD287+IF('幕间与结算'!E87="崩溃点",N('幕间与结算'!K87),0)))</f>
        <v>0</v>
      </c>
      <c r="BF288">
        <f>MAX(0,MIN(18,'幕间计算'!BF287+IF('幕间与结算'!E87="力量",N('幕间与结算'!K87),0)))</f>
        <v>0</v>
      </c>
      <c r="BG288">
        <f>MAX(0,MIN(18,'幕间计算'!BG287+IF('幕间与结算'!E87="体质",N('幕间与结算'!K87),0)))</f>
        <v>0</v>
      </c>
      <c r="BH288">
        <f>MAX(0,MIN(18,'幕间计算'!BH287+IF('幕间与结算'!E87="敏捷",N('幕间与结算'!K87),0)))</f>
        <v>0</v>
      </c>
      <c r="BI288">
        <f>MAX(0,MIN(18,'幕间计算'!BI287+IF('幕间与结算'!E87="智力",N('幕间与结算'!K87),0)))</f>
        <v>0</v>
      </c>
      <c r="BJ288">
        <f>MAX(0,MIN(18,'幕间计算'!BJ287+IF('幕间与结算'!E87="意志",N('幕间与结算'!K87),0)))</f>
        <v>0</v>
      </c>
      <c r="BK288">
        <f>MAX(0,MIN(18,'幕间计算'!BK287+IF('幕间与结算'!E87="魅力",N('幕间与结算'!K87),0)))</f>
        <v>0</v>
      </c>
      <c r="BL288">
        <f>MAX(0,MIN(99,'幕间计算'!BL287+IF('幕间与结算'!E87="技能：非自然知识",N('幕间与结算'!K87),0)))</f>
        <v>0</v>
      </c>
    </row>
    <row r="289">
      <c r="A289">
        <f>IFERROR(IF(AND(VALUE('幕间与结算'!B88)&gt;=1,VALUE('幕间与结算'!B88)&lt;=20),VALUE('幕间与结算'!B88),0),0)</f>
        <v>0</v>
      </c>
      <c r="B289">
        <f>IF(AND(A289&gt;0,'幕间与结算'!D88&lt;&gt;"",'幕间与结算'!J88="确认",ISNUMBER('幕间与结算'!K88),OR('幕间与结算'!G88="失败",'幕间与结算'!G88="大失败"),'幕间与结算'!H88="√",LEFT('幕间与结算'!E88,3)="技能：",'幕间与结算'!E88&lt;&gt;"技能：非自然知识",ISNUMBER('幕间与结算'!F88),'幕间与结算'!F88&gt;=1,'幕间与结算'!F88&lt;=99),1,0)</f>
        <v>0</v>
      </c>
      <c r="D289">
        <f>IF(AND('幕间与结算'!J88="确认",ISNUMBER('幕间与结算'!K88),'幕间与结算'!L88&lt;&gt;"",ISNUMBER('幕间与结算'!M88),'幕间与结算'!M88&gt;0,'幕间与结算'!M88&lt;=99),'幕间与结算'!M88,0)</f>
        <v>0</v>
      </c>
      <c r="E289">
        <f>IF(AND(B289=1,COUNTIFS($A$210:A289,A289,$B$210:B289,1,'幕间与结算'!$E$9:E88,'幕间与结算'!E88)=1),80,999999)</f>
        <v>999999</v>
      </c>
      <c r="F289">
        <v>88</v>
      </c>
      <c r="AA289">
        <f>IF($A289=1,$E289,999999)</f>
        <v>999999</v>
      </c>
      <c r="AB289">
        <f>IF($A289=2,$E289,999999)</f>
        <v>999999</v>
      </c>
      <c r="AC289">
        <f>IF($A289=3,$E289,999999)</f>
        <v>999999</v>
      </c>
      <c r="AD289">
        <f>IF($A289=4,$E289,999999)</f>
        <v>999999</v>
      </c>
      <c r="AE289">
        <f>IF($A289=5,$E289,999999)</f>
        <v>999999</v>
      </c>
      <c r="AF289">
        <f>IF($A289=6,$E289,999999)</f>
        <v>999999</v>
      </c>
      <c r="AG289">
        <f>IF($A289=7,$E289,999999)</f>
        <v>999999</v>
      </c>
      <c r="AH289">
        <f>IF($A289=8,$E289,999999)</f>
        <v>999999</v>
      </c>
      <c r="AI289">
        <f>IF($A289=9,$E289,999999)</f>
        <v>999999</v>
      </c>
      <c r="AJ289">
        <f>IF($A289=10,$E289,999999)</f>
        <v>999999</v>
      </c>
      <c r="AK289">
        <f>IF($A289=11,$E289,999999)</f>
        <v>999999</v>
      </c>
      <c r="AL289">
        <f>IF($A289=12,$E289,999999)</f>
        <v>999999</v>
      </c>
      <c r="AM289">
        <f>IF($A289=13,$E289,999999)</f>
        <v>999999</v>
      </c>
      <c r="AN289">
        <f>IF($A289=14,$E289,999999)</f>
        <v>999999</v>
      </c>
      <c r="AO289">
        <f>IF($A289=15,$E289,999999)</f>
        <v>999999</v>
      </c>
      <c r="AP289">
        <f>IF($A289=16,$E289,999999)</f>
        <v>999999</v>
      </c>
      <c r="AQ289">
        <f>IF($A289=17,$E289,999999)</f>
        <v>999999</v>
      </c>
      <c r="AR289">
        <f>IF($A289=18,$E289,999999)</f>
        <v>999999</v>
      </c>
      <c r="AS289">
        <f>IF($A289=19,$E289,999999)</f>
        <v>999999</v>
      </c>
      <c r="AT289">
        <f>IF($A289=20,$E289,999999)</f>
        <v>999999</v>
      </c>
      <c r="BA289">
        <f>MAX(0,MIN(CEILING((BF289+BG289)/2,1),BA288+IF('幕间与结算'!E88="体力",N('幕间与结算'!K88),0)))</f>
        <v>0</v>
      </c>
      <c r="BB289">
        <f>MAX(0,MIN(BJ289,BB288+IF('幕间与结算'!E88="毅力",N('幕间与结算'!K88),0)))</f>
        <v>0</v>
      </c>
      <c r="BC289">
        <f>MAX(0,MIN(99-BL289,BC288+IF('幕间与结算'!E88="理智",N('幕间与结算'!K88),0)))</f>
        <v>0</v>
      </c>
      <c r="BD289">
        <f>MAX(0,MIN(99,BD288+IF('幕间与结算'!E88="崩溃点",N('幕间与结算'!K88),0)))</f>
        <v>0</v>
      </c>
      <c r="BF289">
        <f>MAX(0,MIN(18,'幕间计算'!BF288+IF('幕间与结算'!E88="力量",N('幕间与结算'!K88),0)))</f>
        <v>0</v>
      </c>
      <c r="BG289">
        <f>MAX(0,MIN(18,'幕间计算'!BG288+IF('幕间与结算'!E88="体质",N('幕间与结算'!K88),0)))</f>
        <v>0</v>
      </c>
      <c r="BH289">
        <f>MAX(0,MIN(18,'幕间计算'!BH288+IF('幕间与结算'!E88="敏捷",N('幕间与结算'!K88),0)))</f>
        <v>0</v>
      </c>
      <c r="BI289">
        <f>MAX(0,MIN(18,'幕间计算'!BI288+IF('幕间与结算'!E88="智力",N('幕间与结算'!K88),0)))</f>
        <v>0</v>
      </c>
      <c r="BJ289">
        <f>MAX(0,MIN(18,'幕间计算'!BJ288+IF('幕间与结算'!E88="意志",N('幕间与结算'!K88),0)))</f>
        <v>0</v>
      </c>
      <c r="BK289">
        <f>MAX(0,MIN(18,'幕间计算'!BK288+IF('幕间与结算'!E88="魅力",N('幕间与结算'!K88),0)))</f>
        <v>0</v>
      </c>
      <c r="BL289">
        <f>MAX(0,MIN(99,'幕间计算'!BL288+IF('幕间与结算'!E88="技能：非自然知识",N('幕间与结算'!K88),0)))</f>
        <v>0</v>
      </c>
    </row>
    <row r="290">
      <c r="A290">
        <f>IFERROR(IF(AND(VALUE('幕间与结算'!B89)&gt;=1,VALUE('幕间与结算'!B89)&lt;=20),VALUE('幕间与结算'!B89),0),0)</f>
        <v>0</v>
      </c>
      <c r="B290">
        <f>IF(AND(A290&gt;0,'幕间与结算'!D89&lt;&gt;"",'幕间与结算'!J89="确认",ISNUMBER('幕间与结算'!K89),OR('幕间与结算'!G89="失败",'幕间与结算'!G89="大失败"),'幕间与结算'!H89="√",LEFT('幕间与结算'!E89,3)="技能：",'幕间与结算'!E89&lt;&gt;"技能：非自然知识",ISNUMBER('幕间与结算'!F89),'幕间与结算'!F89&gt;=1,'幕间与结算'!F89&lt;=99),1,0)</f>
        <v>0</v>
      </c>
      <c r="D290">
        <f>IF(AND('幕间与结算'!J89="确认",ISNUMBER('幕间与结算'!K89),'幕间与结算'!L89&lt;&gt;"",ISNUMBER('幕间与结算'!M89),'幕间与结算'!M89&gt;0,'幕间与结算'!M89&lt;=99),'幕间与结算'!M89,0)</f>
        <v>0</v>
      </c>
      <c r="E290">
        <f>IF(AND(B290=1,COUNTIFS($A$210:A290,A290,$B$210:B290,1,'幕间与结算'!$E$9:E89,'幕间与结算'!E89)=1),81,999999)</f>
        <v>999999</v>
      </c>
      <c r="F290">
        <v>89</v>
      </c>
      <c r="AA290">
        <f>IF($A290=1,$E290,999999)</f>
        <v>999999</v>
      </c>
      <c r="AB290">
        <f>IF($A290=2,$E290,999999)</f>
        <v>999999</v>
      </c>
      <c r="AC290">
        <f>IF($A290=3,$E290,999999)</f>
        <v>999999</v>
      </c>
      <c r="AD290">
        <f>IF($A290=4,$E290,999999)</f>
        <v>999999</v>
      </c>
      <c r="AE290">
        <f>IF($A290=5,$E290,999999)</f>
        <v>999999</v>
      </c>
      <c r="AF290">
        <f>IF($A290=6,$E290,999999)</f>
        <v>999999</v>
      </c>
      <c r="AG290">
        <f>IF($A290=7,$E290,999999)</f>
        <v>999999</v>
      </c>
      <c r="AH290">
        <f>IF($A290=8,$E290,999999)</f>
        <v>999999</v>
      </c>
      <c r="AI290">
        <f>IF($A290=9,$E290,999999)</f>
        <v>999999</v>
      </c>
      <c r="AJ290">
        <f>IF($A290=10,$E290,999999)</f>
        <v>999999</v>
      </c>
      <c r="AK290">
        <f>IF($A290=11,$E290,999999)</f>
        <v>999999</v>
      </c>
      <c r="AL290">
        <f>IF($A290=12,$E290,999999)</f>
        <v>999999</v>
      </c>
      <c r="AM290">
        <f>IF($A290=13,$E290,999999)</f>
        <v>999999</v>
      </c>
      <c r="AN290">
        <f>IF($A290=14,$E290,999999)</f>
        <v>999999</v>
      </c>
      <c r="AO290">
        <f>IF($A290=15,$E290,999999)</f>
        <v>999999</v>
      </c>
      <c r="AP290">
        <f>IF($A290=16,$E290,999999)</f>
        <v>999999</v>
      </c>
      <c r="AQ290">
        <f>IF($A290=17,$E290,999999)</f>
        <v>999999</v>
      </c>
      <c r="AR290">
        <f>IF($A290=18,$E290,999999)</f>
        <v>999999</v>
      </c>
      <c r="AS290">
        <f>IF($A290=19,$E290,999999)</f>
        <v>999999</v>
      </c>
      <c r="AT290">
        <f>IF($A290=20,$E290,999999)</f>
        <v>999999</v>
      </c>
      <c r="BA290">
        <f>MAX(0,MIN(CEILING((BF290+BG290)/2,1),BA289+IF('幕间与结算'!E89="体力",N('幕间与结算'!K89),0)))</f>
        <v>0</v>
      </c>
      <c r="BB290">
        <f>MAX(0,MIN(BJ290,BB289+IF('幕间与结算'!E89="毅力",N('幕间与结算'!K89),0)))</f>
        <v>0</v>
      </c>
      <c r="BC290">
        <f>MAX(0,MIN(99-BL290,BC289+IF('幕间与结算'!E89="理智",N('幕间与结算'!K89),0)))</f>
        <v>0</v>
      </c>
      <c r="BD290">
        <f>MAX(0,MIN(99,BD289+IF('幕间与结算'!E89="崩溃点",N('幕间与结算'!K89),0)))</f>
        <v>0</v>
      </c>
      <c r="BF290">
        <f>MAX(0,MIN(18,'幕间计算'!BF289+IF('幕间与结算'!E89="力量",N('幕间与结算'!K89),0)))</f>
        <v>0</v>
      </c>
      <c r="BG290">
        <f>MAX(0,MIN(18,'幕间计算'!BG289+IF('幕间与结算'!E89="体质",N('幕间与结算'!K89),0)))</f>
        <v>0</v>
      </c>
      <c r="BH290">
        <f>MAX(0,MIN(18,'幕间计算'!BH289+IF('幕间与结算'!E89="敏捷",N('幕间与结算'!K89),0)))</f>
        <v>0</v>
      </c>
      <c r="BI290">
        <f>MAX(0,MIN(18,'幕间计算'!BI289+IF('幕间与结算'!E89="智力",N('幕间与结算'!K89),0)))</f>
        <v>0</v>
      </c>
      <c r="BJ290">
        <f>MAX(0,MIN(18,'幕间计算'!BJ289+IF('幕间与结算'!E89="意志",N('幕间与结算'!K89),0)))</f>
        <v>0</v>
      </c>
      <c r="BK290">
        <f>MAX(0,MIN(18,'幕间计算'!BK289+IF('幕间与结算'!E89="魅力",N('幕间与结算'!K89),0)))</f>
        <v>0</v>
      </c>
      <c r="BL290">
        <f>MAX(0,MIN(99,'幕间计算'!BL289+IF('幕间与结算'!E89="技能：非自然知识",N('幕间与结算'!K89),0)))</f>
        <v>0</v>
      </c>
    </row>
    <row r="291">
      <c r="A291">
        <f>IFERROR(IF(AND(VALUE('幕间与结算'!B90)&gt;=1,VALUE('幕间与结算'!B90)&lt;=20),VALUE('幕间与结算'!B90),0),0)</f>
        <v>0</v>
      </c>
      <c r="B291">
        <f>IF(AND(A291&gt;0,'幕间与结算'!D90&lt;&gt;"",'幕间与结算'!J90="确认",ISNUMBER('幕间与结算'!K90),OR('幕间与结算'!G90="失败",'幕间与结算'!G90="大失败"),'幕间与结算'!H90="√",LEFT('幕间与结算'!E90,3)="技能：",'幕间与结算'!E90&lt;&gt;"技能：非自然知识",ISNUMBER('幕间与结算'!F90),'幕间与结算'!F90&gt;=1,'幕间与结算'!F90&lt;=99),1,0)</f>
        <v>0</v>
      </c>
      <c r="D291">
        <f>IF(AND('幕间与结算'!J90="确认",ISNUMBER('幕间与结算'!K90),'幕间与结算'!L90&lt;&gt;"",ISNUMBER('幕间与结算'!M90),'幕间与结算'!M90&gt;0,'幕间与结算'!M90&lt;=99),'幕间与结算'!M90,0)</f>
        <v>0</v>
      </c>
      <c r="E291">
        <f>IF(AND(B291=1,COUNTIFS($A$210:A291,A291,$B$210:B291,1,'幕间与结算'!$E$9:E90,'幕间与结算'!E90)=1),82,999999)</f>
        <v>999999</v>
      </c>
      <c r="F291">
        <v>90</v>
      </c>
      <c r="AA291">
        <f>IF($A291=1,$E291,999999)</f>
        <v>999999</v>
      </c>
      <c r="AB291">
        <f>IF($A291=2,$E291,999999)</f>
        <v>999999</v>
      </c>
      <c r="AC291">
        <f>IF($A291=3,$E291,999999)</f>
        <v>999999</v>
      </c>
      <c r="AD291">
        <f>IF($A291=4,$E291,999999)</f>
        <v>999999</v>
      </c>
      <c r="AE291">
        <f>IF($A291=5,$E291,999999)</f>
        <v>999999</v>
      </c>
      <c r="AF291">
        <f>IF($A291=6,$E291,999999)</f>
        <v>999999</v>
      </c>
      <c r="AG291">
        <f>IF($A291=7,$E291,999999)</f>
        <v>999999</v>
      </c>
      <c r="AH291">
        <f>IF($A291=8,$E291,999999)</f>
        <v>999999</v>
      </c>
      <c r="AI291">
        <f>IF($A291=9,$E291,999999)</f>
        <v>999999</v>
      </c>
      <c r="AJ291">
        <f>IF($A291=10,$E291,999999)</f>
        <v>999999</v>
      </c>
      <c r="AK291">
        <f>IF($A291=11,$E291,999999)</f>
        <v>999999</v>
      </c>
      <c r="AL291">
        <f>IF($A291=12,$E291,999999)</f>
        <v>999999</v>
      </c>
      <c r="AM291">
        <f>IF($A291=13,$E291,999999)</f>
        <v>999999</v>
      </c>
      <c r="AN291">
        <f>IF($A291=14,$E291,999999)</f>
        <v>999999</v>
      </c>
      <c r="AO291">
        <f>IF($A291=15,$E291,999999)</f>
        <v>999999</v>
      </c>
      <c r="AP291">
        <f>IF($A291=16,$E291,999999)</f>
        <v>999999</v>
      </c>
      <c r="AQ291">
        <f>IF($A291=17,$E291,999999)</f>
        <v>999999</v>
      </c>
      <c r="AR291">
        <f>IF($A291=18,$E291,999999)</f>
        <v>999999</v>
      </c>
      <c r="AS291">
        <f>IF($A291=19,$E291,999999)</f>
        <v>999999</v>
      </c>
      <c r="AT291">
        <f>IF($A291=20,$E291,999999)</f>
        <v>999999</v>
      </c>
      <c r="BA291">
        <f>MAX(0,MIN(CEILING((BF291+BG291)/2,1),BA290+IF('幕间与结算'!E90="体力",N('幕间与结算'!K90),0)))</f>
        <v>0</v>
      </c>
      <c r="BB291">
        <f>MAX(0,MIN(BJ291,BB290+IF('幕间与结算'!E90="毅力",N('幕间与结算'!K90),0)))</f>
        <v>0</v>
      </c>
      <c r="BC291">
        <f>MAX(0,MIN(99-BL291,BC290+IF('幕间与结算'!E90="理智",N('幕间与结算'!K90),0)))</f>
        <v>0</v>
      </c>
      <c r="BD291">
        <f>MAX(0,MIN(99,BD290+IF('幕间与结算'!E90="崩溃点",N('幕间与结算'!K90),0)))</f>
        <v>0</v>
      </c>
      <c r="BF291">
        <f>MAX(0,MIN(18,'幕间计算'!BF290+IF('幕间与结算'!E90="力量",N('幕间与结算'!K90),0)))</f>
        <v>0</v>
      </c>
      <c r="BG291">
        <f>MAX(0,MIN(18,'幕间计算'!BG290+IF('幕间与结算'!E90="体质",N('幕间与结算'!K90),0)))</f>
        <v>0</v>
      </c>
      <c r="BH291">
        <f>MAX(0,MIN(18,'幕间计算'!BH290+IF('幕间与结算'!E90="敏捷",N('幕间与结算'!K90),0)))</f>
        <v>0</v>
      </c>
      <c r="BI291">
        <f>MAX(0,MIN(18,'幕间计算'!BI290+IF('幕间与结算'!E90="智力",N('幕间与结算'!K90),0)))</f>
        <v>0</v>
      </c>
      <c r="BJ291">
        <f>MAX(0,MIN(18,'幕间计算'!BJ290+IF('幕间与结算'!E90="意志",N('幕间与结算'!K90),0)))</f>
        <v>0</v>
      </c>
      <c r="BK291">
        <f>MAX(0,MIN(18,'幕间计算'!BK290+IF('幕间与结算'!E90="魅力",N('幕间与结算'!K90),0)))</f>
        <v>0</v>
      </c>
      <c r="BL291">
        <f>MAX(0,MIN(99,'幕间计算'!BL290+IF('幕间与结算'!E90="技能：非自然知识",N('幕间与结算'!K90),0)))</f>
        <v>0</v>
      </c>
    </row>
    <row r="292">
      <c r="A292">
        <f>IFERROR(IF(AND(VALUE('幕间与结算'!B91)&gt;=1,VALUE('幕间与结算'!B91)&lt;=20),VALUE('幕间与结算'!B91),0),0)</f>
        <v>0</v>
      </c>
      <c r="B292">
        <f>IF(AND(A292&gt;0,'幕间与结算'!D91&lt;&gt;"",'幕间与结算'!J91="确认",ISNUMBER('幕间与结算'!K91),OR('幕间与结算'!G91="失败",'幕间与结算'!G91="大失败"),'幕间与结算'!H91="√",LEFT('幕间与结算'!E91,3)="技能：",'幕间与结算'!E91&lt;&gt;"技能：非自然知识",ISNUMBER('幕间与结算'!F91),'幕间与结算'!F91&gt;=1,'幕间与结算'!F91&lt;=99),1,0)</f>
        <v>0</v>
      </c>
      <c r="D292">
        <f>IF(AND('幕间与结算'!J91="确认",ISNUMBER('幕间与结算'!K91),'幕间与结算'!L91&lt;&gt;"",ISNUMBER('幕间与结算'!M91),'幕间与结算'!M91&gt;0,'幕间与结算'!M91&lt;=99),'幕间与结算'!M91,0)</f>
        <v>0</v>
      </c>
      <c r="E292">
        <f>IF(AND(B292=1,COUNTIFS($A$210:A292,A292,$B$210:B292,1,'幕间与结算'!$E$9:E91,'幕间与结算'!E91)=1),83,999999)</f>
        <v>999999</v>
      </c>
      <c r="F292">
        <v>91</v>
      </c>
      <c r="AA292">
        <f>IF($A292=1,$E292,999999)</f>
        <v>999999</v>
      </c>
      <c r="AB292">
        <f>IF($A292=2,$E292,999999)</f>
        <v>999999</v>
      </c>
      <c r="AC292">
        <f>IF($A292=3,$E292,999999)</f>
        <v>999999</v>
      </c>
      <c r="AD292">
        <f>IF($A292=4,$E292,999999)</f>
        <v>999999</v>
      </c>
      <c r="AE292">
        <f>IF($A292=5,$E292,999999)</f>
        <v>999999</v>
      </c>
      <c r="AF292">
        <f>IF($A292=6,$E292,999999)</f>
        <v>999999</v>
      </c>
      <c r="AG292">
        <f>IF($A292=7,$E292,999999)</f>
        <v>999999</v>
      </c>
      <c r="AH292">
        <f>IF($A292=8,$E292,999999)</f>
        <v>999999</v>
      </c>
      <c r="AI292">
        <f>IF($A292=9,$E292,999999)</f>
        <v>999999</v>
      </c>
      <c r="AJ292">
        <f>IF($A292=10,$E292,999999)</f>
        <v>999999</v>
      </c>
      <c r="AK292">
        <f>IF($A292=11,$E292,999999)</f>
        <v>999999</v>
      </c>
      <c r="AL292">
        <f>IF($A292=12,$E292,999999)</f>
        <v>999999</v>
      </c>
      <c r="AM292">
        <f>IF($A292=13,$E292,999999)</f>
        <v>999999</v>
      </c>
      <c r="AN292">
        <f>IF($A292=14,$E292,999999)</f>
        <v>999999</v>
      </c>
      <c r="AO292">
        <f>IF($A292=15,$E292,999999)</f>
        <v>999999</v>
      </c>
      <c r="AP292">
        <f>IF($A292=16,$E292,999999)</f>
        <v>999999</v>
      </c>
      <c r="AQ292">
        <f>IF($A292=17,$E292,999999)</f>
        <v>999999</v>
      </c>
      <c r="AR292">
        <f>IF($A292=18,$E292,999999)</f>
        <v>999999</v>
      </c>
      <c r="AS292">
        <f>IF($A292=19,$E292,999999)</f>
        <v>999999</v>
      </c>
      <c r="AT292">
        <f>IF($A292=20,$E292,999999)</f>
        <v>999999</v>
      </c>
      <c r="BA292">
        <f>MAX(0,MIN(CEILING((BF292+BG292)/2,1),BA291+IF('幕间与结算'!E91="体力",N('幕间与结算'!K91),0)))</f>
        <v>0</v>
      </c>
      <c r="BB292">
        <f>MAX(0,MIN(BJ292,BB291+IF('幕间与结算'!E91="毅力",N('幕间与结算'!K91),0)))</f>
        <v>0</v>
      </c>
      <c r="BC292">
        <f>MAX(0,MIN(99-BL292,BC291+IF('幕间与结算'!E91="理智",N('幕间与结算'!K91),0)))</f>
        <v>0</v>
      </c>
      <c r="BD292">
        <f>MAX(0,MIN(99,BD291+IF('幕间与结算'!E91="崩溃点",N('幕间与结算'!K91),0)))</f>
        <v>0</v>
      </c>
      <c r="BF292">
        <f>MAX(0,MIN(18,'幕间计算'!BF291+IF('幕间与结算'!E91="力量",N('幕间与结算'!K91),0)))</f>
        <v>0</v>
      </c>
      <c r="BG292">
        <f>MAX(0,MIN(18,'幕间计算'!BG291+IF('幕间与结算'!E91="体质",N('幕间与结算'!K91),0)))</f>
        <v>0</v>
      </c>
      <c r="BH292">
        <f>MAX(0,MIN(18,'幕间计算'!BH291+IF('幕间与结算'!E91="敏捷",N('幕间与结算'!K91),0)))</f>
        <v>0</v>
      </c>
      <c r="BI292">
        <f>MAX(0,MIN(18,'幕间计算'!BI291+IF('幕间与结算'!E91="智力",N('幕间与结算'!K91),0)))</f>
        <v>0</v>
      </c>
      <c r="BJ292">
        <f>MAX(0,MIN(18,'幕间计算'!BJ291+IF('幕间与结算'!E91="意志",N('幕间与结算'!K91),0)))</f>
        <v>0</v>
      </c>
      <c r="BK292">
        <f>MAX(0,MIN(18,'幕间计算'!BK291+IF('幕间与结算'!E91="魅力",N('幕间与结算'!K91),0)))</f>
        <v>0</v>
      </c>
      <c r="BL292">
        <f>MAX(0,MIN(99,'幕间计算'!BL291+IF('幕间与结算'!E91="技能：非自然知识",N('幕间与结算'!K91),0)))</f>
        <v>0</v>
      </c>
    </row>
    <row r="293">
      <c r="A293">
        <f>IFERROR(IF(AND(VALUE('幕间与结算'!B92)&gt;=1,VALUE('幕间与结算'!B92)&lt;=20),VALUE('幕间与结算'!B92),0),0)</f>
        <v>0</v>
      </c>
      <c r="B293">
        <f>IF(AND(A293&gt;0,'幕间与结算'!D92&lt;&gt;"",'幕间与结算'!J92="确认",ISNUMBER('幕间与结算'!K92),OR('幕间与结算'!G92="失败",'幕间与结算'!G92="大失败"),'幕间与结算'!H92="√",LEFT('幕间与结算'!E92,3)="技能：",'幕间与结算'!E92&lt;&gt;"技能：非自然知识",ISNUMBER('幕间与结算'!F92),'幕间与结算'!F92&gt;=1,'幕间与结算'!F92&lt;=99),1,0)</f>
        <v>0</v>
      </c>
      <c r="D293">
        <f>IF(AND('幕间与结算'!J92="确认",ISNUMBER('幕间与结算'!K92),'幕间与结算'!L92&lt;&gt;"",ISNUMBER('幕间与结算'!M92),'幕间与结算'!M92&gt;0,'幕间与结算'!M92&lt;=99),'幕间与结算'!M92,0)</f>
        <v>0</v>
      </c>
      <c r="E293">
        <f>IF(AND(B293=1,COUNTIFS($A$210:A293,A293,$B$210:B293,1,'幕间与结算'!$E$9:E92,'幕间与结算'!E92)=1),84,999999)</f>
        <v>999999</v>
      </c>
      <c r="F293">
        <v>92</v>
      </c>
      <c r="AA293">
        <f>IF($A293=1,$E293,999999)</f>
        <v>999999</v>
      </c>
      <c r="AB293">
        <f>IF($A293=2,$E293,999999)</f>
        <v>999999</v>
      </c>
      <c r="AC293">
        <f>IF($A293=3,$E293,999999)</f>
        <v>999999</v>
      </c>
      <c r="AD293">
        <f>IF($A293=4,$E293,999999)</f>
        <v>999999</v>
      </c>
      <c r="AE293">
        <f>IF($A293=5,$E293,999999)</f>
        <v>999999</v>
      </c>
      <c r="AF293">
        <f>IF($A293=6,$E293,999999)</f>
        <v>999999</v>
      </c>
      <c r="AG293">
        <f>IF($A293=7,$E293,999999)</f>
        <v>999999</v>
      </c>
      <c r="AH293">
        <f>IF($A293=8,$E293,999999)</f>
        <v>999999</v>
      </c>
      <c r="AI293">
        <f>IF($A293=9,$E293,999999)</f>
        <v>999999</v>
      </c>
      <c r="AJ293">
        <f>IF($A293=10,$E293,999999)</f>
        <v>999999</v>
      </c>
      <c r="AK293">
        <f>IF($A293=11,$E293,999999)</f>
        <v>999999</v>
      </c>
      <c r="AL293">
        <f>IF($A293=12,$E293,999999)</f>
        <v>999999</v>
      </c>
      <c r="AM293">
        <f>IF($A293=13,$E293,999999)</f>
        <v>999999</v>
      </c>
      <c r="AN293">
        <f>IF($A293=14,$E293,999999)</f>
        <v>999999</v>
      </c>
      <c r="AO293">
        <f>IF($A293=15,$E293,999999)</f>
        <v>999999</v>
      </c>
      <c r="AP293">
        <f>IF($A293=16,$E293,999999)</f>
        <v>999999</v>
      </c>
      <c r="AQ293">
        <f>IF($A293=17,$E293,999999)</f>
        <v>999999</v>
      </c>
      <c r="AR293">
        <f>IF($A293=18,$E293,999999)</f>
        <v>999999</v>
      </c>
      <c r="AS293">
        <f>IF($A293=19,$E293,999999)</f>
        <v>999999</v>
      </c>
      <c r="AT293">
        <f>IF($A293=20,$E293,999999)</f>
        <v>999999</v>
      </c>
      <c r="BA293">
        <f>MAX(0,MIN(CEILING((BF293+BG293)/2,1),BA292+IF('幕间与结算'!E92="体力",N('幕间与结算'!K92),0)))</f>
        <v>0</v>
      </c>
      <c r="BB293">
        <f>MAX(0,MIN(BJ293,BB292+IF('幕间与结算'!E92="毅力",N('幕间与结算'!K92),0)))</f>
        <v>0</v>
      </c>
      <c r="BC293">
        <f>MAX(0,MIN(99-BL293,BC292+IF('幕间与结算'!E92="理智",N('幕间与结算'!K92),0)))</f>
        <v>0</v>
      </c>
      <c r="BD293">
        <f>MAX(0,MIN(99,BD292+IF('幕间与结算'!E92="崩溃点",N('幕间与结算'!K92),0)))</f>
        <v>0</v>
      </c>
      <c r="BF293">
        <f>MAX(0,MIN(18,'幕间计算'!BF292+IF('幕间与结算'!E92="力量",N('幕间与结算'!K92),0)))</f>
        <v>0</v>
      </c>
      <c r="BG293">
        <f>MAX(0,MIN(18,'幕间计算'!BG292+IF('幕间与结算'!E92="体质",N('幕间与结算'!K92),0)))</f>
        <v>0</v>
      </c>
      <c r="BH293">
        <f>MAX(0,MIN(18,'幕间计算'!BH292+IF('幕间与结算'!E92="敏捷",N('幕间与结算'!K92),0)))</f>
        <v>0</v>
      </c>
      <c r="BI293">
        <f>MAX(0,MIN(18,'幕间计算'!BI292+IF('幕间与结算'!E92="智力",N('幕间与结算'!K92),0)))</f>
        <v>0</v>
      </c>
      <c r="BJ293">
        <f>MAX(0,MIN(18,'幕间计算'!BJ292+IF('幕间与结算'!E92="意志",N('幕间与结算'!K92),0)))</f>
        <v>0</v>
      </c>
      <c r="BK293">
        <f>MAX(0,MIN(18,'幕间计算'!BK292+IF('幕间与结算'!E92="魅力",N('幕间与结算'!K92),0)))</f>
        <v>0</v>
      </c>
      <c r="BL293">
        <f>MAX(0,MIN(99,'幕间计算'!BL292+IF('幕间与结算'!E92="技能：非自然知识",N('幕间与结算'!K92),0)))</f>
        <v>0</v>
      </c>
    </row>
    <row r="294">
      <c r="A294">
        <f>IFERROR(IF(AND(VALUE('幕间与结算'!B93)&gt;=1,VALUE('幕间与结算'!B93)&lt;=20),VALUE('幕间与结算'!B93),0),0)</f>
        <v>0</v>
      </c>
      <c r="B294">
        <f>IF(AND(A294&gt;0,'幕间与结算'!D93&lt;&gt;"",'幕间与结算'!J93="确认",ISNUMBER('幕间与结算'!K93),OR('幕间与结算'!G93="失败",'幕间与结算'!G93="大失败"),'幕间与结算'!H93="√",LEFT('幕间与结算'!E93,3)="技能：",'幕间与结算'!E93&lt;&gt;"技能：非自然知识",ISNUMBER('幕间与结算'!F93),'幕间与结算'!F93&gt;=1,'幕间与结算'!F93&lt;=99),1,0)</f>
        <v>0</v>
      </c>
      <c r="D294">
        <f>IF(AND('幕间与结算'!J93="确认",ISNUMBER('幕间与结算'!K93),'幕间与结算'!L93&lt;&gt;"",ISNUMBER('幕间与结算'!M93),'幕间与结算'!M93&gt;0,'幕间与结算'!M93&lt;=99),'幕间与结算'!M93,0)</f>
        <v>0</v>
      </c>
      <c r="E294">
        <f>IF(AND(B294=1,COUNTIFS($A$210:A294,A294,$B$210:B294,1,'幕间与结算'!$E$9:E93,'幕间与结算'!E93)=1),85,999999)</f>
        <v>999999</v>
      </c>
      <c r="F294">
        <v>93</v>
      </c>
      <c r="AA294">
        <f>IF($A294=1,$E294,999999)</f>
        <v>999999</v>
      </c>
      <c r="AB294">
        <f>IF($A294=2,$E294,999999)</f>
        <v>999999</v>
      </c>
      <c r="AC294">
        <f>IF($A294=3,$E294,999999)</f>
        <v>999999</v>
      </c>
      <c r="AD294">
        <f>IF($A294=4,$E294,999999)</f>
        <v>999999</v>
      </c>
      <c r="AE294">
        <f>IF($A294=5,$E294,999999)</f>
        <v>999999</v>
      </c>
      <c r="AF294">
        <f>IF($A294=6,$E294,999999)</f>
        <v>999999</v>
      </c>
      <c r="AG294">
        <f>IF($A294=7,$E294,999999)</f>
        <v>999999</v>
      </c>
      <c r="AH294">
        <f>IF($A294=8,$E294,999999)</f>
        <v>999999</v>
      </c>
      <c r="AI294">
        <f>IF($A294=9,$E294,999999)</f>
        <v>999999</v>
      </c>
      <c r="AJ294">
        <f>IF($A294=10,$E294,999999)</f>
        <v>999999</v>
      </c>
      <c r="AK294">
        <f>IF($A294=11,$E294,999999)</f>
        <v>999999</v>
      </c>
      <c r="AL294">
        <f>IF($A294=12,$E294,999999)</f>
        <v>999999</v>
      </c>
      <c r="AM294">
        <f>IF($A294=13,$E294,999999)</f>
        <v>999999</v>
      </c>
      <c r="AN294">
        <f>IF($A294=14,$E294,999999)</f>
        <v>999999</v>
      </c>
      <c r="AO294">
        <f>IF($A294=15,$E294,999999)</f>
        <v>999999</v>
      </c>
      <c r="AP294">
        <f>IF($A294=16,$E294,999999)</f>
        <v>999999</v>
      </c>
      <c r="AQ294">
        <f>IF($A294=17,$E294,999999)</f>
        <v>999999</v>
      </c>
      <c r="AR294">
        <f>IF($A294=18,$E294,999999)</f>
        <v>999999</v>
      </c>
      <c r="AS294">
        <f>IF($A294=19,$E294,999999)</f>
        <v>999999</v>
      </c>
      <c r="AT294">
        <f>IF($A294=20,$E294,999999)</f>
        <v>999999</v>
      </c>
      <c r="BA294">
        <f>MAX(0,MIN(CEILING((BF294+BG294)/2,1),BA293+IF('幕间与结算'!E93="体力",N('幕间与结算'!K93),0)))</f>
        <v>0</v>
      </c>
      <c r="BB294">
        <f>MAX(0,MIN(BJ294,BB293+IF('幕间与结算'!E93="毅力",N('幕间与结算'!K93),0)))</f>
        <v>0</v>
      </c>
      <c r="BC294">
        <f>MAX(0,MIN(99-BL294,BC293+IF('幕间与结算'!E93="理智",N('幕间与结算'!K93),0)))</f>
        <v>0</v>
      </c>
      <c r="BD294">
        <f>MAX(0,MIN(99,BD293+IF('幕间与结算'!E93="崩溃点",N('幕间与结算'!K93),0)))</f>
        <v>0</v>
      </c>
      <c r="BF294">
        <f>MAX(0,MIN(18,'幕间计算'!BF293+IF('幕间与结算'!E93="力量",N('幕间与结算'!K93),0)))</f>
        <v>0</v>
      </c>
      <c r="BG294">
        <f>MAX(0,MIN(18,'幕间计算'!BG293+IF('幕间与结算'!E93="体质",N('幕间与结算'!K93),0)))</f>
        <v>0</v>
      </c>
      <c r="BH294">
        <f>MAX(0,MIN(18,'幕间计算'!BH293+IF('幕间与结算'!E93="敏捷",N('幕间与结算'!K93),0)))</f>
        <v>0</v>
      </c>
      <c r="BI294">
        <f>MAX(0,MIN(18,'幕间计算'!BI293+IF('幕间与结算'!E93="智力",N('幕间与结算'!K93),0)))</f>
        <v>0</v>
      </c>
      <c r="BJ294">
        <f>MAX(0,MIN(18,'幕间计算'!BJ293+IF('幕间与结算'!E93="意志",N('幕间与结算'!K93),0)))</f>
        <v>0</v>
      </c>
      <c r="BK294">
        <f>MAX(0,MIN(18,'幕间计算'!BK293+IF('幕间与结算'!E93="魅力",N('幕间与结算'!K93),0)))</f>
        <v>0</v>
      </c>
      <c r="BL294">
        <f>MAX(0,MIN(99,'幕间计算'!BL293+IF('幕间与结算'!E93="技能：非自然知识",N('幕间与结算'!K93),0)))</f>
        <v>0</v>
      </c>
    </row>
    <row r="295">
      <c r="A295">
        <f>IFERROR(IF(AND(VALUE('幕间与结算'!B94)&gt;=1,VALUE('幕间与结算'!B94)&lt;=20),VALUE('幕间与结算'!B94),0),0)</f>
        <v>0</v>
      </c>
      <c r="B295">
        <f>IF(AND(A295&gt;0,'幕间与结算'!D94&lt;&gt;"",'幕间与结算'!J94="确认",ISNUMBER('幕间与结算'!K94),OR('幕间与结算'!G94="失败",'幕间与结算'!G94="大失败"),'幕间与结算'!H94="√",LEFT('幕间与结算'!E94,3)="技能：",'幕间与结算'!E94&lt;&gt;"技能：非自然知识",ISNUMBER('幕间与结算'!F94),'幕间与结算'!F94&gt;=1,'幕间与结算'!F94&lt;=99),1,0)</f>
        <v>0</v>
      </c>
      <c r="D295">
        <f>IF(AND('幕间与结算'!J94="确认",ISNUMBER('幕间与结算'!K94),'幕间与结算'!L94&lt;&gt;"",ISNUMBER('幕间与结算'!M94),'幕间与结算'!M94&gt;0,'幕间与结算'!M94&lt;=99),'幕间与结算'!M94,0)</f>
        <v>0</v>
      </c>
      <c r="E295">
        <f>IF(AND(B295=1,COUNTIFS($A$210:A295,A295,$B$210:B295,1,'幕间与结算'!$E$9:E94,'幕间与结算'!E94)=1),86,999999)</f>
        <v>999999</v>
      </c>
      <c r="F295">
        <v>94</v>
      </c>
      <c r="AA295">
        <f>IF($A295=1,$E295,999999)</f>
        <v>999999</v>
      </c>
      <c r="AB295">
        <f>IF($A295=2,$E295,999999)</f>
        <v>999999</v>
      </c>
      <c r="AC295">
        <f>IF($A295=3,$E295,999999)</f>
        <v>999999</v>
      </c>
      <c r="AD295">
        <f>IF($A295=4,$E295,999999)</f>
        <v>999999</v>
      </c>
      <c r="AE295">
        <f>IF($A295=5,$E295,999999)</f>
        <v>999999</v>
      </c>
      <c r="AF295">
        <f>IF($A295=6,$E295,999999)</f>
        <v>999999</v>
      </c>
      <c r="AG295">
        <f>IF($A295=7,$E295,999999)</f>
        <v>999999</v>
      </c>
      <c r="AH295">
        <f>IF($A295=8,$E295,999999)</f>
        <v>999999</v>
      </c>
      <c r="AI295">
        <f>IF($A295=9,$E295,999999)</f>
        <v>999999</v>
      </c>
      <c r="AJ295">
        <f>IF($A295=10,$E295,999999)</f>
        <v>999999</v>
      </c>
      <c r="AK295">
        <f>IF($A295=11,$E295,999999)</f>
        <v>999999</v>
      </c>
      <c r="AL295">
        <f>IF($A295=12,$E295,999999)</f>
        <v>999999</v>
      </c>
      <c r="AM295">
        <f>IF($A295=13,$E295,999999)</f>
        <v>999999</v>
      </c>
      <c r="AN295">
        <f>IF($A295=14,$E295,999999)</f>
        <v>999999</v>
      </c>
      <c r="AO295">
        <f>IF($A295=15,$E295,999999)</f>
        <v>999999</v>
      </c>
      <c r="AP295">
        <f>IF($A295=16,$E295,999999)</f>
        <v>999999</v>
      </c>
      <c r="AQ295">
        <f>IF($A295=17,$E295,999999)</f>
        <v>999999</v>
      </c>
      <c r="AR295">
        <f>IF($A295=18,$E295,999999)</f>
        <v>999999</v>
      </c>
      <c r="AS295">
        <f>IF($A295=19,$E295,999999)</f>
        <v>999999</v>
      </c>
      <c r="AT295">
        <f>IF($A295=20,$E295,999999)</f>
        <v>999999</v>
      </c>
      <c r="BA295">
        <f>MAX(0,MIN(CEILING((BF295+BG295)/2,1),BA294+IF('幕间与结算'!E94="体力",N('幕间与结算'!K94),0)))</f>
        <v>0</v>
      </c>
      <c r="BB295">
        <f>MAX(0,MIN(BJ295,BB294+IF('幕间与结算'!E94="毅力",N('幕间与结算'!K94),0)))</f>
        <v>0</v>
      </c>
      <c r="BC295">
        <f>MAX(0,MIN(99-BL295,BC294+IF('幕间与结算'!E94="理智",N('幕间与结算'!K94),0)))</f>
        <v>0</v>
      </c>
      <c r="BD295">
        <f>MAX(0,MIN(99,BD294+IF('幕间与结算'!E94="崩溃点",N('幕间与结算'!K94),0)))</f>
        <v>0</v>
      </c>
      <c r="BF295">
        <f>MAX(0,MIN(18,'幕间计算'!BF294+IF('幕间与结算'!E94="力量",N('幕间与结算'!K94),0)))</f>
        <v>0</v>
      </c>
      <c r="BG295">
        <f>MAX(0,MIN(18,'幕间计算'!BG294+IF('幕间与结算'!E94="体质",N('幕间与结算'!K94),0)))</f>
        <v>0</v>
      </c>
      <c r="BH295">
        <f>MAX(0,MIN(18,'幕间计算'!BH294+IF('幕间与结算'!E94="敏捷",N('幕间与结算'!K94),0)))</f>
        <v>0</v>
      </c>
      <c r="BI295">
        <f>MAX(0,MIN(18,'幕间计算'!BI294+IF('幕间与结算'!E94="智力",N('幕间与结算'!K94),0)))</f>
        <v>0</v>
      </c>
      <c r="BJ295">
        <f>MAX(0,MIN(18,'幕间计算'!BJ294+IF('幕间与结算'!E94="意志",N('幕间与结算'!K94),0)))</f>
        <v>0</v>
      </c>
      <c r="BK295">
        <f>MAX(0,MIN(18,'幕间计算'!BK294+IF('幕间与结算'!E94="魅力",N('幕间与结算'!K94),0)))</f>
        <v>0</v>
      </c>
      <c r="BL295">
        <f>MAX(0,MIN(99,'幕间计算'!BL294+IF('幕间与结算'!E94="技能：非自然知识",N('幕间与结算'!K94),0)))</f>
        <v>0</v>
      </c>
    </row>
    <row r="296">
      <c r="A296">
        <f>IFERROR(IF(AND(VALUE('幕间与结算'!B95)&gt;=1,VALUE('幕间与结算'!B95)&lt;=20),VALUE('幕间与结算'!B95),0),0)</f>
        <v>0</v>
      </c>
      <c r="B296">
        <f>IF(AND(A296&gt;0,'幕间与结算'!D95&lt;&gt;"",'幕间与结算'!J95="确认",ISNUMBER('幕间与结算'!K95),OR('幕间与结算'!G95="失败",'幕间与结算'!G95="大失败"),'幕间与结算'!H95="√",LEFT('幕间与结算'!E95,3)="技能：",'幕间与结算'!E95&lt;&gt;"技能：非自然知识",ISNUMBER('幕间与结算'!F95),'幕间与结算'!F95&gt;=1,'幕间与结算'!F95&lt;=99),1,0)</f>
        <v>0</v>
      </c>
      <c r="D296">
        <f>IF(AND('幕间与结算'!J95="确认",ISNUMBER('幕间与结算'!K95),'幕间与结算'!L95&lt;&gt;"",ISNUMBER('幕间与结算'!M95),'幕间与结算'!M95&gt;0,'幕间与结算'!M95&lt;=99),'幕间与结算'!M95,0)</f>
        <v>0</v>
      </c>
      <c r="E296">
        <f>IF(AND(B296=1,COUNTIFS($A$210:A296,A296,$B$210:B296,1,'幕间与结算'!$E$9:E95,'幕间与结算'!E95)=1),87,999999)</f>
        <v>999999</v>
      </c>
      <c r="F296">
        <v>95</v>
      </c>
      <c r="AA296">
        <f>IF($A296=1,$E296,999999)</f>
        <v>999999</v>
      </c>
      <c r="AB296">
        <f>IF($A296=2,$E296,999999)</f>
        <v>999999</v>
      </c>
      <c r="AC296">
        <f>IF($A296=3,$E296,999999)</f>
        <v>999999</v>
      </c>
      <c r="AD296">
        <f>IF($A296=4,$E296,999999)</f>
        <v>999999</v>
      </c>
      <c r="AE296">
        <f>IF($A296=5,$E296,999999)</f>
        <v>999999</v>
      </c>
      <c r="AF296">
        <f>IF($A296=6,$E296,999999)</f>
        <v>999999</v>
      </c>
      <c r="AG296">
        <f>IF($A296=7,$E296,999999)</f>
        <v>999999</v>
      </c>
      <c r="AH296">
        <f>IF($A296=8,$E296,999999)</f>
        <v>999999</v>
      </c>
      <c r="AI296">
        <f>IF($A296=9,$E296,999999)</f>
        <v>999999</v>
      </c>
      <c r="AJ296">
        <f>IF($A296=10,$E296,999999)</f>
        <v>999999</v>
      </c>
      <c r="AK296">
        <f>IF($A296=11,$E296,999999)</f>
        <v>999999</v>
      </c>
      <c r="AL296">
        <f>IF($A296=12,$E296,999999)</f>
        <v>999999</v>
      </c>
      <c r="AM296">
        <f>IF($A296=13,$E296,999999)</f>
        <v>999999</v>
      </c>
      <c r="AN296">
        <f>IF($A296=14,$E296,999999)</f>
        <v>999999</v>
      </c>
      <c r="AO296">
        <f>IF($A296=15,$E296,999999)</f>
        <v>999999</v>
      </c>
      <c r="AP296">
        <f>IF($A296=16,$E296,999999)</f>
        <v>999999</v>
      </c>
      <c r="AQ296">
        <f>IF($A296=17,$E296,999999)</f>
        <v>999999</v>
      </c>
      <c r="AR296">
        <f>IF($A296=18,$E296,999999)</f>
        <v>999999</v>
      </c>
      <c r="AS296">
        <f>IF($A296=19,$E296,999999)</f>
        <v>999999</v>
      </c>
      <c r="AT296">
        <f>IF($A296=20,$E296,999999)</f>
        <v>999999</v>
      </c>
      <c r="BA296">
        <f>MAX(0,MIN(CEILING((BF296+BG296)/2,1),BA295+IF('幕间与结算'!E95="体力",N('幕间与结算'!K95),0)))</f>
        <v>0</v>
      </c>
      <c r="BB296">
        <f>MAX(0,MIN(BJ296,BB295+IF('幕间与结算'!E95="毅力",N('幕间与结算'!K95),0)))</f>
        <v>0</v>
      </c>
      <c r="BC296">
        <f>MAX(0,MIN(99-BL296,BC295+IF('幕间与结算'!E95="理智",N('幕间与结算'!K95),0)))</f>
        <v>0</v>
      </c>
      <c r="BD296">
        <f>MAX(0,MIN(99,BD295+IF('幕间与结算'!E95="崩溃点",N('幕间与结算'!K95),0)))</f>
        <v>0</v>
      </c>
      <c r="BF296">
        <f>MAX(0,MIN(18,'幕间计算'!BF295+IF('幕间与结算'!E95="力量",N('幕间与结算'!K95),0)))</f>
        <v>0</v>
      </c>
      <c r="BG296">
        <f>MAX(0,MIN(18,'幕间计算'!BG295+IF('幕间与结算'!E95="体质",N('幕间与结算'!K95),0)))</f>
        <v>0</v>
      </c>
      <c r="BH296">
        <f>MAX(0,MIN(18,'幕间计算'!BH295+IF('幕间与结算'!E95="敏捷",N('幕间与结算'!K95),0)))</f>
        <v>0</v>
      </c>
      <c r="BI296">
        <f>MAX(0,MIN(18,'幕间计算'!BI295+IF('幕间与结算'!E95="智力",N('幕间与结算'!K95),0)))</f>
        <v>0</v>
      </c>
      <c r="BJ296">
        <f>MAX(0,MIN(18,'幕间计算'!BJ295+IF('幕间与结算'!E95="意志",N('幕间与结算'!K95),0)))</f>
        <v>0</v>
      </c>
      <c r="BK296">
        <f>MAX(0,MIN(18,'幕间计算'!BK295+IF('幕间与结算'!E95="魅力",N('幕间与结算'!K95),0)))</f>
        <v>0</v>
      </c>
      <c r="BL296">
        <f>MAX(0,MIN(99,'幕间计算'!BL295+IF('幕间与结算'!E95="技能：非自然知识",N('幕间与结算'!K95),0)))</f>
        <v>0</v>
      </c>
    </row>
    <row r="297">
      <c r="A297">
        <f>IFERROR(IF(AND(VALUE('幕间与结算'!B96)&gt;=1,VALUE('幕间与结算'!B96)&lt;=20),VALUE('幕间与结算'!B96),0),0)</f>
        <v>0</v>
      </c>
      <c r="B297">
        <f>IF(AND(A297&gt;0,'幕间与结算'!D96&lt;&gt;"",'幕间与结算'!J96="确认",ISNUMBER('幕间与结算'!K96),OR('幕间与结算'!G96="失败",'幕间与结算'!G96="大失败"),'幕间与结算'!H96="√",LEFT('幕间与结算'!E96,3)="技能：",'幕间与结算'!E96&lt;&gt;"技能：非自然知识",ISNUMBER('幕间与结算'!F96),'幕间与结算'!F96&gt;=1,'幕间与结算'!F96&lt;=99),1,0)</f>
        <v>0</v>
      </c>
      <c r="D297">
        <f>IF(AND('幕间与结算'!J96="确认",ISNUMBER('幕间与结算'!K96),'幕间与结算'!L96&lt;&gt;"",ISNUMBER('幕间与结算'!M96),'幕间与结算'!M96&gt;0,'幕间与结算'!M96&lt;=99),'幕间与结算'!M96,0)</f>
        <v>0</v>
      </c>
      <c r="E297">
        <f>IF(AND(B297=1,COUNTIFS($A$210:A297,A297,$B$210:B297,1,'幕间与结算'!$E$9:E96,'幕间与结算'!E96)=1),88,999999)</f>
        <v>999999</v>
      </c>
      <c r="F297">
        <v>96</v>
      </c>
      <c r="AA297">
        <f>IF($A297=1,$E297,999999)</f>
        <v>999999</v>
      </c>
      <c r="AB297">
        <f>IF($A297=2,$E297,999999)</f>
        <v>999999</v>
      </c>
      <c r="AC297">
        <f>IF($A297=3,$E297,999999)</f>
        <v>999999</v>
      </c>
      <c r="AD297">
        <f>IF($A297=4,$E297,999999)</f>
        <v>999999</v>
      </c>
      <c r="AE297">
        <f>IF($A297=5,$E297,999999)</f>
        <v>999999</v>
      </c>
      <c r="AF297">
        <f>IF($A297=6,$E297,999999)</f>
        <v>999999</v>
      </c>
      <c r="AG297">
        <f>IF($A297=7,$E297,999999)</f>
        <v>999999</v>
      </c>
      <c r="AH297">
        <f>IF($A297=8,$E297,999999)</f>
        <v>999999</v>
      </c>
      <c r="AI297">
        <f>IF($A297=9,$E297,999999)</f>
        <v>999999</v>
      </c>
      <c r="AJ297">
        <f>IF($A297=10,$E297,999999)</f>
        <v>999999</v>
      </c>
      <c r="AK297">
        <f>IF($A297=11,$E297,999999)</f>
        <v>999999</v>
      </c>
      <c r="AL297">
        <f>IF($A297=12,$E297,999999)</f>
        <v>999999</v>
      </c>
      <c r="AM297">
        <f>IF($A297=13,$E297,999999)</f>
        <v>999999</v>
      </c>
      <c r="AN297">
        <f>IF($A297=14,$E297,999999)</f>
        <v>999999</v>
      </c>
      <c r="AO297">
        <f>IF($A297=15,$E297,999999)</f>
        <v>999999</v>
      </c>
      <c r="AP297">
        <f>IF($A297=16,$E297,999999)</f>
        <v>999999</v>
      </c>
      <c r="AQ297">
        <f>IF($A297=17,$E297,999999)</f>
        <v>999999</v>
      </c>
      <c r="AR297">
        <f>IF($A297=18,$E297,999999)</f>
        <v>999999</v>
      </c>
      <c r="AS297">
        <f>IF($A297=19,$E297,999999)</f>
        <v>999999</v>
      </c>
      <c r="AT297">
        <f>IF($A297=20,$E297,999999)</f>
        <v>999999</v>
      </c>
      <c r="BA297">
        <f>MAX(0,MIN(CEILING((BF297+BG297)/2,1),BA296+IF('幕间与结算'!E96="体力",N('幕间与结算'!K96),0)))</f>
        <v>0</v>
      </c>
      <c r="BB297">
        <f>MAX(0,MIN(BJ297,BB296+IF('幕间与结算'!E96="毅力",N('幕间与结算'!K96),0)))</f>
        <v>0</v>
      </c>
      <c r="BC297">
        <f>MAX(0,MIN(99-BL297,BC296+IF('幕间与结算'!E96="理智",N('幕间与结算'!K96),0)))</f>
        <v>0</v>
      </c>
      <c r="BD297">
        <f>MAX(0,MIN(99,BD296+IF('幕间与结算'!E96="崩溃点",N('幕间与结算'!K96),0)))</f>
        <v>0</v>
      </c>
      <c r="BF297">
        <f>MAX(0,MIN(18,'幕间计算'!BF296+IF('幕间与结算'!E96="力量",N('幕间与结算'!K96),0)))</f>
        <v>0</v>
      </c>
      <c r="BG297">
        <f>MAX(0,MIN(18,'幕间计算'!BG296+IF('幕间与结算'!E96="体质",N('幕间与结算'!K96),0)))</f>
        <v>0</v>
      </c>
      <c r="BH297">
        <f>MAX(0,MIN(18,'幕间计算'!BH296+IF('幕间与结算'!E96="敏捷",N('幕间与结算'!K96),0)))</f>
        <v>0</v>
      </c>
      <c r="BI297">
        <f>MAX(0,MIN(18,'幕间计算'!BI296+IF('幕间与结算'!E96="智力",N('幕间与结算'!K96),0)))</f>
        <v>0</v>
      </c>
      <c r="BJ297">
        <f>MAX(0,MIN(18,'幕间计算'!BJ296+IF('幕间与结算'!E96="意志",N('幕间与结算'!K96),0)))</f>
        <v>0</v>
      </c>
      <c r="BK297">
        <f>MAX(0,MIN(18,'幕间计算'!BK296+IF('幕间与结算'!E96="魅力",N('幕间与结算'!K96),0)))</f>
        <v>0</v>
      </c>
      <c r="BL297">
        <f>MAX(0,MIN(99,'幕间计算'!BL296+IF('幕间与结算'!E96="技能：非自然知识",N('幕间与结算'!K96),0)))</f>
        <v>0</v>
      </c>
    </row>
    <row r="298">
      <c r="A298">
        <f>IFERROR(IF(AND(VALUE('幕间与结算'!B97)&gt;=1,VALUE('幕间与结算'!B97)&lt;=20),VALUE('幕间与结算'!B97),0),0)</f>
        <v>0</v>
      </c>
      <c r="B298">
        <f>IF(AND(A298&gt;0,'幕间与结算'!D97&lt;&gt;"",'幕间与结算'!J97="确认",ISNUMBER('幕间与结算'!K97),OR('幕间与结算'!G97="失败",'幕间与结算'!G97="大失败"),'幕间与结算'!H97="√",LEFT('幕间与结算'!E97,3)="技能：",'幕间与结算'!E97&lt;&gt;"技能：非自然知识",ISNUMBER('幕间与结算'!F97),'幕间与结算'!F97&gt;=1,'幕间与结算'!F97&lt;=99),1,0)</f>
        <v>0</v>
      </c>
      <c r="D298">
        <f>IF(AND('幕间与结算'!J97="确认",ISNUMBER('幕间与结算'!K97),'幕间与结算'!L97&lt;&gt;"",ISNUMBER('幕间与结算'!M97),'幕间与结算'!M97&gt;0,'幕间与结算'!M97&lt;=99),'幕间与结算'!M97,0)</f>
        <v>0</v>
      </c>
      <c r="E298">
        <f>IF(AND(B298=1,COUNTIFS($A$210:A298,A298,$B$210:B298,1,'幕间与结算'!$E$9:E97,'幕间与结算'!E97)=1),89,999999)</f>
        <v>999999</v>
      </c>
      <c r="F298">
        <v>97</v>
      </c>
      <c r="AA298">
        <f>IF($A298=1,$E298,999999)</f>
        <v>999999</v>
      </c>
      <c r="AB298">
        <f>IF($A298=2,$E298,999999)</f>
        <v>999999</v>
      </c>
      <c r="AC298">
        <f>IF($A298=3,$E298,999999)</f>
        <v>999999</v>
      </c>
      <c r="AD298">
        <f>IF($A298=4,$E298,999999)</f>
        <v>999999</v>
      </c>
      <c r="AE298">
        <f>IF($A298=5,$E298,999999)</f>
        <v>999999</v>
      </c>
      <c r="AF298">
        <f>IF($A298=6,$E298,999999)</f>
        <v>999999</v>
      </c>
      <c r="AG298">
        <f>IF($A298=7,$E298,999999)</f>
        <v>999999</v>
      </c>
      <c r="AH298">
        <f>IF($A298=8,$E298,999999)</f>
        <v>999999</v>
      </c>
      <c r="AI298">
        <f>IF($A298=9,$E298,999999)</f>
        <v>999999</v>
      </c>
      <c r="AJ298">
        <f>IF($A298=10,$E298,999999)</f>
        <v>999999</v>
      </c>
      <c r="AK298">
        <f>IF($A298=11,$E298,999999)</f>
        <v>999999</v>
      </c>
      <c r="AL298">
        <f>IF($A298=12,$E298,999999)</f>
        <v>999999</v>
      </c>
      <c r="AM298">
        <f>IF($A298=13,$E298,999999)</f>
        <v>999999</v>
      </c>
      <c r="AN298">
        <f>IF($A298=14,$E298,999999)</f>
        <v>999999</v>
      </c>
      <c r="AO298">
        <f>IF($A298=15,$E298,999999)</f>
        <v>999999</v>
      </c>
      <c r="AP298">
        <f>IF($A298=16,$E298,999999)</f>
        <v>999999</v>
      </c>
      <c r="AQ298">
        <f>IF($A298=17,$E298,999999)</f>
        <v>999999</v>
      </c>
      <c r="AR298">
        <f>IF($A298=18,$E298,999999)</f>
        <v>999999</v>
      </c>
      <c r="AS298">
        <f>IF($A298=19,$E298,999999)</f>
        <v>999999</v>
      </c>
      <c r="AT298">
        <f>IF($A298=20,$E298,999999)</f>
        <v>999999</v>
      </c>
      <c r="BA298">
        <f>MAX(0,MIN(CEILING((BF298+BG298)/2,1),BA297+IF('幕间与结算'!E97="体力",N('幕间与结算'!K97),0)))</f>
        <v>0</v>
      </c>
      <c r="BB298">
        <f>MAX(0,MIN(BJ298,BB297+IF('幕间与结算'!E97="毅力",N('幕间与结算'!K97),0)))</f>
        <v>0</v>
      </c>
      <c r="BC298">
        <f>MAX(0,MIN(99-BL298,BC297+IF('幕间与结算'!E97="理智",N('幕间与结算'!K97),0)))</f>
        <v>0</v>
      </c>
      <c r="BD298">
        <f>MAX(0,MIN(99,BD297+IF('幕间与结算'!E97="崩溃点",N('幕间与结算'!K97),0)))</f>
        <v>0</v>
      </c>
      <c r="BF298">
        <f>MAX(0,MIN(18,'幕间计算'!BF297+IF('幕间与结算'!E97="力量",N('幕间与结算'!K97),0)))</f>
        <v>0</v>
      </c>
      <c r="BG298">
        <f>MAX(0,MIN(18,'幕间计算'!BG297+IF('幕间与结算'!E97="体质",N('幕间与结算'!K97),0)))</f>
        <v>0</v>
      </c>
      <c r="BH298">
        <f>MAX(0,MIN(18,'幕间计算'!BH297+IF('幕间与结算'!E97="敏捷",N('幕间与结算'!K97),0)))</f>
        <v>0</v>
      </c>
      <c r="BI298">
        <f>MAX(0,MIN(18,'幕间计算'!BI297+IF('幕间与结算'!E97="智力",N('幕间与结算'!K97),0)))</f>
        <v>0</v>
      </c>
      <c r="BJ298">
        <f>MAX(0,MIN(18,'幕间计算'!BJ297+IF('幕间与结算'!E97="意志",N('幕间与结算'!K97),0)))</f>
        <v>0</v>
      </c>
      <c r="BK298">
        <f>MAX(0,MIN(18,'幕间计算'!BK297+IF('幕间与结算'!E97="魅力",N('幕间与结算'!K97),0)))</f>
        <v>0</v>
      </c>
      <c r="BL298">
        <f>MAX(0,MIN(99,'幕间计算'!BL297+IF('幕间与结算'!E97="技能：非自然知识",N('幕间与结算'!K97),0)))</f>
        <v>0</v>
      </c>
    </row>
    <row r="299">
      <c r="A299">
        <f>IFERROR(IF(AND(VALUE('幕间与结算'!B98)&gt;=1,VALUE('幕间与结算'!B98)&lt;=20),VALUE('幕间与结算'!B98),0),0)</f>
        <v>0</v>
      </c>
      <c r="B299">
        <f>IF(AND(A299&gt;0,'幕间与结算'!D98&lt;&gt;"",'幕间与结算'!J98="确认",ISNUMBER('幕间与结算'!K98),OR('幕间与结算'!G98="失败",'幕间与结算'!G98="大失败"),'幕间与结算'!H98="√",LEFT('幕间与结算'!E98,3)="技能：",'幕间与结算'!E98&lt;&gt;"技能：非自然知识",ISNUMBER('幕间与结算'!F98),'幕间与结算'!F98&gt;=1,'幕间与结算'!F98&lt;=99),1,0)</f>
        <v>0</v>
      </c>
      <c r="D299">
        <f>IF(AND('幕间与结算'!J98="确认",ISNUMBER('幕间与结算'!K98),'幕间与结算'!L98&lt;&gt;"",ISNUMBER('幕间与结算'!M98),'幕间与结算'!M98&gt;0,'幕间与结算'!M98&lt;=99),'幕间与结算'!M98,0)</f>
        <v>0</v>
      </c>
      <c r="E299">
        <f>IF(AND(B299=1,COUNTIFS($A$210:A299,A299,$B$210:B299,1,'幕间与结算'!$E$9:E98,'幕间与结算'!E98)=1),90,999999)</f>
        <v>999999</v>
      </c>
      <c r="F299">
        <v>98</v>
      </c>
      <c r="AA299">
        <f>IF($A299=1,$E299,999999)</f>
        <v>999999</v>
      </c>
      <c r="AB299">
        <f>IF($A299=2,$E299,999999)</f>
        <v>999999</v>
      </c>
      <c r="AC299">
        <f>IF($A299=3,$E299,999999)</f>
        <v>999999</v>
      </c>
      <c r="AD299">
        <f>IF($A299=4,$E299,999999)</f>
        <v>999999</v>
      </c>
      <c r="AE299">
        <f>IF($A299=5,$E299,999999)</f>
        <v>999999</v>
      </c>
      <c r="AF299">
        <f>IF($A299=6,$E299,999999)</f>
        <v>999999</v>
      </c>
      <c r="AG299">
        <f>IF($A299=7,$E299,999999)</f>
        <v>999999</v>
      </c>
      <c r="AH299">
        <f>IF($A299=8,$E299,999999)</f>
        <v>999999</v>
      </c>
      <c r="AI299">
        <f>IF($A299=9,$E299,999999)</f>
        <v>999999</v>
      </c>
      <c r="AJ299">
        <f>IF($A299=10,$E299,999999)</f>
        <v>999999</v>
      </c>
      <c r="AK299">
        <f>IF($A299=11,$E299,999999)</f>
        <v>999999</v>
      </c>
      <c r="AL299">
        <f>IF($A299=12,$E299,999999)</f>
        <v>999999</v>
      </c>
      <c r="AM299">
        <f>IF($A299=13,$E299,999999)</f>
        <v>999999</v>
      </c>
      <c r="AN299">
        <f>IF($A299=14,$E299,999999)</f>
        <v>999999</v>
      </c>
      <c r="AO299">
        <f>IF($A299=15,$E299,999999)</f>
        <v>999999</v>
      </c>
      <c r="AP299">
        <f>IF($A299=16,$E299,999999)</f>
        <v>999999</v>
      </c>
      <c r="AQ299">
        <f>IF($A299=17,$E299,999999)</f>
        <v>999999</v>
      </c>
      <c r="AR299">
        <f>IF($A299=18,$E299,999999)</f>
        <v>999999</v>
      </c>
      <c r="AS299">
        <f>IF($A299=19,$E299,999999)</f>
        <v>999999</v>
      </c>
      <c r="AT299">
        <f>IF($A299=20,$E299,999999)</f>
        <v>999999</v>
      </c>
      <c r="BA299">
        <f>MAX(0,MIN(CEILING((BF299+BG299)/2,1),BA298+IF('幕间与结算'!E98="体力",N('幕间与结算'!K98),0)))</f>
        <v>0</v>
      </c>
      <c r="BB299">
        <f>MAX(0,MIN(BJ299,BB298+IF('幕间与结算'!E98="毅力",N('幕间与结算'!K98),0)))</f>
        <v>0</v>
      </c>
      <c r="BC299">
        <f>MAX(0,MIN(99-BL299,BC298+IF('幕间与结算'!E98="理智",N('幕间与结算'!K98),0)))</f>
        <v>0</v>
      </c>
      <c r="BD299">
        <f>MAX(0,MIN(99,BD298+IF('幕间与结算'!E98="崩溃点",N('幕间与结算'!K98),0)))</f>
        <v>0</v>
      </c>
      <c r="BF299">
        <f>MAX(0,MIN(18,'幕间计算'!BF298+IF('幕间与结算'!E98="力量",N('幕间与结算'!K98),0)))</f>
        <v>0</v>
      </c>
      <c r="BG299">
        <f>MAX(0,MIN(18,'幕间计算'!BG298+IF('幕间与结算'!E98="体质",N('幕间与结算'!K98),0)))</f>
        <v>0</v>
      </c>
      <c r="BH299">
        <f>MAX(0,MIN(18,'幕间计算'!BH298+IF('幕间与结算'!E98="敏捷",N('幕间与结算'!K98),0)))</f>
        <v>0</v>
      </c>
      <c r="BI299">
        <f>MAX(0,MIN(18,'幕间计算'!BI298+IF('幕间与结算'!E98="智力",N('幕间与结算'!K98),0)))</f>
        <v>0</v>
      </c>
      <c r="BJ299">
        <f>MAX(0,MIN(18,'幕间计算'!BJ298+IF('幕间与结算'!E98="意志",N('幕间与结算'!K98),0)))</f>
        <v>0</v>
      </c>
      <c r="BK299">
        <f>MAX(0,MIN(18,'幕间计算'!BK298+IF('幕间与结算'!E98="魅力",N('幕间与结算'!K98),0)))</f>
        <v>0</v>
      </c>
      <c r="BL299">
        <f>MAX(0,MIN(99,'幕间计算'!BL298+IF('幕间与结算'!E98="技能：非自然知识",N('幕间与结算'!K98),0)))</f>
        <v>0</v>
      </c>
    </row>
    <row r="300">
      <c r="A300">
        <f>IFERROR(IF(AND(VALUE('幕间与结算'!B99)&gt;=1,VALUE('幕间与结算'!B99)&lt;=20),VALUE('幕间与结算'!B99),0),0)</f>
        <v>0</v>
      </c>
      <c r="B300">
        <f>IF(AND(A300&gt;0,'幕间与结算'!D99&lt;&gt;"",'幕间与结算'!J99="确认",ISNUMBER('幕间与结算'!K99),OR('幕间与结算'!G99="失败",'幕间与结算'!G99="大失败"),'幕间与结算'!H99="√",LEFT('幕间与结算'!E99,3)="技能：",'幕间与结算'!E99&lt;&gt;"技能：非自然知识",ISNUMBER('幕间与结算'!F99),'幕间与结算'!F99&gt;=1,'幕间与结算'!F99&lt;=99),1,0)</f>
        <v>0</v>
      </c>
      <c r="D300">
        <f>IF(AND('幕间与结算'!J99="确认",ISNUMBER('幕间与结算'!K99),'幕间与结算'!L99&lt;&gt;"",ISNUMBER('幕间与结算'!M99),'幕间与结算'!M99&gt;0,'幕间与结算'!M99&lt;=99),'幕间与结算'!M99,0)</f>
        <v>0</v>
      </c>
      <c r="E300">
        <f>IF(AND(B300=1,COUNTIFS($A$210:A300,A300,$B$210:B300,1,'幕间与结算'!$E$9:E99,'幕间与结算'!E99)=1),91,999999)</f>
        <v>999999</v>
      </c>
      <c r="F300">
        <v>99</v>
      </c>
      <c r="AA300">
        <f>IF($A300=1,$E300,999999)</f>
        <v>999999</v>
      </c>
      <c r="AB300">
        <f>IF($A300=2,$E300,999999)</f>
        <v>999999</v>
      </c>
      <c r="AC300">
        <f>IF($A300=3,$E300,999999)</f>
        <v>999999</v>
      </c>
      <c r="AD300">
        <f>IF($A300=4,$E300,999999)</f>
        <v>999999</v>
      </c>
      <c r="AE300">
        <f>IF($A300=5,$E300,999999)</f>
        <v>999999</v>
      </c>
      <c r="AF300">
        <f>IF($A300=6,$E300,999999)</f>
        <v>999999</v>
      </c>
      <c r="AG300">
        <f>IF($A300=7,$E300,999999)</f>
        <v>999999</v>
      </c>
      <c r="AH300">
        <f>IF($A300=8,$E300,999999)</f>
        <v>999999</v>
      </c>
      <c r="AI300">
        <f>IF($A300=9,$E300,999999)</f>
        <v>999999</v>
      </c>
      <c r="AJ300">
        <f>IF($A300=10,$E300,999999)</f>
        <v>999999</v>
      </c>
      <c r="AK300">
        <f>IF($A300=11,$E300,999999)</f>
        <v>999999</v>
      </c>
      <c r="AL300">
        <f>IF($A300=12,$E300,999999)</f>
        <v>999999</v>
      </c>
      <c r="AM300">
        <f>IF($A300=13,$E300,999999)</f>
        <v>999999</v>
      </c>
      <c r="AN300">
        <f>IF($A300=14,$E300,999999)</f>
        <v>999999</v>
      </c>
      <c r="AO300">
        <f>IF($A300=15,$E300,999999)</f>
        <v>999999</v>
      </c>
      <c r="AP300">
        <f>IF($A300=16,$E300,999999)</f>
        <v>999999</v>
      </c>
      <c r="AQ300">
        <f>IF($A300=17,$E300,999999)</f>
        <v>999999</v>
      </c>
      <c r="AR300">
        <f>IF($A300=18,$E300,999999)</f>
        <v>999999</v>
      </c>
      <c r="AS300">
        <f>IF($A300=19,$E300,999999)</f>
        <v>999999</v>
      </c>
      <c r="AT300">
        <f>IF($A300=20,$E300,999999)</f>
        <v>999999</v>
      </c>
      <c r="BA300">
        <f>MAX(0,MIN(CEILING((BF300+BG300)/2,1),BA299+IF('幕间与结算'!E99="体力",N('幕间与结算'!K99),0)))</f>
        <v>0</v>
      </c>
      <c r="BB300">
        <f>MAX(0,MIN(BJ300,BB299+IF('幕间与结算'!E99="毅力",N('幕间与结算'!K99),0)))</f>
        <v>0</v>
      </c>
      <c r="BC300">
        <f>MAX(0,MIN(99-BL300,BC299+IF('幕间与结算'!E99="理智",N('幕间与结算'!K99),0)))</f>
        <v>0</v>
      </c>
      <c r="BD300">
        <f>MAX(0,MIN(99,BD299+IF('幕间与结算'!E99="崩溃点",N('幕间与结算'!K99),0)))</f>
        <v>0</v>
      </c>
      <c r="BF300">
        <f>MAX(0,MIN(18,'幕间计算'!BF299+IF('幕间与结算'!E99="力量",N('幕间与结算'!K99),0)))</f>
        <v>0</v>
      </c>
      <c r="BG300">
        <f>MAX(0,MIN(18,'幕间计算'!BG299+IF('幕间与结算'!E99="体质",N('幕间与结算'!K99),0)))</f>
        <v>0</v>
      </c>
      <c r="BH300">
        <f>MAX(0,MIN(18,'幕间计算'!BH299+IF('幕间与结算'!E99="敏捷",N('幕间与结算'!K99),0)))</f>
        <v>0</v>
      </c>
      <c r="BI300">
        <f>MAX(0,MIN(18,'幕间计算'!BI299+IF('幕间与结算'!E99="智力",N('幕间与结算'!K99),0)))</f>
        <v>0</v>
      </c>
      <c r="BJ300">
        <f>MAX(0,MIN(18,'幕间计算'!BJ299+IF('幕间与结算'!E99="意志",N('幕间与结算'!K99),0)))</f>
        <v>0</v>
      </c>
      <c r="BK300">
        <f>MAX(0,MIN(18,'幕间计算'!BK299+IF('幕间与结算'!E99="魅力",N('幕间与结算'!K99),0)))</f>
        <v>0</v>
      </c>
      <c r="BL300">
        <f>MAX(0,MIN(99,'幕间计算'!BL299+IF('幕间与结算'!E99="技能：非自然知识",N('幕间与结算'!K99),0)))</f>
        <v>0</v>
      </c>
    </row>
    <row r="301">
      <c r="A301">
        <f>IFERROR(IF(AND(VALUE('幕间与结算'!B100)&gt;=1,VALUE('幕间与结算'!B100)&lt;=20),VALUE('幕间与结算'!B100),0),0)</f>
        <v>0</v>
      </c>
      <c r="B301">
        <f>IF(AND(A301&gt;0,'幕间与结算'!D100&lt;&gt;"",'幕间与结算'!J100="确认",ISNUMBER('幕间与结算'!K100),OR('幕间与结算'!G100="失败",'幕间与结算'!G100="大失败"),'幕间与结算'!H100="√",LEFT('幕间与结算'!E100,3)="技能：",'幕间与结算'!E100&lt;&gt;"技能：非自然知识",ISNUMBER('幕间与结算'!F100),'幕间与结算'!F100&gt;=1,'幕间与结算'!F100&lt;=99),1,0)</f>
        <v>0</v>
      </c>
      <c r="D301">
        <f>IF(AND('幕间与结算'!J100="确认",ISNUMBER('幕间与结算'!K100),'幕间与结算'!L100&lt;&gt;"",ISNUMBER('幕间与结算'!M100),'幕间与结算'!M100&gt;0,'幕间与结算'!M100&lt;=99),'幕间与结算'!M100,0)</f>
        <v>0</v>
      </c>
      <c r="E301">
        <f>IF(AND(B301=1,COUNTIFS($A$210:A301,A301,$B$210:B301,1,'幕间与结算'!$E$9:E100,'幕间与结算'!E100)=1),92,999999)</f>
        <v>999999</v>
      </c>
      <c r="F301">
        <v>100</v>
      </c>
      <c r="AA301">
        <f>IF($A301=1,$E301,999999)</f>
        <v>999999</v>
      </c>
      <c r="AB301">
        <f>IF($A301=2,$E301,999999)</f>
        <v>999999</v>
      </c>
      <c r="AC301">
        <f>IF($A301=3,$E301,999999)</f>
        <v>999999</v>
      </c>
      <c r="AD301">
        <f>IF($A301=4,$E301,999999)</f>
        <v>999999</v>
      </c>
      <c r="AE301">
        <f>IF($A301=5,$E301,999999)</f>
        <v>999999</v>
      </c>
      <c r="AF301">
        <f>IF($A301=6,$E301,999999)</f>
        <v>999999</v>
      </c>
      <c r="AG301">
        <f>IF($A301=7,$E301,999999)</f>
        <v>999999</v>
      </c>
      <c r="AH301">
        <f>IF($A301=8,$E301,999999)</f>
        <v>999999</v>
      </c>
      <c r="AI301">
        <f>IF($A301=9,$E301,999999)</f>
        <v>999999</v>
      </c>
      <c r="AJ301">
        <f>IF($A301=10,$E301,999999)</f>
        <v>999999</v>
      </c>
      <c r="AK301">
        <f>IF($A301=11,$E301,999999)</f>
        <v>999999</v>
      </c>
      <c r="AL301">
        <f>IF($A301=12,$E301,999999)</f>
        <v>999999</v>
      </c>
      <c r="AM301">
        <f>IF($A301=13,$E301,999999)</f>
        <v>999999</v>
      </c>
      <c r="AN301">
        <f>IF($A301=14,$E301,999999)</f>
        <v>999999</v>
      </c>
      <c r="AO301">
        <f>IF($A301=15,$E301,999999)</f>
        <v>999999</v>
      </c>
      <c r="AP301">
        <f>IF($A301=16,$E301,999999)</f>
        <v>999999</v>
      </c>
      <c r="AQ301">
        <f>IF($A301=17,$E301,999999)</f>
        <v>999999</v>
      </c>
      <c r="AR301">
        <f>IF($A301=18,$E301,999999)</f>
        <v>999999</v>
      </c>
      <c r="AS301">
        <f>IF($A301=19,$E301,999999)</f>
        <v>999999</v>
      </c>
      <c r="AT301">
        <f>IF($A301=20,$E301,999999)</f>
        <v>999999</v>
      </c>
      <c r="BA301">
        <f>MAX(0,MIN(CEILING((BF301+BG301)/2,1),BA300+IF('幕间与结算'!E100="体力",N('幕间与结算'!K100),0)))</f>
        <v>0</v>
      </c>
      <c r="BB301">
        <f>MAX(0,MIN(BJ301,BB300+IF('幕间与结算'!E100="毅力",N('幕间与结算'!K100),0)))</f>
        <v>0</v>
      </c>
      <c r="BC301">
        <f>MAX(0,MIN(99-BL301,BC300+IF('幕间与结算'!E100="理智",N('幕间与结算'!K100),0)))</f>
        <v>0</v>
      </c>
      <c r="BD301">
        <f>MAX(0,MIN(99,BD300+IF('幕间与结算'!E100="崩溃点",N('幕间与结算'!K100),0)))</f>
        <v>0</v>
      </c>
      <c r="BF301">
        <f>MAX(0,MIN(18,'幕间计算'!BF300+IF('幕间与结算'!E100="力量",N('幕间与结算'!K100),0)))</f>
        <v>0</v>
      </c>
      <c r="BG301">
        <f>MAX(0,MIN(18,'幕间计算'!BG300+IF('幕间与结算'!E100="体质",N('幕间与结算'!K100),0)))</f>
        <v>0</v>
      </c>
      <c r="BH301">
        <f>MAX(0,MIN(18,'幕间计算'!BH300+IF('幕间与结算'!E100="敏捷",N('幕间与结算'!K100),0)))</f>
        <v>0</v>
      </c>
      <c r="BI301">
        <f>MAX(0,MIN(18,'幕间计算'!BI300+IF('幕间与结算'!E100="智力",N('幕间与结算'!K100),0)))</f>
        <v>0</v>
      </c>
      <c r="BJ301">
        <f>MAX(0,MIN(18,'幕间计算'!BJ300+IF('幕间与结算'!E100="意志",N('幕间与结算'!K100),0)))</f>
        <v>0</v>
      </c>
      <c r="BK301">
        <f>MAX(0,MIN(18,'幕间计算'!BK300+IF('幕间与结算'!E100="魅力",N('幕间与结算'!K100),0)))</f>
        <v>0</v>
      </c>
      <c r="BL301">
        <f>MAX(0,MIN(99,'幕间计算'!BL300+IF('幕间与结算'!E100="技能：非自然知识",N('幕间与结算'!K100),0)))</f>
        <v>0</v>
      </c>
    </row>
    <row r="302">
      <c r="A302">
        <f>IFERROR(IF(AND(VALUE('幕间与结算'!B101)&gt;=1,VALUE('幕间与结算'!B101)&lt;=20),VALUE('幕间与结算'!B101),0),0)</f>
        <v>0</v>
      </c>
      <c r="B302">
        <f>IF(AND(A302&gt;0,'幕间与结算'!D101&lt;&gt;"",'幕间与结算'!J101="确认",ISNUMBER('幕间与结算'!K101),OR('幕间与结算'!G101="失败",'幕间与结算'!G101="大失败"),'幕间与结算'!H101="√",LEFT('幕间与结算'!E101,3)="技能：",'幕间与结算'!E101&lt;&gt;"技能：非自然知识",ISNUMBER('幕间与结算'!F101),'幕间与结算'!F101&gt;=1,'幕间与结算'!F101&lt;=99),1,0)</f>
        <v>0</v>
      </c>
      <c r="D302">
        <f>IF(AND('幕间与结算'!J101="确认",ISNUMBER('幕间与结算'!K101),'幕间与结算'!L101&lt;&gt;"",ISNUMBER('幕间与结算'!M101),'幕间与结算'!M101&gt;0,'幕间与结算'!M101&lt;=99),'幕间与结算'!M101,0)</f>
        <v>0</v>
      </c>
      <c r="E302">
        <f>IF(AND(B302=1,COUNTIFS($A$210:A302,A302,$B$210:B302,1,'幕间与结算'!$E$9:E101,'幕间与结算'!E101)=1),93,999999)</f>
        <v>999999</v>
      </c>
      <c r="F302">
        <v>101</v>
      </c>
      <c r="AA302">
        <f>IF($A302=1,$E302,999999)</f>
        <v>999999</v>
      </c>
      <c r="AB302">
        <f>IF($A302=2,$E302,999999)</f>
        <v>999999</v>
      </c>
      <c r="AC302">
        <f>IF($A302=3,$E302,999999)</f>
        <v>999999</v>
      </c>
      <c r="AD302">
        <f>IF($A302=4,$E302,999999)</f>
        <v>999999</v>
      </c>
      <c r="AE302">
        <f>IF($A302=5,$E302,999999)</f>
        <v>999999</v>
      </c>
      <c r="AF302">
        <f>IF($A302=6,$E302,999999)</f>
        <v>999999</v>
      </c>
      <c r="AG302">
        <f>IF($A302=7,$E302,999999)</f>
        <v>999999</v>
      </c>
      <c r="AH302">
        <f>IF($A302=8,$E302,999999)</f>
        <v>999999</v>
      </c>
      <c r="AI302">
        <f>IF($A302=9,$E302,999999)</f>
        <v>999999</v>
      </c>
      <c r="AJ302">
        <f>IF($A302=10,$E302,999999)</f>
        <v>999999</v>
      </c>
      <c r="AK302">
        <f>IF($A302=11,$E302,999999)</f>
        <v>999999</v>
      </c>
      <c r="AL302">
        <f>IF($A302=12,$E302,999999)</f>
        <v>999999</v>
      </c>
      <c r="AM302">
        <f>IF($A302=13,$E302,999999)</f>
        <v>999999</v>
      </c>
      <c r="AN302">
        <f>IF($A302=14,$E302,999999)</f>
        <v>999999</v>
      </c>
      <c r="AO302">
        <f>IF($A302=15,$E302,999999)</f>
        <v>999999</v>
      </c>
      <c r="AP302">
        <f>IF($A302=16,$E302,999999)</f>
        <v>999999</v>
      </c>
      <c r="AQ302">
        <f>IF($A302=17,$E302,999999)</f>
        <v>999999</v>
      </c>
      <c r="AR302">
        <f>IF($A302=18,$E302,999999)</f>
        <v>999999</v>
      </c>
      <c r="AS302">
        <f>IF($A302=19,$E302,999999)</f>
        <v>999999</v>
      </c>
      <c r="AT302">
        <f>IF($A302=20,$E302,999999)</f>
        <v>999999</v>
      </c>
      <c r="BA302">
        <f>MAX(0,MIN(CEILING((BF302+BG302)/2,1),BA301+IF('幕间与结算'!E101="体力",N('幕间与结算'!K101),0)))</f>
        <v>0</v>
      </c>
      <c r="BB302">
        <f>MAX(0,MIN(BJ302,BB301+IF('幕间与结算'!E101="毅力",N('幕间与结算'!K101),0)))</f>
        <v>0</v>
      </c>
      <c r="BC302">
        <f>MAX(0,MIN(99-BL302,BC301+IF('幕间与结算'!E101="理智",N('幕间与结算'!K101),0)))</f>
        <v>0</v>
      </c>
      <c r="BD302">
        <f>MAX(0,MIN(99,BD301+IF('幕间与结算'!E101="崩溃点",N('幕间与结算'!K101),0)))</f>
        <v>0</v>
      </c>
      <c r="BF302">
        <f>MAX(0,MIN(18,'幕间计算'!BF301+IF('幕间与结算'!E101="力量",N('幕间与结算'!K101),0)))</f>
        <v>0</v>
      </c>
      <c r="BG302">
        <f>MAX(0,MIN(18,'幕间计算'!BG301+IF('幕间与结算'!E101="体质",N('幕间与结算'!K101),0)))</f>
        <v>0</v>
      </c>
      <c r="BH302">
        <f>MAX(0,MIN(18,'幕间计算'!BH301+IF('幕间与结算'!E101="敏捷",N('幕间与结算'!K101),0)))</f>
        <v>0</v>
      </c>
      <c r="BI302">
        <f>MAX(0,MIN(18,'幕间计算'!BI301+IF('幕间与结算'!E101="智力",N('幕间与结算'!K101),0)))</f>
        <v>0</v>
      </c>
      <c r="BJ302">
        <f>MAX(0,MIN(18,'幕间计算'!BJ301+IF('幕间与结算'!E101="意志",N('幕间与结算'!K101),0)))</f>
        <v>0</v>
      </c>
      <c r="BK302">
        <f>MAX(0,MIN(18,'幕间计算'!BK301+IF('幕间与结算'!E101="魅力",N('幕间与结算'!K101),0)))</f>
        <v>0</v>
      </c>
      <c r="BL302">
        <f>MAX(0,MIN(99,'幕间计算'!BL301+IF('幕间与结算'!E101="技能：非自然知识",N('幕间与结算'!K101),0)))</f>
        <v>0</v>
      </c>
    </row>
    <row r="303">
      <c r="A303">
        <f>IFERROR(IF(AND(VALUE('幕间与结算'!B102)&gt;=1,VALUE('幕间与结算'!B102)&lt;=20),VALUE('幕间与结算'!B102),0),0)</f>
        <v>0</v>
      </c>
      <c r="B303">
        <f>IF(AND(A303&gt;0,'幕间与结算'!D102&lt;&gt;"",'幕间与结算'!J102="确认",ISNUMBER('幕间与结算'!K102),OR('幕间与结算'!G102="失败",'幕间与结算'!G102="大失败"),'幕间与结算'!H102="√",LEFT('幕间与结算'!E102,3)="技能：",'幕间与结算'!E102&lt;&gt;"技能：非自然知识",ISNUMBER('幕间与结算'!F102),'幕间与结算'!F102&gt;=1,'幕间与结算'!F102&lt;=99),1,0)</f>
        <v>0</v>
      </c>
      <c r="D303">
        <f>IF(AND('幕间与结算'!J102="确认",ISNUMBER('幕间与结算'!K102),'幕间与结算'!L102&lt;&gt;"",ISNUMBER('幕间与结算'!M102),'幕间与结算'!M102&gt;0,'幕间与结算'!M102&lt;=99),'幕间与结算'!M102,0)</f>
        <v>0</v>
      </c>
      <c r="E303">
        <f>IF(AND(B303=1,COUNTIFS($A$210:A303,A303,$B$210:B303,1,'幕间与结算'!$E$9:E102,'幕间与结算'!E102)=1),94,999999)</f>
        <v>999999</v>
      </c>
      <c r="F303">
        <v>102</v>
      </c>
      <c r="AA303">
        <f>IF($A303=1,$E303,999999)</f>
        <v>999999</v>
      </c>
      <c r="AB303">
        <f>IF($A303=2,$E303,999999)</f>
        <v>999999</v>
      </c>
      <c r="AC303">
        <f>IF($A303=3,$E303,999999)</f>
        <v>999999</v>
      </c>
      <c r="AD303">
        <f>IF($A303=4,$E303,999999)</f>
        <v>999999</v>
      </c>
      <c r="AE303">
        <f>IF($A303=5,$E303,999999)</f>
        <v>999999</v>
      </c>
      <c r="AF303">
        <f>IF($A303=6,$E303,999999)</f>
        <v>999999</v>
      </c>
      <c r="AG303">
        <f>IF($A303=7,$E303,999999)</f>
        <v>999999</v>
      </c>
      <c r="AH303">
        <f>IF($A303=8,$E303,999999)</f>
        <v>999999</v>
      </c>
      <c r="AI303">
        <f>IF($A303=9,$E303,999999)</f>
        <v>999999</v>
      </c>
      <c r="AJ303">
        <f>IF($A303=10,$E303,999999)</f>
        <v>999999</v>
      </c>
      <c r="AK303">
        <f>IF($A303=11,$E303,999999)</f>
        <v>999999</v>
      </c>
      <c r="AL303">
        <f>IF($A303=12,$E303,999999)</f>
        <v>999999</v>
      </c>
      <c r="AM303">
        <f>IF($A303=13,$E303,999999)</f>
        <v>999999</v>
      </c>
      <c r="AN303">
        <f>IF($A303=14,$E303,999999)</f>
        <v>999999</v>
      </c>
      <c r="AO303">
        <f>IF($A303=15,$E303,999999)</f>
        <v>999999</v>
      </c>
      <c r="AP303">
        <f>IF($A303=16,$E303,999999)</f>
        <v>999999</v>
      </c>
      <c r="AQ303">
        <f>IF($A303=17,$E303,999999)</f>
        <v>999999</v>
      </c>
      <c r="AR303">
        <f>IF($A303=18,$E303,999999)</f>
        <v>999999</v>
      </c>
      <c r="AS303">
        <f>IF($A303=19,$E303,999999)</f>
        <v>999999</v>
      </c>
      <c r="AT303">
        <f>IF($A303=20,$E303,999999)</f>
        <v>999999</v>
      </c>
      <c r="BA303">
        <f>MAX(0,MIN(CEILING((BF303+BG303)/2,1),BA302+IF('幕间与结算'!E102="体力",N('幕间与结算'!K102),0)))</f>
        <v>0</v>
      </c>
      <c r="BB303">
        <f>MAX(0,MIN(BJ303,BB302+IF('幕间与结算'!E102="毅力",N('幕间与结算'!K102),0)))</f>
        <v>0</v>
      </c>
      <c r="BC303">
        <f>MAX(0,MIN(99-BL303,BC302+IF('幕间与结算'!E102="理智",N('幕间与结算'!K102),0)))</f>
        <v>0</v>
      </c>
      <c r="BD303">
        <f>MAX(0,MIN(99,BD302+IF('幕间与结算'!E102="崩溃点",N('幕间与结算'!K102),0)))</f>
        <v>0</v>
      </c>
      <c r="BF303">
        <f>MAX(0,MIN(18,'幕间计算'!BF302+IF('幕间与结算'!E102="力量",N('幕间与结算'!K102),0)))</f>
        <v>0</v>
      </c>
      <c r="BG303">
        <f>MAX(0,MIN(18,'幕间计算'!BG302+IF('幕间与结算'!E102="体质",N('幕间与结算'!K102),0)))</f>
        <v>0</v>
      </c>
      <c r="BH303">
        <f>MAX(0,MIN(18,'幕间计算'!BH302+IF('幕间与结算'!E102="敏捷",N('幕间与结算'!K102),0)))</f>
        <v>0</v>
      </c>
      <c r="BI303">
        <f>MAX(0,MIN(18,'幕间计算'!BI302+IF('幕间与结算'!E102="智力",N('幕间与结算'!K102),0)))</f>
        <v>0</v>
      </c>
      <c r="BJ303">
        <f>MAX(0,MIN(18,'幕间计算'!BJ302+IF('幕间与结算'!E102="意志",N('幕间与结算'!K102),0)))</f>
        <v>0</v>
      </c>
      <c r="BK303">
        <f>MAX(0,MIN(18,'幕间计算'!BK302+IF('幕间与结算'!E102="魅力",N('幕间与结算'!K102),0)))</f>
        <v>0</v>
      </c>
      <c r="BL303">
        <f>MAX(0,MIN(99,'幕间计算'!BL302+IF('幕间与结算'!E102="技能：非自然知识",N('幕间与结算'!K102),0)))</f>
        <v>0</v>
      </c>
    </row>
    <row r="304">
      <c r="A304">
        <f>IFERROR(IF(AND(VALUE('幕间与结算'!B103)&gt;=1,VALUE('幕间与结算'!B103)&lt;=20),VALUE('幕间与结算'!B103),0),0)</f>
        <v>0</v>
      </c>
      <c r="B304">
        <f>IF(AND(A304&gt;0,'幕间与结算'!D103&lt;&gt;"",'幕间与结算'!J103="确认",ISNUMBER('幕间与结算'!K103),OR('幕间与结算'!G103="失败",'幕间与结算'!G103="大失败"),'幕间与结算'!H103="√",LEFT('幕间与结算'!E103,3)="技能：",'幕间与结算'!E103&lt;&gt;"技能：非自然知识",ISNUMBER('幕间与结算'!F103),'幕间与结算'!F103&gt;=1,'幕间与结算'!F103&lt;=99),1,0)</f>
        <v>0</v>
      </c>
      <c r="D304">
        <f>IF(AND('幕间与结算'!J103="确认",ISNUMBER('幕间与结算'!K103),'幕间与结算'!L103&lt;&gt;"",ISNUMBER('幕间与结算'!M103),'幕间与结算'!M103&gt;0,'幕间与结算'!M103&lt;=99),'幕间与结算'!M103,0)</f>
        <v>0</v>
      </c>
      <c r="E304">
        <f>IF(AND(B304=1,COUNTIFS($A$210:A304,A304,$B$210:B304,1,'幕间与结算'!$E$9:E103,'幕间与结算'!E103)=1),95,999999)</f>
        <v>999999</v>
      </c>
      <c r="F304">
        <v>103</v>
      </c>
      <c r="AA304">
        <f>IF($A304=1,$E304,999999)</f>
        <v>999999</v>
      </c>
      <c r="AB304">
        <f>IF($A304=2,$E304,999999)</f>
        <v>999999</v>
      </c>
      <c r="AC304">
        <f>IF($A304=3,$E304,999999)</f>
        <v>999999</v>
      </c>
      <c r="AD304">
        <f>IF($A304=4,$E304,999999)</f>
        <v>999999</v>
      </c>
      <c r="AE304">
        <f>IF($A304=5,$E304,999999)</f>
        <v>999999</v>
      </c>
      <c r="AF304">
        <f>IF($A304=6,$E304,999999)</f>
        <v>999999</v>
      </c>
      <c r="AG304">
        <f>IF($A304=7,$E304,999999)</f>
        <v>999999</v>
      </c>
      <c r="AH304">
        <f>IF($A304=8,$E304,999999)</f>
        <v>999999</v>
      </c>
      <c r="AI304">
        <f>IF($A304=9,$E304,999999)</f>
        <v>999999</v>
      </c>
      <c r="AJ304">
        <f>IF($A304=10,$E304,999999)</f>
        <v>999999</v>
      </c>
      <c r="AK304">
        <f>IF($A304=11,$E304,999999)</f>
        <v>999999</v>
      </c>
      <c r="AL304">
        <f>IF($A304=12,$E304,999999)</f>
        <v>999999</v>
      </c>
      <c r="AM304">
        <f>IF($A304=13,$E304,999999)</f>
        <v>999999</v>
      </c>
      <c r="AN304">
        <f>IF($A304=14,$E304,999999)</f>
        <v>999999</v>
      </c>
      <c r="AO304">
        <f>IF($A304=15,$E304,999999)</f>
        <v>999999</v>
      </c>
      <c r="AP304">
        <f>IF($A304=16,$E304,999999)</f>
        <v>999999</v>
      </c>
      <c r="AQ304">
        <f>IF($A304=17,$E304,999999)</f>
        <v>999999</v>
      </c>
      <c r="AR304">
        <f>IF($A304=18,$E304,999999)</f>
        <v>999999</v>
      </c>
      <c r="AS304">
        <f>IF($A304=19,$E304,999999)</f>
        <v>999999</v>
      </c>
      <c r="AT304">
        <f>IF($A304=20,$E304,999999)</f>
        <v>999999</v>
      </c>
      <c r="BA304">
        <f>MAX(0,MIN(CEILING((BF304+BG304)/2,1),BA303+IF('幕间与结算'!E103="体力",N('幕间与结算'!K103),0)))</f>
        <v>0</v>
      </c>
      <c r="BB304">
        <f>MAX(0,MIN(BJ304,BB303+IF('幕间与结算'!E103="毅力",N('幕间与结算'!K103),0)))</f>
        <v>0</v>
      </c>
      <c r="BC304">
        <f>MAX(0,MIN(99-BL304,BC303+IF('幕间与结算'!E103="理智",N('幕间与结算'!K103),0)))</f>
        <v>0</v>
      </c>
      <c r="BD304">
        <f>MAX(0,MIN(99,BD303+IF('幕间与结算'!E103="崩溃点",N('幕间与结算'!K103),0)))</f>
        <v>0</v>
      </c>
      <c r="BF304">
        <f>MAX(0,MIN(18,'幕间计算'!BF303+IF('幕间与结算'!E103="力量",N('幕间与结算'!K103),0)))</f>
        <v>0</v>
      </c>
      <c r="BG304">
        <f>MAX(0,MIN(18,'幕间计算'!BG303+IF('幕间与结算'!E103="体质",N('幕间与结算'!K103),0)))</f>
        <v>0</v>
      </c>
      <c r="BH304">
        <f>MAX(0,MIN(18,'幕间计算'!BH303+IF('幕间与结算'!E103="敏捷",N('幕间与结算'!K103),0)))</f>
        <v>0</v>
      </c>
      <c r="BI304">
        <f>MAX(0,MIN(18,'幕间计算'!BI303+IF('幕间与结算'!E103="智力",N('幕间与结算'!K103),0)))</f>
        <v>0</v>
      </c>
      <c r="BJ304">
        <f>MAX(0,MIN(18,'幕间计算'!BJ303+IF('幕间与结算'!E103="意志",N('幕间与结算'!K103),0)))</f>
        <v>0</v>
      </c>
      <c r="BK304">
        <f>MAX(0,MIN(18,'幕间计算'!BK303+IF('幕间与结算'!E103="魅力",N('幕间与结算'!K103),0)))</f>
        <v>0</v>
      </c>
      <c r="BL304">
        <f>MAX(0,MIN(99,'幕间计算'!BL303+IF('幕间与结算'!E103="技能：非自然知识",N('幕间与结算'!K103),0)))</f>
        <v>0</v>
      </c>
    </row>
    <row r="305">
      <c r="A305">
        <f>IFERROR(IF(AND(VALUE('幕间与结算'!B104)&gt;=1,VALUE('幕间与结算'!B104)&lt;=20),VALUE('幕间与结算'!B104),0),0)</f>
        <v>0</v>
      </c>
      <c r="B305">
        <f>IF(AND(A305&gt;0,'幕间与结算'!D104&lt;&gt;"",'幕间与结算'!J104="确认",ISNUMBER('幕间与结算'!K104),OR('幕间与结算'!G104="失败",'幕间与结算'!G104="大失败"),'幕间与结算'!H104="√",LEFT('幕间与结算'!E104,3)="技能：",'幕间与结算'!E104&lt;&gt;"技能：非自然知识",ISNUMBER('幕间与结算'!F104),'幕间与结算'!F104&gt;=1,'幕间与结算'!F104&lt;=99),1,0)</f>
        <v>0</v>
      </c>
      <c r="D305">
        <f>IF(AND('幕间与结算'!J104="确认",ISNUMBER('幕间与结算'!K104),'幕间与结算'!L104&lt;&gt;"",ISNUMBER('幕间与结算'!M104),'幕间与结算'!M104&gt;0,'幕间与结算'!M104&lt;=99),'幕间与结算'!M104,0)</f>
        <v>0</v>
      </c>
      <c r="E305">
        <f>IF(AND(B305=1,COUNTIFS($A$210:A305,A305,$B$210:B305,1,'幕间与结算'!$E$9:E104,'幕间与结算'!E104)=1),96,999999)</f>
        <v>999999</v>
      </c>
      <c r="F305">
        <v>104</v>
      </c>
      <c r="AA305">
        <f>IF($A305=1,$E305,999999)</f>
        <v>999999</v>
      </c>
      <c r="AB305">
        <f>IF($A305=2,$E305,999999)</f>
        <v>999999</v>
      </c>
      <c r="AC305">
        <f>IF($A305=3,$E305,999999)</f>
        <v>999999</v>
      </c>
      <c r="AD305">
        <f>IF($A305=4,$E305,999999)</f>
        <v>999999</v>
      </c>
      <c r="AE305">
        <f>IF($A305=5,$E305,999999)</f>
        <v>999999</v>
      </c>
      <c r="AF305">
        <f>IF($A305=6,$E305,999999)</f>
        <v>999999</v>
      </c>
      <c r="AG305">
        <f>IF($A305=7,$E305,999999)</f>
        <v>999999</v>
      </c>
      <c r="AH305">
        <f>IF($A305=8,$E305,999999)</f>
        <v>999999</v>
      </c>
      <c r="AI305">
        <f>IF($A305=9,$E305,999999)</f>
        <v>999999</v>
      </c>
      <c r="AJ305">
        <f>IF($A305=10,$E305,999999)</f>
        <v>999999</v>
      </c>
      <c r="AK305">
        <f>IF($A305=11,$E305,999999)</f>
        <v>999999</v>
      </c>
      <c r="AL305">
        <f>IF($A305=12,$E305,999999)</f>
        <v>999999</v>
      </c>
      <c r="AM305">
        <f>IF($A305=13,$E305,999999)</f>
        <v>999999</v>
      </c>
      <c r="AN305">
        <f>IF($A305=14,$E305,999999)</f>
        <v>999999</v>
      </c>
      <c r="AO305">
        <f>IF($A305=15,$E305,999999)</f>
        <v>999999</v>
      </c>
      <c r="AP305">
        <f>IF($A305=16,$E305,999999)</f>
        <v>999999</v>
      </c>
      <c r="AQ305">
        <f>IF($A305=17,$E305,999999)</f>
        <v>999999</v>
      </c>
      <c r="AR305">
        <f>IF($A305=18,$E305,999999)</f>
        <v>999999</v>
      </c>
      <c r="AS305">
        <f>IF($A305=19,$E305,999999)</f>
        <v>999999</v>
      </c>
      <c r="AT305">
        <f>IF($A305=20,$E305,999999)</f>
        <v>999999</v>
      </c>
      <c r="BA305">
        <f>MAX(0,MIN(CEILING((BF305+BG305)/2,1),BA304+IF('幕间与结算'!E104="体力",N('幕间与结算'!K104),0)))</f>
        <v>0</v>
      </c>
      <c r="BB305">
        <f>MAX(0,MIN(BJ305,BB304+IF('幕间与结算'!E104="毅力",N('幕间与结算'!K104),0)))</f>
        <v>0</v>
      </c>
      <c r="BC305">
        <f>MAX(0,MIN(99-BL305,BC304+IF('幕间与结算'!E104="理智",N('幕间与结算'!K104),0)))</f>
        <v>0</v>
      </c>
      <c r="BD305">
        <f>MAX(0,MIN(99,BD304+IF('幕间与结算'!E104="崩溃点",N('幕间与结算'!K104),0)))</f>
        <v>0</v>
      </c>
      <c r="BF305">
        <f>MAX(0,MIN(18,'幕间计算'!BF304+IF('幕间与结算'!E104="力量",N('幕间与结算'!K104),0)))</f>
        <v>0</v>
      </c>
      <c r="BG305">
        <f>MAX(0,MIN(18,'幕间计算'!BG304+IF('幕间与结算'!E104="体质",N('幕间与结算'!K104),0)))</f>
        <v>0</v>
      </c>
      <c r="BH305">
        <f>MAX(0,MIN(18,'幕间计算'!BH304+IF('幕间与结算'!E104="敏捷",N('幕间与结算'!K104),0)))</f>
        <v>0</v>
      </c>
      <c r="BI305">
        <f>MAX(0,MIN(18,'幕间计算'!BI304+IF('幕间与结算'!E104="智力",N('幕间与结算'!K104),0)))</f>
        <v>0</v>
      </c>
      <c r="BJ305">
        <f>MAX(0,MIN(18,'幕间计算'!BJ304+IF('幕间与结算'!E104="意志",N('幕间与结算'!K104),0)))</f>
        <v>0</v>
      </c>
      <c r="BK305">
        <f>MAX(0,MIN(18,'幕间计算'!BK304+IF('幕间与结算'!E104="魅力",N('幕间与结算'!K104),0)))</f>
        <v>0</v>
      </c>
      <c r="BL305">
        <f>MAX(0,MIN(99,'幕间计算'!BL304+IF('幕间与结算'!E104="技能：非自然知识",N('幕间与结算'!K104),0)))</f>
        <v>0</v>
      </c>
    </row>
    <row r="306">
      <c r="A306">
        <f>IFERROR(IF(AND(VALUE('幕间与结算'!B105)&gt;=1,VALUE('幕间与结算'!B105)&lt;=20),VALUE('幕间与结算'!B105),0),0)</f>
        <v>0</v>
      </c>
      <c r="B306">
        <f>IF(AND(A306&gt;0,'幕间与结算'!D105&lt;&gt;"",'幕间与结算'!J105="确认",ISNUMBER('幕间与结算'!K105),OR('幕间与结算'!G105="失败",'幕间与结算'!G105="大失败"),'幕间与结算'!H105="√",LEFT('幕间与结算'!E105,3)="技能：",'幕间与结算'!E105&lt;&gt;"技能：非自然知识",ISNUMBER('幕间与结算'!F105),'幕间与结算'!F105&gt;=1,'幕间与结算'!F105&lt;=99),1,0)</f>
        <v>0</v>
      </c>
      <c r="D306">
        <f>IF(AND('幕间与结算'!J105="确认",ISNUMBER('幕间与结算'!K105),'幕间与结算'!L105&lt;&gt;"",ISNUMBER('幕间与结算'!M105),'幕间与结算'!M105&gt;0,'幕间与结算'!M105&lt;=99),'幕间与结算'!M105,0)</f>
        <v>0</v>
      </c>
      <c r="E306">
        <f>IF(AND(B306=1,COUNTIFS($A$210:A306,A306,$B$210:B306,1,'幕间与结算'!$E$9:E105,'幕间与结算'!E105)=1),97,999999)</f>
        <v>999999</v>
      </c>
      <c r="F306">
        <v>105</v>
      </c>
      <c r="AA306">
        <f>IF($A306=1,$E306,999999)</f>
        <v>999999</v>
      </c>
      <c r="AB306">
        <f>IF($A306=2,$E306,999999)</f>
        <v>999999</v>
      </c>
      <c r="AC306">
        <f>IF($A306=3,$E306,999999)</f>
        <v>999999</v>
      </c>
      <c r="AD306">
        <f>IF($A306=4,$E306,999999)</f>
        <v>999999</v>
      </c>
      <c r="AE306">
        <f>IF($A306=5,$E306,999999)</f>
        <v>999999</v>
      </c>
      <c r="AF306">
        <f>IF($A306=6,$E306,999999)</f>
        <v>999999</v>
      </c>
      <c r="AG306">
        <f>IF($A306=7,$E306,999999)</f>
        <v>999999</v>
      </c>
      <c r="AH306">
        <f>IF($A306=8,$E306,999999)</f>
        <v>999999</v>
      </c>
      <c r="AI306">
        <f>IF($A306=9,$E306,999999)</f>
        <v>999999</v>
      </c>
      <c r="AJ306">
        <f>IF($A306=10,$E306,999999)</f>
        <v>999999</v>
      </c>
      <c r="AK306">
        <f>IF($A306=11,$E306,999999)</f>
        <v>999999</v>
      </c>
      <c r="AL306">
        <f>IF($A306=12,$E306,999999)</f>
        <v>999999</v>
      </c>
      <c r="AM306">
        <f>IF($A306=13,$E306,999999)</f>
        <v>999999</v>
      </c>
      <c r="AN306">
        <f>IF($A306=14,$E306,999999)</f>
        <v>999999</v>
      </c>
      <c r="AO306">
        <f>IF($A306=15,$E306,999999)</f>
        <v>999999</v>
      </c>
      <c r="AP306">
        <f>IF($A306=16,$E306,999999)</f>
        <v>999999</v>
      </c>
      <c r="AQ306">
        <f>IF($A306=17,$E306,999999)</f>
        <v>999999</v>
      </c>
      <c r="AR306">
        <f>IF($A306=18,$E306,999999)</f>
        <v>999999</v>
      </c>
      <c r="AS306">
        <f>IF($A306=19,$E306,999999)</f>
        <v>999999</v>
      </c>
      <c r="AT306">
        <f>IF($A306=20,$E306,999999)</f>
        <v>999999</v>
      </c>
      <c r="BA306">
        <f>MAX(0,MIN(CEILING((BF306+BG306)/2,1),BA305+IF('幕间与结算'!E105="体力",N('幕间与结算'!K105),0)))</f>
        <v>0</v>
      </c>
      <c r="BB306">
        <f>MAX(0,MIN(BJ306,BB305+IF('幕间与结算'!E105="毅力",N('幕间与结算'!K105),0)))</f>
        <v>0</v>
      </c>
      <c r="BC306">
        <f>MAX(0,MIN(99-BL306,BC305+IF('幕间与结算'!E105="理智",N('幕间与结算'!K105),0)))</f>
        <v>0</v>
      </c>
      <c r="BD306">
        <f>MAX(0,MIN(99,BD305+IF('幕间与结算'!E105="崩溃点",N('幕间与结算'!K105),0)))</f>
        <v>0</v>
      </c>
      <c r="BF306">
        <f>MAX(0,MIN(18,'幕间计算'!BF305+IF('幕间与结算'!E105="力量",N('幕间与结算'!K105),0)))</f>
        <v>0</v>
      </c>
      <c r="BG306">
        <f>MAX(0,MIN(18,'幕间计算'!BG305+IF('幕间与结算'!E105="体质",N('幕间与结算'!K105),0)))</f>
        <v>0</v>
      </c>
      <c r="BH306">
        <f>MAX(0,MIN(18,'幕间计算'!BH305+IF('幕间与结算'!E105="敏捷",N('幕间与结算'!K105),0)))</f>
        <v>0</v>
      </c>
      <c r="BI306">
        <f>MAX(0,MIN(18,'幕间计算'!BI305+IF('幕间与结算'!E105="智力",N('幕间与结算'!K105),0)))</f>
        <v>0</v>
      </c>
      <c r="BJ306">
        <f>MAX(0,MIN(18,'幕间计算'!BJ305+IF('幕间与结算'!E105="意志",N('幕间与结算'!K105),0)))</f>
        <v>0</v>
      </c>
      <c r="BK306">
        <f>MAX(0,MIN(18,'幕间计算'!BK305+IF('幕间与结算'!E105="魅力",N('幕间与结算'!K105),0)))</f>
        <v>0</v>
      </c>
      <c r="BL306">
        <f>MAX(0,MIN(99,'幕间计算'!BL305+IF('幕间与结算'!E105="技能：非自然知识",N('幕间与结算'!K105),0)))</f>
        <v>0</v>
      </c>
    </row>
    <row r="307">
      <c r="A307">
        <f>IFERROR(IF(AND(VALUE('幕间与结算'!B106)&gt;=1,VALUE('幕间与结算'!B106)&lt;=20),VALUE('幕间与结算'!B106),0),0)</f>
        <v>0</v>
      </c>
      <c r="B307">
        <f>IF(AND(A307&gt;0,'幕间与结算'!D106&lt;&gt;"",'幕间与结算'!J106="确认",ISNUMBER('幕间与结算'!K106),OR('幕间与结算'!G106="失败",'幕间与结算'!G106="大失败"),'幕间与结算'!H106="√",LEFT('幕间与结算'!E106,3)="技能：",'幕间与结算'!E106&lt;&gt;"技能：非自然知识",ISNUMBER('幕间与结算'!F106),'幕间与结算'!F106&gt;=1,'幕间与结算'!F106&lt;=99),1,0)</f>
        <v>0</v>
      </c>
      <c r="D307">
        <f>IF(AND('幕间与结算'!J106="确认",ISNUMBER('幕间与结算'!K106),'幕间与结算'!L106&lt;&gt;"",ISNUMBER('幕间与结算'!M106),'幕间与结算'!M106&gt;0,'幕间与结算'!M106&lt;=99),'幕间与结算'!M106,0)</f>
        <v>0</v>
      </c>
      <c r="E307">
        <f>IF(AND(B307=1,COUNTIFS($A$210:A307,A307,$B$210:B307,1,'幕间与结算'!$E$9:E106,'幕间与结算'!E106)=1),98,999999)</f>
        <v>999999</v>
      </c>
      <c r="F307">
        <v>106</v>
      </c>
      <c r="AA307">
        <f>IF($A307=1,$E307,999999)</f>
        <v>999999</v>
      </c>
      <c r="AB307">
        <f>IF($A307=2,$E307,999999)</f>
        <v>999999</v>
      </c>
      <c r="AC307">
        <f>IF($A307=3,$E307,999999)</f>
        <v>999999</v>
      </c>
      <c r="AD307">
        <f>IF($A307=4,$E307,999999)</f>
        <v>999999</v>
      </c>
      <c r="AE307">
        <f>IF($A307=5,$E307,999999)</f>
        <v>999999</v>
      </c>
      <c r="AF307">
        <f>IF($A307=6,$E307,999999)</f>
        <v>999999</v>
      </c>
      <c r="AG307">
        <f>IF($A307=7,$E307,999999)</f>
        <v>999999</v>
      </c>
      <c r="AH307">
        <f>IF($A307=8,$E307,999999)</f>
        <v>999999</v>
      </c>
      <c r="AI307">
        <f>IF($A307=9,$E307,999999)</f>
        <v>999999</v>
      </c>
      <c r="AJ307">
        <f>IF($A307=10,$E307,999999)</f>
        <v>999999</v>
      </c>
      <c r="AK307">
        <f>IF($A307=11,$E307,999999)</f>
        <v>999999</v>
      </c>
      <c r="AL307">
        <f>IF($A307=12,$E307,999999)</f>
        <v>999999</v>
      </c>
      <c r="AM307">
        <f>IF($A307=13,$E307,999999)</f>
        <v>999999</v>
      </c>
      <c r="AN307">
        <f>IF($A307=14,$E307,999999)</f>
        <v>999999</v>
      </c>
      <c r="AO307">
        <f>IF($A307=15,$E307,999999)</f>
        <v>999999</v>
      </c>
      <c r="AP307">
        <f>IF($A307=16,$E307,999999)</f>
        <v>999999</v>
      </c>
      <c r="AQ307">
        <f>IF($A307=17,$E307,999999)</f>
        <v>999999</v>
      </c>
      <c r="AR307">
        <f>IF($A307=18,$E307,999999)</f>
        <v>999999</v>
      </c>
      <c r="AS307">
        <f>IF($A307=19,$E307,999999)</f>
        <v>999999</v>
      </c>
      <c r="AT307">
        <f>IF($A307=20,$E307,999999)</f>
        <v>999999</v>
      </c>
      <c r="BA307">
        <f>MAX(0,MIN(CEILING((BF307+BG307)/2,1),BA306+IF('幕间与结算'!E106="体力",N('幕间与结算'!K106),0)))</f>
        <v>0</v>
      </c>
      <c r="BB307">
        <f>MAX(0,MIN(BJ307,BB306+IF('幕间与结算'!E106="毅力",N('幕间与结算'!K106),0)))</f>
        <v>0</v>
      </c>
      <c r="BC307">
        <f>MAX(0,MIN(99-BL307,BC306+IF('幕间与结算'!E106="理智",N('幕间与结算'!K106),0)))</f>
        <v>0</v>
      </c>
      <c r="BD307">
        <f>MAX(0,MIN(99,BD306+IF('幕间与结算'!E106="崩溃点",N('幕间与结算'!K106),0)))</f>
        <v>0</v>
      </c>
      <c r="BF307">
        <f>MAX(0,MIN(18,'幕间计算'!BF306+IF('幕间与结算'!E106="力量",N('幕间与结算'!K106),0)))</f>
        <v>0</v>
      </c>
      <c r="BG307">
        <f>MAX(0,MIN(18,'幕间计算'!BG306+IF('幕间与结算'!E106="体质",N('幕间与结算'!K106),0)))</f>
        <v>0</v>
      </c>
      <c r="BH307">
        <f>MAX(0,MIN(18,'幕间计算'!BH306+IF('幕间与结算'!E106="敏捷",N('幕间与结算'!K106),0)))</f>
        <v>0</v>
      </c>
      <c r="BI307">
        <f>MAX(0,MIN(18,'幕间计算'!BI306+IF('幕间与结算'!E106="智力",N('幕间与结算'!K106),0)))</f>
        <v>0</v>
      </c>
      <c r="BJ307">
        <f>MAX(0,MIN(18,'幕间计算'!BJ306+IF('幕间与结算'!E106="意志",N('幕间与结算'!K106),0)))</f>
        <v>0</v>
      </c>
      <c r="BK307">
        <f>MAX(0,MIN(18,'幕间计算'!BK306+IF('幕间与结算'!E106="魅力",N('幕间与结算'!K106),0)))</f>
        <v>0</v>
      </c>
      <c r="BL307">
        <f>MAX(0,MIN(99,'幕间计算'!BL306+IF('幕间与结算'!E106="技能：非自然知识",N('幕间与结算'!K106),0)))</f>
        <v>0</v>
      </c>
    </row>
    <row r="308">
      <c r="A308">
        <f>IFERROR(IF(AND(VALUE('幕间与结算'!B107)&gt;=1,VALUE('幕间与结算'!B107)&lt;=20),VALUE('幕间与结算'!B107),0),0)</f>
        <v>0</v>
      </c>
      <c r="B308">
        <f>IF(AND(A308&gt;0,'幕间与结算'!D107&lt;&gt;"",'幕间与结算'!J107="确认",ISNUMBER('幕间与结算'!K107),OR('幕间与结算'!G107="失败",'幕间与结算'!G107="大失败"),'幕间与结算'!H107="√",LEFT('幕间与结算'!E107,3)="技能：",'幕间与结算'!E107&lt;&gt;"技能：非自然知识",ISNUMBER('幕间与结算'!F107),'幕间与结算'!F107&gt;=1,'幕间与结算'!F107&lt;=99),1,0)</f>
        <v>0</v>
      </c>
      <c r="D308">
        <f>IF(AND('幕间与结算'!J107="确认",ISNUMBER('幕间与结算'!K107),'幕间与结算'!L107&lt;&gt;"",ISNUMBER('幕间与结算'!M107),'幕间与结算'!M107&gt;0,'幕间与结算'!M107&lt;=99),'幕间与结算'!M107,0)</f>
        <v>0</v>
      </c>
      <c r="E308">
        <f>IF(AND(B308=1,COUNTIFS($A$210:A308,A308,$B$210:B308,1,'幕间与结算'!$E$9:E107,'幕间与结算'!E107)=1),99,999999)</f>
        <v>999999</v>
      </c>
      <c r="F308">
        <v>107</v>
      </c>
      <c r="AA308">
        <f>IF($A308=1,$E308,999999)</f>
        <v>999999</v>
      </c>
      <c r="AB308">
        <f>IF($A308=2,$E308,999999)</f>
        <v>999999</v>
      </c>
      <c r="AC308">
        <f>IF($A308=3,$E308,999999)</f>
        <v>999999</v>
      </c>
      <c r="AD308">
        <f>IF($A308=4,$E308,999999)</f>
        <v>999999</v>
      </c>
      <c r="AE308">
        <f>IF($A308=5,$E308,999999)</f>
        <v>999999</v>
      </c>
      <c r="AF308">
        <f>IF($A308=6,$E308,999999)</f>
        <v>999999</v>
      </c>
      <c r="AG308">
        <f>IF($A308=7,$E308,999999)</f>
        <v>999999</v>
      </c>
      <c r="AH308">
        <f>IF($A308=8,$E308,999999)</f>
        <v>999999</v>
      </c>
      <c r="AI308">
        <f>IF($A308=9,$E308,999999)</f>
        <v>999999</v>
      </c>
      <c r="AJ308">
        <f>IF($A308=10,$E308,999999)</f>
        <v>999999</v>
      </c>
      <c r="AK308">
        <f>IF($A308=11,$E308,999999)</f>
        <v>999999</v>
      </c>
      <c r="AL308">
        <f>IF($A308=12,$E308,999999)</f>
        <v>999999</v>
      </c>
      <c r="AM308">
        <f>IF($A308=13,$E308,999999)</f>
        <v>999999</v>
      </c>
      <c r="AN308">
        <f>IF($A308=14,$E308,999999)</f>
        <v>999999</v>
      </c>
      <c r="AO308">
        <f>IF($A308=15,$E308,999999)</f>
        <v>999999</v>
      </c>
      <c r="AP308">
        <f>IF($A308=16,$E308,999999)</f>
        <v>999999</v>
      </c>
      <c r="AQ308">
        <f>IF($A308=17,$E308,999999)</f>
        <v>999999</v>
      </c>
      <c r="AR308">
        <f>IF($A308=18,$E308,999999)</f>
        <v>999999</v>
      </c>
      <c r="AS308">
        <f>IF($A308=19,$E308,999999)</f>
        <v>999999</v>
      </c>
      <c r="AT308">
        <f>IF($A308=20,$E308,999999)</f>
        <v>999999</v>
      </c>
      <c r="BA308">
        <f>MAX(0,MIN(CEILING((BF308+BG308)/2,1),BA307+IF('幕间与结算'!E107="体力",N('幕间与结算'!K107),0)))</f>
        <v>0</v>
      </c>
      <c r="BB308">
        <f>MAX(0,MIN(BJ308,BB307+IF('幕间与结算'!E107="毅力",N('幕间与结算'!K107),0)))</f>
        <v>0</v>
      </c>
      <c r="BC308">
        <f>MAX(0,MIN(99-BL308,BC307+IF('幕间与结算'!E107="理智",N('幕间与结算'!K107),0)))</f>
        <v>0</v>
      </c>
      <c r="BD308">
        <f>MAX(0,MIN(99,BD307+IF('幕间与结算'!E107="崩溃点",N('幕间与结算'!K107),0)))</f>
        <v>0</v>
      </c>
      <c r="BF308">
        <f>MAX(0,MIN(18,'幕间计算'!BF307+IF('幕间与结算'!E107="力量",N('幕间与结算'!K107),0)))</f>
        <v>0</v>
      </c>
      <c r="BG308">
        <f>MAX(0,MIN(18,'幕间计算'!BG307+IF('幕间与结算'!E107="体质",N('幕间与结算'!K107),0)))</f>
        <v>0</v>
      </c>
      <c r="BH308">
        <f>MAX(0,MIN(18,'幕间计算'!BH307+IF('幕间与结算'!E107="敏捷",N('幕间与结算'!K107),0)))</f>
        <v>0</v>
      </c>
      <c r="BI308">
        <f>MAX(0,MIN(18,'幕间计算'!BI307+IF('幕间与结算'!E107="智力",N('幕间与结算'!K107),0)))</f>
        <v>0</v>
      </c>
      <c r="BJ308">
        <f>MAX(0,MIN(18,'幕间计算'!BJ307+IF('幕间与结算'!E107="意志",N('幕间与结算'!K107),0)))</f>
        <v>0</v>
      </c>
      <c r="BK308">
        <f>MAX(0,MIN(18,'幕间计算'!BK307+IF('幕间与结算'!E107="魅力",N('幕间与结算'!K107),0)))</f>
        <v>0</v>
      </c>
      <c r="BL308">
        <f>MAX(0,MIN(99,'幕间计算'!BL307+IF('幕间与结算'!E107="技能：非自然知识",N('幕间与结算'!K107),0)))</f>
        <v>0</v>
      </c>
    </row>
    <row r="309">
      <c r="A309">
        <f>IFERROR(IF(AND(VALUE('幕间与结算'!B108)&gt;=1,VALUE('幕间与结算'!B108)&lt;=20),VALUE('幕间与结算'!B108),0),0)</f>
        <v>0</v>
      </c>
      <c r="B309">
        <f>IF(AND(A309&gt;0,'幕间与结算'!D108&lt;&gt;"",'幕间与结算'!J108="确认",ISNUMBER('幕间与结算'!K108),OR('幕间与结算'!G108="失败",'幕间与结算'!G108="大失败"),'幕间与结算'!H108="√",LEFT('幕间与结算'!E108,3)="技能：",'幕间与结算'!E108&lt;&gt;"技能：非自然知识",ISNUMBER('幕间与结算'!F108),'幕间与结算'!F108&gt;=1,'幕间与结算'!F108&lt;=99),1,0)</f>
        <v>0</v>
      </c>
      <c r="D309">
        <f>IF(AND('幕间与结算'!J108="确认",ISNUMBER('幕间与结算'!K108),'幕间与结算'!L108&lt;&gt;"",ISNUMBER('幕间与结算'!M108),'幕间与结算'!M108&gt;0,'幕间与结算'!M108&lt;=99),'幕间与结算'!M108,0)</f>
        <v>0</v>
      </c>
      <c r="E309">
        <f>IF(AND(B309=1,COUNTIFS($A$210:A309,A309,$B$210:B309,1,'幕间与结算'!$E$9:E108,'幕间与结算'!E108)=1),100,999999)</f>
        <v>999999</v>
      </c>
      <c r="F309">
        <v>108</v>
      </c>
      <c r="AA309">
        <f>IF($A309=1,$E309,999999)</f>
        <v>999999</v>
      </c>
      <c r="AB309">
        <f>IF($A309=2,$E309,999999)</f>
        <v>999999</v>
      </c>
      <c r="AC309">
        <f>IF($A309=3,$E309,999999)</f>
        <v>999999</v>
      </c>
      <c r="AD309">
        <f>IF($A309=4,$E309,999999)</f>
        <v>999999</v>
      </c>
      <c r="AE309">
        <f>IF($A309=5,$E309,999999)</f>
        <v>999999</v>
      </c>
      <c r="AF309">
        <f>IF($A309=6,$E309,999999)</f>
        <v>999999</v>
      </c>
      <c r="AG309">
        <f>IF($A309=7,$E309,999999)</f>
        <v>999999</v>
      </c>
      <c r="AH309">
        <f>IF($A309=8,$E309,999999)</f>
        <v>999999</v>
      </c>
      <c r="AI309">
        <f>IF($A309=9,$E309,999999)</f>
        <v>999999</v>
      </c>
      <c r="AJ309">
        <f>IF($A309=10,$E309,999999)</f>
        <v>999999</v>
      </c>
      <c r="AK309">
        <f>IF($A309=11,$E309,999999)</f>
        <v>999999</v>
      </c>
      <c r="AL309">
        <f>IF($A309=12,$E309,999999)</f>
        <v>999999</v>
      </c>
      <c r="AM309">
        <f>IF($A309=13,$E309,999999)</f>
        <v>999999</v>
      </c>
      <c r="AN309">
        <f>IF($A309=14,$E309,999999)</f>
        <v>999999</v>
      </c>
      <c r="AO309">
        <f>IF($A309=15,$E309,999999)</f>
        <v>999999</v>
      </c>
      <c r="AP309">
        <f>IF($A309=16,$E309,999999)</f>
        <v>999999</v>
      </c>
      <c r="AQ309">
        <f>IF($A309=17,$E309,999999)</f>
        <v>999999</v>
      </c>
      <c r="AR309">
        <f>IF($A309=18,$E309,999999)</f>
        <v>999999</v>
      </c>
      <c r="AS309">
        <f>IF($A309=19,$E309,999999)</f>
        <v>999999</v>
      </c>
      <c r="AT309">
        <f>IF($A309=20,$E309,999999)</f>
        <v>999999</v>
      </c>
      <c r="BA309">
        <f>MAX(0,MIN(CEILING((BF309+BG309)/2,1),BA308+IF('幕间与结算'!E108="体力",N('幕间与结算'!K108),0)))</f>
        <v>0</v>
      </c>
      <c r="BB309">
        <f>MAX(0,MIN(BJ309,BB308+IF('幕间与结算'!E108="毅力",N('幕间与结算'!K108),0)))</f>
        <v>0</v>
      </c>
      <c r="BC309">
        <f>MAX(0,MIN(99-BL309,BC308+IF('幕间与结算'!E108="理智",N('幕间与结算'!K108),0)))</f>
        <v>0</v>
      </c>
      <c r="BD309">
        <f>MAX(0,MIN(99,BD308+IF('幕间与结算'!E108="崩溃点",N('幕间与结算'!K108),0)))</f>
        <v>0</v>
      </c>
      <c r="BF309">
        <f>MAX(0,MIN(18,'幕间计算'!BF308+IF('幕间与结算'!E108="力量",N('幕间与结算'!K108),0)))</f>
        <v>0</v>
      </c>
      <c r="BG309">
        <f>MAX(0,MIN(18,'幕间计算'!BG308+IF('幕间与结算'!E108="体质",N('幕间与结算'!K108),0)))</f>
        <v>0</v>
      </c>
      <c r="BH309">
        <f>MAX(0,MIN(18,'幕间计算'!BH308+IF('幕间与结算'!E108="敏捷",N('幕间与结算'!K108),0)))</f>
        <v>0</v>
      </c>
      <c r="BI309">
        <f>MAX(0,MIN(18,'幕间计算'!BI308+IF('幕间与结算'!E108="智力",N('幕间与结算'!K108),0)))</f>
        <v>0</v>
      </c>
      <c r="BJ309">
        <f>MAX(0,MIN(18,'幕间计算'!BJ308+IF('幕间与结算'!E108="意志",N('幕间与结算'!K108),0)))</f>
        <v>0</v>
      </c>
      <c r="BK309">
        <f>MAX(0,MIN(18,'幕间计算'!BK308+IF('幕间与结算'!E108="魅力",N('幕间与结算'!K108),0)))</f>
        <v>0</v>
      </c>
      <c r="BL309">
        <f>MAX(0,MIN(99,'幕间计算'!BL308+IF('幕间与结算'!E108="技能：非自然知识",N('幕间与结算'!K108),0)))</f>
        <v>0</v>
      </c>
    </row>
    <row r="310">
      <c r="A310">
        <f>IFERROR(IF(AND(VALUE('幕间与结算'!B109)&gt;=1,VALUE('幕间与结算'!B109)&lt;=20),VALUE('幕间与结算'!B109),0),0)</f>
        <v>0</v>
      </c>
      <c r="B310">
        <f>IF(AND(A310&gt;0,'幕间与结算'!D109&lt;&gt;"",'幕间与结算'!J109="确认",ISNUMBER('幕间与结算'!K109),OR('幕间与结算'!G109="失败",'幕间与结算'!G109="大失败"),'幕间与结算'!H109="√",LEFT('幕间与结算'!E109,3)="技能：",'幕间与结算'!E109&lt;&gt;"技能：非自然知识",ISNUMBER('幕间与结算'!F109),'幕间与结算'!F109&gt;=1,'幕间与结算'!F109&lt;=99),1,0)</f>
        <v>0</v>
      </c>
      <c r="D310">
        <f>IF(AND('幕间与结算'!J109="确认",ISNUMBER('幕间与结算'!K109),'幕间与结算'!L109&lt;&gt;"",ISNUMBER('幕间与结算'!M109),'幕间与结算'!M109&gt;0,'幕间与结算'!M109&lt;=99),'幕间与结算'!M109,0)</f>
        <v>0</v>
      </c>
      <c r="E310">
        <f>IF(AND(B310=1,COUNTIFS($A$210:A310,A310,$B$210:B310,1,'幕间与结算'!$E$9:E109,'幕间与结算'!E109)=1),101,999999)</f>
        <v>999999</v>
      </c>
      <c r="F310">
        <v>109</v>
      </c>
      <c r="AA310">
        <f>IF($A310=1,$E310,999999)</f>
        <v>999999</v>
      </c>
      <c r="AB310">
        <f>IF($A310=2,$E310,999999)</f>
        <v>999999</v>
      </c>
      <c r="AC310">
        <f>IF($A310=3,$E310,999999)</f>
        <v>999999</v>
      </c>
      <c r="AD310">
        <f>IF($A310=4,$E310,999999)</f>
        <v>999999</v>
      </c>
      <c r="AE310">
        <f>IF($A310=5,$E310,999999)</f>
        <v>999999</v>
      </c>
      <c r="AF310">
        <f>IF($A310=6,$E310,999999)</f>
        <v>999999</v>
      </c>
      <c r="AG310">
        <f>IF($A310=7,$E310,999999)</f>
        <v>999999</v>
      </c>
      <c r="AH310">
        <f>IF($A310=8,$E310,999999)</f>
        <v>999999</v>
      </c>
      <c r="AI310">
        <f>IF($A310=9,$E310,999999)</f>
        <v>999999</v>
      </c>
      <c r="AJ310">
        <f>IF($A310=10,$E310,999999)</f>
        <v>999999</v>
      </c>
      <c r="AK310">
        <f>IF($A310=11,$E310,999999)</f>
        <v>999999</v>
      </c>
      <c r="AL310">
        <f>IF($A310=12,$E310,999999)</f>
        <v>999999</v>
      </c>
      <c r="AM310">
        <f>IF($A310=13,$E310,999999)</f>
        <v>999999</v>
      </c>
      <c r="AN310">
        <f>IF($A310=14,$E310,999999)</f>
        <v>999999</v>
      </c>
      <c r="AO310">
        <f>IF($A310=15,$E310,999999)</f>
        <v>999999</v>
      </c>
      <c r="AP310">
        <f>IF($A310=16,$E310,999999)</f>
        <v>999999</v>
      </c>
      <c r="AQ310">
        <f>IF($A310=17,$E310,999999)</f>
        <v>999999</v>
      </c>
      <c r="AR310">
        <f>IF($A310=18,$E310,999999)</f>
        <v>999999</v>
      </c>
      <c r="AS310">
        <f>IF($A310=19,$E310,999999)</f>
        <v>999999</v>
      </c>
      <c r="AT310">
        <f>IF($A310=20,$E310,999999)</f>
        <v>999999</v>
      </c>
      <c r="BA310">
        <f>MAX(0,MIN(CEILING((BF310+BG310)/2,1),BA309+IF('幕间与结算'!E109="体力",N('幕间与结算'!K109),0)))</f>
        <v>0</v>
      </c>
      <c r="BB310">
        <f>MAX(0,MIN(BJ310,BB309+IF('幕间与结算'!E109="毅力",N('幕间与结算'!K109),0)))</f>
        <v>0</v>
      </c>
      <c r="BC310">
        <f>MAX(0,MIN(99-BL310,BC309+IF('幕间与结算'!E109="理智",N('幕间与结算'!K109),0)))</f>
        <v>0</v>
      </c>
      <c r="BD310">
        <f>MAX(0,MIN(99,BD309+IF('幕间与结算'!E109="崩溃点",N('幕间与结算'!K109),0)))</f>
        <v>0</v>
      </c>
      <c r="BF310">
        <f>MAX(0,MIN(18,'幕间计算'!BF309+IF('幕间与结算'!E109="力量",N('幕间与结算'!K109),0)))</f>
        <v>0</v>
      </c>
      <c r="BG310">
        <f>MAX(0,MIN(18,'幕间计算'!BG309+IF('幕间与结算'!E109="体质",N('幕间与结算'!K109),0)))</f>
        <v>0</v>
      </c>
      <c r="BH310">
        <f>MAX(0,MIN(18,'幕间计算'!BH309+IF('幕间与结算'!E109="敏捷",N('幕间与结算'!K109),0)))</f>
        <v>0</v>
      </c>
      <c r="BI310">
        <f>MAX(0,MIN(18,'幕间计算'!BI309+IF('幕间与结算'!E109="智力",N('幕间与结算'!K109),0)))</f>
        <v>0</v>
      </c>
      <c r="BJ310">
        <f>MAX(0,MIN(18,'幕间计算'!BJ309+IF('幕间与结算'!E109="意志",N('幕间与结算'!K109),0)))</f>
        <v>0</v>
      </c>
      <c r="BK310">
        <f>MAX(0,MIN(18,'幕间计算'!BK309+IF('幕间与结算'!E109="魅力",N('幕间与结算'!K109),0)))</f>
        <v>0</v>
      </c>
      <c r="BL310">
        <f>MAX(0,MIN(99,'幕间计算'!BL309+IF('幕间与结算'!E109="技能：非自然知识",N('幕间与结算'!K109),0)))</f>
        <v>0</v>
      </c>
    </row>
    <row r="311">
      <c r="A311">
        <f>IFERROR(IF(AND(VALUE('幕间与结算'!B110)&gt;=1,VALUE('幕间与结算'!B110)&lt;=20),VALUE('幕间与结算'!B110),0),0)</f>
        <v>0</v>
      </c>
      <c r="B311">
        <f>IF(AND(A311&gt;0,'幕间与结算'!D110&lt;&gt;"",'幕间与结算'!J110="确认",ISNUMBER('幕间与结算'!K110),OR('幕间与结算'!G110="失败",'幕间与结算'!G110="大失败"),'幕间与结算'!H110="√",LEFT('幕间与结算'!E110,3)="技能：",'幕间与结算'!E110&lt;&gt;"技能：非自然知识",ISNUMBER('幕间与结算'!F110),'幕间与结算'!F110&gt;=1,'幕间与结算'!F110&lt;=99),1,0)</f>
        <v>0</v>
      </c>
      <c r="D311">
        <f>IF(AND('幕间与结算'!J110="确认",ISNUMBER('幕间与结算'!K110),'幕间与结算'!L110&lt;&gt;"",ISNUMBER('幕间与结算'!M110),'幕间与结算'!M110&gt;0,'幕间与结算'!M110&lt;=99),'幕间与结算'!M110,0)</f>
        <v>0</v>
      </c>
      <c r="E311">
        <f>IF(AND(B311=1,COUNTIFS($A$210:A311,A311,$B$210:B311,1,'幕间与结算'!$E$9:E110,'幕间与结算'!E110)=1),102,999999)</f>
        <v>999999</v>
      </c>
      <c r="F311">
        <v>110</v>
      </c>
      <c r="AA311">
        <f>IF($A311=1,$E311,999999)</f>
        <v>999999</v>
      </c>
      <c r="AB311">
        <f>IF($A311=2,$E311,999999)</f>
        <v>999999</v>
      </c>
      <c r="AC311">
        <f>IF($A311=3,$E311,999999)</f>
        <v>999999</v>
      </c>
      <c r="AD311">
        <f>IF($A311=4,$E311,999999)</f>
        <v>999999</v>
      </c>
      <c r="AE311">
        <f>IF($A311=5,$E311,999999)</f>
        <v>999999</v>
      </c>
      <c r="AF311">
        <f>IF($A311=6,$E311,999999)</f>
        <v>999999</v>
      </c>
      <c r="AG311">
        <f>IF($A311=7,$E311,999999)</f>
        <v>999999</v>
      </c>
      <c r="AH311">
        <f>IF($A311=8,$E311,999999)</f>
        <v>999999</v>
      </c>
      <c r="AI311">
        <f>IF($A311=9,$E311,999999)</f>
        <v>999999</v>
      </c>
      <c r="AJ311">
        <f>IF($A311=10,$E311,999999)</f>
        <v>999999</v>
      </c>
      <c r="AK311">
        <f>IF($A311=11,$E311,999999)</f>
        <v>999999</v>
      </c>
      <c r="AL311">
        <f>IF($A311=12,$E311,999999)</f>
        <v>999999</v>
      </c>
      <c r="AM311">
        <f>IF($A311=13,$E311,999999)</f>
        <v>999999</v>
      </c>
      <c r="AN311">
        <f>IF($A311=14,$E311,999999)</f>
        <v>999999</v>
      </c>
      <c r="AO311">
        <f>IF($A311=15,$E311,999999)</f>
        <v>999999</v>
      </c>
      <c r="AP311">
        <f>IF($A311=16,$E311,999999)</f>
        <v>999999</v>
      </c>
      <c r="AQ311">
        <f>IF($A311=17,$E311,999999)</f>
        <v>999999</v>
      </c>
      <c r="AR311">
        <f>IF($A311=18,$E311,999999)</f>
        <v>999999</v>
      </c>
      <c r="AS311">
        <f>IF($A311=19,$E311,999999)</f>
        <v>999999</v>
      </c>
      <c r="AT311">
        <f>IF($A311=20,$E311,999999)</f>
        <v>999999</v>
      </c>
      <c r="BA311">
        <f>MAX(0,MIN(CEILING((BF311+BG311)/2,1),BA310+IF('幕间与结算'!E110="体力",N('幕间与结算'!K110),0)))</f>
        <v>0</v>
      </c>
      <c r="BB311">
        <f>MAX(0,MIN(BJ311,BB310+IF('幕间与结算'!E110="毅力",N('幕间与结算'!K110),0)))</f>
        <v>0</v>
      </c>
      <c r="BC311">
        <f>MAX(0,MIN(99-BL311,BC310+IF('幕间与结算'!E110="理智",N('幕间与结算'!K110),0)))</f>
        <v>0</v>
      </c>
      <c r="BD311">
        <f>MAX(0,MIN(99,BD310+IF('幕间与结算'!E110="崩溃点",N('幕间与结算'!K110),0)))</f>
        <v>0</v>
      </c>
      <c r="BF311">
        <f>MAX(0,MIN(18,'幕间计算'!BF310+IF('幕间与结算'!E110="力量",N('幕间与结算'!K110),0)))</f>
        <v>0</v>
      </c>
      <c r="BG311">
        <f>MAX(0,MIN(18,'幕间计算'!BG310+IF('幕间与结算'!E110="体质",N('幕间与结算'!K110),0)))</f>
        <v>0</v>
      </c>
      <c r="BH311">
        <f>MAX(0,MIN(18,'幕间计算'!BH310+IF('幕间与结算'!E110="敏捷",N('幕间与结算'!K110),0)))</f>
        <v>0</v>
      </c>
      <c r="BI311">
        <f>MAX(0,MIN(18,'幕间计算'!BI310+IF('幕间与结算'!E110="智力",N('幕间与结算'!K110),0)))</f>
        <v>0</v>
      </c>
      <c r="BJ311">
        <f>MAX(0,MIN(18,'幕间计算'!BJ310+IF('幕间与结算'!E110="意志",N('幕间与结算'!K110),0)))</f>
        <v>0</v>
      </c>
      <c r="BK311">
        <f>MAX(0,MIN(18,'幕间计算'!BK310+IF('幕间与结算'!E110="魅力",N('幕间与结算'!K110),0)))</f>
        <v>0</v>
      </c>
      <c r="BL311">
        <f>MAX(0,MIN(99,'幕间计算'!BL310+IF('幕间与结算'!E110="技能：非自然知识",N('幕间与结算'!K110),0)))</f>
        <v>0</v>
      </c>
    </row>
    <row r="312">
      <c r="A312">
        <f>IFERROR(IF(AND(VALUE('幕间与结算'!B111)&gt;=1,VALUE('幕间与结算'!B111)&lt;=20),VALUE('幕间与结算'!B111),0),0)</f>
        <v>0</v>
      </c>
      <c r="B312">
        <f>IF(AND(A312&gt;0,'幕间与结算'!D111&lt;&gt;"",'幕间与结算'!J111="确认",ISNUMBER('幕间与结算'!K111),OR('幕间与结算'!G111="失败",'幕间与结算'!G111="大失败"),'幕间与结算'!H111="√",LEFT('幕间与结算'!E111,3)="技能：",'幕间与结算'!E111&lt;&gt;"技能：非自然知识",ISNUMBER('幕间与结算'!F111),'幕间与结算'!F111&gt;=1,'幕间与结算'!F111&lt;=99),1,0)</f>
        <v>0</v>
      </c>
      <c r="D312">
        <f>IF(AND('幕间与结算'!J111="确认",ISNUMBER('幕间与结算'!K111),'幕间与结算'!L111&lt;&gt;"",ISNUMBER('幕间与结算'!M111),'幕间与结算'!M111&gt;0,'幕间与结算'!M111&lt;=99),'幕间与结算'!M111,0)</f>
        <v>0</v>
      </c>
      <c r="E312">
        <f>IF(AND(B312=1,COUNTIFS($A$210:A312,A312,$B$210:B312,1,'幕间与结算'!$E$9:E111,'幕间与结算'!E111)=1),103,999999)</f>
        <v>999999</v>
      </c>
      <c r="F312">
        <v>111</v>
      </c>
      <c r="AA312">
        <f>IF($A312=1,$E312,999999)</f>
        <v>999999</v>
      </c>
      <c r="AB312">
        <f>IF($A312=2,$E312,999999)</f>
        <v>999999</v>
      </c>
      <c r="AC312">
        <f>IF($A312=3,$E312,999999)</f>
        <v>999999</v>
      </c>
      <c r="AD312">
        <f>IF($A312=4,$E312,999999)</f>
        <v>999999</v>
      </c>
      <c r="AE312">
        <f>IF($A312=5,$E312,999999)</f>
        <v>999999</v>
      </c>
      <c r="AF312">
        <f>IF($A312=6,$E312,999999)</f>
        <v>999999</v>
      </c>
      <c r="AG312">
        <f>IF($A312=7,$E312,999999)</f>
        <v>999999</v>
      </c>
      <c r="AH312">
        <f>IF($A312=8,$E312,999999)</f>
        <v>999999</v>
      </c>
      <c r="AI312">
        <f>IF($A312=9,$E312,999999)</f>
        <v>999999</v>
      </c>
      <c r="AJ312">
        <f>IF($A312=10,$E312,999999)</f>
        <v>999999</v>
      </c>
      <c r="AK312">
        <f>IF($A312=11,$E312,999999)</f>
        <v>999999</v>
      </c>
      <c r="AL312">
        <f>IF($A312=12,$E312,999999)</f>
        <v>999999</v>
      </c>
      <c r="AM312">
        <f>IF($A312=13,$E312,999999)</f>
        <v>999999</v>
      </c>
      <c r="AN312">
        <f>IF($A312=14,$E312,999999)</f>
        <v>999999</v>
      </c>
      <c r="AO312">
        <f>IF($A312=15,$E312,999999)</f>
        <v>999999</v>
      </c>
      <c r="AP312">
        <f>IF($A312=16,$E312,999999)</f>
        <v>999999</v>
      </c>
      <c r="AQ312">
        <f>IF($A312=17,$E312,999999)</f>
        <v>999999</v>
      </c>
      <c r="AR312">
        <f>IF($A312=18,$E312,999999)</f>
        <v>999999</v>
      </c>
      <c r="AS312">
        <f>IF($A312=19,$E312,999999)</f>
        <v>999999</v>
      </c>
      <c r="AT312">
        <f>IF($A312=20,$E312,999999)</f>
        <v>999999</v>
      </c>
      <c r="BA312">
        <f>MAX(0,MIN(CEILING((BF312+BG312)/2,1),BA311+IF('幕间与结算'!E111="体力",N('幕间与结算'!K111),0)))</f>
        <v>0</v>
      </c>
      <c r="BB312">
        <f>MAX(0,MIN(BJ312,BB311+IF('幕间与结算'!E111="毅力",N('幕间与结算'!K111),0)))</f>
        <v>0</v>
      </c>
      <c r="BC312">
        <f>MAX(0,MIN(99-BL312,BC311+IF('幕间与结算'!E111="理智",N('幕间与结算'!K111),0)))</f>
        <v>0</v>
      </c>
      <c r="BD312">
        <f>MAX(0,MIN(99,BD311+IF('幕间与结算'!E111="崩溃点",N('幕间与结算'!K111),0)))</f>
        <v>0</v>
      </c>
      <c r="BF312">
        <f>MAX(0,MIN(18,'幕间计算'!BF311+IF('幕间与结算'!E111="力量",N('幕间与结算'!K111),0)))</f>
        <v>0</v>
      </c>
      <c r="BG312">
        <f>MAX(0,MIN(18,'幕间计算'!BG311+IF('幕间与结算'!E111="体质",N('幕间与结算'!K111),0)))</f>
        <v>0</v>
      </c>
      <c r="BH312">
        <f>MAX(0,MIN(18,'幕间计算'!BH311+IF('幕间与结算'!E111="敏捷",N('幕间与结算'!K111),0)))</f>
        <v>0</v>
      </c>
      <c r="BI312">
        <f>MAX(0,MIN(18,'幕间计算'!BI311+IF('幕间与结算'!E111="智力",N('幕间与结算'!K111),0)))</f>
        <v>0</v>
      </c>
      <c r="BJ312">
        <f>MAX(0,MIN(18,'幕间计算'!BJ311+IF('幕间与结算'!E111="意志",N('幕间与结算'!K111),0)))</f>
        <v>0</v>
      </c>
      <c r="BK312">
        <f>MAX(0,MIN(18,'幕间计算'!BK311+IF('幕间与结算'!E111="魅力",N('幕间与结算'!K111),0)))</f>
        <v>0</v>
      </c>
      <c r="BL312">
        <f>MAX(0,MIN(99,'幕间计算'!BL311+IF('幕间与结算'!E111="技能：非自然知识",N('幕间与结算'!K111),0)))</f>
        <v>0</v>
      </c>
    </row>
    <row r="313">
      <c r="A313">
        <f>IFERROR(IF(AND(VALUE('幕间与结算'!B112)&gt;=1,VALUE('幕间与结算'!B112)&lt;=20),VALUE('幕间与结算'!B112),0),0)</f>
        <v>0</v>
      </c>
      <c r="B313">
        <f>IF(AND(A313&gt;0,'幕间与结算'!D112&lt;&gt;"",'幕间与结算'!J112="确认",ISNUMBER('幕间与结算'!K112),OR('幕间与结算'!G112="失败",'幕间与结算'!G112="大失败"),'幕间与结算'!H112="√",LEFT('幕间与结算'!E112,3)="技能：",'幕间与结算'!E112&lt;&gt;"技能：非自然知识",ISNUMBER('幕间与结算'!F112),'幕间与结算'!F112&gt;=1,'幕间与结算'!F112&lt;=99),1,0)</f>
        <v>0</v>
      </c>
      <c r="D313">
        <f>IF(AND('幕间与结算'!J112="确认",ISNUMBER('幕间与结算'!K112),'幕间与结算'!L112&lt;&gt;"",ISNUMBER('幕间与结算'!M112),'幕间与结算'!M112&gt;0,'幕间与结算'!M112&lt;=99),'幕间与结算'!M112,0)</f>
        <v>0</v>
      </c>
      <c r="E313">
        <f>IF(AND(B313=1,COUNTIFS($A$210:A313,A313,$B$210:B313,1,'幕间与结算'!$E$9:E112,'幕间与结算'!E112)=1),104,999999)</f>
        <v>999999</v>
      </c>
      <c r="F313">
        <v>112</v>
      </c>
      <c r="AA313">
        <f>IF($A313=1,$E313,999999)</f>
        <v>999999</v>
      </c>
      <c r="AB313">
        <f>IF($A313=2,$E313,999999)</f>
        <v>999999</v>
      </c>
      <c r="AC313">
        <f>IF($A313=3,$E313,999999)</f>
        <v>999999</v>
      </c>
      <c r="AD313">
        <f>IF($A313=4,$E313,999999)</f>
        <v>999999</v>
      </c>
      <c r="AE313">
        <f>IF($A313=5,$E313,999999)</f>
        <v>999999</v>
      </c>
      <c r="AF313">
        <f>IF($A313=6,$E313,999999)</f>
        <v>999999</v>
      </c>
      <c r="AG313">
        <f>IF($A313=7,$E313,999999)</f>
        <v>999999</v>
      </c>
      <c r="AH313">
        <f>IF($A313=8,$E313,999999)</f>
        <v>999999</v>
      </c>
      <c r="AI313">
        <f>IF($A313=9,$E313,999999)</f>
        <v>999999</v>
      </c>
      <c r="AJ313">
        <f>IF($A313=10,$E313,999999)</f>
        <v>999999</v>
      </c>
      <c r="AK313">
        <f>IF($A313=11,$E313,999999)</f>
        <v>999999</v>
      </c>
      <c r="AL313">
        <f>IF($A313=12,$E313,999999)</f>
        <v>999999</v>
      </c>
      <c r="AM313">
        <f>IF($A313=13,$E313,999999)</f>
        <v>999999</v>
      </c>
      <c r="AN313">
        <f>IF($A313=14,$E313,999999)</f>
        <v>999999</v>
      </c>
      <c r="AO313">
        <f>IF($A313=15,$E313,999999)</f>
        <v>999999</v>
      </c>
      <c r="AP313">
        <f>IF($A313=16,$E313,999999)</f>
        <v>999999</v>
      </c>
      <c r="AQ313">
        <f>IF($A313=17,$E313,999999)</f>
        <v>999999</v>
      </c>
      <c r="AR313">
        <f>IF($A313=18,$E313,999999)</f>
        <v>999999</v>
      </c>
      <c r="AS313">
        <f>IF($A313=19,$E313,999999)</f>
        <v>999999</v>
      </c>
      <c r="AT313">
        <f>IF($A313=20,$E313,999999)</f>
        <v>999999</v>
      </c>
      <c r="BA313">
        <f>MAX(0,MIN(CEILING((BF313+BG313)/2,1),BA312+IF('幕间与结算'!E112="体力",N('幕间与结算'!K112),0)))</f>
        <v>0</v>
      </c>
      <c r="BB313">
        <f>MAX(0,MIN(BJ313,BB312+IF('幕间与结算'!E112="毅力",N('幕间与结算'!K112),0)))</f>
        <v>0</v>
      </c>
      <c r="BC313">
        <f>MAX(0,MIN(99-BL313,BC312+IF('幕间与结算'!E112="理智",N('幕间与结算'!K112),0)))</f>
        <v>0</v>
      </c>
      <c r="BD313">
        <f>MAX(0,MIN(99,BD312+IF('幕间与结算'!E112="崩溃点",N('幕间与结算'!K112),0)))</f>
        <v>0</v>
      </c>
      <c r="BF313">
        <f>MAX(0,MIN(18,'幕间计算'!BF312+IF('幕间与结算'!E112="力量",N('幕间与结算'!K112),0)))</f>
        <v>0</v>
      </c>
      <c r="BG313">
        <f>MAX(0,MIN(18,'幕间计算'!BG312+IF('幕间与结算'!E112="体质",N('幕间与结算'!K112),0)))</f>
        <v>0</v>
      </c>
      <c r="BH313">
        <f>MAX(0,MIN(18,'幕间计算'!BH312+IF('幕间与结算'!E112="敏捷",N('幕间与结算'!K112),0)))</f>
        <v>0</v>
      </c>
      <c r="BI313">
        <f>MAX(0,MIN(18,'幕间计算'!BI312+IF('幕间与结算'!E112="智力",N('幕间与结算'!K112),0)))</f>
        <v>0</v>
      </c>
      <c r="BJ313">
        <f>MAX(0,MIN(18,'幕间计算'!BJ312+IF('幕间与结算'!E112="意志",N('幕间与结算'!K112),0)))</f>
        <v>0</v>
      </c>
      <c r="BK313">
        <f>MAX(0,MIN(18,'幕间计算'!BK312+IF('幕间与结算'!E112="魅力",N('幕间与结算'!K112),0)))</f>
        <v>0</v>
      </c>
      <c r="BL313">
        <f>MAX(0,MIN(99,'幕间计算'!BL312+IF('幕间与结算'!E112="技能：非自然知识",N('幕间与结算'!K112),0)))</f>
        <v>0</v>
      </c>
    </row>
    <row r="314">
      <c r="A314">
        <f>IFERROR(IF(AND(VALUE('幕间与结算'!B113)&gt;=1,VALUE('幕间与结算'!B113)&lt;=20),VALUE('幕间与结算'!B113),0),0)</f>
        <v>0</v>
      </c>
      <c r="B314">
        <f>IF(AND(A314&gt;0,'幕间与结算'!D113&lt;&gt;"",'幕间与结算'!J113="确认",ISNUMBER('幕间与结算'!K113),OR('幕间与结算'!G113="失败",'幕间与结算'!G113="大失败"),'幕间与结算'!H113="√",LEFT('幕间与结算'!E113,3)="技能：",'幕间与结算'!E113&lt;&gt;"技能：非自然知识",ISNUMBER('幕间与结算'!F113),'幕间与结算'!F113&gt;=1,'幕间与结算'!F113&lt;=99),1,0)</f>
        <v>0</v>
      </c>
      <c r="D314">
        <f>IF(AND('幕间与结算'!J113="确认",ISNUMBER('幕间与结算'!K113),'幕间与结算'!L113&lt;&gt;"",ISNUMBER('幕间与结算'!M113),'幕间与结算'!M113&gt;0,'幕间与结算'!M113&lt;=99),'幕间与结算'!M113,0)</f>
        <v>0</v>
      </c>
      <c r="E314">
        <f>IF(AND(B314=1,COUNTIFS($A$210:A314,A314,$B$210:B314,1,'幕间与结算'!$E$9:E113,'幕间与结算'!E113)=1),105,999999)</f>
        <v>999999</v>
      </c>
      <c r="F314">
        <v>113</v>
      </c>
      <c r="AA314">
        <f>IF($A314=1,$E314,999999)</f>
        <v>999999</v>
      </c>
      <c r="AB314">
        <f>IF($A314=2,$E314,999999)</f>
        <v>999999</v>
      </c>
      <c r="AC314">
        <f>IF($A314=3,$E314,999999)</f>
        <v>999999</v>
      </c>
      <c r="AD314">
        <f>IF($A314=4,$E314,999999)</f>
        <v>999999</v>
      </c>
      <c r="AE314">
        <f>IF($A314=5,$E314,999999)</f>
        <v>999999</v>
      </c>
      <c r="AF314">
        <f>IF($A314=6,$E314,999999)</f>
        <v>999999</v>
      </c>
      <c r="AG314">
        <f>IF($A314=7,$E314,999999)</f>
        <v>999999</v>
      </c>
      <c r="AH314">
        <f>IF($A314=8,$E314,999999)</f>
        <v>999999</v>
      </c>
      <c r="AI314">
        <f>IF($A314=9,$E314,999999)</f>
        <v>999999</v>
      </c>
      <c r="AJ314">
        <f>IF($A314=10,$E314,999999)</f>
        <v>999999</v>
      </c>
      <c r="AK314">
        <f>IF($A314=11,$E314,999999)</f>
        <v>999999</v>
      </c>
      <c r="AL314">
        <f>IF($A314=12,$E314,999999)</f>
        <v>999999</v>
      </c>
      <c r="AM314">
        <f>IF($A314=13,$E314,999999)</f>
        <v>999999</v>
      </c>
      <c r="AN314">
        <f>IF($A314=14,$E314,999999)</f>
        <v>999999</v>
      </c>
      <c r="AO314">
        <f>IF($A314=15,$E314,999999)</f>
        <v>999999</v>
      </c>
      <c r="AP314">
        <f>IF($A314=16,$E314,999999)</f>
        <v>999999</v>
      </c>
      <c r="AQ314">
        <f>IF($A314=17,$E314,999999)</f>
        <v>999999</v>
      </c>
      <c r="AR314">
        <f>IF($A314=18,$E314,999999)</f>
        <v>999999</v>
      </c>
      <c r="AS314">
        <f>IF($A314=19,$E314,999999)</f>
        <v>999999</v>
      </c>
      <c r="AT314">
        <f>IF($A314=20,$E314,999999)</f>
        <v>999999</v>
      </c>
      <c r="BA314">
        <f>MAX(0,MIN(CEILING((BF314+BG314)/2,1),BA313+IF('幕间与结算'!E113="体力",N('幕间与结算'!K113),0)))</f>
        <v>0</v>
      </c>
      <c r="BB314">
        <f>MAX(0,MIN(BJ314,BB313+IF('幕间与结算'!E113="毅力",N('幕间与结算'!K113),0)))</f>
        <v>0</v>
      </c>
      <c r="BC314">
        <f>MAX(0,MIN(99-BL314,BC313+IF('幕间与结算'!E113="理智",N('幕间与结算'!K113),0)))</f>
        <v>0</v>
      </c>
      <c r="BD314">
        <f>MAX(0,MIN(99,BD313+IF('幕间与结算'!E113="崩溃点",N('幕间与结算'!K113),0)))</f>
        <v>0</v>
      </c>
      <c r="BF314">
        <f>MAX(0,MIN(18,'幕间计算'!BF313+IF('幕间与结算'!E113="力量",N('幕间与结算'!K113),0)))</f>
        <v>0</v>
      </c>
      <c r="BG314">
        <f>MAX(0,MIN(18,'幕间计算'!BG313+IF('幕间与结算'!E113="体质",N('幕间与结算'!K113),0)))</f>
        <v>0</v>
      </c>
      <c r="BH314">
        <f>MAX(0,MIN(18,'幕间计算'!BH313+IF('幕间与结算'!E113="敏捷",N('幕间与结算'!K113),0)))</f>
        <v>0</v>
      </c>
      <c r="BI314">
        <f>MAX(0,MIN(18,'幕间计算'!BI313+IF('幕间与结算'!E113="智力",N('幕间与结算'!K113),0)))</f>
        <v>0</v>
      </c>
      <c r="BJ314">
        <f>MAX(0,MIN(18,'幕间计算'!BJ313+IF('幕间与结算'!E113="意志",N('幕间与结算'!K113),0)))</f>
        <v>0</v>
      </c>
      <c r="BK314">
        <f>MAX(0,MIN(18,'幕间计算'!BK313+IF('幕间与结算'!E113="魅力",N('幕间与结算'!K113),0)))</f>
        <v>0</v>
      </c>
      <c r="BL314">
        <f>MAX(0,MIN(99,'幕间计算'!BL313+IF('幕间与结算'!E113="技能：非自然知识",N('幕间与结算'!K113),0)))</f>
        <v>0</v>
      </c>
    </row>
    <row r="315">
      <c r="A315">
        <f>IFERROR(IF(AND(VALUE('幕间与结算'!B114)&gt;=1,VALUE('幕间与结算'!B114)&lt;=20),VALUE('幕间与结算'!B114),0),0)</f>
        <v>0</v>
      </c>
      <c r="B315">
        <f>IF(AND(A315&gt;0,'幕间与结算'!D114&lt;&gt;"",'幕间与结算'!J114="确认",ISNUMBER('幕间与结算'!K114),OR('幕间与结算'!G114="失败",'幕间与结算'!G114="大失败"),'幕间与结算'!H114="√",LEFT('幕间与结算'!E114,3)="技能：",'幕间与结算'!E114&lt;&gt;"技能：非自然知识",ISNUMBER('幕间与结算'!F114),'幕间与结算'!F114&gt;=1,'幕间与结算'!F114&lt;=99),1,0)</f>
        <v>0</v>
      </c>
      <c r="D315">
        <f>IF(AND('幕间与结算'!J114="确认",ISNUMBER('幕间与结算'!K114),'幕间与结算'!L114&lt;&gt;"",ISNUMBER('幕间与结算'!M114),'幕间与结算'!M114&gt;0,'幕间与结算'!M114&lt;=99),'幕间与结算'!M114,0)</f>
        <v>0</v>
      </c>
      <c r="E315">
        <f>IF(AND(B315=1,COUNTIFS($A$210:A315,A315,$B$210:B315,1,'幕间与结算'!$E$9:E114,'幕间与结算'!E114)=1),106,999999)</f>
        <v>999999</v>
      </c>
      <c r="F315">
        <v>114</v>
      </c>
      <c r="AA315">
        <f>IF($A315=1,$E315,999999)</f>
        <v>999999</v>
      </c>
      <c r="AB315">
        <f>IF($A315=2,$E315,999999)</f>
        <v>999999</v>
      </c>
      <c r="AC315">
        <f>IF($A315=3,$E315,999999)</f>
        <v>999999</v>
      </c>
      <c r="AD315">
        <f>IF($A315=4,$E315,999999)</f>
        <v>999999</v>
      </c>
      <c r="AE315">
        <f>IF($A315=5,$E315,999999)</f>
        <v>999999</v>
      </c>
      <c r="AF315">
        <f>IF($A315=6,$E315,999999)</f>
        <v>999999</v>
      </c>
      <c r="AG315">
        <f>IF($A315=7,$E315,999999)</f>
        <v>999999</v>
      </c>
      <c r="AH315">
        <f>IF($A315=8,$E315,999999)</f>
        <v>999999</v>
      </c>
      <c r="AI315">
        <f>IF($A315=9,$E315,999999)</f>
        <v>999999</v>
      </c>
      <c r="AJ315">
        <f>IF($A315=10,$E315,999999)</f>
        <v>999999</v>
      </c>
      <c r="AK315">
        <f>IF($A315=11,$E315,999999)</f>
        <v>999999</v>
      </c>
      <c r="AL315">
        <f>IF($A315=12,$E315,999999)</f>
        <v>999999</v>
      </c>
      <c r="AM315">
        <f>IF($A315=13,$E315,999999)</f>
        <v>999999</v>
      </c>
      <c r="AN315">
        <f>IF($A315=14,$E315,999999)</f>
        <v>999999</v>
      </c>
      <c r="AO315">
        <f>IF($A315=15,$E315,999999)</f>
        <v>999999</v>
      </c>
      <c r="AP315">
        <f>IF($A315=16,$E315,999999)</f>
        <v>999999</v>
      </c>
      <c r="AQ315">
        <f>IF($A315=17,$E315,999999)</f>
        <v>999999</v>
      </c>
      <c r="AR315">
        <f>IF($A315=18,$E315,999999)</f>
        <v>999999</v>
      </c>
      <c r="AS315">
        <f>IF($A315=19,$E315,999999)</f>
        <v>999999</v>
      </c>
      <c r="AT315">
        <f>IF($A315=20,$E315,999999)</f>
        <v>999999</v>
      </c>
      <c r="BA315">
        <f>MAX(0,MIN(CEILING((BF315+BG315)/2,1),BA314+IF('幕间与结算'!E114="体力",N('幕间与结算'!K114),0)))</f>
        <v>0</v>
      </c>
      <c r="BB315">
        <f>MAX(0,MIN(BJ315,BB314+IF('幕间与结算'!E114="毅力",N('幕间与结算'!K114),0)))</f>
        <v>0</v>
      </c>
      <c r="BC315">
        <f>MAX(0,MIN(99-BL315,BC314+IF('幕间与结算'!E114="理智",N('幕间与结算'!K114),0)))</f>
        <v>0</v>
      </c>
      <c r="BD315">
        <f>MAX(0,MIN(99,BD314+IF('幕间与结算'!E114="崩溃点",N('幕间与结算'!K114),0)))</f>
        <v>0</v>
      </c>
      <c r="BF315">
        <f>MAX(0,MIN(18,'幕间计算'!BF314+IF('幕间与结算'!E114="力量",N('幕间与结算'!K114),0)))</f>
        <v>0</v>
      </c>
      <c r="BG315">
        <f>MAX(0,MIN(18,'幕间计算'!BG314+IF('幕间与结算'!E114="体质",N('幕间与结算'!K114),0)))</f>
        <v>0</v>
      </c>
      <c r="BH315">
        <f>MAX(0,MIN(18,'幕间计算'!BH314+IF('幕间与结算'!E114="敏捷",N('幕间与结算'!K114),0)))</f>
        <v>0</v>
      </c>
      <c r="BI315">
        <f>MAX(0,MIN(18,'幕间计算'!BI314+IF('幕间与结算'!E114="智力",N('幕间与结算'!K114),0)))</f>
        <v>0</v>
      </c>
      <c r="BJ315">
        <f>MAX(0,MIN(18,'幕间计算'!BJ314+IF('幕间与结算'!E114="意志",N('幕间与结算'!K114),0)))</f>
        <v>0</v>
      </c>
      <c r="BK315">
        <f>MAX(0,MIN(18,'幕间计算'!BK314+IF('幕间与结算'!E114="魅力",N('幕间与结算'!K114),0)))</f>
        <v>0</v>
      </c>
      <c r="BL315">
        <f>MAX(0,MIN(99,'幕间计算'!BL314+IF('幕间与结算'!E114="技能：非自然知识",N('幕间与结算'!K114),0)))</f>
        <v>0</v>
      </c>
    </row>
    <row r="316">
      <c r="A316">
        <f>IFERROR(IF(AND(VALUE('幕间与结算'!B115)&gt;=1,VALUE('幕间与结算'!B115)&lt;=20),VALUE('幕间与结算'!B115),0),0)</f>
        <v>0</v>
      </c>
      <c r="B316">
        <f>IF(AND(A316&gt;0,'幕间与结算'!D115&lt;&gt;"",'幕间与结算'!J115="确认",ISNUMBER('幕间与结算'!K115),OR('幕间与结算'!G115="失败",'幕间与结算'!G115="大失败"),'幕间与结算'!H115="√",LEFT('幕间与结算'!E115,3)="技能：",'幕间与结算'!E115&lt;&gt;"技能：非自然知识",ISNUMBER('幕间与结算'!F115),'幕间与结算'!F115&gt;=1,'幕间与结算'!F115&lt;=99),1,0)</f>
        <v>0</v>
      </c>
      <c r="D316">
        <f>IF(AND('幕间与结算'!J115="确认",ISNUMBER('幕间与结算'!K115),'幕间与结算'!L115&lt;&gt;"",ISNUMBER('幕间与结算'!M115),'幕间与结算'!M115&gt;0,'幕间与结算'!M115&lt;=99),'幕间与结算'!M115,0)</f>
        <v>0</v>
      </c>
      <c r="E316">
        <f>IF(AND(B316=1,COUNTIFS($A$210:A316,A316,$B$210:B316,1,'幕间与结算'!$E$9:E115,'幕间与结算'!E115)=1),107,999999)</f>
        <v>999999</v>
      </c>
      <c r="F316">
        <v>115</v>
      </c>
      <c r="AA316">
        <f>IF($A316=1,$E316,999999)</f>
        <v>999999</v>
      </c>
      <c r="AB316">
        <f>IF($A316=2,$E316,999999)</f>
        <v>999999</v>
      </c>
      <c r="AC316">
        <f>IF($A316=3,$E316,999999)</f>
        <v>999999</v>
      </c>
      <c r="AD316">
        <f>IF($A316=4,$E316,999999)</f>
        <v>999999</v>
      </c>
      <c r="AE316">
        <f>IF($A316=5,$E316,999999)</f>
        <v>999999</v>
      </c>
      <c r="AF316">
        <f>IF($A316=6,$E316,999999)</f>
        <v>999999</v>
      </c>
      <c r="AG316">
        <f>IF($A316=7,$E316,999999)</f>
        <v>999999</v>
      </c>
      <c r="AH316">
        <f>IF($A316=8,$E316,999999)</f>
        <v>999999</v>
      </c>
      <c r="AI316">
        <f>IF($A316=9,$E316,999999)</f>
        <v>999999</v>
      </c>
      <c r="AJ316">
        <f>IF($A316=10,$E316,999999)</f>
        <v>999999</v>
      </c>
      <c r="AK316">
        <f>IF($A316=11,$E316,999999)</f>
        <v>999999</v>
      </c>
      <c r="AL316">
        <f>IF($A316=12,$E316,999999)</f>
        <v>999999</v>
      </c>
      <c r="AM316">
        <f>IF($A316=13,$E316,999999)</f>
        <v>999999</v>
      </c>
      <c r="AN316">
        <f>IF($A316=14,$E316,999999)</f>
        <v>999999</v>
      </c>
      <c r="AO316">
        <f>IF($A316=15,$E316,999999)</f>
        <v>999999</v>
      </c>
      <c r="AP316">
        <f>IF($A316=16,$E316,999999)</f>
        <v>999999</v>
      </c>
      <c r="AQ316">
        <f>IF($A316=17,$E316,999999)</f>
        <v>999999</v>
      </c>
      <c r="AR316">
        <f>IF($A316=18,$E316,999999)</f>
        <v>999999</v>
      </c>
      <c r="AS316">
        <f>IF($A316=19,$E316,999999)</f>
        <v>999999</v>
      </c>
      <c r="AT316">
        <f>IF($A316=20,$E316,999999)</f>
        <v>999999</v>
      </c>
      <c r="BA316">
        <f>MAX(0,MIN(CEILING((BF316+BG316)/2,1),BA315+IF('幕间与结算'!E115="体力",N('幕间与结算'!K115),0)))</f>
        <v>0</v>
      </c>
      <c r="BB316">
        <f>MAX(0,MIN(BJ316,BB315+IF('幕间与结算'!E115="毅力",N('幕间与结算'!K115),0)))</f>
        <v>0</v>
      </c>
      <c r="BC316">
        <f>MAX(0,MIN(99-BL316,BC315+IF('幕间与结算'!E115="理智",N('幕间与结算'!K115),0)))</f>
        <v>0</v>
      </c>
      <c r="BD316">
        <f>MAX(0,MIN(99,BD315+IF('幕间与结算'!E115="崩溃点",N('幕间与结算'!K115),0)))</f>
        <v>0</v>
      </c>
      <c r="BF316">
        <f>MAX(0,MIN(18,'幕间计算'!BF315+IF('幕间与结算'!E115="力量",N('幕间与结算'!K115),0)))</f>
        <v>0</v>
      </c>
      <c r="BG316">
        <f>MAX(0,MIN(18,'幕间计算'!BG315+IF('幕间与结算'!E115="体质",N('幕间与结算'!K115),0)))</f>
        <v>0</v>
      </c>
      <c r="BH316">
        <f>MAX(0,MIN(18,'幕间计算'!BH315+IF('幕间与结算'!E115="敏捷",N('幕间与结算'!K115),0)))</f>
        <v>0</v>
      </c>
      <c r="BI316">
        <f>MAX(0,MIN(18,'幕间计算'!BI315+IF('幕间与结算'!E115="智力",N('幕间与结算'!K115),0)))</f>
        <v>0</v>
      </c>
      <c r="BJ316">
        <f>MAX(0,MIN(18,'幕间计算'!BJ315+IF('幕间与结算'!E115="意志",N('幕间与结算'!K115),0)))</f>
        <v>0</v>
      </c>
      <c r="BK316">
        <f>MAX(0,MIN(18,'幕间计算'!BK315+IF('幕间与结算'!E115="魅力",N('幕间与结算'!K115),0)))</f>
        <v>0</v>
      </c>
      <c r="BL316">
        <f>MAX(0,MIN(99,'幕间计算'!BL315+IF('幕间与结算'!E115="技能：非自然知识",N('幕间与结算'!K115),0)))</f>
        <v>0</v>
      </c>
    </row>
    <row r="317">
      <c r="A317">
        <f>IFERROR(IF(AND(VALUE('幕间与结算'!B116)&gt;=1,VALUE('幕间与结算'!B116)&lt;=20),VALUE('幕间与结算'!B116),0),0)</f>
        <v>0</v>
      </c>
      <c r="B317">
        <f>IF(AND(A317&gt;0,'幕间与结算'!D116&lt;&gt;"",'幕间与结算'!J116="确认",ISNUMBER('幕间与结算'!K116),OR('幕间与结算'!G116="失败",'幕间与结算'!G116="大失败"),'幕间与结算'!H116="√",LEFT('幕间与结算'!E116,3)="技能：",'幕间与结算'!E116&lt;&gt;"技能：非自然知识",ISNUMBER('幕间与结算'!F116),'幕间与结算'!F116&gt;=1,'幕间与结算'!F116&lt;=99),1,0)</f>
        <v>0</v>
      </c>
      <c r="D317">
        <f>IF(AND('幕间与结算'!J116="确认",ISNUMBER('幕间与结算'!K116),'幕间与结算'!L116&lt;&gt;"",ISNUMBER('幕间与结算'!M116),'幕间与结算'!M116&gt;0,'幕间与结算'!M116&lt;=99),'幕间与结算'!M116,0)</f>
        <v>0</v>
      </c>
      <c r="E317">
        <f>IF(AND(B317=1,COUNTIFS($A$210:A317,A317,$B$210:B317,1,'幕间与结算'!$E$9:E116,'幕间与结算'!E116)=1),108,999999)</f>
        <v>999999</v>
      </c>
      <c r="F317">
        <v>116</v>
      </c>
      <c r="AA317">
        <f>IF($A317=1,$E317,999999)</f>
        <v>999999</v>
      </c>
      <c r="AB317">
        <f>IF($A317=2,$E317,999999)</f>
        <v>999999</v>
      </c>
      <c r="AC317">
        <f>IF($A317=3,$E317,999999)</f>
        <v>999999</v>
      </c>
      <c r="AD317">
        <f>IF($A317=4,$E317,999999)</f>
        <v>999999</v>
      </c>
      <c r="AE317">
        <f>IF($A317=5,$E317,999999)</f>
        <v>999999</v>
      </c>
      <c r="AF317">
        <f>IF($A317=6,$E317,999999)</f>
        <v>999999</v>
      </c>
      <c r="AG317">
        <f>IF($A317=7,$E317,999999)</f>
        <v>999999</v>
      </c>
      <c r="AH317">
        <f>IF($A317=8,$E317,999999)</f>
        <v>999999</v>
      </c>
      <c r="AI317">
        <f>IF($A317=9,$E317,999999)</f>
        <v>999999</v>
      </c>
      <c r="AJ317">
        <f>IF($A317=10,$E317,999999)</f>
        <v>999999</v>
      </c>
      <c r="AK317">
        <f>IF($A317=11,$E317,999999)</f>
        <v>999999</v>
      </c>
      <c r="AL317">
        <f>IF($A317=12,$E317,999999)</f>
        <v>999999</v>
      </c>
      <c r="AM317">
        <f>IF($A317=13,$E317,999999)</f>
        <v>999999</v>
      </c>
      <c r="AN317">
        <f>IF($A317=14,$E317,999999)</f>
        <v>999999</v>
      </c>
      <c r="AO317">
        <f>IF($A317=15,$E317,999999)</f>
        <v>999999</v>
      </c>
      <c r="AP317">
        <f>IF($A317=16,$E317,999999)</f>
        <v>999999</v>
      </c>
      <c r="AQ317">
        <f>IF($A317=17,$E317,999999)</f>
        <v>999999</v>
      </c>
      <c r="AR317">
        <f>IF($A317=18,$E317,999999)</f>
        <v>999999</v>
      </c>
      <c r="AS317">
        <f>IF($A317=19,$E317,999999)</f>
        <v>999999</v>
      </c>
      <c r="AT317">
        <f>IF($A317=20,$E317,999999)</f>
        <v>999999</v>
      </c>
      <c r="BA317">
        <f>MAX(0,MIN(CEILING((BF317+BG317)/2,1),BA316+IF('幕间与结算'!E116="体力",N('幕间与结算'!K116),0)))</f>
        <v>0</v>
      </c>
      <c r="BB317">
        <f>MAX(0,MIN(BJ317,BB316+IF('幕间与结算'!E116="毅力",N('幕间与结算'!K116),0)))</f>
        <v>0</v>
      </c>
      <c r="BC317">
        <f>MAX(0,MIN(99-BL317,BC316+IF('幕间与结算'!E116="理智",N('幕间与结算'!K116),0)))</f>
        <v>0</v>
      </c>
      <c r="BD317">
        <f>MAX(0,MIN(99,BD316+IF('幕间与结算'!E116="崩溃点",N('幕间与结算'!K116),0)))</f>
        <v>0</v>
      </c>
      <c r="BF317">
        <f>MAX(0,MIN(18,'幕间计算'!BF316+IF('幕间与结算'!E116="力量",N('幕间与结算'!K116),0)))</f>
        <v>0</v>
      </c>
      <c r="BG317">
        <f>MAX(0,MIN(18,'幕间计算'!BG316+IF('幕间与结算'!E116="体质",N('幕间与结算'!K116),0)))</f>
        <v>0</v>
      </c>
      <c r="BH317">
        <f>MAX(0,MIN(18,'幕间计算'!BH316+IF('幕间与结算'!E116="敏捷",N('幕间与结算'!K116),0)))</f>
        <v>0</v>
      </c>
      <c r="BI317">
        <f>MAX(0,MIN(18,'幕间计算'!BI316+IF('幕间与结算'!E116="智力",N('幕间与结算'!K116),0)))</f>
        <v>0</v>
      </c>
      <c r="BJ317">
        <f>MAX(0,MIN(18,'幕间计算'!BJ316+IF('幕间与结算'!E116="意志",N('幕间与结算'!K116),0)))</f>
        <v>0</v>
      </c>
      <c r="BK317">
        <f>MAX(0,MIN(18,'幕间计算'!BK316+IF('幕间与结算'!E116="魅力",N('幕间与结算'!K116),0)))</f>
        <v>0</v>
      </c>
      <c r="BL317">
        <f>MAX(0,MIN(99,'幕间计算'!BL316+IF('幕间与结算'!E116="技能：非自然知识",N('幕间与结算'!K116),0)))</f>
        <v>0</v>
      </c>
    </row>
    <row r="318">
      <c r="A318">
        <f>IFERROR(IF(AND(VALUE('幕间与结算'!B117)&gt;=1,VALUE('幕间与结算'!B117)&lt;=20),VALUE('幕间与结算'!B117),0),0)</f>
        <v>0</v>
      </c>
      <c r="B318">
        <f>IF(AND(A318&gt;0,'幕间与结算'!D117&lt;&gt;"",'幕间与结算'!J117="确认",ISNUMBER('幕间与结算'!K117),OR('幕间与结算'!G117="失败",'幕间与结算'!G117="大失败"),'幕间与结算'!H117="√",LEFT('幕间与结算'!E117,3)="技能：",'幕间与结算'!E117&lt;&gt;"技能：非自然知识",ISNUMBER('幕间与结算'!F117),'幕间与结算'!F117&gt;=1,'幕间与结算'!F117&lt;=99),1,0)</f>
        <v>0</v>
      </c>
      <c r="D318">
        <f>IF(AND('幕间与结算'!J117="确认",ISNUMBER('幕间与结算'!K117),'幕间与结算'!L117&lt;&gt;"",ISNUMBER('幕间与结算'!M117),'幕间与结算'!M117&gt;0,'幕间与结算'!M117&lt;=99),'幕间与结算'!M117,0)</f>
        <v>0</v>
      </c>
      <c r="E318">
        <f>IF(AND(B318=1,COUNTIFS($A$210:A318,A318,$B$210:B318,1,'幕间与结算'!$E$9:E117,'幕间与结算'!E117)=1),109,999999)</f>
        <v>999999</v>
      </c>
      <c r="F318">
        <v>117</v>
      </c>
      <c r="AA318">
        <f>IF($A318=1,$E318,999999)</f>
        <v>999999</v>
      </c>
      <c r="AB318">
        <f>IF($A318=2,$E318,999999)</f>
        <v>999999</v>
      </c>
      <c r="AC318">
        <f>IF($A318=3,$E318,999999)</f>
        <v>999999</v>
      </c>
      <c r="AD318">
        <f>IF($A318=4,$E318,999999)</f>
        <v>999999</v>
      </c>
      <c r="AE318">
        <f>IF($A318=5,$E318,999999)</f>
        <v>999999</v>
      </c>
      <c r="AF318">
        <f>IF($A318=6,$E318,999999)</f>
        <v>999999</v>
      </c>
      <c r="AG318">
        <f>IF($A318=7,$E318,999999)</f>
        <v>999999</v>
      </c>
      <c r="AH318">
        <f>IF($A318=8,$E318,999999)</f>
        <v>999999</v>
      </c>
      <c r="AI318">
        <f>IF($A318=9,$E318,999999)</f>
        <v>999999</v>
      </c>
      <c r="AJ318">
        <f>IF($A318=10,$E318,999999)</f>
        <v>999999</v>
      </c>
      <c r="AK318">
        <f>IF($A318=11,$E318,999999)</f>
        <v>999999</v>
      </c>
      <c r="AL318">
        <f>IF($A318=12,$E318,999999)</f>
        <v>999999</v>
      </c>
      <c r="AM318">
        <f>IF($A318=13,$E318,999999)</f>
        <v>999999</v>
      </c>
      <c r="AN318">
        <f>IF($A318=14,$E318,999999)</f>
        <v>999999</v>
      </c>
      <c r="AO318">
        <f>IF($A318=15,$E318,999999)</f>
        <v>999999</v>
      </c>
      <c r="AP318">
        <f>IF($A318=16,$E318,999999)</f>
        <v>999999</v>
      </c>
      <c r="AQ318">
        <f>IF($A318=17,$E318,999999)</f>
        <v>999999</v>
      </c>
      <c r="AR318">
        <f>IF($A318=18,$E318,999999)</f>
        <v>999999</v>
      </c>
      <c r="AS318">
        <f>IF($A318=19,$E318,999999)</f>
        <v>999999</v>
      </c>
      <c r="AT318">
        <f>IF($A318=20,$E318,999999)</f>
        <v>999999</v>
      </c>
      <c r="BA318">
        <f>MAX(0,MIN(CEILING((BF318+BG318)/2,1),BA317+IF('幕间与结算'!E117="体力",N('幕间与结算'!K117),0)))</f>
        <v>0</v>
      </c>
      <c r="BB318">
        <f>MAX(0,MIN(BJ318,BB317+IF('幕间与结算'!E117="毅力",N('幕间与结算'!K117),0)))</f>
        <v>0</v>
      </c>
      <c r="BC318">
        <f>MAX(0,MIN(99-BL318,BC317+IF('幕间与结算'!E117="理智",N('幕间与结算'!K117),0)))</f>
        <v>0</v>
      </c>
      <c r="BD318">
        <f>MAX(0,MIN(99,BD317+IF('幕间与结算'!E117="崩溃点",N('幕间与结算'!K117),0)))</f>
        <v>0</v>
      </c>
      <c r="BF318">
        <f>MAX(0,MIN(18,'幕间计算'!BF317+IF('幕间与结算'!E117="力量",N('幕间与结算'!K117),0)))</f>
        <v>0</v>
      </c>
      <c r="BG318">
        <f>MAX(0,MIN(18,'幕间计算'!BG317+IF('幕间与结算'!E117="体质",N('幕间与结算'!K117),0)))</f>
        <v>0</v>
      </c>
      <c r="BH318">
        <f>MAX(0,MIN(18,'幕间计算'!BH317+IF('幕间与结算'!E117="敏捷",N('幕间与结算'!K117),0)))</f>
        <v>0</v>
      </c>
      <c r="BI318">
        <f>MAX(0,MIN(18,'幕间计算'!BI317+IF('幕间与结算'!E117="智力",N('幕间与结算'!K117),0)))</f>
        <v>0</v>
      </c>
      <c r="BJ318">
        <f>MAX(0,MIN(18,'幕间计算'!BJ317+IF('幕间与结算'!E117="意志",N('幕间与结算'!K117),0)))</f>
        <v>0</v>
      </c>
      <c r="BK318">
        <f>MAX(0,MIN(18,'幕间计算'!BK317+IF('幕间与结算'!E117="魅力",N('幕间与结算'!K117),0)))</f>
        <v>0</v>
      </c>
      <c r="BL318">
        <f>MAX(0,MIN(99,'幕间计算'!BL317+IF('幕间与结算'!E117="技能：非自然知识",N('幕间与结算'!K117),0)))</f>
        <v>0</v>
      </c>
    </row>
    <row r="319">
      <c r="A319">
        <f>IFERROR(IF(AND(VALUE('幕间与结算'!B118)&gt;=1,VALUE('幕间与结算'!B118)&lt;=20),VALUE('幕间与结算'!B118),0),0)</f>
        <v>0</v>
      </c>
      <c r="B319">
        <f>IF(AND(A319&gt;0,'幕间与结算'!D118&lt;&gt;"",'幕间与结算'!J118="确认",ISNUMBER('幕间与结算'!K118),OR('幕间与结算'!G118="失败",'幕间与结算'!G118="大失败"),'幕间与结算'!H118="√",LEFT('幕间与结算'!E118,3)="技能：",'幕间与结算'!E118&lt;&gt;"技能：非自然知识",ISNUMBER('幕间与结算'!F118),'幕间与结算'!F118&gt;=1,'幕间与结算'!F118&lt;=99),1,0)</f>
        <v>0</v>
      </c>
      <c r="D319">
        <f>IF(AND('幕间与结算'!J118="确认",ISNUMBER('幕间与结算'!K118),'幕间与结算'!L118&lt;&gt;"",ISNUMBER('幕间与结算'!M118),'幕间与结算'!M118&gt;0,'幕间与结算'!M118&lt;=99),'幕间与结算'!M118,0)</f>
        <v>0</v>
      </c>
      <c r="E319">
        <f>IF(AND(B319=1,COUNTIFS($A$210:A319,A319,$B$210:B319,1,'幕间与结算'!$E$9:E118,'幕间与结算'!E118)=1),110,999999)</f>
        <v>999999</v>
      </c>
      <c r="F319">
        <v>118</v>
      </c>
      <c r="AA319">
        <f>IF($A319=1,$E319,999999)</f>
        <v>999999</v>
      </c>
      <c r="AB319">
        <f>IF($A319=2,$E319,999999)</f>
        <v>999999</v>
      </c>
      <c r="AC319">
        <f>IF($A319=3,$E319,999999)</f>
        <v>999999</v>
      </c>
      <c r="AD319">
        <f>IF($A319=4,$E319,999999)</f>
        <v>999999</v>
      </c>
      <c r="AE319">
        <f>IF($A319=5,$E319,999999)</f>
        <v>999999</v>
      </c>
      <c r="AF319">
        <f>IF($A319=6,$E319,999999)</f>
        <v>999999</v>
      </c>
      <c r="AG319">
        <f>IF($A319=7,$E319,999999)</f>
        <v>999999</v>
      </c>
      <c r="AH319">
        <f>IF($A319=8,$E319,999999)</f>
        <v>999999</v>
      </c>
      <c r="AI319">
        <f>IF($A319=9,$E319,999999)</f>
        <v>999999</v>
      </c>
      <c r="AJ319">
        <f>IF($A319=10,$E319,999999)</f>
        <v>999999</v>
      </c>
      <c r="AK319">
        <f>IF($A319=11,$E319,999999)</f>
        <v>999999</v>
      </c>
      <c r="AL319">
        <f>IF($A319=12,$E319,999999)</f>
        <v>999999</v>
      </c>
      <c r="AM319">
        <f>IF($A319=13,$E319,999999)</f>
        <v>999999</v>
      </c>
      <c r="AN319">
        <f>IF($A319=14,$E319,999999)</f>
        <v>999999</v>
      </c>
      <c r="AO319">
        <f>IF($A319=15,$E319,999999)</f>
        <v>999999</v>
      </c>
      <c r="AP319">
        <f>IF($A319=16,$E319,999999)</f>
        <v>999999</v>
      </c>
      <c r="AQ319">
        <f>IF($A319=17,$E319,999999)</f>
        <v>999999</v>
      </c>
      <c r="AR319">
        <f>IF($A319=18,$E319,999999)</f>
        <v>999999</v>
      </c>
      <c r="AS319">
        <f>IF($A319=19,$E319,999999)</f>
        <v>999999</v>
      </c>
      <c r="AT319">
        <f>IF($A319=20,$E319,999999)</f>
        <v>999999</v>
      </c>
      <c r="BA319">
        <f>MAX(0,MIN(CEILING((BF319+BG319)/2,1),BA318+IF('幕间与结算'!E118="体力",N('幕间与结算'!K118),0)))</f>
        <v>0</v>
      </c>
      <c r="BB319">
        <f>MAX(0,MIN(BJ319,BB318+IF('幕间与结算'!E118="毅力",N('幕间与结算'!K118),0)))</f>
        <v>0</v>
      </c>
      <c r="BC319">
        <f>MAX(0,MIN(99-BL319,BC318+IF('幕间与结算'!E118="理智",N('幕间与结算'!K118),0)))</f>
        <v>0</v>
      </c>
      <c r="BD319">
        <f>MAX(0,MIN(99,BD318+IF('幕间与结算'!E118="崩溃点",N('幕间与结算'!K118),0)))</f>
        <v>0</v>
      </c>
      <c r="BF319">
        <f>MAX(0,MIN(18,'幕间计算'!BF318+IF('幕间与结算'!E118="力量",N('幕间与结算'!K118),0)))</f>
        <v>0</v>
      </c>
      <c r="BG319">
        <f>MAX(0,MIN(18,'幕间计算'!BG318+IF('幕间与结算'!E118="体质",N('幕间与结算'!K118),0)))</f>
        <v>0</v>
      </c>
      <c r="BH319">
        <f>MAX(0,MIN(18,'幕间计算'!BH318+IF('幕间与结算'!E118="敏捷",N('幕间与结算'!K118),0)))</f>
        <v>0</v>
      </c>
      <c r="BI319">
        <f>MAX(0,MIN(18,'幕间计算'!BI318+IF('幕间与结算'!E118="智力",N('幕间与结算'!K118),0)))</f>
        <v>0</v>
      </c>
      <c r="BJ319">
        <f>MAX(0,MIN(18,'幕间计算'!BJ318+IF('幕间与结算'!E118="意志",N('幕间与结算'!K118),0)))</f>
        <v>0</v>
      </c>
      <c r="BK319">
        <f>MAX(0,MIN(18,'幕间计算'!BK318+IF('幕间与结算'!E118="魅力",N('幕间与结算'!K118),0)))</f>
        <v>0</v>
      </c>
      <c r="BL319">
        <f>MAX(0,MIN(99,'幕间计算'!BL318+IF('幕间与结算'!E118="技能：非自然知识",N('幕间与结算'!K118),0)))</f>
        <v>0</v>
      </c>
    </row>
    <row r="320">
      <c r="A320">
        <f>IFERROR(IF(AND(VALUE('幕间与结算'!B119)&gt;=1,VALUE('幕间与结算'!B119)&lt;=20),VALUE('幕间与结算'!B119),0),0)</f>
        <v>0</v>
      </c>
      <c r="B320">
        <f>IF(AND(A320&gt;0,'幕间与结算'!D119&lt;&gt;"",'幕间与结算'!J119="确认",ISNUMBER('幕间与结算'!K119),OR('幕间与结算'!G119="失败",'幕间与结算'!G119="大失败"),'幕间与结算'!H119="√",LEFT('幕间与结算'!E119,3)="技能：",'幕间与结算'!E119&lt;&gt;"技能：非自然知识",ISNUMBER('幕间与结算'!F119),'幕间与结算'!F119&gt;=1,'幕间与结算'!F119&lt;=99),1,0)</f>
        <v>0</v>
      </c>
      <c r="D320">
        <f>IF(AND('幕间与结算'!J119="确认",ISNUMBER('幕间与结算'!K119),'幕间与结算'!L119&lt;&gt;"",ISNUMBER('幕间与结算'!M119),'幕间与结算'!M119&gt;0,'幕间与结算'!M119&lt;=99),'幕间与结算'!M119,0)</f>
        <v>0</v>
      </c>
      <c r="E320">
        <f>IF(AND(B320=1,COUNTIFS($A$210:A320,A320,$B$210:B320,1,'幕间与结算'!$E$9:E119,'幕间与结算'!E119)=1),111,999999)</f>
        <v>999999</v>
      </c>
      <c r="F320">
        <v>119</v>
      </c>
      <c r="AA320">
        <f>IF($A320=1,$E320,999999)</f>
        <v>999999</v>
      </c>
      <c r="AB320">
        <f>IF($A320=2,$E320,999999)</f>
        <v>999999</v>
      </c>
      <c r="AC320">
        <f>IF($A320=3,$E320,999999)</f>
        <v>999999</v>
      </c>
      <c r="AD320">
        <f>IF($A320=4,$E320,999999)</f>
        <v>999999</v>
      </c>
      <c r="AE320">
        <f>IF($A320=5,$E320,999999)</f>
        <v>999999</v>
      </c>
      <c r="AF320">
        <f>IF($A320=6,$E320,999999)</f>
        <v>999999</v>
      </c>
      <c r="AG320">
        <f>IF($A320=7,$E320,999999)</f>
        <v>999999</v>
      </c>
      <c r="AH320">
        <f>IF($A320=8,$E320,999999)</f>
        <v>999999</v>
      </c>
      <c r="AI320">
        <f>IF($A320=9,$E320,999999)</f>
        <v>999999</v>
      </c>
      <c r="AJ320">
        <f>IF($A320=10,$E320,999999)</f>
        <v>999999</v>
      </c>
      <c r="AK320">
        <f>IF($A320=11,$E320,999999)</f>
        <v>999999</v>
      </c>
      <c r="AL320">
        <f>IF($A320=12,$E320,999999)</f>
        <v>999999</v>
      </c>
      <c r="AM320">
        <f>IF($A320=13,$E320,999999)</f>
        <v>999999</v>
      </c>
      <c r="AN320">
        <f>IF($A320=14,$E320,999999)</f>
        <v>999999</v>
      </c>
      <c r="AO320">
        <f>IF($A320=15,$E320,999999)</f>
        <v>999999</v>
      </c>
      <c r="AP320">
        <f>IF($A320=16,$E320,999999)</f>
        <v>999999</v>
      </c>
      <c r="AQ320">
        <f>IF($A320=17,$E320,999999)</f>
        <v>999999</v>
      </c>
      <c r="AR320">
        <f>IF($A320=18,$E320,999999)</f>
        <v>999999</v>
      </c>
      <c r="AS320">
        <f>IF($A320=19,$E320,999999)</f>
        <v>999999</v>
      </c>
      <c r="AT320">
        <f>IF($A320=20,$E320,999999)</f>
        <v>999999</v>
      </c>
      <c r="BA320">
        <f>MAX(0,MIN(CEILING((BF320+BG320)/2,1),BA319+IF('幕间与结算'!E119="体力",N('幕间与结算'!K119),0)))</f>
        <v>0</v>
      </c>
      <c r="BB320">
        <f>MAX(0,MIN(BJ320,BB319+IF('幕间与结算'!E119="毅力",N('幕间与结算'!K119),0)))</f>
        <v>0</v>
      </c>
      <c r="BC320">
        <f>MAX(0,MIN(99-BL320,BC319+IF('幕间与结算'!E119="理智",N('幕间与结算'!K119),0)))</f>
        <v>0</v>
      </c>
      <c r="BD320">
        <f>MAX(0,MIN(99,BD319+IF('幕间与结算'!E119="崩溃点",N('幕间与结算'!K119),0)))</f>
        <v>0</v>
      </c>
      <c r="BF320">
        <f>MAX(0,MIN(18,'幕间计算'!BF319+IF('幕间与结算'!E119="力量",N('幕间与结算'!K119),0)))</f>
        <v>0</v>
      </c>
      <c r="BG320">
        <f>MAX(0,MIN(18,'幕间计算'!BG319+IF('幕间与结算'!E119="体质",N('幕间与结算'!K119),0)))</f>
        <v>0</v>
      </c>
      <c r="BH320">
        <f>MAX(0,MIN(18,'幕间计算'!BH319+IF('幕间与结算'!E119="敏捷",N('幕间与结算'!K119),0)))</f>
        <v>0</v>
      </c>
      <c r="BI320">
        <f>MAX(0,MIN(18,'幕间计算'!BI319+IF('幕间与结算'!E119="智力",N('幕间与结算'!K119),0)))</f>
        <v>0</v>
      </c>
      <c r="BJ320">
        <f>MAX(0,MIN(18,'幕间计算'!BJ319+IF('幕间与结算'!E119="意志",N('幕间与结算'!K119),0)))</f>
        <v>0</v>
      </c>
      <c r="BK320">
        <f>MAX(0,MIN(18,'幕间计算'!BK319+IF('幕间与结算'!E119="魅力",N('幕间与结算'!K119),0)))</f>
        <v>0</v>
      </c>
      <c r="BL320">
        <f>MAX(0,MIN(99,'幕间计算'!BL319+IF('幕间与结算'!E119="技能：非自然知识",N('幕间与结算'!K119),0)))</f>
        <v>0</v>
      </c>
    </row>
    <row r="321">
      <c r="A321">
        <f>IFERROR(IF(AND(VALUE('幕间与结算'!B120)&gt;=1,VALUE('幕间与结算'!B120)&lt;=20),VALUE('幕间与结算'!B120),0),0)</f>
        <v>0</v>
      </c>
      <c r="B321">
        <f>IF(AND(A321&gt;0,'幕间与结算'!D120&lt;&gt;"",'幕间与结算'!J120="确认",ISNUMBER('幕间与结算'!K120),OR('幕间与结算'!G120="失败",'幕间与结算'!G120="大失败"),'幕间与结算'!H120="√",LEFT('幕间与结算'!E120,3)="技能：",'幕间与结算'!E120&lt;&gt;"技能：非自然知识",ISNUMBER('幕间与结算'!F120),'幕间与结算'!F120&gt;=1,'幕间与结算'!F120&lt;=99),1,0)</f>
        <v>0</v>
      </c>
      <c r="D321">
        <f>IF(AND('幕间与结算'!J120="确认",ISNUMBER('幕间与结算'!K120),'幕间与结算'!L120&lt;&gt;"",ISNUMBER('幕间与结算'!M120),'幕间与结算'!M120&gt;0,'幕间与结算'!M120&lt;=99),'幕间与结算'!M120,0)</f>
        <v>0</v>
      </c>
      <c r="E321">
        <f>IF(AND(B321=1,COUNTIFS($A$210:A321,A321,$B$210:B321,1,'幕间与结算'!$E$9:E120,'幕间与结算'!E120)=1),112,999999)</f>
        <v>999999</v>
      </c>
      <c r="F321">
        <v>120</v>
      </c>
      <c r="AA321">
        <f>IF($A321=1,$E321,999999)</f>
        <v>999999</v>
      </c>
      <c r="AB321">
        <f>IF($A321=2,$E321,999999)</f>
        <v>999999</v>
      </c>
      <c r="AC321">
        <f>IF($A321=3,$E321,999999)</f>
        <v>999999</v>
      </c>
      <c r="AD321">
        <f>IF($A321=4,$E321,999999)</f>
        <v>999999</v>
      </c>
      <c r="AE321">
        <f>IF($A321=5,$E321,999999)</f>
        <v>999999</v>
      </c>
      <c r="AF321">
        <f>IF($A321=6,$E321,999999)</f>
        <v>999999</v>
      </c>
      <c r="AG321">
        <f>IF($A321=7,$E321,999999)</f>
        <v>999999</v>
      </c>
      <c r="AH321">
        <f>IF($A321=8,$E321,999999)</f>
        <v>999999</v>
      </c>
      <c r="AI321">
        <f>IF($A321=9,$E321,999999)</f>
        <v>999999</v>
      </c>
      <c r="AJ321">
        <f>IF($A321=10,$E321,999999)</f>
        <v>999999</v>
      </c>
      <c r="AK321">
        <f>IF($A321=11,$E321,999999)</f>
        <v>999999</v>
      </c>
      <c r="AL321">
        <f>IF($A321=12,$E321,999999)</f>
        <v>999999</v>
      </c>
      <c r="AM321">
        <f>IF($A321=13,$E321,999999)</f>
        <v>999999</v>
      </c>
      <c r="AN321">
        <f>IF($A321=14,$E321,999999)</f>
        <v>999999</v>
      </c>
      <c r="AO321">
        <f>IF($A321=15,$E321,999999)</f>
        <v>999999</v>
      </c>
      <c r="AP321">
        <f>IF($A321=16,$E321,999999)</f>
        <v>999999</v>
      </c>
      <c r="AQ321">
        <f>IF($A321=17,$E321,999999)</f>
        <v>999999</v>
      </c>
      <c r="AR321">
        <f>IF($A321=18,$E321,999999)</f>
        <v>999999</v>
      </c>
      <c r="AS321">
        <f>IF($A321=19,$E321,999999)</f>
        <v>999999</v>
      </c>
      <c r="AT321">
        <f>IF($A321=20,$E321,999999)</f>
        <v>999999</v>
      </c>
      <c r="BA321">
        <f>MAX(0,MIN(CEILING((BF321+BG321)/2,1),BA320+IF('幕间与结算'!E120="体力",N('幕间与结算'!K120),0)))</f>
        <v>0</v>
      </c>
      <c r="BB321">
        <f>MAX(0,MIN(BJ321,BB320+IF('幕间与结算'!E120="毅力",N('幕间与结算'!K120),0)))</f>
        <v>0</v>
      </c>
      <c r="BC321">
        <f>MAX(0,MIN(99-BL321,BC320+IF('幕间与结算'!E120="理智",N('幕间与结算'!K120),0)))</f>
        <v>0</v>
      </c>
      <c r="BD321">
        <f>MAX(0,MIN(99,BD320+IF('幕间与结算'!E120="崩溃点",N('幕间与结算'!K120),0)))</f>
        <v>0</v>
      </c>
      <c r="BF321">
        <f>MAX(0,MIN(18,'幕间计算'!BF320+IF('幕间与结算'!E120="力量",N('幕间与结算'!K120),0)))</f>
        <v>0</v>
      </c>
      <c r="BG321">
        <f>MAX(0,MIN(18,'幕间计算'!BG320+IF('幕间与结算'!E120="体质",N('幕间与结算'!K120),0)))</f>
        <v>0</v>
      </c>
      <c r="BH321">
        <f>MAX(0,MIN(18,'幕间计算'!BH320+IF('幕间与结算'!E120="敏捷",N('幕间与结算'!K120),0)))</f>
        <v>0</v>
      </c>
      <c r="BI321">
        <f>MAX(0,MIN(18,'幕间计算'!BI320+IF('幕间与结算'!E120="智力",N('幕间与结算'!K120),0)))</f>
        <v>0</v>
      </c>
      <c r="BJ321">
        <f>MAX(0,MIN(18,'幕间计算'!BJ320+IF('幕间与结算'!E120="意志",N('幕间与结算'!K120),0)))</f>
        <v>0</v>
      </c>
      <c r="BK321">
        <f>MAX(0,MIN(18,'幕间计算'!BK320+IF('幕间与结算'!E120="魅力",N('幕间与结算'!K120),0)))</f>
        <v>0</v>
      </c>
      <c r="BL321">
        <f>MAX(0,MIN(99,'幕间计算'!BL320+IF('幕间与结算'!E120="技能：非自然知识",N('幕间与结算'!K120),0)))</f>
        <v>0</v>
      </c>
    </row>
    <row r="322">
      <c r="A322">
        <f>IFERROR(IF(AND(VALUE('幕间与结算'!B121)&gt;=1,VALUE('幕间与结算'!B121)&lt;=20),VALUE('幕间与结算'!B121),0),0)</f>
        <v>0</v>
      </c>
      <c r="B322">
        <f>IF(AND(A322&gt;0,'幕间与结算'!D121&lt;&gt;"",'幕间与结算'!J121="确认",ISNUMBER('幕间与结算'!K121),OR('幕间与结算'!G121="失败",'幕间与结算'!G121="大失败"),'幕间与结算'!H121="√",LEFT('幕间与结算'!E121,3)="技能：",'幕间与结算'!E121&lt;&gt;"技能：非自然知识",ISNUMBER('幕间与结算'!F121),'幕间与结算'!F121&gt;=1,'幕间与结算'!F121&lt;=99),1,0)</f>
        <v>0</v>
      </c>
      <c r="D322">
        <f>IF(AND('幕间与结算'!J121="确认",ISNUMBER('幕间与结算'!K121),'幕间与结算'!L121&lt;&gt;"",ISNUMBER('幕间与结算'!M121),'幕间与结算'!M121&gt;0,'幕间与结算'!M121&lt;=99),'幕间与结算'!M121,0)</f>
        <v>0</v>
      </c>
      <c r="E322">
        <f>IF(AND(B322=1,COUNTIFS($A$210:A322,A322,$B$210:B322,1,'幕间与结算'!$E$9:E121,'幕间与结算'!E121)=1),113,999999)</f>
        <v>999999</v>
      </c>
      <c r="F322">
        <v>121</v>
      </c>
      <c r="AA322">
        <f>IF($A322=1,$E322,999999)</f>
        <v>999999</v>
      </c>
      <c r="AB322">
        <f>IF($A322=2,$E322,999999)</f>
        <v>999999</v>
      </c>
      <c r="AC322">
        <f>IF($A322=3,$E322,999999)</f>
        <v>999999</v>
      </c>
      <c r="AD322">
        <f>IF($A322=4,$E322,999999)</f>
        <v>999999</v>
      </c>
      <c r="AE322">
        <f>IF($A322=5,$E322,999999)</f>
        <v>999999</v>
      </c>
      <c r="AF322">
        <f>IF($A322=6,$E322,999999)</f>
        <v>999999</v>
      </c>
      <c r="AG322">
        <f>IF($A322=7,$E322,999999)</f>
        <v>999999</v>
      </c>
      <c r="AH322">
        <f>IF($A322=8,$E322,999999)</f>
        <v>999999</v>
      </c>
      <c r="AI322">
        <f>IF($A322=9,$E322,999999)</f>
        <v>999999</v>
      </c>
      <c r="AJ322">
        <f>IF($A322=10,$E322,999999)</f>
        <v>999999</v>
      </c>
      <c r="AK322">
        <f>IF($A322=11,$E322,999999)</f>
        <v>999999</v>
      </c>
      <c r="AL322">
        <f>IF($A322=12,$E322,999999)</f>
        <v>999999</v>
      </c>
      <c r="AM322">
        <f>IF($A322=13,$E322,999999)</f>
        <v>999999</v>
      </c>
      <c r="AN322">
        <f>IF($A322=14,$E322,999999)</f>
        <v>999999</v>
      </c>
      <c r="AO322">
        <f>IF($A322=15,$E322,999999)</f>
        <v>999999</v>
      </c>
      <c r="AP322">
        <f>IF($A322=16,$E322,999999)</f>
        <v>999999</v>
      </c>
      <c r="AQ322">
        <f>IF($A322=17,$E322,999999)</f>
        <v>999999</v>
      </c>
      <c r="AR322">
        <f>IF($A322=18,$E322,999999)</f>
        <v>999999</v>
      </c>
      <c r="AS322">
        <f>IF($A322=19,$E322,999999)</f>
        <v>999999</v>
      </c>
      <c r="AT322">
        <f>IF($A322=20,$E322,999999)</f>
        <v>999999</v>
      </c>
      <c r="BA322">
        <f>MAX(0,MIN(CEILING((BF322+BG322)/2,1),BA321+IF('幕间与结算'!E121="体力",N('幕间与结算'!K121),0)))</f>
        <v>0</v>
      </c>
      <c r="BB322">
        <f>MAX(0,MIN(BJ322,BB321+IF('幕间与结算'!E121="毅力",N('幕间与结算'!K121),0)))</f>
        <v>0</v>
      </c>
      <c r="BC322">
        <f>MAX(0,MIN(99-BL322,BC321+IF('幕间与结算'!E121="理智",N('幕间与结算'!K121),0)))</f>
        <v>0</v>
      </c>
      <c r="BD322">
        <f>MAX(0,MIN(99,BD321+IF('幕间与结算'!E121="崩溃点",N('幕间与结算'!K121),0)))</f>
        <v>0</v>
      </c>
      <c r="BF322">
        <f>MAX(0,MIN(18,'幕间计算'!BF321+IF('幕间与结算'!E121="力量",N('幕间与结算'!K121),0)))</f>
        <v>0</v>
      </c>
      <c r="BG322">
        <f>MAX(0,MIN(18,'幕间计算'!BG321+IF('幕间与结算'!E121="体质",N('幕间与结算'!K121),0)))</f>
        <v>0</v>
      </c>
      <c r="BH322">
        <f>MAX(0,MIN(18,'幕间计算'!BH321+IF('幕间与结算'!E121="敏捷",N('幕间与结算'!K121),0)))</f>
        <v>0</v>
      </c>
      <c r="BI322">
        <f>MAX(0,MIN(18,'幕间计算'!BI321+IF('幕间与结算'!E121="智力",N('幕间与结算'!K121),0)))</f>
        <v>0</v>
      </c>
      <c r="BJ322">
        <f>MAX(0,MIN(18,'幕间计算'!BJ321+IF('幕间与结算'!E121="意志",N('幕间与结算'!K121),0)))</f>
        <v>0</v>
      </c>
      <c r="BK322">
        <f>MAX(0,MIN(18,'幕间计算'!BK321+IF('幕间与结算'!E121="魅力",N('幕间与结算'!K121),0)))</f>
        <v>0</v>
      </c>
      <c r="BL322">
        <f>MAX(0,MIN(99,'幕间计算'!BL321+IF('幕间与结算'!E121="技能：非自然知识",N('幕间与结算'!K121),0)))</f>
        <v>0</v>
      </c>
    </row>
    <row r="323">
      <c r="A323">
        <f>IFERROR(IF(AND(VALUE('幕间与结算'!B122)&gt;=1,VALUE('幕间与结算'!B122)&lt;=20),VALUE('幕间与结算'!B122),0),0)</f>
        <v>0</v>
      </c>
      <c r="B323">
        <f>IF(AND(A323&gt;0,'幕间与结算'!D122&lt;&gt;"",'幕间与结算'!J122="确认",ISNUMBER('幕间与结算'!K122),OR('幕间与结算'!G122="失败",'幕间与结算'!G122="大失败"),'幕间与结算'!H122="√",LEFT('幕间与结算'!E122,3)="技能：",'幕间与结算'!E122&lt;&gt;"技能：非自然知识",ISNUMBER('幕间与结算'!F122),'幕间与结算'!F122&gt;=1,'幕间与结算'!F122&lt;=99),1,0)</f>
        <v>0</v>
      </c>
      <c r="D323">
        <f>IF(AND('幕间与结算'!J122="确认",ISNUMBER('幕间与结算'!K122),'幕间与结算'!L122&lt;&gt;"",ISNUMBER('幕间与结算'!M122),'幕间与结算'!M122&gt;0,'幕间与结算'!M122&lt;=99),'幕间与结算'!M122,0)</f>
        <v>0</v>
      </c>
      <c r="E323">
        <f>IF(AND(B323=1,COUNTIFS($A$210:A323,A323,$B$210:B323,1,'幕间与结算'!$E$9:E122,'幕间与结算'!E122)=1),114,999999)</f>
        <v>999999</v>
      </c>
      <c r="F323">
        <v>122</v>
      </c>
      <c r="AA323">
        <f>IF($A323=1,$E323,999999)</f>
        <v>999999</v>
      </c>
      <c r="AB323">
        <f>IF($A323=2,$E323,999999)</f>
        <v>999999</v>
      </c>
      <c r="AC323">
        <f>IF($A323=3,$E323,999999)</f>
        <v>999999</v>
      </c>
      <c r="AD323">
        <f>IF($A323=4,$E323,999999)</f>
        <v>999999</v>
      </c>
      <c r="AE323">
        <f>IF($A323=5,$E323,999999)</f>
        <v>999999</v>
      </c>
      <c r="AF323">
        <f>IF($A323=6,$E323,999999)</f>
        <v>999999</v>
      </c>
      <c r="AG323">
        <f>IF($A323=7,$E323,999999)</f>
        <v>999999</v>
      </c>
      <c r="AH323">
        <f>IF($A323=8,$E323,999999)</f>
        <v>999999</v>
      </c>
      <c r="AI323">
        <f>IF($A323=9,$E323,999999)</f>
        <v>999999</v>
      </c>
      <c r="AJ323">
        <f>IF($A323=10,$E323,999999)</f>
        <v>999999</v>
      </c>
      <c r="AK323">
        <f>IF($A323=11,$E323,999999)</f>
        <v>999999</v>
      </c>
      <c r="AL323">
        <f>IF($A323=12,$E323,999999)</f>
        <v>999999</v>
      </c>
      <c r="AM323">
        <f>IF($A323=13,$E323,999999)</f>
        <v>999999</v>
      </c>
      <c r="AN323">
        <f>IF($A323=14,$E323,999999)</f>
        <v>999999</v>
      </c>
      <c r="AO323">
        <f>IF($A323=15,$E323,999999)</f>
        <v>999999</v>
      </c>
      <c r="AP323">
        <f>IF($A323=16,$E323,999999)</f>
        <v>999999</v>
      </c>
      <c r="AQ323">
        <f>IF($A323=17,$E323,999999)</f>
        <v>999999</v>
      </c>
      <c r="AR323">
        <f>IF($A323=18,$E323,999999)</f>
        <v>999999</v>
      </c>
      <c r="AS323">
        <f>IF($A323=19,$E323,999999)</f>
        <v>999999</v>
      </c>
      <c r="AT323">
        <f>IF($A323=20,$E323,999999)</f>
        <v>999999</v>
      </c>
      <c r="BA323">
        <f>MAX(0,MIN(CEILING((BF323+BG323)/2,1),BA322+IF('幕间与结算'!E122="体力",N('幕间与结算'!K122),0)))</f>
        <v>0</v>
      </c>
      <c r="BB323">
        <f>MAX(0,MIN(BJ323,BB322+IF('幕间与结算'!E122="毅力",N('幕间与结算'!K122),0)))</f>
        <v>0</v>
      </c>
      <c r="BC323">
        <f>MAX(0,MIN(99-BL323,BC322+IF('幕间与结算'!E122="理智",N('幕间与结算'!K122),0)))</f>
        <v>0</v>
      </c>
      <c r="BD323">
        <f>MAX(0,MIN(99,BD322+IF('幕间与结算'!E122="崩溃点",N('幕间与结算'!K122),0)))</f>
        <v>0</v>
      </c>
      <c r="BF323">
        <f>MAX(0,MIN(18,'幕间计算'!BF322+IF('幕间与结算'!E122="力量",N('幕间与结算'!K122),0)))</f>
        <v>0</v>
      </c>
      <c r="BG323">
        <f>MAX(0,MIN(18,'幕间计算'!BG322+IF('幕间与结算'!E122="体质",N('幕间与结算'!K122),0)))</f>
        <v>0</v>
      </c>
      <c r="BH323">
        <f>MAX(0,MIN(18,'幕间计算'!BH322+IF('幕间与结算'!E122="敏捷",N('幕间与结算'!K122),0)))</f>
        <v>0</v>
      </c>
      <c r="BI323">
        <f>MAX(0,MIN(18,'幕间计算'!BI322+IF('幕间与结算'!E122="智力",N('幕间与结算'!K122),0)))</f>
        <v>0</v>
      </c>
      <c r="BJ323">
        <f>MAX(0,MIN(18,'幕间计算'!BJ322+IF('幕间与结算'!E122="意志",N('幕间与结算'!K122),0)))</f>
        <v>0</v>
      </c>
      <c r="BK323">
        <f>MAX(0,MIN(18,'幕间计算'!BK322+IF('幕间与结算'!E122="魅力",N('幕间与结算'!K122),0)))</f>
        <v>0</v>
      </c>
      <c r="BL323">
        <f>MAX(0,MIN(99,'幕间计算'!BL322+IF('幕间与结算'!E122="技能：非自然知识",N('幕间与结算'!K122),0)))</f>
        <v>0</v>
      </c>
    </row>
    <row r="324">
      <c r="A324">
        <f>IFERROR(IF(AND(VALUE('幕间与结算'!B123)&gt;=1,VALUE('幕间与结算'!B123)&lt;=20),VALUE('幕间与结算'!B123),0),0)</f>
        <v>0</v>
      </c>
      <c r="B324">
        <f>IF(AND(A324&gt;0,'幕间与结算'!D123&lt;&gt;"",'幕间与结算'!J123="确认",ISNUMBER('幕间与结算'!K123),OR('幕间与结算'!G123="失败",'幕间与结算'!G123="大失败"),'幕间与结算'!H123="√",LEFT('幕间与结算'!E123,3)="技能：",'幕间与结算'!E123&lt;&gt;"技能：非自然知识",ISNUMBER('幕间与结算'!F123),'幕间与结算'!F123&gt;=1,'幕间与结算'!F123&lt;=99),1,0)</f>
        <v>0</v>
      </c>
      <c r="D324">
        <f>IF(AND('幕间与结算'!J123="确认",ISNUMBER('幕间与结算'!K123),'幕间与结算'!L123&lt;&gt;"",ISNUMBER('幕间与结算'!M123),'幕间与结算'!M123&gt;0,'幕间与结算'!M123&lt;=99),'幕间与结算'!M123,0)</f>
        <v>0</v>
      </c>
      <c r="E324">
        <f>IF(AND(B324=1,COUNTIFS($A$210:A324,A324,$B$210:B324,1,'幕间与结算'!$E$9:E123,'幕间与结算'!E123)=1),115,999999)</f>
        <v>999999</v>
      </c>
      <c r="F324">
        <v>123</v>
      </c>
      <c r="AA324">
        <f>IF($A324=1,$E324,999999)</f>
        <v>999999</v>
      </c>
      <c r="AB324">
        <f>IF($A324=2,$E324,999999)</f>
        <v>999999</v>
      </c>
      <c r="AC324">
        <f>IF($A324=3,$E324,999999)</f>
        <v>999999</v>
      </c>
      <c r="AD324">
        <f>IF($A324=4,$E324,999999)</f>
        <v>999999</v>
      </c>
      <c r="AE324">
        <f>IF($A324=5,$E324,999999)</f>
        <v>999999</v>
      </c>
      <c r="AF324">
        <f>IF($A324=6,$E324,999999)</f>
        <v>999999</v>
      </c>
      <c r="AG324">
        <f>IF($A324=7,$E324,999999)</f>
        <v>999999</v>
      </c>
      <c r="AH324">
        <f>IF($A324=8,$E324,999999)</f>
        <v>999999</v>
      </c>
      <c r="AI324">
        <f>IF($A324=9,$E324,999999)</f>
        <v>999999</v>
      </c>
      <c r="AJ324">
        <f>IF($A324=10,$E324,999999)</f>
        <v>999999</v>
      </c>
      <c r="AK324">
        <f>IF($A324=11,$E324,999999)</f>
        <v>999999</v>
      </c>
      <c r="AL324">
        <f>IF($A324=12,$E324,999999)</f>
        <v>999999</v>
      </c>
      <c r="AM324">
        <f>IF($A324=13,$E324,999999)</f>
        <v>999999</v>
      </c>
      <c r="AN324">
        <f>IF($A324=14,$E324,999999)</f>
        <v>999999</v>
      </c>
      <c r="AO324">
        <f>IF($A324=15,$E324,999999)</f>
        <v>999999</v>
      </c>
      <c r="AP324">
        <f>IF($A324=16,$E324,999999)</f>
        <v>999999</v>
      </c>
      <c r="AQ324">
        <f>IF($A324=17,$E324,999999)</f>
        <v>999999</v>
      </c>
      <c r="AR324">
        <f>IF($A324=18,$E324,999999)</f>
        <v>999999</v>
      </c>
      <c r="AS324">
        <f>IF($A324=19,$E324,999999)</f>
        <v>999999</v>
      </c>
      <c r="AT324">
        <f>IF($A324=20,$E324,999999)</f>
        <v>999999</v>
      </c>
      <c r="BA324">
        <f>MAX(0,MIN(CEILING((BF324+BG324)/2,1),BA323+IF('幕间与结算'!E123="体力",N('幕间与结算'!K123),0)))</f>
        <v>0</v>
      </c>
      <c r="BB324">
        <f>MAX(0,MIN(BJ324,BB323+IF('幕间与结算'!E123="毅力",N('幕间与结算'!K123),0)))</f>
        <v>0</v>
      </c>
      <c r="BC324">
        <f>MAX(0,MIN(99-BL324,BC323+IF('幕间与结算'!E123="理智",N('幕间与结算'!K123),0)))</f>
        <v>0</v>
      </c>
      <c r="BD324">
        <f>MAX(0,MIN(99,BD323+IF('幕间与结算'!E123="崩溃点",N('幕间与结算'!K123),0)))</f>
        <v>0</v>
      </c>
      <c r="BF324">
        <f>MAX(0,MIN(18,'幕间计算'!BF323+IF('幕间与结算'!E123="力量",N('幕间与结算'!K123),0)))</f>
        <v>0</v>
      </c>
      <c r="BG324">
        <f>MAX(0,MIN(18,'幕间计算'!BG323+IF('幕间与结算'!E123="体质",N('幕间与结算'!K123),0)))</f>
        <v>0</v>
      </c>
      <c r="BH324">
        <f>MAX(0,MIN(18,'幕间计算'!BH323+IF('幕间与结算'!E123="敏捷",N('幕间与结算'!K123),0)))</f>
        <v>0</v>
      </c>
      <c r="BI324">
        <f>MAX(0,MIN(18,'幕间计算'!BI323+IF('幕间与结算'!E123="智力",N('幕间与结算'!K123),0)))</f>
        <v>0</v>
      </c>
      <c r="BJ324">
        <f>MAX(0,MIN(18,'幕间计算'!BJ323+IF('幕间与结算'!E123="意志",N('幕间与结算'!K123),0)))</f>
        <v>0</v>
      </c>
      <c r="BK324">
        <f>MAX(0,MIN(18,'幕间计算'!BK323+IF('幕间与结算'!E123="魅力",N('幕间与结算'!K123),0)))</f>
        <v>0</v>
      </c>
      <c r="BL324">
        <f>MAX(0,MIN(99,'幕间计算'!BL323+IF('幕间与结算'!E123="技能：非自然知识",N('幕间与结算'!K123),0)))</f>
        <v>0</v>
      </c>
    </row>
    <row r="325">
      <c r="A325">
        <f>IFERROR(IF(AND(VALUE('幕间与结算'!B124)&gt;=1,VALUE('幕间与结算'!B124)&lt;=20),VALUE('幕间与结算'!B124),0),0)</f>
        <v>0</v>
      </c>
      <c r="B325">
        <f>IF(AND(A325&gt;0,'幕间与结算'!D124&lt;&gt;"",'幕间与结算'!J124="确认",ISNUMBER('幕间与结算'!K124),OR('幕间与结算'!G124="失败",'幕间与结算'!G124="大失败"),'幕间与结算'!H124="√",LEFT('幕间与结算'!E124,3)="技能：",'幕间与结算'!E124&lt;&gt;"技能：非自然知识",ISNUMBER('幕间与结算'!F124),'幕间与结算'!F124&gt;=1,'幕间与结算'!F124&lt;=99),1,0)</f>
        <v>0</v>
      </c>
      <c r="D325">
        <f>IF(AND('幕间与结算'!J124="确认",ISNUMBER('幕间与结算'!K124),'幕间与结算'!L124&lt;&gt;"",ISNUMBER('幕间与结算'!M124),'幕间与结算'!M124&gt;0,'幕间与结算'!M124&lt;=99),'幕间与结算'!M124,0)</f>
        <v>0</v>
      </c>
      <c r="E325">
        <f>IF(AND(B325=1,COUNTIFS($A$210:A325,A325,$B$210:B325,1,'幕间与结算'!$E$9:E124,'幕间与结算'!E124)=1),116,999999)</f>
        <v>999999</v>
      </c>
      <c r="F325">
        <v>124</v>
      </c>
      <c r="AA325">
        <f>IF($A325=1,$E325,999999)</f>
        <v>999999</v>
      </c>
      <c r="AB325">
        <f>IF($A325=2,$E325,999999)</f>
        <v>999999</v>
      </c>
      <c r="AC325">
        <f>IF($A325=3,$E325,999999)</f>
        <v>999999</v>
      </c>
      <c r="AD325">
        <f>IF($A325=4,$E325,999999)</f>
        <v>999999</v>
      </c>
      <c r="AE325">
        <f>IF($A325=5,$E325,999999)</f>
        <v>999999</v>
      </c>
      <c r="AF325">
        <f>IF($A325=6,$E325,999999)</f>
        <v>999999</v>
      </c>
      <c r="AG325">
        <f>IF($A325=7,$E325,999999)</f>
        <v>999999</v>
      </c>
      <c r="AH325">
        <f>IF($A325=8,$E325,999999)</f>
        <v>999999</v>
      </c>
      <c r="AI325">
        <f>IF($A325=9,$E325,999999)</f>
        <v>999999</v>
      </c>
      <c r="AJ325">
        <f>IF($A325=10,$E325,999999)</f>
        <v>999999</v>
      </c>
      <c r="AK325">
        <f>IF($A325=11,$E325,999999)</f>
        <v>999999</v>
      </c>
      <c r="AL325">
        <f>IF($A325=12,$E325,999999)</f>
        <v>999999</v>
      </c>
      <c r="AM325">
        <f>IF($A325=13,$E325,999999)</f>
        <v>999999</v>
      </c>
      <c r="AN325">
        <f>IF($A325=14,$E325,999999)</f>
        <v>999999</v>
      </c>
      <c r="AO325">
        <f>IF($A325=15,$E325,999999)</f>
        <v>999999</v>
      </c>
      <c r="AP325">
        <f>IF($A325=16,$E325,999999)</f>
        <v>999999</v>
      </c>
      <c r="AQ325">
        <f>IF($A325=17,$E325,999999)</f>
        <v>999999</v>
      </c>
      <c r="AR325">
        <f>IF($A325=18,$E325,999999)</f>
        <v>999999</v>
      </c>
      <c r="AS325">
        <f>IF($A325=19,$E325,999999)</f>
        <v>999999</v>
      </c>
      <c r="AT325">
        <f>IF($A325=20,$E325,999999)</f>
        <v>999999</v>
      </c>
      <c r="BA325">
        <f>MAX(0,MIN(CEILING((BF325+BG325)/2,1),BA324+IF('幕间与结算'!E124="体力",N('幕间与结算'!K124),0)))</f>
        <v>0</v>
      </c>
      <c r="BB325">
        <f>MAX(0,MIN(BJ325,BB324+IF('幕间与结算'!E124="毅力",N('幕间与结算'!K124),0)))</f>
        <v>0</v>
      </c>
      <c r="BC325">
        <f>MAX(0,MIN(99-BL325,BC324+IF('幕间与结算'!E124="理智",N('幕间与结算'!K124),0)))</f>
        <v>0</v>
      </c>
      <c r="BD325">
        <f>MAX(0,MIN(99,BD324+IF('幕间与结算'!E124="崩溃点",N('幕间与结算'!K124),0)))</f>
        <v>0</v>
      </c>
      <c r="BF325">
        <f>MAX(0,MIN(18,'幕间计算'!BF324+IF('幕间与结算'!E124="力量",N('幕间与结算'!K124),0)))</f>
        <v>0</v>
      </c>
      <c r="BG325">
        <f>MAX(0,MIN(18,'幕间计算'!BG324+IF('幕间与结算'!E124="体质",N('幕间与结算'!K124),0)))</f>
        <v>0</v>
      </c>
      <c r="BH325">
        <f>MAX(0,MIN(18,'幕间计算'!BH324+IF('幕间与结算'!E124="敏捷",N('幕间与结算'!K124),0)))</f>
        <v>0</v>
      </c>
      <c r="BI325">
        <f>MAX(0,MIN(18,'幕间计算'!BI324+IF('幕间与结算'!E124="智力",N('幕间与结算'!K124),0)))</f>
        <v>0</v>
      </c>
      <c r="BJ325">
        <f>MAX(0,MIN(18,'幕间计算'!BJ324+IF('幕间与结算'!E124="意志",N('幕间与结算'!K124),0)))</f>
        <v>0</v>
      </c>
      <c r="BK325">
        <f>MAX(0,MIN(18,'幕间计算'!BK324+IF('幕间与结算'!E124="魅力",N('幕间与结算'!K124),0)))</f>
        <v>0</v>
      </c>
      <c r="BL325">
        <f>MAX(0,MIN(99,'幕间计算'!BL324+IF('幕间与结算'!E124="技能：非自然知识",N('幕间与结算'!K124),0)))</f>
        <v>0</v>
      </c>
    </row>
    <row r="326">
      <c r="A326">
        <f>IFERROR(IF(AND(VALUE('幕间与结算'!B125)&gt;=1,VALUE('幕间与结算'!B125)&lt;=20),VALUE('幕间与结算'!B125),0),0)</f>
        <v>0</v>
      </c>
      <c r="B326">
        <f>IF(AND(A326&gt;0,'幕间与结算'!D125&lt;&gt;"",'幕间与结算'!J125="确认",ISNUMBER('幕间与结算'!K125),OR('幕间与结算'!G125="失败",'幕间与结算'!G125="大失败"),'幕间与结算'!H125="√",LEFT('幕间与结算'!E125,3)="技能：",'幕间与结算'!E125&lt;&gt;"技能：非自然知识",ISNUMBER('幕间与结算'!F125),'幕间与结算'!F125&gt;=1,'幕间与结算'!F125&lt;=99),1,0)</f>
        <v>0</v>
      </c>
      <c r="D326">
        <f>IF(AND('幕间与结算'!J125="确认",ISNUMBER('幕间与结算'!K125),'幕间与结算'!L125&lt;&gt;"",ISNUMBER('幕间与结算'!M125),'幕间与结算'!M125&gt;0,'幕间与结算'!M125&lt;=99),'幕间与结算'!M125,0)</f>
        <v>0</v>
      </c>
      <c r="E326">
        <f>IF(AND(B326=1,COUNTIFS($A$210:A326,A326,$B$210:B326,1,'幕间与结算'!$E$9:E125,'幕间与结算'!E125)=1),117,999999)</f>
        <v>999999</v>
      </c>
      <c r="F326">
        <v>125</v>
      </c>
      <c r="AA326">
        <f>IF($A326=1,$E326,999999)</f>
        <v>999999</v>
      </c>
      <c r="AB326">
        <f>IF($A326=2,$E326,999999)</f>
        <v>999999</v>
      </c>
      <c r="AC326">
        <f>IF($A326=3,$E326,999999)</f>
        <v>999999</v>
      </c>
      <c r="AD326">
        <f>IF($A326=4,$E326,999999)</f>
        <v>999999</v>
      </c>
      <c r="AE326">
        <f>IF($A326=5,$E326,999999)</f>
        <v>999999</v>
      </c>
      <c r="AF326">
        <f>IF($A326=6,$E326,999999)</f>
        <v>999999</v>
      </c>
      <c r="AG326">
        <f>IF($A326=7,$E326,999999)</f>
        <v>999999</v>
      </c>
      <c r="AH326">
        <f>IF($A326=8,$E326,999999)</f>
        <v>999999</v>
      </c>
      <c r="AI326">
        <f>IF($A326=9,$E326,999999)</f>
        <v>999999</v>
      </c>
      <c r="AJ326">
        <f>IF($A326=10,$E326,999999)</f>
        <v>999999</v>
      </c>
      <c r="AK326">
        <f>IF($A326=11,$E326,999999)</f>
        <v>999999</v>
      </c>
      <c r="AL326">
        <f>IF($A326=12,$E326,999999)</f>
        <v>999999</v>
      </c>
      <c r="AM326">
        <f>IF($A326=13,$E326,999999)</f>
        <v>999999</v>
      </c>
      <c r="AN326">
        <f>IF($A326=14,$E326,999999)</f>
        <v>999999</v>
      </c>
      <c r="AO326">
        <f>IF($A326=15,$E326,999999)</f>
        <v>999999</v>
      </c>
      <c r="AP326">
        <f>IF($A326=16,$E326,999999)</f>
        <v>999999</v>
      </c>
      <c r="AQ326">
        <f>IF($A326=17,$E326,999999)</f>
        <v>999999</v>
      </c>
      <c r="AR326">
        <f>IF($A326=18,$E326,999999)</f>
        <v>999999</v>
      </c>
      <c r="AS326">
        <f>IF($A326=19,$E326,999999)</f>
        <v>999999</v>
      </c>
      <c r="AT326">
        <f>IF($A326=20,$E326,999999)</f>
        <v>999999</v>
      </c>
      <c r="BA326">
        <f>MAX(0,MIN(CEILING((BF326+BG326)/2,1),BA325+IF('幕间与结算'!E125="体力",N('幕间与结算'!K125),0)))</f>
        <v>0</v>
      </c>
      <c r="BB326">
        <f>MAX(0,MIN(BJ326,BB325+IF('幕间与结算'!E125="毅力",N('幕间与结算'!K125),0)))</f>
        <v>0</v>
      </c>
      <c r="BC326">
        <f>MAX(0,MIN(99-BL326,BC325+IF('幕间与结算'!E125="理智",N('幕间与结算'!K125),0)))</f>
        <v>0</v>
      </c>
      <c r="BD326">
        <f>MAX(0,MIN(99,BD325+IF('幕间与结算'!E125="崩溃点",N('幕间与结算'!K125),0)))</f>
        <v>0</v>
      </c>
      <c r="BF326">
        <f>MAX(0,MIN(18,'幕间计算'!BF325+IF('幕间与结算'!E125="力量",N('幕间与结算'!K125),0)))</f>
        <v>0</v>
      </c>
      <c r="BG326">
        <f>MAX(0,MIN(18,'幕间计算'!BG325+IF('幕间与结算'!E125="体质",N('幕间与结算'!K125),0)))</f>
        <v>0</v>
      </c>
      <c r="BH326">
        <f>MAX(0,MIN(18,'幕间计算'!BH325+IF('幕间与结算'!E125="敏捷",N('幕间与结算'!K125),0)))</f>
        <v>0</v>
      </c>
      <c r="BI326">
        <f>MAX(0,MIN(18,'幕间计算'!BI325+IF('幕间与结算'!E125="智力",N('幕间与结算'!K125),0)))</f>
        <v>0</v>
      </c>
      <c r="BJ326">
        <f>MAX(0,MIN(18,'幕间计算'!BJ325+IF('幕间与结算'!E125="意志",N('幕间与结算'!K125),0)))</f>
        <v>0</v>
      </c>
      <c r="BK326">
        <f>MAX(0,MIN(18,'幕间计算'!BK325+IF('幕间与结算'!E125="魅力",N('幕间与结算'!K125),0)))</f>
        <v>0</v>
      </c>
      <c r="BL326">
        <f>MAX(0,MIN(99,'幕间计算'!BL325+IF('幕间与结算'!E125="技能：非自然知识",N('幕间与结算'!K125),0)))</f>
        <v>0</v>
      </c>
    </row>
    <row r="327">
      <c r="A327">
        <f>IFERROR(IF(AND(VALUE('幕间与结算'!B126)&gt;=1,VALUE('幕间与结算'!B126)&lt;=20),VALUE('幕间与结算'!B126),0),0)</f>
        <v>0</v>
      </c>
      <c r="B327">
        <f>IF(AND(A327&gt;0,'幕间与结算'!D126&lt;&gt;"",'幕间与结算'!J126="确认",ISNUMBER('幕间与结算'!K126),OR('幕间与结算'!G126="失败",'幕间与结算'!G126="大失败"),'幕间与结算'!H126="√",LEFT('幕间与结算'!E126,3)="技能：",'幕间与结算'!E126&lt;&gt;"技能：非自然知识",ISNUMBER('幕间与结算'!F126),'幕间与结算'!F126&gt;=1,'幕间与结算'!F126&lt;=99),1,0)</f>
        <v>0</v>
      </c>
      <c r="D327">
        <f>IF(AND('幕间与结算'!J126="确认",ISNUMBER('幕间与结算'!K126),'幕间与结算'!L126&lt;&gt;"",ISNUMBER('幕间与结算'!M126),'幕间与结算'!M126&gt;0,'幕间与结算'!M126&lt;=99),'幕间与结算'!M126,0)</f>
        <v>0</v>
      </c>
      <c r="E327">
        <f>IF(AND(B327=1,COUNTIFS($A$210:A327,A327,$B$210:B327,1,'幕间与结算'!$E$9:E126,'幕间与结算'!E126)=1),118,999999)</f>
        <v>999999</v>
      </c>
      <c r="F327">
        <v>126</v>
      </c>
      <c r="AA327">
        <f>IF($A327=1,$E327,999999)</f>
        <v>999999</v>
      </c>
      <c r="AB327">
        <f>IF($A327=2,$E327,999999)</f>
        <v>999999</v>
      </c>
      <c r="AC327">
        <f>IF($A327=3,$E327,999999)</f>
        <v>999999</v>
      </c>
      <c r="AD327">
        <f>IF($A327=4,$E327,999999)</f>
        <v>999999</v>
      </c>
      <c r="AE327">
        <f>IF($A327=5,$E327,999999)</f>
        <v>999999</v>
      </c>
      <c r="AF327">
        <f>IF($A327=6,$E327,999999)</f>
        <v>999999</v>
      </c>
      <c r="AG327">
        <f>IF($A327=7,$E327,999999)</f>
        <v>999999</v>
      </c>
      <c r="AH327">
        <f>IF($A327=8,$E327,999999)</f>
        <v>999999</v>
      </c>
      <c r="AI327">
        <f>IF($A327=9,$E327,999999)</f>
        <v>999999</v>
      </c>
      <c r="AJ327">
        <f>IF($A327=10,$E327,999999)</f>
        <v>999999</v>
      </c>
      <c r="AK327">
        <f>IF($A327=11,$E327,999999)</f>
        <v>999999</v>
      </c>
      <c r="AL327">
        <f>IF($A327=12,$E327,999999)</f>
        <v>999999</v>
      </c>
      <c r="AM327">
        <f>IF($A327=13,$E327,999999)</f>
        <v>999999</v>
      </c>
      <c r="AN327">
        <f>IF($A327=14,$E327,999999)</f>
        <v>999999</v>
      </c>
      <c r="AO327">
        <f>IF($A327=15,$E327,999999)</f>
        <v>999999</v>
      </c>
      <c r="AP327">
        <f>IF($A327=16,$E327,999999)</f>
        <v>999999</v>
      </c>
      <c r="AQ327">
        <f>IF($A327=17,$E327,999999)</f>
        <v>999999</v>
      </c>
      <c r="AR327">
        <f>IF($A327=18,$E327,999999)</f>
        <v>999999</v>
      </c>
      <c r="AS327">
        <f>IF($A327=19,$E327,999999)</f>
        <v>999999</v>
      </c>
      <c r="AT327">
        <f>IF($A327=20,$E327,999999)</f>
        <v>999999</v>
      </c>
      <c r="BA327">
        <f>MAX(0,MIN(CEILING((BF327+BG327)/2,1),BA326+IF('幕间与结算'!E126="体力",N('幕间与结算'!K126),0)))</f>
        <v>0</v>
      </c>
      <c r="BB327">
        <f>MAX(0,MIN(BJ327,BB326+IF('幕间与结算'!E126="毅力",N('幕间与结算'!K126),0)))</f>
        <v>0</v>
      </c>
      <c r="BC327">
        <f>MAX(0,MIN(99-BL327,BC326+IF('幕间与结算'!E126="理智",N('幕间与结算'!K126),0)))</f>
        <v>0</v>
      </c>
      <c r="BD327">
        <f>MAX(0,MIN(99,BD326+IF('幕间与结算'!E126="崩溃点",N('幕间与结算'!K126),0)))</f>
        <v>0</v>
      </c>
      <c r="BF327">
        <f>MAX(0,MIN(18,'幕间计算'!BF326+IF('幕间与结算'!E126="力量",N('幕间与结算'!K126),0)))</f>
        <v>0</v>
      </c>
      <c r="BG327">
        <f>MAX(0,MIN(18,'幕间计算'!BG326+IF('幕间与结算'!E126="体质",N('幕间与结算'!K126),0)))</f>
        <v>0</v>
      </c>
      <c r="BH327">
        <f>MAX(0,MIN(18,'幕间计算'!BH326+IF('幕间与结算'!E126="敏捷",N('幕间与结算'!K126),0)))</f>
        <v>0</v>
      </c>
      <c r="BI327">
        <f>MAX(0,MIN(18,'幕间计算'!BI326+IF('幕间与结算'!E126="智力",N('幕间与结算'!K126),0)))</f>
        <v>0</v>
      </c>
      <c r="BJ327">
        <f>MAX(0,MIN(18,'幕间计算'!BJ326+IF('幕间与结算'!E126="意志",N('幕间与结算'!K126),0)))</f>
        <v>0</v>
      </c>
      <c r="BK327">
        <f>MAX(0,MIN(18,'幕间计算'!BK326+IF('幕间与结算'!E126="魅力",N('幕间与结算'!K126),0)))</f>
        <v>0</v>
      </c>
      <c r="BL327">
        <f>MAX(0,MIN(99,'幕间计算'!BL326+IF('幕间与结算'!E126="技能：非自然知识",N('幕间与结算'!K126),0)))</f>
        <v>0</v>
      </c>
    </row>
    <row r="328">
      <c r="A328">
        <f>IFERROR(IF(AND(VALUE('幕间与结算'!B127)&gt;=1,VALUE('幕间与结算'!B127)&lt;=20),VALUE('幕间与结算'!B127),0),0)</f>
        <v>0</v>
      </c>
      <c r="B328">
        <f>IF(AND(A328&gt;0,'幕间与结算'!D127&lt;&gt;"",'幕间与结算'!J127="确认",ISNUMBER('幕间与结算'!K127),OR('幕间与结算'!G127="失败",'幕间与结算'!G127="大失败"),'幕间与结算'!H127="√",LEFT('幕间与结算'!E127,3)="技能：",'幕间与结算'!E127&lt;&gt;"技能：非自然知识",ISNUMBER('幕间与结算'!F127),'幕间与结算'!F127&gt;=1,'幕间与结算'!F127&lt;=99),1,0)</f>
        <v>0</v>
      </c>
      <c r="D328">
        <f>IF(AND('幕间与结算'!J127="确认",ISNUMBER('幕间与结算'!K127),'幕间与结算'!L127&lt;&gt;"",ISNUMBER('幕间与结算'!M127),'幕间与结算'!M127&gt;0,'幕间与结算'!M127&lt;=99),'幕间与结算'!M127,0)</f>
        <v>0</v>
      </c>
      <c r="E328">
        <f>IF(AND(B328=1,COUNTIFS($A$210:A328,A328,$B$210:B328,1,'幕间与结算'!$E$9:E127,'幕间与结算'!E127)=1),119,999999)</f>
        <v>999999</v>
      </c>
      <c r="F328">
        <v>127</v>
      </c>
      <c r="AA328">
        <f>IF($A328=1,$E328,999999)</f>
        <v>999999</v>
      </c>
      <c r="AB328">
        <f>IF($A328=2,$E328,999999)</f>
        <v>999999</v>
      </c>
      <c r="AC328">
        <f>IF($A328=3,$E328,999999)</f>
        <v>999999</v>
      </c>
      <c r="AD328">
        <f>IF($A328=4,$E328,999999)</f>
        <v>999999</v>
      </c>
      <c r="AE328">
        <f>IF($A328=5,$E328,999999)</f>
        <v>999999</v>
      </c>
      <c r="AF328">
        <f>IF($A328=6,$E328,999999)</f>
        <v>999999</v>
      </c>
      <c r="AG328">
        <f>IF($A328=7,$E328,999999)</f>
        <v>999999</v>
      </c>
      <c r="AH328">
        <f>IF($A328=8,$E328,999999)</f>
        <v>999999</v>
      </c>
      <c r="AI328">
        <f>IF($A328=9,$E328,999999)</f>
        <v>999999</v>
      </c>
      <c r="AJ328">
        <f>IF($A328=10,$E328,999999)</f>
        <v>999999</v>
      </c>
      <c r="AK328">
        <f>IF($A328=11,$E328,999999)</f>
        <v>999999</v>
      </c>
      <c r="AL328">
        <f>IF($A328=12,$E328,999999)</f>
        <v>999999</v>
      </c>
      <c r="AM328">
        <f>IF($A328=13,$E328,999999)</f>
        <v>999999</v>
      </c>
      <c r="AN328">
        <f>IF($A328=14,$E328,999999)</f>
        <v>999999</v>
      </c>
      <c r="AO328">
        <f>IF($A328=15,$E328,999999)</f>
        <v>999999</v>
      </c>
      <c r="AP328">
        <f>IF($A328=16,$E328,999999)</f>
        <v>999999</v>
      </c>
      <c r="AQ328">
        <f>IF($A328=17,$E328,999999)</f>
        <v>999999</v>
      </c>
      <c r="AR328">
        <f>IF($A328=18,$E328,999999)</f>
        <v>999999</v>
      </c>
      <c r="AS328">
        <f>IF($A328=19,$E328,999999)</f>
        <v>999999</v>
      </c>
      <c r="AT328">
        <f>IF($A328=20,$E328,999999)</f>
        <v>999999</v>
      </c>
      <c r="BA328">
        <f>MAX(0,MIN(CEILING((BF328+BG328)/2,1),BA327+IF('幕间与结算'!E127="体力",N('幕间与结算'!K127),0)))</f>
        <v>0</v>
      </c>
      <c r="BB328">
        <f>MAX(0,MIN(BJ328,BB327+IF('幕间与结算'!E127="毅力",N('幕间与结算'!K127),0)))</f>
        <v>0</v>
      </c>
      <c r="BC328">
        <f>MAX(0,MIN(99-BL328,BC327+IF('幕间与结算'!E127="理智",N('幕间与结算'!K127),0)))</f>
        <v>0</v>
      </c>
      <c r="BD328">
        <f>MAX(0,MIN(99,BD327+IF('幕间与结算'!E127="崩溃点",N('幕间与结算'!K127),0)))</f>
        <v>0</v>
      </c>
      <c r="BF328">
        <f>MAX(0,MIN(18,'幕间计算'!BF327+IF('幕间与结算'!E127="力量",N('幕间与结算'!K127),0)))</f>
        <v>0</v>
      </c>
      <c r="BG328">
        <f>MAX(0,MIN(18,'幕间计算'!BG327+IF('幕间与结算'!E127="体质",N('幕间与结算'!K127),0)))</f>
        <v>0</v>
      </c>
      <c r="BH328">
        <f>MAX(0,MIN(18,'幕间计算'!BH327+IF('幕间与结算'!E127="敏捷",N('幕间与结算'!K127),0)))</f>
        <v>0</v>
      </c>
      <c r="BI328">
        <f>MAX(0,MIN(18,'幕间计算'!BI327+IF('幕间与结算'!E127="智力",N('幕间与结算'!K127),0)))</f>
        <v>0</v>
      </c>
      <c r="BJ328">
        <f>MAX(0,MIN(18,'幕间计算'!BJ327+IF('幕间与结算'!E127="意志",N('幕间与结算'!K127),0)))</f>
        <v>0</v>
      </c>
      <c r="BK328">
        <f>MAX(0,MIN(18,'幕间计算'!BK327+IF('幕间与结算'!E127="魅力",N('幕间与结算'!K127),0)))</f>
        <v>0</v>
      </c>
      <c r="BL328">
        <f>MAX(0,MIN(99,'幕间计算'!BL327+IF('幕间与结算'!E127="技能：非自然知识",N('幕间与结算'!K127),0)))</f>
        <v>0</v>
      </c>
    </row>
    <row r="329">
      <c r="A329">
        <f>IFERROR(IF(AND(VALUE('幕间与结算'!B128)&gt;=1,VALUE('幕间与结算'!B128)&lt;=20),VALUE('幕间与结算'!B128),0),0)</f>
        <v>0</v>
      </c>
      <c r="B329">
        <f>IF(AND(A329&gt;0,'幕间与结算'!D128&lt;&gt;"",'幕间与结算'!J128="确认",ISNUMBER('幕间与结算'!K128),OR('幕间与结算'!G128="失败",'幕间与结算'!G128="大失败"),'幕间与结算'!H128="√",LEFT('幕间与结算'!E128,3)="技能：",'幕间与结算'!E128&lt;&gt;"技能：非自然知识",ISNUMBER('幕间与结算'!F128),'幕间与结算'!F128&gt;=1,'幕间与结算'!F128&lt;=99),1,0)</f>
        <v>0</v>
      </c>
      <c r="D329">
        <f>IF(AND('幕间与结算'!J128="确认",ISNUMBER('幕间与结算'!K128),'幕间与结算'!L128&lt;&gt;"",ISNUMBER('幕间与结算'!M128),'幕间与结算'!M128&gt;0,'幕间与结算'!M128&lt;=99),'幕间与结算'!M128,0)</f>
        <v>0</v>
      </c>
      <c r="E329">
        <f>IF(AND(B329=1,COUNTIFS($A$210:A329,A329,$B$210:B329,1,'幕间与结算'!$E$9:E128,'幕间与结算'!E128)=1),120,999999)</f>
        <v>999999</v>
      </c>
      <c r="F329">
        <v>128</v>
      </c>
      <c r="AA329">
        <f>IF($A329=1,$E329,999999)</f>
        <v>999999</v>
      </c>
      <c r="AB329">
        <f>IF($A329=2,$E329,999999)</f>
        <v>999999</v>
      </c>
      <c r="AC329">
        <f>IF($A329=3,$E329,999999)</f>
        <v>999999</v>
      </c>
      <c r="AD329">
        <f>IF($A329=4,$E329,999999)</f>
        <v>999999</v>
      </c>
      <c r="AE329">
        <f>IF($A329=5,$E329,999999)</f>
        <v>999999</v>
      </c>
      <c r="AF329">
        <f>IF($A329=6,$E329,999999)</f>
        <v>999999</v>
      </c>
      <c r="AG329">
        <f>IF($A329=7,$E329,999999)</f>
        <v>999999</v>
      </c>
      <c r="AH329">
        <f>IF($A329=8,$E329,999999)</f>
        <v>999999</v>
      </c>
      <c r="AI329">
        <f>IF($A329=9,$E329,999999)</f>
        <v>999999</v>
      </c>
      <c r="AJ329">
        <f>IF($A329=10,$E329,999999)</f>
        <v>999999</v>
      </c>
      <c r="AK329">
        <f>IF($A329=11,$E329,999999)</f>
        <v>999999</v>
      </c>
      <c r="AL329">
        <f>IF($A329=12,$E329,999999)</f>
        <v>999999</v>
      </c>
      <c r="AM329">
        <f>IF($A329=13,$E329,999999)</f>
        <v>999999</v>
      </c>
      <c r="AN329">
        <f>IF($A329=14,$E329,999999)</f>
        <v>999999</v>
      </c>
      <c r="AO329">
        <f>IF($A329=15,$E329,999999)</f>
        <v>999999</v>
      </c>
      <c r="AP329">
        <f>IF($A329=16,$E329,999999)</f>
        <v>999999</v>
      </c>
      <c r="AQ329">
        <f>IF($A329=17,$E329,999999)</f>
        <v>999999</v>
      </c>
      <c r="AR329">
        <f>IF($A329=18,$E329,999999)</f>
        <v>999999</v>
      </c>
      <c r="AS329">
        <f>IF($A329=19,$E329,999999)</f>
        <v>999999</v>
      </c>
      <c r="AT329">
        <f>IF($A329=20,$E329,999999)</f>
        <v>999999</v>
      </c>
      <c r="BA329">
        <f>MAX(0,MIN(CEILING((BF329+BG329)/2,1),BA328+IF('幕间与结算'!E128="体力",N('幕间与结算'!K128),0)))</f>
        <v>0</v>
      </c>
      <c r="BB329">
        <f>MAX(0,MIN(BJ329,BB328+IF('幕间与结算'!E128="毅力",N('幕间与结算'!K128),0)))</f>
        <v>0</v>
      </c>
      <c r="BC329">
        <f>MAX(0,MIN(99-BL329,BC328+IF('幕间与结算'!E128="理智",N('幕间与结算'!K128),0)))</f>
        <v>0</v>
      </c>
      <c r="BD329">
        <f>MAX(0,MIN(99,BD328+IF('幕间与结算'!E128="崩溃点",N('幕间与结算'!K128),0)))</f>
        <v>0</v>
      </c>
      <c r="BF329">
        <f>MAX(0,MIN(18,'幕间计算'!BF328+IF('幕间与结算'!E128="力量",N('幕间与结算'!K128),0)))</f>
        <v>0</v>
      </c>
      <c r="BG329">
        <f>MAX(0,MIN(18,'幕间计算'!BG328+IF('幕间与结算'!E128="体质",N('幕间与结算'!K128),0)))</f>
        <v>0</v>
      </c>
      <c r="BH329">
        <f>MAX(0,MIN(18,'幕间计算'!BH328+IF('幕间与结算'!E128="敏捷",N('幕间与结算'!K128),0)))</f>
        <v>0</v>
      </c>
      <c r="BI329">
        <f>MAX(0,MIN(18,'幕间计算'!BI328+IF('幕间与结算'!E128="智力",N('幕间与结算'!K128),0)))</f>
        <v>0</v>
      </c>
      <c r="BJ329">
        <f>MAX(0,MIN(18,'幕间计算'!BJ328+IF('幕间与结算'!E128="意志",N('幕间与结算'!K128),0)))</f>
        <v>0</v>
      </c>
      <c r="BK329">
        <f>MAX(0,MIN(18,'幕间计算'!BK328+IF('幕间与结算'!E128="魅力",N('幕间与结算'!K128),0)))</f>
        <v>0</v>
      </c>
      <c r="BL329">
        <f>MAX(0,MIN(99,'幕间计算'!BL328+IF('幕间与结算'!E128="技能：非自然知识",N('幕间与结算'!K128),0)))</f>
        <v>0</v>
      </c>
    </row>
    <row r="330">
      <c r="A330">
        <f>IFERROR(IF(AND(VALUE('幕间与结算'!B129)&gt;=1,VALUE('幕间与结算'!B129)&lt;=20),VALUE('幕间与结算'!B129),0),0)</f>
        <v>0</v>
      </c>
      <c r="B330">
        <f>IF(AND(A330&gt;0,'幕间与结算'!D129&lt;&gt;"",'幕间与结算'!J129="确认",ISNUMBER('幕间与结算'!K129),OR('幕间与结算'!G129="失败",'幕间与结算'!G129="大失败"),'幕间与结算'!H129="√",LEFT('幕间与结算'!E129,3)="技能：",'幕间与结算'!E129&lt;&gt;"技能：非自然知识",ISNUMBER('幕间与结算'!F129),'幕间与结算'!F129&gt;=1,'幕间与结算'!F129&lt;=99),1,0)</f>
        <v>0</v>
      </c>
      <c r="D330">
        <f>IF(AND('幕间与结算'!J129="确认",ISNUMBER('幕间与结算'!K129),'幕间与结算'!L129&lt;&gt;"",ISNUMBER('幕间与结算'!M129),'幕间与结算'!M129&gt;0,'幕间与结算'!M129&lt;=99),'幕间与结算'!M129,0)</f>
        <v>0</v>
      </c>
      <c r="E330">
        <f>IF(AND(B330=1,COUNTIFS($A$210:A330,A330,$B$210:B330,1,'幕间与结算'!$E$9:E129,'幕间与结算'!E129)=1),121,999999)</f>
        <v>999999</v>
      </c>
      <c r="F330">
        <v>129</v>
      </c>
      <c r="AA330">
        <f>IF($A330=1,$E330,999999)</f>
        <v>999999</v>
      </c>
      <c r="AB330">
        <f>IF($A330=2,$E330,999999)</f>
        <v>999999</v>
      </c>
      <c r="AC330">
        <f>IF($A330=3,$E330,999999)</f>
        <v>999999</v>
      </c>
      <c r="AD330">
        <f>IF($A330=4,$E330,999999)</f>
        <v>999999</v>
      </c>
      <c r="AE330">
        <f>IF($A330=5,$E330,999999)</f>
        <v>999999</v>
      </c>
      <c r="AF330">
        <f>IF($A330=6,$E330,999999)</f>
        <v>999999</v>
      </c>
      <c r="AG330">
        <f>IF($A330=7,$E330,999999)</f>
        <v>999999</v>
      </c>
      <c r="AH330">
        <f>IF($A330=8,$E330,999999)</f>
        <v>999999</v>
      </c>
      <c r="AI330">
        <f>IF($A330=9,$E330,999999)</f>
        <v>999999</v>
      </c>
      <c r="AJ330">
        <f>IF($A330=10,$E330,999999)</f>
        <v>999999</v>
      </c>
      <c r="AK330">
        <f>IF($A330=11,$E330,999999)</f>
        <v>999999</v>
      </c>
      <c r="AL330">
        <f>IF($A330=12,$E330,999999)</f>
        <v>999999</v>
      </c>
      <c r="AM330">
        <f>IF($A330=13,$E330,999999)</f>
        <v>999999</v>
      </c>
      <c r="AN330">
        <f>IF($A330=14,$E330,999999)</f>
        <v>999999</v>
      </c>
      <c r="AO330">
        <f>IF($A330=15,$E330,999999)</f>
        <v>999999</v>
      </c>
      <c r="AP330">
        <f>IF($A330=16,$E330,999999)</f>
        <v>999999</v>
      </c>
      <c r="AQ330">
        <f>IF($A330=17,$E330,999999)</f>
        <v>999999</v>
      </c>
      <c r="AR330">
        <f>IF($A330=18,$E330,999999)</f>
        <v>999999</v>
      </c>
      <c r="AS330">
        <f>IF($A330=19,$E330,999999)</f>
        <v>999999</v>
      </c>
      <c r="AT330">
        <f>IF($A330=20,$E330,999999)</f>
        <v>999999</v>
      </c>
      <c r="BA330">
        <f>MAX(0,MIN(CEILING((BF330+BG330)/2,1),BA329+IF('幕间与结算'!E129="体力",N('幕间与结算'!K129),0)))</f>
        <v>0</v>
      </c>
      <c r="BB330">
        <f>MAX(0,MIN(BJ330,BB329+IF('幕间与结算'!E129="毅力",N('幕间与结算'!K129),0)))</f>
        <v>0</v>
      </c>
      <c r="BC330">
        <f>MAX(0,MIN(99-BL330,BC329+IF('幕间与结算'!E129="理智",N('幕间与结算'!K129),0)))</f>
        <v>0</v>
      </c>
      <c r="BD330">
        <f>MAX(0,MIN(99,BD329+IF('幕间与结算'!E129="崩溃点",N('幕间与结算'!K129),0)))</f>
        <v>0</v>
      </c>
      <c r="BF330">
        <f>MAX(0,MIN(18,'幕间计算'!BF329+IF('幕间与结算'!E129="力量",N('幕间与结算'!K129),0)))</f>
        <v>0</v>
      </c>
      <c r="BG330">
        <f>MAX(0,MIN(18,'幕间计算'!BG329+IF('幕间与结算'!E129="体质",N('幕间与结算'!K129),0)))</f>
        <v>0</v>
      </c>
      <c r="BH330">
        <f>MAX(0,MIN(18,'幕间计算'!BH329+IF('幕间与结算'!E129="敏捷",N('幕间与结算'!K129),0)))</f>
        <v>0</v>
      </c>
      <c r="BI330">
        <f>MAX(0,MIN(18,'幕间计算'!BI329+IF('幕间与结算'!E129="智力",N('幕间与结算'!K129),0)))</f>
        <v>0</v>
      </c>
      <c r="BJ330">
        <f>MAX(0,MIN(18,'幕间计算'!BJ329+IF('幕间与结算'!E129="意志",N('幕间与结算'!K129),0)))</f>
        <v>0</v>
      </c>
      <c r="BK330">
        <f>MAX(0,MIN(18,'幕间计算'!BK329+IF('幕间与结算'!E129="魅力",N('幕间与结算'!K129),0)))</f>
        <v>0</v>
      </c>
      <c r="BL330">
        <f>MAX(0,MIN(99,'幕间计算'!BL329+IF('幕间与结算'!E129="技能：非自然知识",N('幕间与结算'!K129),0)))</f>
        <v>0</v>
      </c>
    </row>
    <row r="331">
      <c r="A331">
        <f>IFERROR(IF(AND(VALUE('幕间与结算'!B130)&gt;=1,VALUE('幕间与结算'!B130)&lt;=20),VALUE('幕间与结算'!B130),0),0)</f>
        <v>0</v>
      </c>
      <c r="B331">
        <f>IF(AND(A331&gt;0,'幕间与结算'!D130&lt;&gt;"",'幕间与结算'!J130="确认",ISNUMBER('幕间与结算'!K130),OR('幕间与结算'!G130="失败",'幕间与结算'!G130="大失败"),'幕间与结算'!H130="√",LEFT('幕间与结算'!E130,3)="技能：",'幕间与结算'!E130&lt;&gt;"技能：非自然知识",ISNUMBER('幕间与结算'!F130),'幕间与结算'!F130&gt;=1,'幕间与结算'!F130&lt;=99),1,0)</f>
        <v>0</v>
      </c>
      <c r="D331">
        <f>IF(AND('幕间与结算'!J130="确认",ISNUMBER('幕间与结算'!K130),'幕间与结算'!L130&lt;&gt;"",ISNUMBER('幕间与结算'!M130),'幕间与结算'!M130&gt;0,'幕间与结算'!M130&lt;=99),'幕间与结算'!M130,0)</f>
        <v>0</v>
      </c>
      <c r="E331">
        <f>IF(AND(B331=1,COUNTIFS($A$210:A331,A331,$B$210:B331,1,'幕间与结算'!$E$9:E130,'幕间与结算'!E130)=1),122,999999)</f>
        <v>999999</v>
      </c>
      <c r="F331">
        <v>130</v>
      </c>
      <c r="AA331">
        <f>IF($A331=1,$E331,999999)</f>
        <v>999999</v>
      </c>
      <c r="AB331">
        <f>IF($A331=2,$E331,999999)</f>
        <v>999999</v>
      </c>
      <c r="AC331">
        <f>IF($A331=3,$E331,999999)</f>
        <v>999999</v>
      </c>
      <c r="AD331">
        <f>IF($A331=4,$E331,999999)</f>
        <v>999999</v>
      </c>
      <c r="AE331">
        <f>IF($A331=5,$E331,999999)</f>
        <v>999999</v>
      </c>
      <c r="AF331">
        <f>IF($A331=6,$E331,999999)</f>
        <v>999999</v>
      </c>
      <c r="AG331">
        <f>IF($A331=7,$E331,999999)</f>
        <v>999999</v>
      </c>
      <c r="AH331">
        <f>IF($A331=8,$E331,999999)</f>
        <v>999999</v>
      </c>
      <c r="AI331">
        <f>IF($A331=9,$E331,999999)</f>
        <v>999999</v>
      </c>
      <c r="AJ331">
        <f>IF($A331=10,$E331,999999)</f>
        <v>999999</v>
      </c>
      <c r="AK331">
        <f>IF($A331=11,$E331,999999)</f>
        <v>999999</v>
      </c>
      <c r="AL331">
        <f>IF($A331=12,$E331,999999)</f>
        <v>999999</v>
      </c>
      <c r="AM331">
        <f>IF($A331=13,$E331,999999)</f>
        <v>999999</v>
      </c>
      <c r="AN331">
        <f>IF($A331=14,$E331,999999)</f>
        <v>999999</v>
      </c>
      <c r="AO331">
        <f>IF($A331=15,$E331,999999)</f>
        <v>999999</v>
      </c>
      <c r="AP331">
        <f>IF($A331=16,$E331,999999)</f>
        <v>999999</v>
      </c>
      <c r="AQ331">
        <f>IF($A331=17,$E331,999999)</f>
        <v>999999</v>
      </c>
      <c r="AR331">
        <f>IF($A331=18,$E331,999999)</f>
        <v>999999</v>
      </c>
      <c r="AS331">
        <f>IF($A331=19,$E331,999999)</f>
        <v>999999</v>
      </c>
      <c r="AT331">
        <f>IF($A331=20,$E331,999999)</f>
        <v>999999</v>
      </c>
      <c r="BA331">
        <f>MAX(0,MIN(CEILING((BF331+BG331)/2,1),BA330+IF('幕间与结算'!E130="体力",N('幕间与结算'!K130),0)))</f>
        <v>0</v>
      </c>
      <c r="BB331">
        <f>MAX(0,MIN(BJ331,BB330+IF('幕间与结算'!E130="毅力",N('幕间与结算'!K130),0)))</f>
        <v>0</v>
      </c>
      <c r="BC331">
        <f>MAX(0,MIN(99-BL331,BC330+IF('幕间与结算'!E130="理智",N('幕间与结算'!K130),0)))</f>
        <v>0</v>
      </c>
      <c r="BD331">
        <f>MAX(0,MIN(99,BD330+IF('幕间与结算'!E130="崩溃点",N('幕间与结算'!K130),0)))</f>
        <v>0</v>
      </c>
      <c r="BF331">
        <f>MAX(0,MIN(18,'幕间计算'!BF330+IF('幕间与结算'!E130="力量",N('幕间与结算'!K130),0)))</f>
        <v>0</v>
      </c>
      <c r="BG331">
        <f>MAX(0,MIN(18,'幕间计算'!BG330+IF('幕间与结算'!E130="体质",N('幕间与结算'!K130),0)))</f>
        <v>0</v>
      </c>
      <c r="BH331">
        <f>MAX(0,MIN(18,'幕间计算'!BH330+IF('幕间与结算'!E130="敏捷",N('幕间与结算'!K130),0)))</f>
        <v>0</v>
      </c>
      <c r="BI331">
        <f>MAX(0,MIN(18,'幕间计算'!BI330+IF('幕间与结算'!E130="智力",N('幕间与结算'!K130),0)))</f>
        <v>0</v>
      </c>
      <c r="BJ331">
        <f>MAX(0,MIN(18,'幕间计算'!BJ330+IF('幕间与结算'!E130="意志",N('幕间与结算'!K130),0)))</f>
        <v>0</v>
      </c>
      <c r="BK331">
        <f>MAX(0,MIN(18,'幕间计算'!BK330+IF('幕间与结算'!E130="魅力",N('幕间与结算'!K130),0)))</f>
        <v>0</v>
      </c>
      <c r="BL331">
        <f>MAX(0,MIN(99,'幕间计算'!BL330+IF('幕间与结算'!E130="技能：非自然知识",N('幕间与结算'!K130),0)))</f>
        <v>0</v>
      </c>
    </row>
    <row r="332">
      <c r="A332">
        <f>IFERROR(IF(AND(VALUE('幕间与结算'!B131)&gt;=1,VALUE('幕间与结算'!B131)&lt;=20),VALUE('幕间与结算'!B131),0),0)</f>
        <v>0</v>
      </c>
      <c r="B332">
        <f>IF(AND(A332&gt;0,'幕间与结算'!D131&lt;&gt;"",'幕间与结算'!J131="确认",ISNUMBER('幕间与结算'!K131),OR('幕间与结算'!G131="失败",'幕间与结算'!G131="大失败"),'幕间与结算'!H131="√",LEFT('幕间与结算'!E131,3)="技能：",'幕间与结算'!E131&lt;&gt;"技能：非自然知识",ISNUMBER('幕间与结算'!F131),'幕间与结算'!F131&gt;=1,'幕间与结算'!F131&lt;=99),1,0)</f>
        <v>0</v>
      </c>
      <c r="D332">
        <f>IF(AND('幕间与结算'!J131="确认",ISNUMBER('幕间与结算'!K131),'幕间与结算'!L131&lt;&gt;"",ISNUMBER('幕间与结算'!M131),'幕间与结算'!M131&gt;0,'幕间与结算'!M131&lt;=99),'幕间与结算'!M131,0)</f>
        <v>0</v>
      </c>
      <c r="E332">
        <f>IF(AND(B332=1,COUNTIFS($A$210:A332,A332,$B$210:B332,1,'幕间与结算'!$E$9:E131,'幕间与结算'!E131)=1),123,999999)</f>
        <v>999999</v>
      </c>
      <c r="F332">
        <v>131</v>
      </c>
      <c r="AA332">
        <f>IF($A332=1,$E332,999999)</f>
        <v>999999</v>
      </c>
      <c r="AB332">
        <f>IF($A332=2,$E332,999999)</f>
        <v>999999</v>
      </c>
      <c r="AC332">
        <f>IF($A332=3,$E332,999999)</f>
        <v>999999</v>
      </c>
      <c r="AD332">
        <f>IF($A332=4,$E332,999999)</f>
        <v>999999</v>
      </c>
      <c r="AE332">
        <f>IF($A332=5,$E332,999999)</f>
        <v>999999</v>
      </c>
      <c r="AF332">
        <f>IF($A332=6,$E332,999999)</f>
        <v>999999</v>
      </c>
      <c r="AG332">
        <f>IF($A332=7,$E332,999999)</f>
        <v>999999</v>
      </c>
      <c r="AH332">
        <f>IF($A332=8,$E332,999999)</f>
        <v>999999</v>
      </c>
      <c r="AI332">
        <f>IF($A332=9,$E332,999999)</f>
        <v>999999</v>
      </c>
      <c r="AJ332">
        <f>IF($A332=10,$E332,999999)</f>
        <v>999999</v>
      </c>
      <c r="AK332">
        <f>IF($A332=11,$E332,999999)</f>
        <v>999999</v>
      </c>
      <c r="AL332">
        <f>IF($A332=12,$E332,999999)</f>
        <v>999999</v>
      </c>
      <c r="AM332">
        <f>IF($A332=13,$E332,999999)</f>
        <v>999999</v>
      </c>
      <c r="AN332">
        <f>IF($A332=14,$E332,999999)</f>
        <v>999999</v>
      </c>
      <c r="AO332">
        <f>IF($A332=15,$E332,999999)</f>
        <v>999999</v>
      </c>
      <c r="AP332">
        <f>IF($A332=16,$E332,999999)</f>
        <v>999999</v>
      </c>
      <c r="AQ332">
        <f>IF($A332=17,$E332,999999)</f>
        <v>999999</v>
      </c>
      <c r="AR332">
        <f>IF($A332=18,$E332,999999)</f>
        <v>999999</v>
      </c>
      <c r="AS332">
        <f>IF($A332=19,$E332,999999)</f>
        <v>999999</v>
      </c>
      <c r="AT332">
        <f>IF($A332=20,$E332,999999)</f>
        <v>999999</v>
      </c>
      <c r="BA332">
        <f>MAX(0,MIN(CEILING((BF332+BG332)/2,1),BA331+IF('幕间与结算'!E131="体力",N('幕间与结算'!K131),0)))</f>
        <v>0</v>
      </c>
      <c r="BB332">
        <f>MAX(0,MIN(BJ332,BB331+IF('幕间与结算'!E131="毅力",N('幕间与结算'!K131),0)))</f>
        <v>0</v>
      </c>
      <c r="BC332">
        <f>MAX(0,MIN(99-BL332,BC331+IF('幕间与结算'!E131="理智",N('幕间与结算'!K131),0)))</f>
        <v>0</v>
      </c>
      <c r="BD332">
        <f>MAX(0,MIN(99,BD331+IF('幕间与结算'!E131="崩溃点",N('幕间与结算'!K131),0)))</f>
        <v>0</v>
      </c>
      <c r="BF332">
        <f>MAX(0,MIN(18,'幕间计算'!BF331+IF('幕间与结算'!E131="力量",N('幕间与结算'!K131),0)))</f>
        <v>0</v>
      </c>
      <c r="BG332">
        <f>MAX(0,MIN(18,'幕间计算'!BG331+IF('幕间与结算'!E131="体质",N('幕间与结算'!K131),0)))</f>
        <v>0</v>
      </c>
      <c r="BH332">
        <f>MAX(0,MIN(18,'幕间计算'!BH331+IF('幕间与结算'!E131="敏捷",N('幕间与结算'!K131),0)))</f>
        <v>0</v>
      </c>
      <c r="BI332">
        <f>MAX(0,MIN(18,'幕间计算'!BI331+IF('幕间与结算'!E131="智力",N('幕间与结算'!K131),0)))</f>
        <v>0</v>
      </c>
      <c r="BJ332">
        <f>MAX(0,MIN(18,'幕间计算'!BJ331+IF('幕间与结算'!E131="意志",N('幕间与结算'!K131),0)))</f>
        <v>0</v>
      </c>
      <c r="BK332">
        <f>MAX(0,MIN(18,'幕间计算'!BK331+IF('幕间与结算'!E131="魅力",N('幕间与结算'!K131),0)))</f>
        <v>0</v>
      </c>
      <c r="BL332">
        <f>MAX(0,MIN(99,'幕间计算'!BL331+IF('幕间与结算'!E131="技能：非自然知识",N('幕间与结算'!K131),0)))</f>
        <v>0</v>
      </c>
    </row>
    <row r="333">
      <c r="A333">
        <f>IFERROR(IF(AND(VALUE('幕间与结算'!B132)&gt;=1,VALUE('幕间与结算'!B132)&lt;=20),VALUE('幕间与结算'!B132),0),0)</f>
        <v>0</v>
      </c>
      <c r="B333">
        <f>IF(AND(A333&gt;0,'幕间与结算'!D132&lt;&gt;"",'幕间与结算'!J132="确认",ISNUMBER('幕间与结算'!K132),OR('幕间与结算'!G132="失败",'幕间与结算'!G132="大失败"),'幕间与结算'!H132="√",LEFT('幕间与结算'!E132,3)="技能：",'幕间与结算'!E132&lt;&gt;"技能：非自然知识",ISNUMBER('幕间与结算'!F132),'幕间与结算'!F132&gt;=1,'幕间与结算'!F132&lt;=99),1,0)</f>
        <v>0</v>
      </c>
      <c r="D333">
        <f>IF(AND('幕间与结算'!J132="确认",ISNUMBER('幕间与结算'!K132),'幕间与结算'!L132&lt;&gt;"",ISNUMBER('幕间与结算'!M132),'幕间与结算'!M132&gt;0,'幕间与结算'!M132&lt;=99),'幕间与结算'!M132,0)</f>
        <v>0</v>
      </c>
      <c r="E333">
        <f>IF(AND(B333=1,COUNTIFS($A$210:A333,A333,$B$210:B333,1,'幕间与结算'!$E$9:E132,'幕间与结算'!E132)=1),124,999999)</f>
        <v>999999</v>
      </c>
      <c r="F333">
        <v>132</v>
      </c>
      <c r="AA333">
        <f>IF($A333=1,$E333,999999)</f>
        <v>999999</v>
      </c>
      <c r="AB333">
        <f>IF($A333=2,$E333,999999)</f>
        <v>999999</v>
      </c>
      <c r="AC333">
        <f>IF($A333=3,$E333,999999)</f>
        <v>999999</v>
      </c>
      <c r="AD333">
        <f>IF($A333=4,$E333,999999)</f>
        <v>999999</v>
      </c>
      <c r="AE333">
        <f>IF($A333=5,$E333,999999)</f>
        <v>999999</v>
      </c>
      <c r="AF333">
        <f>IF($A333=6,$E333,999999)</f>
        <v>999999</v>
      </c>
      <c r="AG333">
        <f>IF($A333=7,$E333,999999)</f>
        <v>999999</v>
      </c>
      <c r="AH333">
        <f>IF($A333=8,$E333,999999)</f>
        <v>999999</v>
      </c>
      <c r="AI333">
        <f>IF($A333=9,$E333,999999)</f>
        <v>999999</v>
      </c>
      <c r="AJ333">
        <f>IF($A333=10,$E333,999999)</f>
        <v>999999</v>
      </c>
      <c r="AK333">
        <f>IF($A333=11,$E333,999999)</f>
        <v>999999</v>
      </c>
      <c r="AL333">
        <f>IF($A333=12,$E333,999999)</f>
        <v>999999</v>
      </c>
      <c r="AM333">
        <f>IF($A333=13,$E333,999999)</f>
        <v>999999</v>
      </c>
      <c r="AN333">
        <f>IF($A333=14,$E333,999999)</f>
        <v>999999</v>
      </c>
      <c r="AO333">
        <f>IF($A333=15,$E333,999999)</f>
        <v>999999</v>
      </c>
      <c r="AP333">
        <f>IF($A333=16,$E333,999999)</f>
        <v>999999</v>
      </c>
      <c r="AQ333">
        <f>IF($A333=17,$E333,999999)</f>
        <v>999999</v>
      </c>
      <c r="AR333">
        <f>IF($A333=18,$E333,999999)</f>
        <v>999999</v>
      </c>
      <c r="AS333">
        <f>IF($A333=19,$E333,999999)</f>
        <v>999999</v>
      </c>
      <c r="AT333">
        <f>IF($A333=20,$E333,999999)</f>
        <v>999999</v>
      </c>
      <c r="BA333">
        <f>MAX(0,MIN(CEILING((BF333+BG333)/2,1),BA332+IF('幕间与结算'!E132="体力",N('幕间与结算'!K132),0)))</f>
        <v>0</v>
      </c>
      <c r="BB333">
        <f>MAX(0,MIN(BJ333,BB332+IF('幕间与结算'!E132="毅力",N('幕间与结算'!K132),0)))</f>
        <v>0</v>
      </c>
      <c r="BC333">
        <f>MAX(0,MIN(99-BL333,BC332+IF('幕间与结算'!E132="理智",N('幕间与结算'!K132),0)))</f>
        <v>0</v>
      </c>
      <c r="BD333">
        <f>MAX(0,MIN(99,BD332+IF('幕间与结算'!E132="崩溃点",N('幕间与结算'!K132),0)))</f>
        <v>0</v>
      </c>
      <c r="BF333">
        <f>MAX(0,MIN(18,'幕间计算'!BF332+IF('幕间与结算'!E132="力量",N('幕间与结算'!K132),0)))</f>
        <v>0</v>
      </c>
      <c r="BG333">
        <f>MAX(0,MIN(18,'幕间计算'!BG332+IF('幕间与结算'!E132="体质",N('幕间与结算'!K132),0)))</f>
        <v>0</v>
      </c>
      <c r="BH333">
        <f>MAX(0,MIN(18,'幕间计算'!BH332+IF('幕间与结算'!E132="敏捷",N('幕间与结算'!K132),0)))</f>
        <v>0</v>
      </c>
      <c r="BI333">
        <f>MAX(0,MIN(18,'幕间计算'!BI332+IF('幕间与结算'!E132="智力",N('幕间与结算'!K132),0)))</f>
        <v>0</v>
      </c>
      <c r="BJ333">
        <f>MAX(0,MIN(18,'幕间计算'!BJ332+IF('幕间与结算'!E132="意志",N('幕间与结算'!K132),0)))</f>
        <v>0</v>
      </c>
      <c r="BK333">
        <f>MAX(0,MIN(18,'幕间计算'!BK332+IF('幕间与结算'!E132="魅力",N('幕间与结算'!K132),0)))</f>
        <v>0</v>
      </c>
      <c r="BL333">
        <f>MAX(0,MIN(99,'幕间计算'!BL332+IF('幕间与结算'!E132="技能：非自然知识",N('幕间与结算'!K132),0)))</f>
        <v>0</v>
      </c>
    </row>
    <row r="334">
      <c r="A334">
        <f>IFERROR(IF(AND(VALUE('幕间与结算'!B133)&gt;=1,VALUE('幕间与结算'!B133)&lt;=20),VALUE('幕间与结算'!B133),0),0)</f>
        <v>0</v>
      </c>
      <c r="B334">
        <f>IF(AND(A334&gt;0,'幕间与结算'!D133&lt;&gt;"",'幕间与结算'!J133="确认",ISNUMBER('幕间与结算'!K133),OR('幕间与结算'!G133="失败",'幕间与结算'!G133="大失败"),'幕间与结算'!H133="√",LEFT('幕间与结算'!E133,3)="技能：",'幕间与结算'!E133&lt;&gt;"技能：非自然知识",ISNUMBER('幕间与结算'!F133),'幕间与结算'!F133&gt;=1,'幕间与结算'!F133&lt;=99),1,0)</f>
        <v>0</v>
      </c>
      <c r="D334">
        <f>IF(AND('幕间与结算'!J133="确认",ISNUMBER('幕间与结算'!K133),'幕间与结算'!L133&lt;&gt;"",ISNUMBER('幕间与结算'!M133),'幕间与结算'!M133&gt;0,'幕间与结算'!M133&lt;=99),'幕间与结算'!M133,0)</f>
        <v>0</v>
      </c>
      <c r="E334">
        <f>IF(AND(B334=1,COUNTIFS($A$210:A334,A334,$B$210:B334,1,'幕间与结算'!$E$9:E133,'幕间与结算'!E133)=1),125,999999)</f>
        <v>999999</v>
      </c>
      <c r="F334">
        <v>133</v>
      </c>
      <c r="AA334">
        <f>IF($A334=1,$E334,999999)</f>
        <v>999999</v>
      </c>
      <c r="AB334">
        <f>IF($A334=2,$E334,999999)</f>
        <v>999999</v>
      </c>
      <c r="AC334">
        <f>IF($A334=3,$E334,999999)</f>
        <v>999999</v>
      </c>
      <c r="AD334">
        <f>IF($A334=4,$E334,999999)</f>
        <v>999999</v>
      </c>
      <c r="AE334">
        <f>IF($A334=5,$E334,999999)</f>
        <v>999999</v>
      </c>
      <c r="AF334">
        <f>IF($A334=6,$E334,999999)</f>
        <v>999999</v>
      </c>
      <c r="AG334">
        <f>IF($A334=7,$E334,999999)</f>
        <v>999999</v>
      </c>
      <c r="AH334">
        <f>IF($A334=8,$E334,999999)</f>
        <v>999999</v>
      </c>
      <c r="AI334">
        <f>IF($A334=9,$E334,999999)</f>
        <v>999999</v>
      </c>
      <c r="AJ334">
        <f>IF($A334=10,$E334,999999)</f>
        <v>999999</v>
      </c>
      <c r="AK334">
        <f>IF($A334=11,$E334,999999)</f>
        <v>999999</v>
      </c>
      <c r="AL334">
        <f>IF($A334=12,$E334,999999)</f>
        <v>999999</v>
      </c>
      <c r="AM334">
        <f>IF($A334=13,$E334,999999)</f>
        <v>999999</v>
      </c>
      <c r="AN334">
        <f>IF($A334=14,$E334,999999)</f>
        <v>999999</v>
      </c>
      <c r="AO334">
        <f>IF($A334=15,$E334,999999)</f>
        <v>999999</v>
      </c>
      <c r="AP334">
        <f>IF($A334=16,$E334,999999)</f>
        <v>999999</v>
      </c>
      <c r="AQ334">
        <f>IF($A334=17,$E334,999999)</f>
        <v>999999</v>
      </c>
      <c r="AR334">
        <f>IF($A334=18,$E334,999999)</f>
        <v>999999</v>
      </c>
      <c r="AS334">
        <f>IF($A334=19,$E334,999999)</f>
        <v>999999</v>
      </c>
      <c r="AT334">
        <f>IF($A334=20,$E334,999999)</f>
        <v>999999</v>
      </c>
      <c r="BA334">
        <f>MAX(0,MIN(CEILING((BF334+BG334)/2,1),BA333+IF('幕间与结算'!E133="体力",N('幕间与结算'!K133),0)))</f>
        <v>0</v>
      </c>
      <c r="BB334">
        <f>MAX(0,MIN(BJ334,BB333+IF('幕间与结算'!E133="毅力",N('幕间与结算'!K133),0)))</f>
        <v>0</v>
      </c>
      <c r="BC334">
        <f>MAX(0,MIN(99-BL334,BC333+IF('幕间与结算'!E133="理智",N('幕间与结算'!K133),0)))</f>
        <v>0</v>
      </c>
      <c r="BD334">
        <f>MAX(0,MIN(99,BD333+IF('幕间与结算'!E133="崩溃点",N('幕间与结算'!K133),0)))</f>
        <v>0</v>
      </c>
      <c r="BF334">
        <f>MAX(0,MIN(18,'幕间计算'!BF333+IF('幕间与结算'!E133="力量",N('幕间与结算'!K133),0)))</f>
        <v>0</v>
      </c>
      <c r="BG334">
        <f>MAX(0,MIN(18,'幕间计算'!BG333+IF('幕间与结算'!E133="体质",N('幕间与结算'!K133),0)))</f>
        <v>0</v>
      </c>
      <c r="BH334">
        <f>MAX(0,MIN(18,'幕间计算'!BH333+IF('幕间与结算'!E133="敏捷",N('幕间与结算'!K133),0)))</f>
        <v>0</v>
      </c>
      <c r="BI334">
        <f>MAX(0,MIN(18,'幕间计算'!BI333+IF('幕间与结算'!E133="智力",N('幕间与结算'!K133),0)))</f>
        <v>0</v>
      </c>
      <c r="BJ334">
        <f>MAX(0,MIN(18,'幕间计算'!BJ333+IF('幕间与结算'!E133="意志",N('幕间与结算'!K133),0)))</f>
        <v>0</v>
      </c>
      <c r="BK334">
        <f>MAX(0,MIN(18,'幕间计算'!BK333+IF('幕间与结算'!E133="魅力",N('幕间与结算'!K133),0)))</f>
        <v>0</v>
      </c>
      <c r="BL334">
        <f>MAX(0,MIN(99,'幕间计算'!BL333+IF('幕间与结算'!E133="技能：非自然知识",N('幕间与结算'!K133),0)))</f>
        <v>0</v>
      </c>
    </row>
    <row r="335">
      <c r="A335">
        <f>IFERROR(IF(AND(VALUE('幕间与结算'!B134)&gt;=1,VALUE('幕间与结算'!B134)&lt;=20),VALUE('幕间与结算'!B134),0),0)</f>
        <v>0</v>
      </c>
      <c r="B335">
        <f>IF(AND(A335&gt;0,'幕间与结算'!D134&lt;&gt;"",'幕间与结算'!J134="确认",ISNUMBER('幕间与结算'!K134),OR('幕间与结算'!G134="失败",'幕间与结算'!G134="大失败"),'幕间与结算'!H134="√",LEFT('幕间与结算'!E134,3)="技能：",'幕间与结算'!E134&lt;&gt;"技能：非自然知识",ISNUMBER('幕间与结算'!F134),'幕间与结算'!F134&gt;=1,'幕间与结算'!F134&lt;=99),1,0)</f>
        <v>0</v>
      </c>
      <c r="D335">
        <f>IF(AND('幕间与结算'!J134="确认",ISNUMBER('幕间与结算'!K134),'幕间与结算'!L134&lt;&gt;"",ISNUMBER('幕间与结算'!M134),'幕间与结算'!M134&gt;0,'幕间与结算'!M134&lt;=99),'幕间与结算'!M134,0)</f>
        <v>0</v>
      </c>
      <c r="E335">
        <f>IF(AND(B335=1,COUNTIFS($A$210:A335,A335,$B$210:B335,1,'幕间与结算'!$E$9:E134,'幕间与结算'!E134)=1),126,999999)</f>
        <v>999999</v>
      </c>
      <c r="F335">
        <v>134</v>
      </c>
      <c r="AA335">
        <f>IF($A335=1,$E335,999999)</f>
        <v>999999</v>
      </c>
      <c r="AB335">
        <f>IF($A335=2,$E335,999999)</f>
        <v>999999</v>
      </c>
      <c r="AC335">
        <f>IF($A335=3,$E335,999999)</f>
        <v>999999</v>
      </c>
      <c r="AD335">
        <f>IF($A335=4,$E335,999999)</f>
        <v>999999</v>
      </c>
      <c r="AE335">
        <f>IF($A335=5,$E335,999999)</f>
        <v>999999</v>
      </c>
      <c r="AF335">
        <f>IF($A335=6,$E335,999999)</f>
        <v>999999</v>
      </c>
      <c r="AG335">
        <f>IF($A335=7,$E335,999999)</f>
        <v>999999</v>
      </c>
      <c r="AH335">
        <f>IF($A335=8,$E335,999999)</f>
        <v>999999</v>
      </c>
      <c r="AI335">
        <f>IF($A335=9,$E335,999999)</f>
        <v>999999</v>
      </c>
      <c r="AJ335">
        <f>IF($A335=10,$E335,999999)</f>
        <v>999999</v>
      </c>
      <c r="AK335">
        <f>IF($A335=11,$E335,999999)</f>
        <v>999999</v>
      </c>
      <c r="AL335">
        <f>IF($A335=12,$E335,999999)</f>
        <v>999999</v>
      </c>
      <c r="AM335">
        <f>IF($A335=13,$E335,999999)</f>
        <v>999999</v>
      </c>
      <c r="AN335">
        <f>IF($A335=14,$E335,999999)</f>
        <v>999999</v>
      </c>
      <c r="AO335">
        <f>IF($A335=15,$E335,999999)</f>
        <v>999999</v>
      </c>
      <c r="AP335">
        <f>IF($A335=16,$E335,999999)</f>
        <v>999999</v>
      </c>
      <c r="AQ335">
        <f>IF($A335=17,$E335,999999)</f>
        <v>999999</v>
      </c>
      <c r="AR335">
        <f>IF($A335=18,$E335,999999)</f>
        <v>999999</v>
      </c>
      <c r="AS335">
        <f>IF($A335=19,$E335,999999)</f>
        <v>999999</v>
      </c>
      <c r="AT335">
        <f>IF($A335=20,$E335,999999)</f>
        <v>999999</v>
      </c>
      <c r="BA335">
        <f>MAX(0,MIN(CEILING((BF335+BG335)/2,1),BA334+IF('幕间与结算'!E134="体力",N('幕间与结算'!K134),0)))</f>
        <v>0</v>
      </c>
      <c r="BB335">
        <f>MAX(0,MIN(BJ335,BB334+IF('幕间与结算'!E134="毅力",N('幕间与结算'!K134),0)))</f>
        <v>0</v>
      </c>
      <c r="BC335">
        <f>MAX(0,MIN(99-BL335,BC334+IF('幕间与结算'!E134="理智",N('幕间与结算'!K134),0)))</f>
        <v>0</v>
      </c>
      <c r="BD335">
        <f>MAX(0,MIN(99,BD334+IF('幕间与结算'!E134="崩溃点",N('幕间与结算'!K134),0)))</f>
        <v>0</v>
      </c>
      <c r="BF335">
        <f>MAX(0,MIN(18,'幕间计算'!BF334+IF('幕间与结算'!E134="力量",N('幕间与结算'!K134),0)))</f>
        <v>0</v>
      </c>
      <c r="BG335">
        <f>MAX(0,MIN(18,'幕间计算'!BG334+IF('幕间与结算'!E134="体质",N('幕间与结算'!K134),0)))</f>
        <v>0</v>
      </c>
      <c r="BH335">
        <f>MAX(0,MIN(18,'幕间计算'!BH334+IF('幕间与结算'!E134="敏捷",N('幕间与结算'!K134),0)))</f>
        <v>0</v>
      </c>
      <c r="BI335">
        <f>MAX(0,MIN(18,'幕间计算'!BI334+IF('幕间与结算'!E134="智力",N('幕间与结算'!K134),0)))</f>
        <v>0</v>
      </c>
      <c r="BJ335">
        <f>MAX(0,MIN(18,'幕间计算'!BJ334+IF('幕间与结算'!E134="意志",N('幕间与结算'!K134),0)))</f>
        <v>0</v>
      </c>
      <c r="BK335">
        <f>MAX(0,MIN(18,'幕间计算'!BK334+IF('幕间与结算'!E134="魅力",N('幕间与结算'!K134),0)))</f>
        <v>0</v>
      </c>
      <c r="BL335">
        <f>MAX(0,MIN(99,'幕间计算'!BL334+IF('幕间与结算'!E134="技能：非自然知识",N('幕间与结算'!K134),0)))</f>
        <v>0</v>
      </c>
    </row>
    <row r="336">
      <c r="A336">
        <f>IFERROR(IF(AND(VALUE('幕间与结算'!B135)&gt;=1,VALUE('幕间与结算'!B135)&lt;=20),VALUE('幕间与结算'!B135),0),0)</f>
        <v>0</v>
      </c>
      <c r="B336">
        <f>IF(AND(A336&gt;0,'幕间与结算'!D135&lt;&gt;"",'幕间与结算'!J135="确认",ISNUMBER('幕间与结算'!K135),OR('幕间与结算'!G135="失败",'幕间与结算'!G135="大失败"),'幕间与结算'!H135="√",LEFT('幕间与结算'!E135,3)="技能：",'幕间与结算'!E135&lt;&gt;"技能：非自然知识",ISNUMBER('幕间与结算'!F135),'幕间与结算'!F135&gt;=1,'幕间与结算'!F135&lt;=99),1,0)</f>
        <v>0</v>
      </c>
      <c r="D336">
        <f>IF(AND('幕间与结算'!J135="确认",ISNUMBER('幕间与结算'!K135),'幕间与结算'!L135&lt;&gt;"",ISNUMBER('幕间与结算'!M135),'幕间与结算'!M135&gt;0,'幕间与结算'!M135&lt;=99),'幕间与结算'!M135,0)</f>
        <v>0</v>
      </c>
      <c r="E336">
        <f>IF(AND(B336=1,COUNTIFS($A$210:A336,A336,$B$210:B336,1,'幕间与结算'!$E$9:E135,'幕间与结算'!E135)=1),127,999999)</f>
        <v>999999</v>
      </c>
      <c r="F336">
        <v>135</v>
      </c>
      <c r="AA336">
        <f>IF($A336=1,$E336,999999)</f>
        <v>999999</v>
      </c>
      <c r="AB336">
        <f>IF($A336=2,$E336,999999)</f>
        <v>999999</v>
      </c>
      <c r="AC336">
        <f>IF($A336=3,$E336,999999)</f>
        <v>999999</v>
      </c>
      <c r="AD336">
        <f>IF($A336=4,$E336,999999)</f>
        <v>999999</v>
      </c>
      <c r="AE336">
        <f>IF($A336=5,$E336,999999)</f>
        <v>999999</v>
      </c>
      <c r="AF336">
        <f>IF($A336=6,$E336,999999)</f>
        <v>999999</v>
      </c>
      <c r="AG336">
        <f>IF($A336=7,$E336,999999)</f>
        <v>999999</v>
      </c>
      <c r="AH336">
        <f>IF($A336=8,$E336,999999)</f>
        <v>999999</v>
      </c>
      <c r="AI336">
        <f>IF($A336=9,$E336,999999)</f>
        <v>999999</v>
      </c>
      <c r="AJ336">
        <f>IF($A336=10,$E336,999999)</f>
        <v>999999</v>
      </c>
      <c r="AK336">
        <f>IF($A336=11,$E336,999999)</f>
        <v>999999</v>
      </c>
      <c r="AL336">
        <f>IF($A336=12,$E336,999999)</f>
        <v>999999</v>
      </c>
      <c r="AM336">
        <f>IF($A336=13,$E336,999999)</f>
        <v>999999</v>
      </c>
      <c r="AN336">
        <f>IF($A336=14,$E336,999999)</f>
        <v>999999</v>
      </c>
      <c r="AO336">
        <f>IF($A336=15,$E336,999999)</f>
        <v>999999</v>
      </c>
      <c r="AP336">
        <f>IF($A336=16,$E336,999999)</f>
        <v>999999</v>
      </c>
      <c r="AQ336">
        <f>IF($A336=17,$E336,999999)</f>
        <v>999999</v>
      </c>
      <c r="AR336">
        <f>IF($A336=18,$E336,999999)</f>
        <v>999999</v>
      </c>
      <c r="AS336">
        <f>IF($A336=19,$E336,999999)</f>
        <v>999999</v>
      </c>
      <c r="AT336">
        <f>IF($A336=20,$E336,999999)</f>
        <v>999999</v>
      </c>
      <c r="BA336">
        <f>MAX(0,MIN(CEILING((BF336+BG336)/2,1),BA335+IF('幕间与结算'!E135="体力",N('幕间与结算'!K135),0)))</f>
        <v>0</v>
      </c>
      <c r="BB336">
        <f>MAX(0,MIN(BJ336,BB335+IF('幕间与结算'!E135="毅力",N('幕间与结算'!K135),0)))</f>
        <v>0</v>
      </c>
      <c r="BC336">
        <f>MAX(0,MIN(99-BL336,BC335+IF('幕间与结算'!E135="理智",N('幕间与结算'!K135),0)))</f>
        <v>0</v>
      </c>
      <c r="BD336">
        <f>MAX(0,MIN(99,BD335+IF('幕间与结算'!E135="崩溃点",N('幕间与结算'!K135),0)))</f>
        <v>0</v>
      </c>
      <c r="BF336">
        <f>MAX(0,MIN(18,'幕间计算'!BF335+IF('幕间与结算'!E135="力量",N('幕间与结算'!K135),0)))</f>
        <v>0</v>
      </c>
      <c r="BG336">
        <f>MAX(0,MIN(18,'幕间计算'!BG335+IF('幕间与结算'!E135="体质",N('幕间与结算'!K135),0)))</f>
        <v>0</v>
      </c>
      <c r="BH336">
        <f>MAX(0,MIN(18,'幕间计算'!BH335+IF('幕间与结算'!E135="敏捷",N('幕间与结算'!K135),0)))</f>
        <v>0</v>
      </c>
      <c r="BI336">
        <f>MAX(0,MIN(18,'幕间计算'!BI335+IF('幕间与结算'!E135="智力",N('幕间与结算'!K135),0)))</f>
        <v>0</v>
      </c>
      <c r="BJ336">
        <f>MAX(0,MIN(18,'幕间计算'!BJ335+IF('幕间与结算'!E135="意志",N('幕间与结算'!K135),0)))</f>
        <v>0</v>
      </c>
      <c r="BK336">
        <f>MAX(0,MIN(18,'幕间计算'!BK335+IF('幕间与结算'!E135="魅力",N('幕间与结算'!K135),0)))</f>
        <v>0</v>
      </c>
      <c r="BL336">
        <f>MAX(0,MIN(99,'幕间计算'!BL335+IF('幕间与结算'!E135="技能：非自然知识",N('幕间与结算'!K135),0)))</f>
        <v>0</v>
      </c>
    </row>
    <row r="337">
      <c r="A337">
        <f>IFERROR(IF(AND(VALUE('幕间与结算'!B136)&gt;=1,VALUE('幕间与结算'!B136)&lt;=20),VALUE('幕间与结算'!B136),0),0)</f>
        <v>0</v>
      </c>
      <c r="B337">
        <f>IF(AND(A337&gt;0,'幕间与结算'!D136&lt;&gt;"",'幕间与结算'!J136="确认",ISNUMBER('幕间与结算'!K136),OR('幕间与结算'!G136="失败",'幕间与结算'!G136="大失败"),'幕间与结算'!H136="√",LEFT('幕间与结算'!E136,3)="技能：",'幕间与结算'!E136&lt;&gt;"技能：非自然知识",ISNUMBER('幕间与结算'!F136),'幕间与结算'!F136&gt;=1,'幕间与结算'!F136&lt;=99),1,0)</f>
        <v>0</v>
      </c>
      <c r="D337">
        <f>IF(AND('幕间与结算'!J136="确认",ISNUMBER('幕间与结算'!K136),'幕间与结算'!L136&lt;&gt;"",ISNUMBER('幕间与结算'!M136),'幕间与结算'!M136&gt;0,'幕间与结算'!M136&lt;=99),'幕间与结算'!M136,0)</f>
        <v>0</v>
      </c>
      <c r="E337">
        <f>IF(AND(B337=1,COUNTIFS($A$210:A337,A337,$B$210:B337,1,'幕间与结算'!$E$9:E136,'幕间与结算'!E136)=1),128,999999)</f>
        <v>999999</v>
      </c>
      <c r="F337">
        <v>136</v>
      </c>
      <c r="AA337">
        <f>IF($A337=1,$E337,999999)</f>
        <v>999999</v>
      </c>
      <c r="AB337">
        <f>IF($A337=2,$E337,999999)</f>
        <v>999999</v>
      </c>
      <c r="AC337">
        <f>IF($A337=3,$E337,999999)</f>
        <v>999999</v>
      </c>
      <c r="AD337">
        <f>IF($A337=4,$E337,999999)</f>
        <v>999999</v>
      </c>
      <c r="AE337">
        <f>IF($A337=5,$E337,999999)</f>
        <v>999999</v>
      </c>
      <c r="AF337">
        <f>IF($A337=6,$E337,999999)</f>
        <v>999999</v>
      </c>
      <c r="AG337">
        <f>IF($A337=7,$E337,999999)</f>
        <v>999999</v>
      </c>
      <c r="AH337">
        <f>IF($A337=8,$E337,999999)</f>
        <v>999999</v>
      </c>
      <c r="AI337">
        <f>IF($A337=9,$E337,999999)</f>
        <v>999999</v>
      </c>
      <c r="AJ337">
        <f>IF($A337=10,$E337,999999)</f>
        <v>999999</v>
      </c>
      <c r="AK337">
        <f>IF($A337=11,$E337,999999)</f>
        <v>999999</v>
      </c>
      <c r="AL337">
        <f>IF($A337=12,$E337,999999)</f>
        <v>999999</v>
      </c>
      <c r="AM337">
        <f>IF($A337=13,$E337,999999)</f>
        <v>999999</v>
      </c>
      <c r="AN337">
        <f>IF($A337=14,$E337,999999)</f>
        <v>999999</v>
      </c>
      <c r="AO337">
        <f>IF($A337=15,$E337,999999)</f>
        <v>999999</v>
      </c>
      <c r="AP337">
        <f>IF($A337=16,$E337,999999)</f>
        <v>999999</v>
      </c>
      <c r="AQ337">
        <f>IF($A337=17,$E337,999999)</f>
        <v>999999</v>
      </c>
      <c r="AR337">
        <f>IF($A337=18,$E337,999999)</f>
        <v>999999</v>
      </c>
      <c r="AS337">
        <f>IF($A337=19,$E337,999999)</f>
        <v>999999</v>
      </c>
      <c r="AT337">
        <f>IF($A337=20,$E337,999999)</f>
        <v>999999</v>
      </c>
      <c r="BA337">
        <f>MAX(0,MIN(CEILING((BF337+BG337)/2,1),BA336+IF('幕间与结算'!E136="体力",N('幕间与结算'!K136),0)))</f>
        <v>0</v>
      </c>
      <c r="BB337">
        <f>MAX(0,MIN(BJ337,BB336+IF('幕间与结算'!E136="毅力",N('幕间与结算'!K136),0)))</f>
        <v>0</v>
      </c>
      <c r="BC337">
        <f>MAX(0,MIN(99-BL337,BC336+IF('幕间与结算'!E136="理智",N('幕间与结算'!K136),0)))</f>
        <v>0</v>
      </c>
      <c r="BD337">
        <f>MAX(0,MIN(99,BD336+IF('幕间与结算'!E136="崩溃点",N('幕间与结算'!K136),0)))</f>
        <v>0</v>
      </c>
      <c r="BF337">
        <f>MAX(0,MIN(18,'幕间计算'!BF336+IF('幕间与结算'!E136="力量",N('幕间与结算'!K136),0)))</f>
        <v>0</v>
      </c>
      <c r="BG337">
        <f>MAX(0,MIN(18,'幕间计算'!BG336+IF('幕间与结算'!E136="体质",N('幕间与结算'!K136),0)))</f>
        <v>0</v>
      </c>
      <c r="BH337">
        <f>MAX(0,MIN(18,'幕间计算'!BH336+IF('幕间与结算'!E136="敏捷",N('幕间与结算'!K136),0)))</f>
        <v>0</v>
      </c>
      <c r="BI337">
        <f>MAX(0,MIN(18,'幕间计算'!BI336+IF('幕间与结算'!E136="智力",N('幕间与结算'!K136),0)))</f>
        <v>0</v>
      </c>
      <c r="BJ337">
        <f>MAX(0,MIN(18,'幕间计算'!BJ336+IF('幕间与结算'!E136="意志",N('幕间与结算'!K136),0)))</f>
        <v>0</v>
      </c>
      <c r="BK337">
        <f>MAX(0,MIN(18,'幕间计算'!BK336+IF('幕间与结算'!E136="魅力",N('幕间与结算'!K136),0)))</f>
        <v>0</v>
      </c>
      <c r="BL337">
        <f>MAX(0,MIN(99,'幕间计算'!BL336+IF('幕间与结算'!E136="技能：非自然知识",N('幕间与结算'!K136),0)))</f>
        <v>0</v>
      </c>
    </row>
    <row r="338">
      <c r="A338">
        <f>IFERROR(IF(AND(VALUE('幕间与结算'!B137)&gt;=1,VALUE('幕间与结算'!B137)&lt;=20),VALUE('幕间与结算'!B137),0),0)</f>
        <v>0</v>
      </c>
      <c r="B338">
        <f>IF(AND(A338&gt;0,'幕间与结算'!D137&lt;&gt;"",'幕间与结算'!J137="确认",ISNUMBER('幕间与结算'!K137),OR('幕间与结算'!G137="失败",'幕间与结算'!G137="大失败"),'幕间与结算'!H137="√",LEFT('幕间与结算'!E137,3)="技能：",'幕间与结算'!E137&lt;&gt;"技能：非自然知识",ISNUMBER('幕间与结算'!F137),'幕间与结算'!F137&gt;=1,'幕间与结算'!F137&lt;=99),1,0)</f>
        <v>0</v>
      </c>
      <c r="D338">
        <f>IF(AND('幕间与结算'!J137="确认",ISNUMBER('幕间与结算'!K137),'幕间与结算'!L137&lt;&gt;"",ISNUMBER('幕间与结算'!M137),'幕间与结算'!M137&gt;0,'幕间与结算'!M137&lt;=99),'幕间与结算'!M137,0)</f>
        <v>0</v>
      </c>
      <c r="E338">
        <f>IF(AND(B338=1,COUNTIFS($A$210:A338,A338,$B$210:B338,1,'幕间与结算'!$E$9:E137,'幕间与结算'!E137)=1),129,999999)</f>
        <v>999999</v>
      </c>
      <c r="F338">
        <v>137</v>
      </c>
      <c r="AA338">
        <f>IF($A338=1,$E338,999999)</f>
        <v>999999</v>
      </c>
      <c r="AB338">
        <f>IF($A338=2,$E338,999999)</f>
        <v>999999</v>
      </c>
      <c r="AC338">
        <f>IF($A338=3,$E338,999999)</f>
        <v>999999</v>
      </c>
      <c r="AD338">
        <f>IF($A338=4,$E338,999999)</f>
        <v>999999</v>
      </c>
      <c r="AE338">
        <f>IF($A338=5,$E338,999999)</f>
        <v>999999</v>
      </c>
      <c r="AF338">
        <f>IF($A338=6,$E338,999999)</f>
        <v>999999</v>
      </c>
      <c r="AG338">
        <f>IF($A338=7,$E338,999999)</f>
        <v>999999</v>
      </c>
      <c r="AH338">
        <f>IF($A338=8,$E338,999999)</f>
        <v>999999</v>
      </c>
      <c r="AI338">
        <f>IF($A338=9,$E338,999999)</f>
        <v>999999</v>
      </c>
      <c r="AJ338">
        <f>IF($A338=10,$E338,999999)</f>
        <v>999999</v>
      </c>
      <c r="AK338">
        <f>IF($A338=11,$E338,999999)</f>
        <v>999999</v>
      </c>
      <c r="AL338">
        <f>IF($A338=12,$E338,999999)</f>
        <v>999999</v>
      </c>
      <c r="AM338">
        <f>IF($A338=13,$E338,999999)</f>
        <v>999999</v>
      </c>
      <c r="AN338">
        <f>IF($A338=14,$E338,999999)</f>
        <v>999999</v>
      </c>
      <c r="AO338">
        <f>IF($A338=15,$E338,999999)</f>
        <v>999999</v>
      </c>
      <c r="AP338">
        <f>IF($A338=16,$E338,999999)</f>
        <v>999999</v>
      </c>
      <c r="AQ338">
        <f>IF($A338=17,$E338,999999)</f>
        <v>999999</v>
      </c>
      <c r="AR338">
        <f>IF($A338=18,$E338,999999)</f>
        <v>999999</v>
      </c>
      <c r="AS338">
        <f>IF($A338=19,$E338,999999)</f>
        <v>999999</v>
      </c>
      <c r="AT338">
        <f>IF($A338=20,$E338,999999)</f>
        <v>999999</v>
      </c>
      <c r="BA338">
        <f>MAX(0,MIN(CEILING((BF338+BG338)/2,1),BA337+IF('幕间与结算'!E137="体力",N('幕间与结算'!K137),0)))</f>
        <v>0</v>
      </c>
      <c r="BB338">
        <f>MAX(0,MIN(BJ338,BB337+IF('幕间与结算'!E137="毅力",N('幕间与结算'!K137),0)))</f>
        <v>0</v>
      </c>
      <c r="BC338">
        <f>MAX(0,MIN(99-BL338,BC337+IF('幕间与结算'!E137="理智",N('幕间与结算'!K137),0)))</f>
        <v>0</v>
      </c>
      <c r="BD338">
        <f>MAX(0,MIN(99,BD337+IF('幕间与结算'!E137="崩溃点",N('幕间与结算'!K137),0)))</f>
        <v>0</v>
      </c>
      <c r="BF338">
        <f>MAX(0,MIN(18,'幕间计算'!BF337+IF('幕间与结算'!E137="力量",N('幕间与结算'!K137),0)))</f>
        <v>0</v>
      </c>
      <c r="BG338">
        <f>MAX(0,MIN(18,'幕间计算'!BG337+IF('幕间与结算'!E137="体质",N('幕间与结算'!K137),0)))</f>
        <v>0</v>
      </c>
      <c r="BH338">
        <f>MAX(0,MIN(18,'幕间计算'!BH337+IF('幕间与结算'!E137="敏捷",N('幕间与结算'!K137),0)))</f>
        <v>0</v>
      </c>
      <c r="BI338">
        <f>MAX(0,MIN(18,'幕间计算'!BI337+IF('幕间与结算'!E137="智力",N('幕间与结算'!K137),0)))</f>
        <v>0</v>
      </c>
      <c r="BJ338">
        <f>MAX(0,MIN(18,'幕间计算'!BJ337+IF('幕间与结算'!E137="意志",N('幕间与结算'!K137),0)))</f>
        <v>0</v>
      </c>
      <c r="BK338">
        <f>MAX(0,MIN(18,'幕间计算'!BK337+IF('幕间与结算'!E137="魅力",N('幕间与结算'!K137),0)))</f>
        <v>0</v>
      </c>
      <c r="BL338">
        <f>MAX(0,MIN(99,'幕间计算'!BL337+IF('幕间与结算'!E137="技能：非自然知识",N('幕间与结算'!K137),0)))</f>
        <v>0</v>
      </c>
    </row>
    <row r="339">
      <c r="A339">
        <f>IFERROR(IF(AND(VALUE('幕间与结算'!B138)&gt;=1,VALUE('幕间与结算'!B138)&lt;=20),VALUE('幕间与结算'!B138),0),0)</f>
        <v>0</v>
      </c>
      <c r="B339">
        <f>IF(AND(A339&gt;0,'幕间与结算'!D138&lt;&gt;"",'幕间与结算'!J138="确认",ISNUMBER('幕间与结算'!K138),OR('幕间与结算'!G138="失败",'幕间与结算'!G138="大失败"),'幕间与结算'!H138="√",LEFT('幕间与结算'!E138,3)="技能：",'幕间与结算'!E138&lt;&gt;"技能：非自然知识",ISNUMBER('幕间与结算'!F138),'幕间与结算'!F138&gt;=1,'幕间与结算'!F138&lt;=99),1,0)</f>
        <v>0</v>
      </c>
      <c r="D339">
        <f>IF(AND('幕间与结算'!J138="确认",ISNUMBER('幕间与结算'!K138),'幕间与结算'!L138&lt;&gt;"",ISNUMBER('幕间与结算'!M138),'幕间与结算'!M138&gt;0,'幕间与结算'!M138&lt;=99),'幕间与结算'!M138,0)</f>
        <v>0</v>
      </c>
      <c r="E339">
        <f>IF(AND(B339=1,COUNTIFS($A$210:A339,A339,$B$210:B339,1,'幕间与结算'!$E$9:E138,'幕间与结算'!E138)=1),130,999999)</f>
        <v>999999</v>
      </c>
      <c r="F339">
        <v>138</v>
      </c>
      <c r="AA339">
        <f>IF($A339=1,$E339,999999)</f>
        <v>999999</v>
      </c>
      <c r="AB339">
        <f>IF($A339=2,$E339,999999)</f>
        <v>999999</v>
      </c>
      <c r="AC339">
        <f>IF($A339=3,$E339,999999)</f>
        <v>999999</v>
      </c>
      <c r="AD339">
        <f>IF($A339=4,$E339,999999)</f>
        <v>999999</v>
      </c>
      <c r="AE339">
        <f>IF($A339=5,$E339,999999)</f>
        <v>999999</v>
      </c>
      <c r="AF339">
        <f>IF($A339=6,$E339,999999)</f>
        <v>999999</v>
      </c>
      <c r="AG339">
        <f>IF($A339=7,$E339,999999)</f>
        <v>999999</v>
      </c>
      <c r="AH339">
        <f>IF($A339=8,$E339,999999)</f>
        <v>999999</v>
      </c>
      <c r="AI339">
        <f>IF($A339=9,$E339,999999)</f>
        <v>999999</v>
      </c>
      <c r="AJ339">
        <f>IF($A339=10,$E339,999999)</f>
        <v>999999</v>
      </c>
      <c r="AK339">
        <f>IF($A339=11,$E339,999999)</f>
        <v>999999</v>
      </c>
      <c r="AL339">
        <f>IF($A339=12,$E339,999999)</f>
        <v>999999</v>
      </c>
      <c r="AM339">
        <f>IF($A339=13,$E339,999999)</f>
        <v>999999</v>
      </c>
      <c r="AN339">
        <f>IF($A339=14,$E339,999999)</f>
        <v>999999</v>
      </c>
      <c r="AO339">
        <f>IF($A339=15,$E339,999999)</f>
        <v>999999</v>
      </c>
      <c r="AP339">
        <f>IF($A339=16,$E339,999999)</f>
        <v>999999</v>
      </c>
      <c r="AQ339">
        <f>IF($A339=17,$E339,999999)</f>
        <v>999999</v>
      </c>
      <c r="AR339">
        <f>IF($A339=18,$E339,999999)</f>
        <v>999999</v>
      </c>
      <c r="AS339">
        <f>IF($A339=19,$E339,999999)</f>
        <v>999999</v>
      </c>
      <c r="AT339">
        <f>IF($A339=20,$E339,999999)</f>
        <v>999999</v>
      </c>
      <c r="BA339">
        <f>MAX(0,MIN(CEILING((BF339+BG339)/2,1),BA338+IF('幕间与结算'!E138="体力",N('幕间与结算'!K138),0)))</f>
        <v>0</v>
      </c>
      <c r="BB339">
        <f>MAX(0,MIN(BJ339,BB338+IF('幕间与结算'!E138="毅力",N('幕间与结算'!K138),0)))</f>
        <v>0</v>
      </c>
      <c r="BC339">
        <f>MAX(0,MIN(99-BL339,BC338+IF('幕间与结算'!E138="理智",N('幕间与结算'!K138),0)))</f>
        <v>0</v>
      </c>
      <c r="BD339">
        <f>MAX(0,MIN(99,BD338+IF('幕间与结算'!E138="崩溃点",N('幕间与结算'!K138),0)))</f>
        <v>0</v>
      </c>
      <c r="BF339">
        <f>MAX(0,MIN(18,'幕间计算'!BF338+IF('幕间与结算'!E138="力量",N('幕间与结算'!K138),0)))</f>
        <v>0</v>
      </c>
      <c r="BG339">
        <f>MAX(0,MIN(18,'幕间计算'!BG338+IF('幕间与结算'!E138="体质",N('幕间与结算'!K138),0)))</f>
        <v>0</v>
      </c>
      <c r="BH339">
        <f>MAX(0,MIN(18,'幕间计算'!BH338+IF('幕间与结算'!E138="敏捷",N('幕间与结算'!K138),0)))</f>
        <v>0</v>
      </c>
      <c r="BI339">
        <f>MAX(0,MIN(18,'幕间计算'!BI338+IF('幕间与结算'!E138="智力",N('幕间与结算'!K138),0)))</f>
        <v>0</v>
      </c>
      <c r="BJ339">
        <f>MAX(0,MIN(18,'幕间计算'!BJ338+IF('幕间与结算'!E138="意志",N('幕间与结算'!K138),0)))</f>
        <v>0</v>
      </c>
      <c r="BK339">
        <f>MAX(0,MIN(18,'幕间计算'!BK338+IF('幕间与结算'!E138="魅力",N('幕间与结算'!K138),0)))</f>
        <v>0</v>
      </c>
      <c r="BL339">
        <f>MAX(0,MIN(99,'幕间计算'!BL338+IF('幕间与结算'!E138="技能：非自然知识",N('幕间与结算'!K138),0)))</f>
        <v>0</v>
      </c>
    </row>
    <row r="340">
      <c r="A340">
        <f>IFERROR(IF(AND(VALUE('幕间与结算'!B139)&gt;=1,VALUE('幕间与结算'!B139)&lt;=20),VALUE('幕间与结算'!B139),0),0)</f>
        <v>0</v>
      </c>
      <c r="B340">
        <f>IF(AND(A340&gt;0,'幕间与结算'!D139&lt;&gt;"",'幕间与结算'!J139="确认",ISNUMBER('幕间与结算'!K139),OR('幕间与结算'!G139="失败",'幕间与结算'!G139="大失败"),'幕间与结算'!H139="√",LEFT('幕间与结算'!E139,3)="技能：",'幕间与结算'!E139&lt;&gt;"技能：非自然知识",ISNUMBER('幕间与结算'!F139),'幕间与结算'!F139&gt;=1,'幕间与结算'!F139&lt;=99),1,0)</f>
        <v>0</v>
      </c>
      <c r="D340">
        <f>IF(AND('幕间与结算'!J139="确认",ISNUMBER('幕间与结算'!K139),'幕间与结算'!L139&lt;&gt;"",ISNUMBER('幕间与结算'!M139),'幕间与结算'!M139&gt;0,'幕间与结算'!M139&lt;=99),'幕间与结算'!M139,0)</f>
        <v>0</v>
      </c>
      <c r="E340">
        <f>IF(AND(B340=1,COUNTIFS($A$210:A340,A340,$B$210:B340,1,'幕间与结算'!$E$9:E139,'幕间与结算'!E139)=1),131,999999)</f>
        <v>999999</v>
      </c>
      <c r="F340">
        <v>139</v>
      </c>
      <c r="AA340">
        <f>IF($A340=1,$E340,999999)</f>
        <v>999999</v>
      </c>
      <c r="AB340">
        <f>IF($A340=2,$E340,999999)</f>
        <v>999999</v>
      </c>
      <c r="AC340">
        <f>IF($A340=3,$E340,999999)</f>
        <v>999999</v>
      </c>
      <c r="AD340">
        <f>IF($A340=4,$E340,999999)</f>
        <v>999999</v>
      </c>
      <c r="AE340">
        <f>IF($A340=5,$E340,999999)</f>
        <v>999999</v>
      </c>
      <c r="AF340">
        <f>IF($A340=6,$E340,999999)</f>
        <v>999999</v>
      </c>
      <c r="AG340">
        <f>IF($A340=7,$E340,999999)</f>
        <v>999999</v>
      </c>
      <c r="AH340">
        <f>IF($A340=8,$E340,999999)</f>
        <v>999999</v>
      </c>
      <c r="AI340">
        <f>IF($A340=9,$E340,999999)</f>
        <v>999999</v>
      </c>
      <c r="AJ340">
        <f>IF($A340=10,$E340,999999)</f>
        <v>999999</v>
      </c>
      <c r="AK340">
        <f>IF($A340=11,$E340,999999)</f>
        <v>999999</v>
      </c>
      <c r="AL340">
        <f>IF($A340=12,$E340,999999)</f>
        <v>999999</v>
      </c>
      <c r="AM340">
        <f>IF($A340=13,$E340,999999)</f>
        <v>999999</v>
      </c>
      <c r="AN340">
        <f>IF($A340=14,$E340,999999)</f>
        <v>999999</v>
      </c>
      <c r="AO340">
        <f>IF($A340=15,$E340,999999)</f>
        <v>999999</v>
      </c>
      <c r="AP340">
        <f>IF($A340=16,$E340,999999)</f>
        <v>999999</v>
      </c>
      <c r="AQ340">
        <f>IF($A340=17,$E340,999999)</f>
        <v>999999</v>
      </c>
      <c r="AR340">
        <f>IF($A340=18,$E340,999999)</f>
        <v>999999</v>
      </c>
      <c r="AS340">
        <f>IF($A340=19,$E340,999999)</f>
        <v>999999</v>
      </c>
      <c r="AT340">
        <f>IF($A340=20,$E340,999999)</f>
        <v>999999</v>
      </c>
      <c r="BA340">
        <f>MAX(0,MIN(CEILING((BF340+BG340)/2,1),BA339+IF('幕间与结算'!E139="体力",N('幕间与结算'!K139),0)))</f>
        <v>0</v>
      </c>
      <c r="BB340">
        <f>MAX(0,MIN(BJ340,BB339+IF('幕间与结算'!E139="毅力",N('幕间与结算'!K139),0)))</f>
        <v>0</v>
      </c>
      <c r="BC340">
        <f>MAX(0,MIN(99-BL340,BC339+IF('幕间与结算'!E139="理智",N('幕间与结算'!K139),0)))</f>
        <v>0</v>
      </c>
      <c r="BD340">
        <f>MAX(0,MIN(99,BD339+IF('幕间与结算'!E139="崩溃点",N('幕间与结算'!K139),0)))</f>
        <v>0</v>
      </c>
      <c r="BF340">
        <f>MAX(0,MIN(18,'幕间计算'!BF339+IF('幕间与结算'!E139="力量",N('幕间与结算'!K139),0)))</f>
        <v>0</v>
      </c>
      <c r="BG340">
        <f>MAX(0,MIN(18,'幕间计算'!BG339+IF('幕间与结算'!E139="体质",N('幕间与结算'!K139),0)))</f>
        <v>0</v>
      </c>
      <c r="BH340">
        <f>MAX(0,MIN(18,'幕间计算'!BH339+IF('幕间与结算'!E139="敏捷",N('幕间与结算'!K139),0)))</f>
        <v>0</v>
      </c>
      <c r="BI340">
        <f>MAX(0,MIN(18,'幕间计算'!BI339+IF('幕间与结算'!E139="智力",N('幕间与结算'!K139),0)))</f>
        <v>0</v>
      </c>
      <c r="BJ340">
        <f>MAX(0,MIN(18,'幕间计算'!BJ339+IF('幕间与结算'!E139="意志",N('幕间与结算'!K139),0)))</f>
        <v>0</v>
      </c>
      <c r="BK340">
        <f>MAX(0,MIN(18,'幕间计算'!BK339+IF('幕间与结算'!E139="魅力",N('幕间与结算'!K139),0)))</f>
        <v>0</v>
      </c>
      <c r="BL340">
        <f>MAX(0,MIN(99,'幕间计算'!BL339+IF('幕间与结算'!E139="技能：非自然知识",N('幕间与结算'!K139),0)))</f>
        <v>0</v>
      </c>
    </row>
    <row r="341">
      <c r="A341">
        <f>IFERROR(IF(AND(VALUE('幕间与结算'!B140)&gt;=1,VALUE('幕间与结算'!B140)&lt;=20),VALUE('幕间与结算'!B140),0),0)</f>
        <v>0</v>
      </c>
      <c r="B341">
        <f>IF(AND(A341&gt;0,'幕间与结算'!D140&lt;&gt;"",'幕间与结算'!J140="确认",ISNUMBER('幕间与结算'!K140),OR('幕间与结算'!G140="失败",'幕间与结算'!G140="大失败"),'幕间与结算'!H140="√",LEFT('幕间与结算'!E140,3)="技能：",'幕间与结算'!E140&lt;&gt;"技能：非自然知识",ISNUMBER('幕间与结算'!F140),'幕间与结算'!F140&gt;=1,'幕间与结算'!F140&lt;=99),1,0)</f>
        <v>0</v>
      </c>
      <c r="D341">
        <f>IF(AND('幕间与结算'!J140="确认",ISNUMBER('幕间与结算'!K140),'幕间与结算'!L140&lt;&gt;"",ISNUMBER('幕间与结算'!M140),'幕间与结算'!M140&gt;0,'幕间与结算'!M140&lt;=99),'幕间与结算'!M140,0)</f>
        <v>0</v>
      </c>
      <c r="E341">
        <f>IF(AND(B341=1,COUNTIFS($A$210:A341,A341,$B$210:B341,1,'幕间与结算'!$E$9:E140,'幕间与结算'!E140)=1),132,999999)</f>
        <v>999999</v>
      </c>
      <c r="F341">
        <v>140</v>
      </c>
      <c r="AA341">
        <f>IF($A341=1,$E341,999999)</f>
        <v>999999</v>
      </c>
      <c r="AB341">
        <f>IF($A341=2,$E341,999999)</f>
        <v>999999</v>
      </c>
      <c r="AC341">
        <f>IF($A341=3,$E341,999999)</f>
        <v>999999</v>
      </c>
      <c r="AD341">
        <f>IF($A341=4,$E341,999999)</f>
        <v>999999</v>
      </c>
      <c r="AE341">
        <f>IF($A341=5,$E341,999999)</f>
        <v>999999</v>
      </c>
      <c r="AF341">
        <f>IF($A341=6,$E341,999999)</f>
        <v>999999</v>
      </c>
      <c r="AG341">
        <f>IF($A341=7,$E341,999999)</f>
        <v>999999</v>
      </c>
      <c r="AH341">
        <f>IF($A341=8,$E341,999999)</f>
        <v>999999</v>
      </c>
      <c r="AI341">
        <f>IF($A341=9,$E341,999999)</f>
        <v>999999</v>
      </c>
      <c r="AJ341">
        <f>IF($A341=10,$E341,999999)</f>
        <v>999999</v>
      </c>
      <c r="AK341">
        <f>IF($A341=11,$E341,999999)</f>
        <v>999999</v>
      </c>
      <c r="AL341">
        <f>IF($A341=12,$E341,999999)</f>
        <v>999999</v>
      </c>
      <c r="AM341">
        <f>IF($A341=13,$E341,999999)</f>
        <v>999999</v>
      </c>
      <c r="AN341">
        <f>IF($A341=14,$E341,999999)</f>
        <v>999999</v>
      </c>
      <c r="AO341">
        <f>IF($A341=15,$E341,999999)</f>
        <v>999999</v>
      </c>
      <c r="AP341">
        <f>IF($A341=16,$E341,999999)</f>
        <v>999999</v>
      </c>
      <c r="AQ341">
        <f>IF($A341=17,$E341,999999)</f>
        <v>999999</v>
      </c>
      <c r="AR341">
        <f>IF($A341=18,$E341,999999)</f>
        <v>999999</v>
      </c>
      <c r="AS341">
        <f>IF($A341=19,$E341,999999)</f>
        <v>999999</v>
      </c>
      <c r="AT341">
        <f>IF($A341=20,$E341,999999)</f>
        <v>999999</v>
      </c>
      <c r="BA341">
        <f>MAX(0,MIN(CEILING((BF341+BG341)/2,1),BA340+IF('幕间与结算'!E140="体力",N('幕间与结算'!K140),0)))</f>
        <v>0</v>
      </c>
      <c r="BB341">
        <f>MAX(0,MIN(BJ341,BB340+IF('幕间与结算'!E140="毅力",N('幕间与结算'!K140),0)))</f>
        <v>0</v>
      </c>
      <c r="BC341">
        <f>MAX(0,MIN(99-BL341,BC340+IF('幕间与结算'!E140="理智",N('幕间与结算'!K140),0)))</f>
        <v>0</v>
      </c>
      <c r="BD341">
        <f>MAX(0,MIN(99,BD340+IF('幕间与结算'!E140="崩溃点",N('幕间与结算'!K140),0)))</f>
        <v>0</v>
      </c>
      <c r="BF341">
        <f>MAX(0,MIN(18,'幕间计算'!BF340+IF('幕间与结算'!E140="力量",N('幕间与结算'!K140),0)))</f>
        <v>0</v>
      </c>
      <c r="BG341">
        <f>MAX(0,MIN(18,'幕间计算'!BG340+IF('幕间与结算'!E140="体质",N('幕间与结算'!K140),0)))</f>
        <v>0</v>
      </c>
      <c r="BH341">
        <f>MAX(0,MIN(18,'幕间计算'!BH340+IF('幕间与结算'!E140="敏捷",N('幕间与结算'!K140),0)))</f>
        <v>0</v>
      </c>
      <c r="BI341">
        <f>MAX(0,MIN(18,'幕间计算'!BI340+IF('幕间与结算'!E140="智力",N('幕间与结算'!K140),0)))</f>
        <v>0</v>
      </c>
      <c r="BJ341">
        <f>MAX(0,MIN(18,'幕间计算'!BJ340+IF('幕间与结算'!E140="意志",N('幕间与结算'!K140),0)))</f>
        <v>0</v>
      </c>
      <c r="BK341">
        <f>MAX(0,MIN(18,'幕间计算'!BK340+IF('幕间与结算'!E140="魅力",N('幕间与结算'!K140),0)))</f>
        <v>0</v>
      </c>
      <c r="BL341">
        <f>MAX(0,MIN(99,'幕间计算'!BL340+IF('幕间与结算'!E140="技能：非自然知识",N('幕间与结算'!K140),0)))</f>
        <v>0</v>
      </c>
    </row>
    <row r="342">
      <c r="A342">
        <f>IFERROR(IF(AND(VALUE('幕间与结算'!B141)&gt;=1,VALUE('幕间与结算'!B141)&lt;=20),VALUE('幕间与结算'!B141),0),0)</f>
        <v>0</v>
      </c>
      <c r="B342">
        <f>IF(AND(A342&gt;0,'幕间与结算'!D141&lt;&gt;"",'幕间与结算'!J141="确认",ISNUMBER('幕间与结算'!K141),OR('幕间与结算'!G141="失败",'幕间与结算'!G141="大失败"),'幕间与结算'!H141="√",LEFT('幕间与结算'!E141,3)="技能：",'幕间与结算'!E141&lt;&gt;"技能：非自然知识",ISNUMBER('幕间与结算'!F141),'幕间与结算'!F141&gt;=1,'幕间与结算'!F141&lt;=99),1,0)</f>
        <v>0</v>
      </c>
      <c r="D342">
        <f>IF(AND('幕间与结算'!J141="确认",ISNUMBER('幕间与结算'!K141),'幕间与结算'!L141&lt;&gt;"",ISNUMBER('幕间与结算'!M141),'幕间与结算'!M141&gt;0,'幕间与结算'!M141&lt;=99),'幕间与结算'!M141,0)</f>
        <v>0</v>
      </c>
      <c r="E342">
        <f>IF(AND(B342=1,COUNTIFS($A$210:A342,A342,$B$210:B342,1,'幕间与结算'!$E$9:E141,'幕间与结算'!E141)=1),133,999999)</f>
        <v>999999</v>
      </c>
      <c r="F342">
        <v>141</v>
      </c>
      <c r="AA342">
        <f>IF($A342=1,$E342,999999)</f>
        <v>999999</v>
      </c>
      <c r="AB342">
        <f>IF($A342=2,$E342,999999)</f>
        <v>999999</v>
      </c>
      <c r="AC342">
        <f>IF($A342=3,$E342,999999)</f>
        <v>999999</v>
      </c>
      <c r="AD342">
        <f>IF($A342=4,$E342,999999)</f>
        <v>999999</v>
      </c>
      <c r="AE342">
        <f>IF($A342=5,$E342,999999)</f>
        <v>999999</v>
      </c>
      <c r="AF342">
        <f>IF($A342=6,$E342,999999)</f>
        <v>999999</v>
      </c>
      <c r="AG342">
        <f>IF($A342=7,$E342,999999)</f>
        <v>999999</v>
      </c>
      <c r="AH342">
        <f>IF($A342=8,$E342,999999)</f>
        <v>999999</v>
      </c>
      <c r="AI342">
        <f>IF($A342=9,$E342,999999)</f>
        <v>999999</v>
      </c>
      <c r="AJ342">
        <f>IF($A342=10,$E342,999999)</f>
        <v>999999</v>
      </c>
      <c r="AK342">
        <f>IF($A342=11,$E342,999999)</f>
        <v>999999</v>
      </c>
      <c r="AL342">
        <f>IF($A342=12,$E342,999999)</f>
        <v>999999</v>
      </c>
      <c r="AM342">
        <f>IF($A342=13,$E342,999999)</f>
        <v>999999</v>
      </c>
      <c r="AN342">
        <f>IF($A342=14,$E342,999999)</f>
        <v>999999</v>
      </c>
      <c r="AO342">
        <f>IF($A342=15,$E342,999999)</f>
        <v>999999</v>
      </c>
      <c r="AP342">
        <f>IF($A342=16,$E342,999999)</f>
        <v>999999</v>
      </c>
      <c r="AQ342">
        <f>IF($A342=17,$E342,999999)</f>
        <v>999999</v>
      </c>
      <c r="AR342">
        <f>IF($A342=18,$E342,999999)</f>
        <v>999999</v>
      </c>
      <c r="AS342">
        <f>IF($A342=19,$E342,999999)</f>
        <v>999999</v>
      </c>
      <c r="AT342">
        <f>IF($A342=20,$E342,999999)</f>
        <v>999999</v>
      </c>
      <c r="BA342">
        <f>MAX(0,MIN(CEILING((BF342+BG342)/2,1),BA341+IF('幕间与结算'!E141="体力",N('幕间与结算'!K141),0)))</f>
        <v>0</v>
      </c>
      <c r="BB342">
        <f>MAX(0,MIN(BJ342,BB341+IF('幕间与结算'!E141="毅力",N('幕间与结算'!K141),0)))</f>
        <v>0</v>
      </c>
      <c r="BC342">
        <f>MAX(0,MIN(99-BL342,BC341+IF('幕间与结算'!E141="理智",N('幕间与结算'!K141),0)))</f>
        <v>0</v>
      </c>
      <c r="BD342">
        <f>MAX(0,MIN(99,BD341+IF('幕间与结算'!E141="崩溃点",N('幕间与结算'!K141),0)))</f>
        <v>0</v>
      </c>
      <c r="BF342">
        <f>MAX(0,MIN(18,'幕间计算'!BF341+IF('幕间与结算'!E141="力量",N('幕间与结算'!K141),0)))</f>
        <v>0</v>
      </c>
      <c r="BG342">
        <f>MAX(0,MIN(18,'幕间计算'!BG341+IF('幕间与结算'!E141="体质",N('幕间与结算'!K141),0)))</f>
        <v>0</v>
      </c>
      <c r="BH342">
        <f>MAX(0,MIN(18,'幕间计算'!BH341+IF('幕间与结算'!E141="敏捷",N('幕间与结算'!K141),0)))</f>
        <v>0</v>
      </c>
      <c r="BI342">
        <f>MAX(0,MIN(18,'幕间计算'!BI341+IF('幕间与结算'!E141="智力",N('幕间与结算'!K141),0)))</f>
        <v>0</v>
      </c>
      <c r="BJ342">
        <f>MAX(0,MIN(18,'幕间计算'!BJ341+IF('幕间与结算'!E141="意志",N('幕间与结算'!K141),0)))</f>
        <v>0</v>
      </c>
      <c r="BK342">
        <f>MAX(0,MIN(18,'幕间计算'!BK341+IF('幕间与结算'!E141="魅力",N('幕间与结算'!K141),0)))</f>
        <v>0</v>
      </c>
      <c r="BL342">
        <f>MAX(0,MIN(99,'幕间计算'!BL341+IF('幕间与结算'!E141="技能：非自然知识",N('幕间与结算'!K141),0)))</f>
        <v>0</v>
      </c>
    </row>
    <row r="343">
      <c r="A343">
        <f>IFERROR(IF(AND(VALUE('幕间与结算'!B142)&gt;=1,VALUE('幕间与结算'!B142)&lt;=20),VALUE('幕间与结算'!B142),0),0)</f>
        <v>0</v>
      </c>
      <c r="B343">
        <f>IF(AND(A343&gt;0,'幕间与结算'!D142&lt;&gt;"",'幕间与结算'!J142="确认",ISNUMBER('幕间与结算'!K142),OR('幕间与结算'!G142="失败",'幕间与结算'!G142="大失败"),'幕间与结算'!H142="√",LEFT('幕间与结算'!E142,3)="技能：",'幕间与结算'!E142&lt;&gt;"技能：非自然知识",ISNUMBER('幕间与结算'!F142),'幕间与结算'!F142&gt;=1,'幕间与结算'!F142&lt;=99),1,0)</f>
        <v>0</v>
      </c>
      <c r="D343">
        <f>IF(AND('幕间与结算'!J142="确认",ISNUMBER('幕间与结算'!K142),'幕间与结算'!L142&lt;&gt;"",ISNUMBER('幕间与结算'!M142),'幕间与结算'!M142&gt;0,'幕间与结算'!M142&lt;=99),'幕间与结算'!M142,0)</f>
        <v>0</v>
      </c>
      <c r="E343">
        <f>IF(AND(B343=1,COUNTIFS($A$210:A343,A343,$B$210:B343,1,'幕间与结算'!$E$9:E142,'幕间与结算'!E142)=1),134,999999)</f>
        <v>999999</v>
      </c>
      <c r="F343">
        <v>142</v>
      </c>
      <c r="AA343">
        <f>IF($A343=1,$E343,999999)</f>
        <v>999999</v>
      </c>
      <c r="AB343">
        <f>IF($A343=2,$E343,999999)</f>
        <v>999999</v>
      </c>
      <c r="AC343">
        <f>IF($A343=3,$E343,999999)</f>
        <v>999999</v>
      </c>
      <c r="AD343">
        <f>IF($A343=4,$E343,999999)</f>
        <v>999999</v>
      </c>
      <c r="AE343">
        <f>IF($A343=5,$E343,999999)</f>
        <v>999999</v>
      </c>
      <c r="AF343">
        <f>IF($A343=6,$E343,999999)</f>
        <v>999999</v>
      </c>
      <c r="AG343">
        <f>IF($A343=7,$E343,999999)</f>
        <v>999999</v>
      </c>
      <c r="AH343">
        <f>IF($A343=8,$E343,999999)</f>
        <v>999999</v>
      </c>
      <c r="AI343">
        <f>IF($A343=9,$E343,999999)</f>
        <v>999999</v>
      </c>
      <c r="AJ343">
        <f>IF($A343=10,$E343,999999)</f>
        <v>999999</v>
      </c>
      <c r="AK343">
        <f>IF($A343=11,$E343,999999)</f>
        <v>999999</v>
      </c>
      <c r="AL343">
        <f>IF($A343=12,$E343,999999)</f>
        <v>999999</v>
      </c>
      <c r="AM343">
        <f>IF($A343=13,$E343,999999)</f>
        <v>999999</v>
      </c>
      <c r="AN343">
        <f>IF($A343=14,$E343,999999)</f>
        <v>999999</v>
      </c>
      <c r="AO343">
        <f>IF($A343=15,$E343,999999)</f>
        <v>999999</v>
      </c>
      <c r="AP343">
        <f>IF($A343=16,$E343,999999)</f>
        <v>999999</v>
      </c>
      <c r="AQ343">
        <f>IF($A343=17,$E343,999999)</f>
        <v>999999</v>
      </c>
      <c r="AR343">
        <f>IF($A343=18,$E343,999999)</f>
        <v>999999</v>
      </c>
      <c r="AS343">
        <f>IF($A343=19,$E343,999999)</f>
        <v>999999</v>
      </c>
      <c r="AT343">
        <f>IF($A343=20,$E343,999999)</f>
        <v>999999</v>
      </c>
      <c r="BA343">
        <f>MAX(0,MIN(CEILING((BF343+BG343)/2,1),BA342+IF('幕间与结算'!E142="体力",N('幕间与结算'!K142),0)))</f>
        <v>0</v>
      </c>
      <c r="BB343">
        <f>MAX(0,MIN(BJ343,BB342+IF('幕间与结算'!E142="毅力",N('幕间与结算'!K142),0)))</f>
        <v>0</v>
      </c>
      <c r="BC343">
        <f>MAX(0,MIN(99-BL343,BC342+IF('幕间与结算'!E142="理智",N('幕间与结算'!K142),0)))</f>
        <v>0</v>
      </c>
      <c r="BD343">
        <f>MAX(0,MIN(99,BD342+IF('幕间与结算'!E142="崩溃点",N('幕间与结算'!K142),0)))</f>
        <v>0</v>
      </c>
      <c r="BF343">
        <f>MAX(0,MIN(18,'幕间计算'!BF342+IF('幕间与结算'!E142="力量",N('幕间与结算'!K142),0)))</f>
        <v>0</v>
      </c>
      <c r="BG343">
        <f>MAX(0,MIN(18,'幕间计算'!BG342+IF('幕间与结算'!E142="体质",N('幕间与结算'!K142),0)))</f>
        <v>0</v>
      </c>
      <c r="BH343">
        <f>MAX(0,MIN(18,'幕间计算'!BH342+IF('幕间与结算'!E142="敏捷",N('幕间与结算'!K142),0)))</f>
        <v>0</v>
      </c>
      <c r="BI343">
        <f>MAX(0,MIN(18,'幕间计算'!BI342+IF('幕间与结算'!E142="智力",N('幕间与结算'!K142),0)))</f>
        <v>0</v>
      </c>
      <c r="BJ343">
        <f>MAX(0,MIN(18,'幕间计算'!BJ342+IF('幕间与结算'!E142="意志",N('幕间与结算'!K142),0)))</f>
        <v>0</v>
      </c>
      <c r="BK343">
        <f>MAX(0,MIN(18,'幕间计算'!BK342+IF('幕间与结算'!E142="魅力",N('幕间与结算'!K142),0)))</f>
        <v>0</v>
      </c>
      <c r="BL343">
        <f>MAX(0,MIN(99,'幕间计算'!BL342+IF('幕间与结算'!E142="技能：非自然知识",N('幕间与结算'!K142),0)))</f>
        <v>0</v>
      </c>
    </row>
    <row r="344">
      <c r="A344">
        <f>IFERROR(IF(AND(VALUE('幕间与结算'!B143)&gt;=1,VALUE('幕间与结算'!B143)&lt;=20),VALUE('幕间与结算'!B143),0),0)</f>
        <v>0</v>
      </c>
      <c r="B344">
        <f>IF(AND(A344&gt;0,'幕间与结算'!D143&lt;&gt;"",'幕间与结算'!J143="确认",ISNUMBER('幕间与结算'!K143),OR('幕间与结算'!G143="失败",'幕间与结算'!G143="大失败"),'幕间与结算'!H143="√",LEFT('幕间与结算'!E143,3)="技能：",'幕间与结算'!E143&lt;&gt;"技能：非自然知识",ISNUMBER('幕间与结算'!F143),'幕间与结算'!F143&gt;=1,'幕间与结算'!F143&lt;=99),1,0)</f>
        <v>0</v>
      </c>
      <c r="D344">
        <f>IF(AND('幕间与结算'!J143="确认",ISNUMBER('幕间与结算'!K143),'幕间与结算'!L143&lt;&gt;"",ISNUMBER('幕间与结算'!M143),'幕间与结算'!M143&gt;0,'幕间与结算'!M143&lt;=99),'幕间与结算'!M143,0)</f>
        <v>0</v>
      </c>
      <c r="E344">
        <f>IF(AND(B344=1,COUNTIFS($A$210:A344,A344,$B$210:B344,1,'幕间与结算'!$E$9:E143,'幕间与结算'!E143)=1),135,999999)</f>
        <v>999999</v>
      </c>
      <c r="F344">
        <v>143</v>
      </c>
      <c r="AA344">
        <f>IF($A344=1,$E344,999999)</f>
        <v>999999</v>
      </c>
      <c r="AB344">
        <f>IF($A344=2,$E344,999999)</f>
        <v>999999</v>
      </c>
      <c r="AC344">
        <f>IF($A344=3,$E344,999999)</f>
        <v>999999</v>
      </c>
      <c r="AD344">
        <f>IF($A344=4,$E344,999999)</f>
        <v>999999</v>
      </c>
      <c r="AE344">
        <f>IF($A344=5,$E344,999999)</f>
        <v>999999</v>
      </c>
      <c r="AF344">
        <f>IF($A344=6,$E344,999999)</f>
        <v>999999</v>
      </c>
      <c r="AG344">
        <f>IF($A344=7,$E344,999999)</f>
        <v>999999</v>
      </c>
      <c r="AH344">
        <f>IF($A344=8,$E344,999999)</f>
        <v>999999</v>
      </c>
      <c r="AI344">
        <f>IF($A344=9,$E344,999999)</f>
        <v>999999</v>
      </c>
      <c r="AJ344">
        <f>IF($A344=10,$E344,999999)</f>
        <v>999999</v>
      </c>
      <c r="AK344">
        <f>IF($A344=11,$E344,999999)</f>
        <v>999999</v>
      </c>
      <c r="AL344">
        <f>IF($A344=12,$E344,999999)</f>
        <v>999999</v>
      </c>
      <c r="AM344">
        <f>IF($A344=13,$E344,999999)</f>
        <v>999999</v>
      </c>
      <c r="AN344">
        <f>IF($A344=14,$E344,999999)</f>
        <v>999999</v>
      </c>
      <c r="AO344">
        <f>IF($A344=15,$E344,999999)</f>
        <v>999999</v>
      </c>
      <c r="AP344">
        <f>IF($A344=16,$E344,999999)</f>
        <v>999999</v>
      </c>
      <c r="AQ344">
        <f>IF($A344=17,$E344,999999)</f>
        <v>999999</v>
      </c>
      <c r="AR344">
        <f>IF($A344=18,$E344,999999)</f>
        <v>999999</v>
      </c>
      <c r="AS344">
        <f>IF($A344=19,$E344,999999)</f>
        <v>999999</v>
      </c>
      <c r="AT344">
        <f>IF($A344=20,$E344,999999)</f>
        <v>999999</v>
      </c>
      <c r="BA344">
        <f>MAX(0,MIN(CEILING((BF344+BG344)/2,1),BA343+IF('幕间与结算'!E143="体力",N('幕间与结算'!K143),0)))</f>
        <v>0</v>
      </c>
      <c r="BB344">
        <f>MAX(0,MIN(BJ344,BB343+IF('幕间与结算'!E143="毅力",N('幕间与结算'!K143),0)))</f>
        <v>0</v>
      </c>
      <c r="BC344">
        <f>MAX(0,MIN(99-BL344,BC343+IF('幕间与结算'!E143="理智",N('幕间与结算'!K143),0)))</f>
        <v>0</v>
      </c>
      <c r="BD344">
        <f>MAX(0,MIN(99,BD343+IF('幕间与结算'!E143="崩溃点",N('幕间与结算'!K143),0)))</f>
        <v>0</v>
      </c>
      <c r="BF344">
        <f>MAX(0,MIN(18,'幕间计算'!BF343+IF('幕间与结算'!E143="力量",N('幕间与结算'!K143),0)))</f>
        <v>0</v>
      </c>
      <c r="BG344">
        <f>MAX(0,MIN(18,'幕间计算'!BG343+IF('幕间与结算'!E143="体质",N('幕间与结算'!K143),0)))</f>
        <v>0</v>
      </c>
      <c r="BH344">
        <f>MAX(0,MIN(18,'幕间计算'!BH343+IF('幕间与结算'!E143="敏捷",N('幕间与结算'!K143),0)))</f>
        <v>0</v>
      </c>
      <c r="BI344">
        <f>MAX(0,MIN(18,'幕间计算'!BI343+IF('幕间与结算'!E143="智力",N('幕间与结算'!K143),0)))</f>
        <v>0</v>
      </c>
      <c r="BJ344">
        <f>MAX(0,MIN(18,'幕间计算'!BJ343+IF('幕间与结算'!E143="意志",N('幕间与结算'!K143),0)))</f>
        <v>0</v>
      </c>
      <c r="BK344">
        <f>MAX(0,MIN(18,'幕间计算'!BK343+IF('幕间与结算'!E143="魅力",N('幕间与结算'!K143),0)))</f>
        <v>0</v>
      </c>
      <c r="BL344">
        <f>MAX(0,MIN(99,'幕间计算'!BL343+IF('幕间与结算'!E143="技能：非自然知识",N('幕间与结算'!K143),0)))</f>
        <v>0</v>
      </c>
    </row>
    <row r="345">
      <c r="A345">
        <f>IFERROR(IF(AND(VALUE('幕间与结算'!B144)&gt;=1,VALUE('幕间与结算'!B144)&lt;=20),VALUE('幕间与结算'!B144),0),0)</f>
        <v>0</v>
      </c>
      <c r="B345">
        <f>IF(AND(A345&gt;0,'幕间与结算'!D144&lt;&gt;"",'幕间与结算'!J144="确认",ISNUMBER('幕间与结算'!K144),OR('幕间与结算'!G144="失败",'幕间与结算'!G144="大失败"),'幕间与结算'!H144="√",LEFT('幕间与结算'!E144,3)="技能：",'幕间与结算'!E144&lt;&gt;"技能：非自然知识",ISNUMBER('幕间与结算'!F144),'幕间与结算'!F144&gt;=1,'幕间与结算'!F144&lt;=99),1,0)</f>
        <v>0</v>
      </c>
      <c r="D345">
        <f>IF(AND('幕间与结算'!J144="确认",ISNUMBER('幕间与结算'!K144),'幕间与结算'!L144&lt;&gt;"",ISNUMBER('幕间与结算'!M144),'幕间与结算'!M144&gt;0,'幕间与结算'!M144&lt;=99),'幕间与结算'!M144,0)</f>
        <v>0</v>
      </c>
      <c r="E345">
        <f>IF(AND(B345=1,COUNTIFS($A$210:A345,A345,$B$210:B345,1,'幕间与结算'!$E$9:E144,'幕间与结算'!E144)=1),136,999999)</f>
        <v>999999</v>
      </c>
      <c r="F345">
        <v>144</v>
      </c>
      <c r="AA345">
        <f>IF($A345=1,$E345,999999)</f>
        <v>999999</v>
      </c>
      <c r="AB345">
        <f>IF($A345=2,$E345,999999)</f>
        <v>999999</v>
      </c>
      <c r="AC345">
        <f>IF($A345=3,$E345,999999)</f>
        <v>999999</v>
      </c>
      <c r="AD345">
        <f>IF($A345=4,$E345,999999)</f>
        <v>999999</v>
      </c>
      <c r="AE345">
        <f>IF($A345=5,$E345,999999)</f>
        <v>999999</v>
      </c>
      <c r="AF345">
        <f>IF($A345=6,$E345,999999)</f>
        <v>999999</v>
      </c>
      <c r="AG345">
        <f>IF($A345=7,$E345,999999)</f>
        <v>999999</v>
      </c>
      <c r="AH345">
        <f>IF($A345=8,$E345,999999)</f>
        <v>999999</v>
      </c>
      <c r="AI345">
        <f>IF($A345=9,$E345,999999)</f>
        <v>999999</v>
      </c>
      <c r="AJ345">
        <f>IF($A345=10,$E345,999999)</f>
        <v>999999</v>
      </c>
      <c r="AK345">
        <f>IF($A345=11,$E345,999999)</f>
        <v>999999</v>
      </c>
      <c r="AL345">
        <f>IF($A345=12,$E345,999999)</f>
        <v>999999</v>
      </c>
      <c r="AM345">
        <f>IF($A345=13,$E345,999999)</f>
        <v>999999</v>
      </c>
      <c r="AN345">
        <f>IF($A345=14,$E345,999999)</f>
        <v>999999</v>
      </c>
      <c r="AO345">
        <f>IF($A345=15,$E345,999999)</f>
        <v>999999</v>
      </c>
      <c r="AP345">
        <f>IF($A345=16,$E345,999999)</f>
        <v>999999</v>
      </c>
      <c r="AQ345">
        <f>IF($A345=17,$E345,999999)</f>
        <v>999999</v>
      </c>
      <c r="AR345">
        <f>IF($A345=18,$E345,999999)</f>
        <v>999999</v>
      </c>
      <c r="AS345">
        <f>IF($A345=19,$E345,999999)</f>
        <v>999999</v>
      </c>
      <c r="AT345">
        <f>IF($A345=20,$E345,999999)</f>
        <v>999999</v>
      </c>
      <c r="BA345">
        <f>MAX(0,MIN(CEILING((BF345+BG345)/2,1),BA344+IF('幕间与结算'!E144="体力",N('幕间与结算'!K144),0)))</f>
        <v>0</v>
      </c>
      <c r="BB345">
        <f>MAX(0,MIN(BJ345,BB344+IF('幕间与结算'!E144="毅力",N('幕间与结算'!K144),0)))</f>
        <v>0</v>
      </c>
      <c r="BC345">
        <f>MAX(0,MIN(99-BL345,BC344+IF('幕间与结算'!E144="理智",N('幕间与结算'!K144),0)))</f>
        <v>0</v>
      </c>
      <c r="BD345">
        <f>MAX(0,MIN(99,BD344+IF('幕间与结算'!E144="崩溃点",N('幕间与结算'!K144),0)))</f>
        <v>0</v>
      </c>
      <c r="BF345">
        <f>MAX(0,MIN(18,'幕间计算'!BF344+IF('幕间与结算'!E144="力量",N('幕间与结算'!K144),0)))</f>
        <v>0</v>
      </c>
      <c r="BG345">
        <f>MAX(0,MIN(18,'幕间计算'!BG344+IF('幕间与结算'!E144="体质",N('幕间与结算'!K144),0)))</f>
        <v>0</v>
      </c>
      <c r="BH345">
        <f>MAX(0,MIN(18,'幕间计算'!BH344+IF('幕间与结算'!E144="敏捷",N('幕间与结算'!K144),0)))</f>
        <v>0</v>
      </c>
      <c r="BI345">
        <f>MAX(0,MIN(18,'幕间计算'!BI344+IF('幕间与结算'!E144="智力",N('幕间与结算'!K144),0)))</f>
        <v>0</v>
      </c>
      <c r="BJ345">
        <f>MAX(0,MIN(18,'幕间计算'!BJ344+IF('幕间与结算'!E144="意志",N('幕间与结算'!K144),0)))</f>
        <v>0</v>
      </c>
      <c r="BK345">
        <f>MAX(0,MIN(18,'幕间计算'!BK344+IF('幕间与结算'!E144="魅力",N('幕间与结算'!K144),0)))</f>
        <v>0</v>
      </c>
      <c r="BL345">
        <f>MAX(0,MIN(99,'幕间计算'!BL344+IF('幕间与结算'!E144="技能：非自然知识",N('幕间与结算'!K144),0)))</f>
        <v>0</v>
      </c>
    </row>
    <row r="346">
      <c r="A346">
        <f>IFERROR(IF(AND(VALUE('幕间与结算'!B145)&gt;=1,VALUE('幕间与结算'!B145)&lt;=20),VALUE('幕间与结算'!B145),0),0)</f>
        <v>0</v>
      </c>
      <c r="B346">
        <f>IF(AND(A346&gt;0,'幕间与结算'!D145&lt;&gt;"",'幕间与结算'!J145="确认",ISNUMBER('幕间与结算'!K145),OR('幕间与结算'!G145="失败",'幕间与结算'!G145="大失败"),'幕间与结算'!H145="√",LEFT('幕间与结算'!E145,3)="技能：",'幕间与结算'!E145&lt;&gt;"技能：非自然知识",ISNUMBER('幕间与结算'!F145),'幕间与结算'!F145&gt;=1,'幕间与结算'!F145&lt;=99),1,0)</f>
        <v>0</v>
      </c>
      <c r="D346">
        <f>IF(AND('幕间与结算'!J145="确认",ISNUMBER('幕间与结算'!K145),'幕间与结算'!L145&lt;&gt;"",ISNUMBER('幕间与结算'!M145),'幕间与结算'!M145&gt;0,'幕间与结算'!M145&lt;=99),'幕间与结算'!M145,0)</f>
        <v>0</v>
      </c>
      <c r="E346">
        <f>IF(AND(B346=1,COUNTIFS($A$210:A346,A346,$B$210:B346,1,'幕间与结算'!$E$9:E145,'幕间与结算'!E145)=1),137,999999)</f>
        <v>999999</v>
      </c>
      <c r="F346">
        <v>145</v>
      </c>
      <c r="AA346">
        <f>IF($A346=1,$E346,999999)</f>
        <v>999999</v>
      </c>
      <c r="AB346">
        <f>IF($A346=2,$E346,999999)</f>
        <v>999999</v>
      </c>
      <c r="AC346">
        <f>IF($A346=3,$E346,999999)</f>
        <v>999999</v>
      </c>
      <c r="AD346">
        <f>IF($A346=4,$E346,999999)</f>
        <v>999999</v>
      </c>
      <c r="AE346">
        <f>IF($A346=5,$E346,999999)</f>
        <v>999999</v>
      </c>
      <c r="AF346">
        <f>IF($A346=6,$E346,999999)</f>
        <v>999999</v>
      </c>
      <c r="AG346">
        <f>IF($A346=7,$E346,999999)</f>
        <v>999999</v>
      </c>
      <c r="AH346">
        <f>IF($A346=8,$E346,999999)</f>
        <v>999999</v>
      </c>
      <c r="AI346">
        <f>IF($A346=9,$E346,999999)</f>
        <v>999999</v>
      </c>
      <c r="AJ346">
        <f>IF($A346=10,$E346,999999)</f>
        <v>999999</v>
      </c>
      <c r="AK346">
        <f>IF($A346=11,$E346,999999)</f>
        <v>999999</v>
      </c>
      <c r="AL346">
        <f>IF($A346=12,$E346,999999)</f>
        <v>999999</v>
      </c>
      <c r="AM346">
        <f>IF($A346=13,$E346,999999)</f>
        <v>999999</v>
      </c>
      <c r="AN346">
        <f>IF($A346=14,$E346,999999)</f>
        <v>999999</v>
      </c>
      <c r="AO346">
        <f>IF($A346=15,$E346,999999)</f>
        <v>999999</v>
      </c>
      <c r="AP346">
        <f>IF($A346=16,$E346,999999)</f>
        <v>999999</v>
      </c>
      <c r="AQ346">
        <f>IF($A346=17,$E346,999999)</f>
        <v>999999</v>
      </c>
      <c r="AR346">
        <f>IF($A346=18,$E346,999999)</f>
        <v>999999</v>
      </c>
      <c r="AS346">
        <f>IF($A346=19,$E346,999999)</f>
        <v>999999</v>
      </c>
      <c r="AT346">
        <f>IF($A346=20,$E346,999999)</f>
        <v>999999</v>
      </c>
      <c r="BA346">
        <f>MAX(0,MIN(CEILING((BF346+BG346)/2,1),BA345+IF('幕间与结算'!E145="体力",N('幕间与结算'!K145),0)))</f>
        <v>0</v>
      </c>
      <c r="BB346">
        <f>MAX(0,MIN(BJ346,BB345+IF('幕间与结算'!E145="毅力",N('幕间与结算'!K145),0)))</f>
        <v>0</v>
      </c>
      <c r="BC346">
        <f>MAX(0,MIN(99-BL346,BC345+IF('幕间与结算'!E145="理智",N('幕间与结算'!K145),0)))</f>
        <v>0</v>
      </c>
      <c r="BD346">
        <f>MAX(0,MIN(99,BD345+IF('幕间与结算'!E145="崩溃点",N('幕间与结算'!K145),0)))</f>
        <v>0</v>
      </c>
      <c r="BF346">
        <f>MAX(0,MIN(18,'幕间计算'!BF345+IF('幕间与结算'!E145="力量",N('幕间与结算'!K145),0)))</f>
        <v>0</v>
      </c>
      <c r="BG346">
        <f>MAX(0,MIN(18,'幕间计算'!BG345+IF('幕间与结算'!E145="体质",N('幕间与结算'!K145),0)))</f>
        <v>0</v>
      </c>
      <c r="BH346">
        <f>MAX(0,MIN(18,'幕间计算'!BH345+IF('幕间与结算'!E145="敏捷",N('幕间与结算'!K145),0)))</f>
        <v>0</v>
      </c>
      <c r="BI346">
        <f>MAX(0,MIN(18,'幕间计算'!BI345+IF('幕间与结算'!E145="智力",N('幕间与结算'!K145),0)))</f>
        <v>0</v>
      </c>
      <c r="BJ346">
        <f>MAX(0,MIN(18,'幕间计算'!BJ345+IF('幕间与结算'!E145="意志",N('幕间与结算'!K145),0)))</f>
        <v>0</v>
      </c>
      <c r="BK346">
        <f>MAX(0,MIN(18,'幕间计算'!BK345+IF('幕间与结算'!E145="魅力",N('幕间与结算'!K145),0)))</f>
        <v>0</v>
      </c>
      <c r="BL346">
        <f>MAX(0,MIN(99,'幕间计算'!BL345+IF('幕间与结算'!E145="技能：非自然知识",N('幕间与结算'!K145),0)))</f>
        <v>0</v>
      </c>
    </row>
    <row r="347">
      <c r="A347">
        <f>IFERROR(IF(AND(VALUE('幕间与结算'!B146)&gt;=1,VALUE('幕间与结算'!B146)&lt;=20),VALUE('幕间与结算'!B146),0),0)</f>
        <v>0</v>
      </c>
      <c r="B347">
        <f>IF(AND(A347&gt;0,'幕间与结算'!D146&lt;&gt;"",'幕间与结算'!J146="确认",ISNUMBER('幕间与结算'!K146),OR('幕间与结算'!G146="失败",'幕间与结算'!G146="大失败"),'幕间与结算'!H146="√",LEFT('幕间与结算'!E146,3)="技能：",'幕间与结算'!E146&lt;&gt;"技能：非自然知识",ISNUMBER('幕间与结算'!F146),'幕间与结算'!F146&gt;=1,'幕间与结算'!F146&lt;=99),1,0)</f>
        <v>0</v>
      </c>
      <c r="D347">
        <f>IF(AND('幕间与结算'!J146="确认",ISNUMBER('幕间与结算'!K146),'幕间与结算'!L146&lt;&gt;"",ISNUMBER('幕间与结算'!M146),'幕间与结算'!M146&gt;0,'幕间与结算'!M146&lt;=99),'幕间与结算'!M146,0)</f>
        <v>0</v>
      </c>
      <c r="E347">
        <f>IF(AND(B347=1,COUNTIFS($A$210:A347,A347,$B$210:B347,1,'幕间与结算'!$E$9:E146,'幕间与结算'!E146)=1),138,999999)</f>
        <v>999999</v>
      </c>
      <c r="F347">
        <v>146</v>
      </c>
      <c r="AA347">
        <f>IF($A347=1,$E347,999999)</f>
        <v>999999</v>
      </c>
      <c r="AB347">
        <f>IF($A347=2,$E347,999999)</f>
        <v>999999</v>
      </c>
      <c r="AC347">
        <f>IF($A347=3,$E347,999999)</f>
        <v>999999</v>
      </c>
      <c r="AD347">
        <f>IF($A347=4,$E347,999999)</f>
        <v>999999</v>
      </c>
      <c r="AE347">
        <f>IF($A347=5,$E347,999999)</f>
        <v>999999</v>
      </c>
      <c r="AF347">
        <f>IF($A347=6,$E347,999999)</f>
        <v>999999</v>
      </c>
      <c r="AG347">
        <f>IF($A347=7,$E347,999999)</f>
        <v>999999</v>
      </c>
      <c r="AH347">
        <f>IF($A347=8,$E347,999999)</f>
        <v>999999</v>
      </c>
      <c r="AI347">
        <f>IF($A347=9,$E347,999999)</f>
        <v>999999</v>
      </c>
      <c r="AJ347">
        <f>IF($A347=10,$E347,999999)</f>
        <v>999999</v>
      </c>
      <c r="AK347">
        <f>IF($A347=11,$E347,999999)</f>
        <v>999999</v>
      </c>
      <c r="AL347">
        <f>IF($A347=12,$E347,999999)</f>
        <v>999999</v>
      </c>
      <c r="AM347">
        <f>IF($A347=13,$E347,999999)</f>
        <v>999999</v>
      </c>
      <c r="AN347">
        <f>IF($A347=14,$E347,999999)</f>
        <v>999999</v>
      </c>
      <c r="AO347">
        <f>IF($A347=15,$E347,999999)</f>
        <v>999999</v>
      </c>
      <c r="AP347">
        <f>IF($A347=16,$E347,999999)</f>
        <v>999999</v>
      </c>
      <c r="AQ347">
        <f>IF($A347=17,$E347,999999)</f>
        <v>999999</v>
      </c>
      <c r="AR347">
        <f>IF($A347=18,$E347,999999)</f>
        <v>999999</v>
      </c>
      <c r="AS347">
        <f>IF($A347=19,$E347,999999)</f>
        <v>999999</v>
      </c>
      <c r="AT347">
        <f>IF($A347=20,$E347,999999)</f>
        <v>999999</v>
      </c>
      <c r="BA347">
        <f>MAX(0,MIN(CEILING((BF347+BG347)/2,1),BA346+IF('幕间与结算'!E146="体力",N('幕间与结算'!K146),0)))</f>
        <v>0</v>
      </c>
      <c r="BB347">
        <f>MAX(0,MIN(BJ347,BB346+IF('幕间与结算'!E146="毅力",N('幕间与结算'!K146),0)))</f>
        <v>0</v>
      </c>
      <c r="BC347">
        <f>MAX(0,MIN(99-BL347,BC346+IF('幕间与结算'!E146="理智",N('幕间与结算'!K146),0)))</f>
        <v>0</v>
      </c>
      <c r="BD347">
        <f>MAX(0,MIN(99,BD346+IF('幕间与结算'!E146="崩溃点",N('幕间与结算'!K146),0)))</f>
        <v>0</v>
      </c>
      <c r="BF347">
        <f>MAX(0,MIN(18,'幕间计算'!BF346+IF('幕间与结算'!E146="力量",N('幕间与结算'!K146),0)))</f>
        <v>0</v>
      </c>
      <c r="BG347">
        <f>MAX(0,MIN(18,'幕间计算'!BG346+IF('幕间与结算'!E146="体质",N('幕间与结算'!K146),0)))</f>
        <v>0</v>
      </c>
      <c r="BH347">
        <f>MAX(0,MIN(18,'幕间计算'!BH346+IF('幕间与结算'!E146="敏捷",N('幕间与结算'!K146),0)))</f>
        <v>0</v>
      </c>
      <c r="BI347">
        <f>MAX(0,MIN(18,'幕间计算'!BI346+IF('幕间与结算'!E146="智力",N('幕间与结算'!K146),0)))</f>
        <v>0</v>
      </c>
      <c r="BJ347">
        <f>MAX(0,MIN(18,'幕间计算'!BJ346+IF('幕间与结算'!E146="意志",N('幕间与结算'!K146),0)))</f>
        <v>0</v>
      </c>
      <c r="BK347">
        <f>MAX(0,MIN(18,'幕间计算'!BK346+IF('幕间与结算'!E146="魅力",N('幕间与结算'!K146),0)))</f>
        <v>0</v>
      </c>
      <c r="BL347">
        <f>MAX(0,MIN(99,'幕间计算'!BL346+IF('幕间与结算'!E146="技能：非自然知识",N('幕间与结算'!K146),0)))</f>
        <v>0</v>
      </c>
    </row>
    <row r="348">
      <c r="A348">
        <f>IFERROR(IF(AND(VALUE('幕间与结算'!B147)&gt;=1,VALUE('幕间与结算'!B147)&lt;=20),VALUE('幕间与结算'!B147),0),0)</f>
        <v>0</v>
      </c>
      <c r="B348">
        <f>IF(AND(A348&gt;0,'幕间与结算'!D147&lt;&gt;"",'幕间与结算'!J147="确认",ISNUMBER('幕间与结算'!K147),OR('幕间与结算'!G147="失败",'幕间与结算'!G147="大失败"),'幕间与结算'!H147="√",LEFT('幕间与结算'!E147,3)="技能：",'幕间与结算'!E147&lt;&gt;"技能：非自然知识",ISNUMBER('幕间与结算'!F147),'幕间与结算'!F147&gt;=1,'幕间与结算'!F147&lt;=99),1,0)</f>
        <v>0</v>
      </c>
      <c r="D348">
        <f>IF(AND('幕间与结算'!J147="确认",ISNUMBER('幕间与结算'!K147),'幕间与结算'!L147&lt;&gt;"",ISNUMBER('幕间与结算'!M147),'幕间与结算'!M147&gt;0,'幕间与结算'!M147&lt;=99),'幕间与结算'!M147,0)</f>
        <v>0</v>
      </c>
      <c r="E348">
        <f>IF(AND(B348=1,COUNTIFS($A$210:A348,A348,$B$210:B348,1,'幕间与结算'!$E$9:E147,'幕间与结算'!E147)=1),139,999999)</f>
        <v>999999</v>
      </c>
      <c r="F348">
        <v>147</v>
      </c>
      <c r="AA348">
        <f>IF($A348=1,$E348,999999)</f>
        <v>999999</v>
      </c>
      <c r="AB348">
        <f>IF($A348=2,$E348,999999)</f>
        <v>999999</v>
      </c>
      <c r="AC348">
        <f>IF($A348=3,$E348,999999)</f>
        <v>999999</v>
      </c>
      <c r="AD348">
        <f>IF($A348=4,$E348,999999)</f>
        <v>999999</v>
      </c>
      <c r="AE348">
        <f>IF($A348=5,$E348,999999)</f>
        <v>999999</v>
      </c>
      <c r="AF348">
        <f>IF($A348=6,$E348,999999)</f>
        <v>999999</v>
      </c>
      <c r="AG348">
        <f>IF($A348=7,$E348,999999)</f>
        <v>999999</v>
      </c>
      <c r="AH348">
        <f>IF($A348=8,$E348,999999)</f>
        <v>999999</v>
      </c>
      <c r="AI348">
        <f>IF($A348=9,$E348,999999)</f>
        <v>999999</v>
      </c>
      <c r="AJ348">
        <f>IF($A348=10,$E348,999999)</f>
        <v>999999</v>
      </c>
      <c r="AK348">
        <f>IF($A348=11,$E348,999999)</f>
        <v>999999</v>
      </c>
      <c r="AL348">
        <f>IF($A348=12,$E348,999999)</f>
        <v>999999</v>
      </c>
      <c r="AM348">
        <f>IF($A348=13,$E348,999999)</f>
        <v>999999</v>
      </c>
      <c r="AN348">
        <f>IF($A348=14,$E348,999999)</f>
        <v>999999</v>
      </c>
      <c r="AO348">
        <f>IF($A348=15,$E348,999999)</f>
        <v>999999</v>
      </c>
      <c r="AP348">
        <f>IF($A348=16,$E348,999999)</f>
        <v>999999</v>
      </c>
      <c r="AQ348">
        <f>IF($A348=17,$E348,999999)</f>
        <v>999999</v>
      </c>
      <c r="AR348">
        <f>IF($A348=18,$E348,999999)</f>
        <v>999999</v>
      </c>
      <c r="AS348">
        <f>IF($A348=19,$E348,999999)</f>
        <v>999999</v>
      </c>
      <c r="AT348">
        <f>IF($A348=20,$E348,999999)</f>
        <v>999999</v>
      </c>
      <c r="BA348">
        <f>MAX(0,MIN(CEILING((BF348+BG348)/2,1),BA347+IF('幕间与结算'!E147="体力",N('幕间与结算'!K147),0)))</f>
        <v>0</v>
      </c>
      <c r="BB348">
        <f>MAX(0,MIN(BJ348,BB347+IF('幕间与结算'!E147="毅力",N('幕间与结算'!K147),0)))</f>
        <v>0</v>
      </c>
      <c r="BC348">
        <f>MAX(0,MIN(99-BL348,BC347+IF('幕间与结算'!E147="理智",N('幕间与结算'!K147),0)))</f>
        <v>0</v>
      </c>
      <c r="BD348">
        <f>MAX(0,MIN(99,BD347+IF('幕间与结算'!E147="崩溃点",N('幕间与结算'!K147),0)))</f>
        <v>0</v>
      </c>
      <c r="BF348">
        <f>MAX(0,MIN(18,'幕间计算'!BF347+IF('幕间与结算'!E147="力量",N('幕间与结算'!K147),0)))</f>
        <v>0</v>
      </c>
      <c r="BG348">
        <f>MAX(0,MIN(18,'幕间计算'!BG347+IF('幕间与结算'!E147="体质",N('幕间与结算'!K147),0)))</f>
        <v>0</v>
      </c>
      <c r="BH348">
        <f>MAX(0,MIN(18,'幕间计算'!BH347+IF('幕间与结算'!E147="敏捷",N('幕间与结算'!K147),0)))</f>
        <v>0</v>
      </c>
      <c r="BI348">
        <f>MAX(0,MIN(18,'幕间计算'!BI347+IF('幕间与结算'!E147="智力",N('幕间与结算'!K147),0)))</f>
        <v>0</v>
      </c>
      <c r="BJ348">
        <f>MAX(0,MIN(18,'幕间计算'!BJ347+IF('幕间与结算'!E147="意志",N('幕间与结算'!K147),0)))</f>
        <v>0</v>
      </c>
      <c r="BK348">
        <f>MAX(0,MIN(18,'幕间计算'!BK347+IF('幕间与结算'!E147="魅力",N('幕间与结算'!K147),0)))</f>
        <v>0</v>
      </c>
      <c r="BL348">
        <f>MAX(0,MIN(99,'幕间计算'!BL347+IF('幕间与结算'!E147="技能：非自然知识",N('幕间与结算'!K147),0)))</f>
        <v>0</v>
      </c>
    </row>
    <row r="349">
      <c r="A349">
        <f>IFERROR(IF(AND(VALUE('幕间与结算'!B148)&gt;=1,VALUE('幕间与结算'!B148)&lt;=20),VALUE('幕间与结算'!B148),0),0)</f>
        <v>0</v>
      </c>
      <c r="B349">
        <f>IF(AND(A349&gt;0,'幕间与结算'!D148&lt;&gt;"",'幕间与结算'!J148="确认",ISNUMBER('幕间与结算'!K148),OR('幕间与结算'!G148="失败",'幕间与结算'!G148="大失败"),'幕间与结算'!H148="√",LEFT('幕间与结算'!E148,3)="技能：",'幕间与结算'!E148&lt;&gt;"技能：非自然知识",ISNUMBER('幕间与结算'!F148),'幕间与结算'!F148&gt;=1,'幕间与结算'!F148&lt;=99),1,0)</f>
        <v>0</v>
      </c>
      <c r="D349">
        <f>IF(AND('幕间与结算'!J148="确认",ISNUMBER('幕间与结算'!K148),'幕间与结算'!L148&lt;&gt;"",ISNUMBER('幕间与结算'!M148),'幕间与结算'!M148&gt;0,'幕间与结算'!M148&lt;=99),'幕间与结算'!M148,0)</f>
        <v>0</v>
      </c>
      <c r="E349">
        <f>IF(AND(B349=1,COUNTIFS($A$210:A349,A349,$B$210:B349,1,'幕间与结算'!$E$9:E148,'幕间与结算'!E148)=1),140,999999)</f>
        <v>999999</v>
      </c>
      <c r="F349">
        <v>148</v>
      </c>
      <c r="AA349">
        <f>IF($A349=1,$E349,999999)</f>
        <v>999999</v>
      </c>
      <c r="AB349">
        <f>IF($A349=2,$E349,999999)</f>
        <v>999999</v>
      </c>
      <c r="AC349">
        <f>IF($A349=3,$E349,999999)</f>
        <v>999999</v>
      </c>
      <c r="AD349">
        <f>IF($A349=4,$E349,999999)</f>
        <v>999999</v>
      </c>
      <c r="AE349">
        <f>IF($A349=5,$E349,999999)</f>
        <v>999999</v>
      </c>
      <c r="AF349">
        <f>IF($A349=6,$E349,999999)</f>
        <v>999999</v>
      </c>
      <c r="AG349">
        <f>IF($A349=7,$E349,999999)</f>
        <v>999999</v>
      </c>
      <c r="AH349">
        <f>IF($A349=8,$E349,999999)</f>
        <v>999999</v>
      </c>
      <c r="AI349">
        <f>IF($A349=9,$E349,999999)</f>
        <v>999999</v>
      </c>
      <c r="AJ349">
        <f>IF($A349=10,$E349,999999)</f>
        <v>999999</v>
      </c>
      <c r="AK349">
        <f>IF($A349=11,$E349,999999)</f>
        <v>999999</v>
      </c>
      <c r="AL349">
        <f>IF($A349=12,$E349,999999)</f>
        <v>999999</v>
      </c>
      <c r="AM349">
        <f>IF($A349=13,$E349,999999)</f>
        <v>999999</v>
      </c>
      <c r="AN349">
        <f>IF($A349=14,$E349,999999)</f>
        <v>999999</v>
      </c>
      <c r="AO349">
        <f>IF($A349=15,$E349,999999)</f>
        <v>999999</v>
      </c>
      <c r="AP349">
        <f>IF($A349=16,$E349,999999)</f>
        <v>999999</v>
      </c>
      <c r="AQ349">
        <f>IF($A349=17,$E349,999999)</f>
        <v>999999</v>
      </c>
      <c r="AR349">
        <f>IF($A349=18,$E349,999999)</f>
        <v>999999</v>
      </c>
      <c r="AS349">
        <f>IF($A349=19,$E349,999999)</f>
        <v>999999</v>
      </c>
      <c r="AT349">
        <f>IF($A349=20,$E349,999999)</f>
        <v>999999</v>
      </c>
      <c r="BA349">
        <f>MAX(0,MIN(CEILING((BF349+BG349)/2,1),BA348+IF('幕间与结算'!E148="体力",N('幕间与结算'!K148),0)))</f>
        <v>0</v>
      </c>
      <c r="BB349">
        <f>MAX(0,MIN(BJ349,BB348+IF('幕间与结算'!E148="毅力",N('幕间与结算'!K148),0)))</f>
        <v>0</v>
      </c>
      <c r="BC349">
        <f>MAX(0,MIN(99-BL349,BC348+IF('幕间与结算'!E148="理智",N('幕间与结算'!K148),0)))</f>
        <v>0</v>
      </c>
      <c r="BD349">
        <f>MAX(0,MIN(99,BD348+IF('幕间与结算'!E148="崩溃点",N('幕间与结算'!K148),0)))</f>
        <v>0</v>
      </c>
      <c r="BF349">
        <f>MAX(0,MIN(18,'幕间计算'!BF348+IF('幕间与结算'!E148="力量",N('幕间与结算'!K148),0)))</f>
        <v>0</v>
      </c>
      <c r="BG349">
        <f>MAX(0,MIN(18,'幕间计算'!BG348+IF('幕间与结算'!E148="体质",N('幕间与结算'!K148),0)))</f>
        <v>0</v>
      </c>
      <c r="BH349">
        <f>MAX(0,MIN(18,'幕间计算'!BH348+IF('幕间与结算'!E148="敏捷",N('幕间与结算'!K148),0)))</f>
        <v>0</v>
      </c>
      <c r="BI349">
        <f>MAX(0,MIN(18,'幕间计算'!BI348+IF('幕间与结算'!E148="智力",N('幕间与结算'!K148),0)))</f>
        <v>0</v>
      </c>
      <c r="BJ349">
        <f>MAX(0,MIN(18,'幕间计算'!BJ348+IF('幕间与结算'!E148="意志",N('幕间与结算'!K148),0)))</f>
        <v>0</v>
      </c>
      <c r="BK349">
        <f>MAX(0,MIN(18,'幕间计算'!BK348+IF('幕间与结算'!E148="魅力",N('幕间与结算'!K148),0)))</f>
        <v>0</v>
      </c>
      <c r="BL349">
        <f>MAX(0,MIN(99,'幕间计算'!BL348+IF('幕间与结算'!E148="技能：非自然知识",N('幕间与结算'!K148),0)))</f>
        <v>0</v>
      </c>
    </row>
    <row r="350">
      <c r="A350">
        <f>IFERROR(IF(AND(VALUE('幕间与结算'!B149)&gt;=1,VALUE('幕间与结算'!B149)&lt;=20),VALUE('幕间与结算'!B149),0),0)</f>
        <v>0</v>
      </c>
      <c r="B350">
        <f>IF(AND(A350&gt;0,'幕间与结算'!D149&lt;&gt;"",'幕间与结算'!J149="确认",ISNUMBER('幕间与结算'!K149),OR('幕间与结算'!G149="失败",'幕间与结算'!G149="大失败"),'幕间与结算'!H149="√",LEFT('幕间与结算'!E149,3)="技能：",'幕间与结算'!E149&lt;&gt;"技能：非自然知识",ISNUMBER('幕间与结算'!F149),'幕间与结算'!F149&gt;=1,'幕间与结算'!F149&lt;=99),1,0)</f>
        <v>0</v>
      </c>
      <c r="D350">
        <f>IF(AND('幕间与结算'!J149="确认",ISNUMBER('幕间与结算'!K149),'幕间与结算'!L149&lt;&gt;"",ISNUMBER('幕间与结算'!M149),'幕间与结算'!M149&gt;0,'幕间与结算'!M149&lt;=99),'幕间与结算'!M149,0)</f>
        <v>0</v>
      </c>
      <c r="E350">
        <f>IF(AND(B350=1,COUNTIFS($A$210:A350,A350,$B$210:B350,1,'幕间与结算'!$E$9:E149,'幕间与结算'!E149)=1),141,999999)</f>
        <v>999999</v>
      </c>
      <c r="F350">
        <v>149</v>
      </c>
      <c r="AA350">
        <f>IF($A350=1,$E350,999999)</f>
        <v>999999</v>
      </c>
      <c r="AB350">
        <f>IF($A350=2,$E350,999999)</f>
        <v>999999</v>
      </c>
      <c r="AC350">
        <f>IF($A350=3,$E350,999999)</f>
        <v>999999</v>
      </c>
      <c r="AD350">
        <f>IF($A350=4,$E350,999999)</f>
        <v>999999</v>
      </c>
      <c r="AE350">
        <f>IF($A350=5,$E350,999999)</f>
        <v>999999</v>
      </c>
      <c r="AF350">
        <f>IF($A350=6,$E350,999999)</f>
        <v>999999</v>
      </c>
      <c r="AG350">
        <f>IF($A350=7,$E350,999999)</f>
        <v>999999</v>
      </c>
      <c r="AH350">
        <f>IF($A350=8,$E350,999999)</f>
        <v>999999</v>
      </c>
      <c r="AI350">
        <f>IF($A350=9,$E350,999999)</f>
        <v>999999</v>
      </c>
      <c r="AJ350">
        <f>IF($A350=10,$E350,999999)</f>
        <v>999999</v>
      </c>
      <c r="AK350">
        <f>IF($A350=11,$E350,999999)</f>
        <v>999999</v>
      </c>
      <c r="AL350">
        <f>IF($A350=12,$E350,999999)</f>
        <v>999999</v>
      </c>
      <c r="AM350">
        <f>IF($A350=13,$E350,999999)</f>
        <v>999999</v>
      </c>
      <c r="AN350">
        <f>IF($A350=14,$E350,999999)</f>
        <v>999999</v>
      </c>
      <c r="AO350">
        <f>IF($A350=15,$E350,999999)</f>
        <v>999999</v>
      </c>
      <c r="AP350">
        <f>IF($A350=16,$E350,999999)</f>
        <v>999999</v>
      </c>
      <c r="AQ350">
        <f>IF($A350=17,$E350,999999)</f>
        <v>999999</v>
      </c>
      <c r="AR350">
        <f>IF($A350=18,$E350,999999)</f>
        <v>999999</v>
      </c>
      <c r="AS350">
        <f>IF($A350=19,$E350,999999)</f>
        <v>999999</v>
      </c>
      <c r="AT350">
        <f>IF($A350=20,$E350,999999)</f>
        <v>999999</v>
      </c>
      <c r="BA350">
        <f>MAX(0,MIN(CEILING((BF350+BG350)/2,1),BA349+IF('幕间与结算'!E149="体力",N('幕间与结算'!K149),0)))</f>
        <v>0</v>
      </c>
      <c r="BB350">
        <f>MAX(0,MIN(BJ350,BB349+IF('幕间与结算'!E149="毅力",N('幕间与结算'!K149),0)))</f>
        <v>0</v>
      </c>
      <c r="BC350">
        <f>MAX(0,MIN(99-BL350,BC349+IF('幕间与结算'!E149="理智",N('幕间与结算'!K149),0)))</f>
        <v>0</v>
      </c>
      <c r="BD350">
        <f>MAX(0,MIN(99,BD349+IF('幕间与结算'!E149="崩溃点",N('幕间与结算'!K149),0)))</f>
        <v>0</v>
      </c>
      <c r="BF350">
        <f>MAX(0,MIN(18,'幕间计算'!BF349+IF('幕间与结算'!E149="力量",N('幕间与结算'!K149),0)))</f>
        <v>0</v>
      </c>
      <c r="BG350">
        <f>MAX(0,MIN(18,'幕间计算'!BG349+IF('幕间与结算'!E149="体质",N('幕间与结算'!K149),0)))</f>
        <v>0</v>
      </c>
      <c r="BH350">
        <f>MAX(0,MIN(18,'幕间计算'!BH349+IF('幕间与结算'!E149="敏捷",N('幕间与结算'!K149),0)))</f>
        <v>0</v>
      </c>
      <c r="BI350">
        <f>MAX(0,MIN(18,'幕间计算'!BI349+IF('幕间与结算'!E149="智力",N('幕间与结算'!K149),0)))</f>
        <v>0</v>
      </c>
      <c r="BJ350">
        <f>MAX(0,MIN(18,'幕间计算'!BJ349+IF('幕间与结算'!E149="意志",N('幕间与结算'!K149),0)))</f>
        <v>0</v>
      </c>
      <c r="BK350">
        <f>MAX(0,MIN(18,'幕间计算'!BK349+IF('幕间与结算'!E149="魅力",N('幕间与结算'!K149),0)))</f>
        <v>0</v>
      </c>
      <c r="BL350">
        <f>MAX(0,MIN(99,'幕间计算'!BL349+IF('幕间与结算'!E149="技能：非自然知识",N('幕间与结算'!K149),0)))</f>
        <v>0</v>
      </c>
    </row>
    <row r="351">
      <c r="A351">
        <f>IFERROR(IF(AND(VALUE('幕间与结算'!B150)&gt;=1,VALUE('幕间与结算'!B150)&lt;=20),VALUE('幕间与结算'!B150),0),0)</f>
        <v>0</v>
      </c>
      <c r="B351">
        <f>IF(AND(A351&gt;0,'幕间与结算'!D150&lt;&gt;"",'幕间与结算'!J150="确认",ISNUMBER('幕间与结算'!K150),OR('幕间与结算'!G150="失败",'幕间与结算'!G150="大失败"),'幕间与结算'!H150="√",LEFT('幕间与结算'!E150,3)="技能：",'幕间与结算'!E150&lt;&gt;"技能：非自然知识",ISNUMBER('幕间与结算'!F150),'幕间与结算'!F150&gt;=1,'幕间与结算'!F150&lt;=99),1,0)</f>
        <v>0</v>
      </c>
      <c r="D351">
        <f>IF(AND('幕间与结算'!J150="确认",ISNUMBER('幕间与结算'!K150),'幕间与结算'!L150&lt;&gt;"",ISNUMBER('幕间与结算'!M150),'幕间与结算'!M150&gt;0,'幕间与结算'!M150&lt;=99),'幕间与结算'!M150,0)</f>
        <v>0</v>
      </c>
      <c r="E351">
        <f>IF(AND(B351=1,COUNTIFS($A$210:A351,A351,$B$210:B351,1,'幕间与结算'!$E$9:E150,'幕间与结算'!E150)=1),142,999999)</f>
        <v>999999</v>
      </c>
      <c r="F351">
        <v>150</v>
      </c>
      <c r="AA351">
        <f>IF($A351=1,$E351,999999)</f>
        <v>999999</v>
      </c>
      <c r="AB351">
        <f>IF($A351=2,$E351,999999)</f>
        <v>999999</v>
      </c>
      <c r="AC351">
        <f>IF($A351=3,$E351,999999)</f>
        <v>999999</v>
      </c>
      <c r="AD351">
        <f>IF($A351=4,$E351,999999)</f>
        <v>999999</v>
      </c>
      <c r="AE351">
        <f>IF($A351=5,$E351,999999)</f>
        <v>999999</v>
      </c>
      <c r="AF351">
        <f>IF($A351=6,$E351,999999)</f>
        <v>999999</v>
      </c>
      <c r="AG351">
        <f>IF($A351=7,$E351,999999)</f>
        <v>999999</v>
      </c>
      <c r="AH351">
        <f>IF($A351=8,$E351,999999)</f>
        <v>999999</v>
      </c>
      <c r="AI351">
        <f>IF($A351=9,$E351,999999)</f>
        <v>999999</v>
      </c>
      <c r="AJ351">
        <f>IF($A351=10,$E351,999999)</f>
        <v>999999</v>
      </c>
      <c r="AK351">
        <f>IF($A351=11,$E351,999999)</f>
        <v>999999</v>
      </c>
      <c r="AL351">
        <f>IF($A351=12,$E351,999999)</f>
        <v>999999</v>
      </c>
      <c r="AM351">
        <f>IF($A351=13,$E351,999999)</f>
        <v>999999</v>
      </c>
      <c r="AN351">
        <f>IF($A351=14,$E351,999999)</f>
        <v>999999</v>
      </c>
      <c r="AO351">
        <f>IF($A351=15,$E351,999999)</f>
        <v>999999</v>
      </c>
      <c r="AP351">
        <f>IF($A351=16,$E351,999999)</f>
        <v>999999</v>
      </c>
      <c r="AQ351">
        <f>IF($A351=17,$E351,999999)</f>
        <v>999999</v>
      </c>
      <c r="AR351">
        <f>IF($A351=18,$E351,999999)</f>
        <v>999999</v>
      </c>
      <c r="AS351">
        <f>IF($A351=19,$E351,999999)</f>
        <v>999999</v>
      </c>
      <c r="AT351">
        <f>IF($A351=20,$E351,999999)</f>
        <v>999999</v>
      </c>
      <c r="BA351">
        <f>MAX(0,MIN(CEILING((BF351+BG351)/2,1),BA350+IF('幕间与结算'!E150="体力",N('幕间与结算'!K150),0)))</f>
        <v>0</v>
      </c>
      <c r="BB351">
        <f>MAX(0,MIN(BJ351,BB350+IF('幕间与结算'!E150="毅力",N('幕间与结算'!K150),0)))</f>
        <v>0</v>
      </c>
      <c r="BC351">
        <f>MAX(0,MIN(99-BL351,BC350+IF('幕间与结算'!E150="理智",N('幕间与结算'!K150),0)))</f>
        <v>0</v>
      </c>
      <c r="BD351">
        <f>MAX(0,MIN(99,BD350+IF('幕间与结算'!E150="崩溃点",N('幕间与结算'!K150),0)))</f>
        <v>0</v>
      </c>
      <c r="BF351">
        <f>MAX(0,MIN(18,'幕间计算'!BF350+IF('幕间与结算'!E150="力量",N('幕间与结算'!K150),0)))</f>
        <v>0</v>
      </c>
      <c r="BG351">
        <f>MAX(0,MIN(18,'幕间计算'!BG350+IF('幕间与结算'!E150="体质",N('幕间与结算'!K150),0)))</f>
        <v>0</v>
      </c>
      <c r="BH351">
        <f>MAX(0,MIN(18,'幕间计算'!BH350+IF('幕间与结算'!E150="敏捷",N('幕间与结算'!K150),0)))</f>
        <v>0</v>
      </c>
      <c r="BI351">
        <f>MAX(0,MIN(18,'幕间计算'!BI350+IF('幕间与结算'!E150="智力",N('幕间与结算'!K150),0)))</f>
        <v>0</v>
      </c>
      <c r="BJ351">
        <f>MAX(0,MIN(18,'幕间计算'!BJ350+IF('幕间与结算'!E150="意志",N('幕间与结算'!K150),0)))</f>
        <v>0</v>
      </c>
      <c r="BK351">
        <f>MAX(0,MIN(18,'幕间计算'!BK350+IF('幕间与结算'!E150="魅力",N('幕间与结算'!K150),0)))</f>
        <v>0</v>
      </c>
      <c r="BL351">
        <f>MAX(0,MIN(99,'幕间计算'!BL350+IF('幕间与结算'!E150="技能：非自然知识",N('幕间与结算'!K150),0)))</f>
        <v>0</v>
      </c>
    </row>
    <row r="352">
      <c r="A352">
        <f>IFERROR(IF(AND(VALUE('幕间与结算'!B151)&gt;=1,VALUE('幕间与结算'!B151)&lt;=20),VALUE('幕间与结算'!B151),0),0)</f>
        <v>0</v>
      </c>
      <c r="B352">
        <f>IF(AND(A352&gt;0,'幕间与结算'!D151&lt;&gt;"",'幕间与结算'!J151="确认",ISNUMBER('幕间与结算'!K151),OR('幕间与结算'!G151="失败",'幕间与结算'!G151="大失败"),'幕间与结算'!H151="√",LEFT('幕间与结算'!E151,3)="技能：",'幕间与结算'!E151&lt;&gt;"技能：非自然知识",ISNUMBER('幕间与结算'!F151),'幕间与结算'!F151&gt;=1,'幕间与结算'!F151&lt;=99),1,0)</f>
        <v>0</v>
      </c>
      <c r="D352">
        <f>IF(AND('幕间与结算'!J151="确认",ISNUMBER('幕间与结算'!K151),'幕间与结算'!L151&lt;&gt;"",ISNUMBER('幕间与结算'!M151),'幕间与结算'!M151&gt;0,'幕间与结算'!M151&lt;=99),'幕间与结算'!M151,0)</f>
        <v>0</v>
      </c>
      <c r="E352">
        <f>IF(AND(B352=1,COUNTIFS($A$210:A352,A352,$B$210:B352,1,'幕间与结算'!$E$9:E151,'幕间与结算'!E151)=1),143,999999)</f>
        <v>999999</v>
      </c>
      <c r="F352">
        <v>151</v>
      </c>
      <c r="AA352">
        <f>IF($A352=1,$E352,999999)</f>
        <v>999999</v>
      </c>
      <c r="AB352">
        <f>IF($A352=2,$E352,999999)</f>
        <v>999999</v>
      </c>
      <c r="AC352">
        <f>IF($A352=3,$E352,999999)</f>
        <v>999999</v>
      </c>
      <c r="AD352">
        <f>IF($A352=4,$E352,999999)</f>
        <v>999999</v>
      </c>
      <c r="AE352">
        <f>IF($A352=5,$E352,999999)</f>
        <v>999999</v>
      </c>
      <c r="AF352">
        <f>IF($A352=6,$E352,999999)</f>
        <v>999999</v>
      </c>
      <c r="AG352">
        <f>IF($A352=7,$E352,999999)</f>
        <v>999999</v>
      </c>
      <c r="AH352">
        <f>IF($A352=8,$E352,999999)</f>
        <v>999999</v>
      </c>
      <c r="AI352">
        <f>IF($A352=9,$E352,999999)</f>
        <v>999999</v>
      </c>
      <c r="AJ352">
        <f>IF($A352=10,$E352,999999)</f>
        <v>999999</v>
      </c>
      <c r="AK352">
        <f>IF($A352=11,$E352,999999)</f>
        <v>999999</v>
      </c>
      <c r="AL352">
        <f>IF($A352=12,$E352,999999)</f>
        <v>999999</v>
      </c>
      <c r="AM352">
        <f>IF($A352=13,$E352,999999)</f>
        <v>999999</v>
      </c>
      <c r="AN352">
        <f>IF($A352=14,$E352,999999)</f>
        <v>999999</v>
      </c>
      <c r="AO352">
        <f>IF($A352=15,$E352,999999)</f>
        <v>999999</v>
      </c>
      <c r="AP352">
        <f>IF($A352=16,$E352,999999)</f>
        <v>999999</v>
      </c>
      <c r="AQ352">
        <f>IF($A352=17,$E352,999999)</f>
        <v>999999</v>
      </c>
      <c r="AR352">
        <f>IF($A352=18,$E352,999999)</f>
        <v>999999</v>
      </c>
      <c r="AS352">
        <f>IF($A352=19,$E352,999999)</f>
        <v>999999</v>
      </c>
      <c r="AT352">
        <f>IF($A352=20,$E352,999999)</f>
        <v>999999</v>
      </c>
      <c r="BA352">
        <f>MAX(0,MIN(CEILING((BF352+BG352)/2,1),BA351+IF('幕间与结算'!E151="体力",N('幕间与结算'!K151),0)))</f>
        <v>0</v>
      </c>
      <c r="BB352">
        <f>MAX(0,MIN(BJ352,BB351+IF('幕间与结算'!E151="毅力",N('幕间与结算'!K151),0)))</f>
        <v>0</v>
      </c>
      <c r="BC352">
        <f>MAX(0,MIN(99-BL352,BC351+IF('幕间与结算'!E151="理智",N('幕间与结算'!K151),0)))</f>
        <v>0</v>
      </c>
      <c r="BD352">
        <f>MAX(0,MIN(99,BD351+IF('幕间与结算'!E151="崩溃点",N('幕间与结算'!K151),0)))</f>
        <v>0</v>
      </c>
      <c r="BF352">
        <f>MAX(0,MIN(18,'幕间计算'!BF351+IF('幕间与结算'!E151="力量",N('幕间与结算'!K151),0)))</f>
        <v>0</v>
      </c>
      <c r="BG352">
        <f>MAX(0,MIN(18,'幕间计算'!BG351+IF('幕间与结算'!E151="体质",N('幕间与结算'!K151),0)))</f>
        <v>0</v>
      </c>
      <c r="BH352">
        <f>MAX(0,MIN(18,'幕间计算'!BH351+IF('幕间与结算'!E151="敏捷",N('幕间与结算'!K151),0)))</f>
        <v>0</v>
      </c>
      <c r="BI352">
        <f>MAX(0,MIN(18,'幕间计算'!BI351+IF('幕间与结算'!E151="智力",N('幕间与结算'!K151),0)))</f>
        <v>0</v>
      </c>
      <c r="BJ352">
        <f>MAX(0,MIN(18,'幕间计算'!BJ351+IF('幕间与结算'!E151="意志",N('幕间与结算'!K151),0)))</f>
        <v>0</v>
      </c>
      <c r="BK352">
        <f>MAX(0,MIN(18,'幕间计算'!BK351+IF('幕间与结算'!E151="魅力",N('幕间与结算'!K151),0)))</f>
        <v>0</v>
      </c>
      <c r="BL352">
        <f>MAX(0,MIN(99,'幕间计算'!BL351+IF('幕间与结算'!E151="技能：非自然知识",N('幕间与结算'!K151),0)))</f>
        <v>0</v>
      </c>
    </row>
    <row r="353">
      <c r="A353">
        <f>IFERROR(IF(AND(VALUE('幕间与结算'!B152)&gt;=1,VALUE('幕间与结算'!B152)&lt;=20),VALUE('幕间与结算'!B152),0),0)</f>
        <v>0</v>
      </c>
      <c r="B353">
        <f>IF(AND(A353&gt;0,'幕间与结算'!D152&lt;&gt;"",'幕间与结算'!J152="确认",ISNUMBER('幕间与结算'!K152),OR('幕间与结算'!G152="失败",'幕间与结算'!G152="大失败"),'幕间与结算'!H152="√",LEFT('幕间与结算'!E152,3)="技能：",'幕间与结算'!E152&lt;&gt;"技能：非自然知识",ISNUMBER('幕间与结算'!F152),'幕间与结算'!F152&gt;=1,'幕间与结算'!F152&lt;=99),1,0)</f>
        <v>0</v>
      </c>
      <c r="D353">
        <f>IF(AND('幕间与结算'!J152="确认",ISNUMBER('幕间与结算'!K152),'幕间与结算'!L152&lt;&gt;"",ISNUMBER('幕间与结算'!M152),'幕间与结算'!M152&gt;0,'幕间与结算'!M152&lt;=99),'幕间与结算'!M152,0)</f>
        <v>0</v>
      </c>
      <c r="E353">
        <f>IF(AND(B353=1,COUNTIFS($A$210:A353,A353,$B$210:B353,1,'幕间与结算'!$E$9:E152,'幕间与结算'!E152)=1),144,999999)</f>
        <v>999999</v>
      </c>
      <c r="F353">
        <v>152</v>
      </c>
      <c r="AA353">
        <f>IF($A353=1,$E353,999999)</f>
        <v>999999</v>
      </c>
      <c r="AB353">
        <f>IF($A353=2,$E353,999999)</f>
        <v>999999</v>
      </c>
      <c r="AC353">
        <f>IF($A353=3,$E353,999999)</f>
        <v>999999</v>
      </c>
      <c r="AD353">
        <f>IF($A353=4,$E353,999999)</f>
        <v>999999</v>
      </c>
      <c r="AE353">
        <f>IF($A353=5,$E353,999999)</f>
        <v>999999</v>
      </c>
      <c r="AF353">
        <f>IF($A353=6,$E353,999999)</f>
        <v>999999</v>
      </c>
      <c r="AG353">
        <f>IF($A353=7,$E353,999999)</f>
        <v>999999</v>
      </c>
      <c r="AH353">
        <f>IF($A353=8,$E353,999999)</f>
        <v>999999</v>
      </c>
      <c r="AI353">
        <f>IF($A353=9,$E353,999999)</f>
        <v>999999</v>
      </c>
      <c r="AJ353">
        <f>IF($A353=10,$E353,999999)</f>
        <v>999999</v>
      </c>
      <c r="AK353">
        <f>IF($A353=11,$E353,999999)</f>
        <v>999999</v>
      </c>
      <c r="AL353">
        <f>IF($A353=12,$E353,999999)</f>
        <v>999999</v>
      </c>
      <c r="AM353">
        <f>IF($A353=13,$E353,999999)</f>
        <v>999999</v>
      </c>
      <c r="AN353">
        <f>IF($A353=14,$E353,999999)</f>
        <v>999999</v>
      </c>
      <c r="AO353">
        <f>IF($A353=15,$E353,999999)</f>
        <v>999999</v>
      </c>
      <c r="AP353">
        <f>IF($A353=16,$E353,999999)</f>
        <v>999999</v>
      </c>
      <c r="AQ353">
        <f>IF($A353=17,$E353,999999)</f>
        <v>999999</v>
      </c>
      <c r="AR353">
        <f>IF($A353=18,$E353,999999)</f>
        <v>999999</v>
      </c>
      <c r="AS353">
        <f>IF($A353=19,$E353,999999)</f>
        <v>999999</v>
      </c>
      <c r="AT353">
        <f>IF($A353=20,$E353,999999)</f>
        <v>999999</v>
      </c>
      <c r="BA353">
        <f>MAX(0,MIN(CEILING((BF353+BG353)/2,1),BA352+IF('幕间与结算'!E152="体力",N('幕间与结算'!K152),0)))</f>
        <v>0</v>
      </c>
      <c r="BB353">
        <f>MAX(0,MIN(BJ353,BB352+IF('幕间与结算'!E152="毅力",N('幕间与结算'!K152),0)))</f>
        <v>0</v>
      </c>
      <c r="BC353">
        <f>MAX(0,MIN(99-BL353,BC352+IF('幕间与结算'!E152="理智",N('幕间与结算'!K152),0)))</f>
        <v>0</v>
      </c>
      <c r="BD353">
        <f>MAX(0,MIN(99,BD352+IF('幕间与结算'!E152="崩溃点",N('幕间与结算'!K152),0)))</f>
        <v>0</v>
      </c>
      <c r="BF353">
        <f>MAX(0,MIN(18,'幕间计算'!BF352+IF('幕间与结算'!E152="力量",N('幕间与结算'!K152),0)))</f>
        <v>0</v>
      </c>
      <c r="BG353">
        <f>MAX(0,MIN(18,'幕间计算'!BG352+IF('幕间与结算'!E152="体质",N('幕间与结算'!K152),0)))</f>
        <v>0</v>
      </c>
      <c r="BH353">
        <f>MAX(0,MIN(18,'幕间计算'!BH352+IF('幕间与结算'!E152="敏捷",N('幕间与结算'!K152),0)))</f>
        <v>0</v>
      </c>
      <c r="BI353">
        <f>MAX(0,MIN(18,'幕间计算'!BI352+IF('幕间与结算'!E152="智力",N('幕间与结算'!K152),0)))</f>
        <v>0</v>
      </c>
      <c r="BJ353">
        <f>MAX(0,MIN(18,'幕间计算'!BJ352+IF('幕间与结算'!E152="意志",N('幕间与结算'!K152),0)))</f>
        <v>0</v>
      </c>
      <c r="BK353">
        <f>MAX(0,MIN(18,'幕间计算'!BK352+IF('幕间与结算'!E152="魅力",N('幕间与结算'!K152),0)))</f>
        <v>0</v>
      </c>
      <c r="BL353">
        <f>MAX(0,MIN(99,'幕间计算'!BL352+IF('幕间与结算'!E152="技能：非自然知识",N('幕间与结算'!K152),0)))</f>
        <v>0</v>
      </c>
    </row>
    <row r="354">
      <c r="A354">
        <f>IFERROR(IF(AND(VALUE('幕间与结算'!B153)&gt;=1,VALUE('幕间与结算'!B153)&lt;=20),VALUE('幕间与结算'!B153),0),0)</f>
        <v>0</v>
      </c>
      <c r="B354">
        <f>IF(AND(A354&gt;0,'幕间与结算'!D153&lt;&gt;"",'幕间与结算'!J153="确认",ISNUMBER('幕间与结算'!K153),OR('幕间与结算'!G153="失败",'幕间与结算'!G153="大失败"),'幕间与结算'!H153="√",LEFT('幕间与结算'!E153,3)="技能：",'幕间与结算'!E153&lt;&gt;"技能：非自然知识",ISNUMBER('幕间与结算'!F153),'幕间与结算'!F153&gt;=1,'幕间与结算'!F153&lt;=99),1,0)</f>
        <v>0</v>
      </c>
      <c r="D354">
        <f>IF(AND('幕间与结算'!J153="确认",ISNUMBER('幕间与结算'!K153),'幕间与结算'!L153&lt;&gt;"",ISNUMBER('幕间与结算'!M153),'幕间与结算'!M153&gt;0,'幕间与结算'!M153&lt;=99),'幕间与结算'!M153,0)</f>
        <v>0</v>
      </c>
      <c r="E354">
        <f>IF(AND(B354=1,COUNTIFS($A$210:A354,A354,$B$210:B354,1,'幕间与结算'!$E$9:E153,'幕间与结算'!E153)=1),145,999999)</f>
        <v>999999</v>
      </c>
      <c r="F354">
        <v>153</v>
      </c>
      <c r="AA354">
        <f>IF($A354=1,$E354,999999)</f>
        <v>999999</v>
      </c>
      <c r="AB354">
        <f>IF($A354=2,$E354,999999)</f>
        <v>999999</v>
      </c>
      <c r="AC354">
        <f>IF($A354=3,$E354,999999)</f>
        <v>999999</v>
      </c>
      <c r="AD354">
        <f>IF($A354=4,$E354,999999)</f>
        <v>999999</v>
      </c>
      <c r="AE354">
        <f>IF($A354=5,$E354,999999)</f>
        <v>999999</v>
      </c>
      <c r="AF354">
        <f>IF($A354=6,$E354,999999)</f>
        <v>999999</v>
      </c>
      <c r="AG354">
        <f>IF($A354=7,$E354,999999)</f>
        <v>999999</v>
      </c>
      <c r="AH354">
        <f>IF($A354=8,$E354,999999)</f>
        <v>999999</v>
      </c>
      <c r="AI354">
        <f>IF($A354=9,$E354,999999)</f>
        <v>999999</v>
      </c>
      <c r="AJ354">
        <f>IF($A354=10,$E354,999999)</f>
        <v>999999</v>
      </c>
      <c r="AK354">
        <f>IF($A354=11,$E354,999999)</f>
        <v>999999</v>
      </c>
      <c r="AL354">
        <f>IF($A354=12,$E354,999999)</f>
        <v>999999</v>
      </c>
      <c r="AM354">
        <f>IF($A354=13,$E354,999999)</f>
        <v>999999</v>
      </c>
      <c r="AN354">
        <f>IF($A354=14,$E354,999999)</f>
        <v>999999</v>
      </c>
      <c r="AO354">
        <f>IF($A354=15,$E354,999999)</f>
        <v>999999</v>
      </c>
      <c r="AP354">
        <f>IF($A354=16,$E354,999999)</f>
        <v>999999</v>
      </c>
      <c r="AQ354">
        <f>IF($A354=17,$E354,999999)</f>
        <v>999999</v>
      </c>
      <c r="AR354">
        <f>IF($A354=18,$E354,999999)</f>
        <v>999999</v>
      </c>
      <c r="AS354">
        <f>IF($A354=19,$E354,999999)</f>
        <v>999999</v>
      </c>
      <c r="AT354">
        <f>IF($A354=20,$E354,999999)</f>
        <v>999999</v>
      </c>
      <c r="BA354">
        <f>MAX(0,MIN(CEILING((BF354+BG354)/2,1),BA353+IF('幕间与结算'!E153="体力",N('幕间与结算'!K153),0)))</f>
        <v>0</v>
      </c>
      <c r="BB354">
        <f>MAX(0,MIN(BJ354,BB353+IF('幕间与结算'!E153="毅力",N('幕间与结算'!K153),0)))</f>
        <v>0</v>
      </c>
      <c r="BC354">
        <f>MAX(0,MIN(99-BL354,BC353+IF('幕间与结算'!E153="理智",N('幕间与结算'!K153),0)))</f>
        <v>0</v>
      </c>
      <c r="BD354">
        <f>MAX(0,MIN(99,BD353+IF('幕间与结算'!E153="崩溃点",N('幕间与结算'!K153),0)))</f>
        <v>0</v>
      </c>
      <c r="BF354">
        <f>MAX(0,MIN(18,'幕间计算'!BF353+IF('幕间与结算'!E153="力量",N('幕间与结算'!K153),0)))</f>
        <v>0</v>
      </c>
      <c r="BG354">
        <f>MAX(0,MIN(18,'幕间计算'!BG353+IF('幕间与结算'!E153="体质",N('幕间与结算'!K153),0)))</f>
        <v>0</v>
      </c>
      <c r="BH354">
        <f>MAX(0,MIN(18,'幕间计算'!BH353+IF('幕间与结算'!E153="敏捷",N('幕间与结算'!K153),0)))</f>
        <v>0</v>
      </c>
      <c r="BI354">
        <f>MAX(0,MIN(18,'幕间计算'!BI353+IF('幕间与结算'!E153="智力",N('幕间与结算'!K153),0)))</f>
        <v>0</v>
      </c>
      <c r="BJ354">
        <f>MAX(0,MIN(18,'幕间计算'!BJ353+IF('幕间与结算'!E153="意志",N('幕间与结算'!K153),0)))</f>
        <v>0</v>
      </c>
      <c r="BK354">
        <f>MAX(0,MIN(18,'幕间计算'!BK353+IF('幕间与结算'!E153="魅力",N('幕间与结算'!K153),0)))</f>
        <v>0</v>
      </c>
      <c r="BL354">
        <f>MAX(0,MIN(99,'幕间计算'!BL353+IF('幕间与结算'!E153="技能：非自然知识",N('幕间与结算'!K153),0)))</f>
        <v>0</v>
      </c>
    </row>
    <row r="355">
      <c r="A355">
        <f>IFERROR(IF(AND(VALUE('幕间与结算'!B154)&gt;=1,VALUE('幕间与结算'!B154)&lt;=20),VALUE('幕间与结算'!B154),0),0)</f>
        <v>0</v>
      </c>
      <c r="B355">
        <f>IF(AND(A355&gt;0,'幕间与结算'!D154&lt;&gt;"",'幕间与结算'!J154="确认",ISNUMBER('幕间与结算'!K154),OR('幕间与结算'!G154="失败",'幕间与结算'!G154="大失败"),'幕间与结算'!H154="√",LEFT('幕间与结算'!E154,3)="技能：",'幕间与结算'!E154&lt;&gt;"技能：非自然知识",ISNUMBER('幕间与结算'!F154),'幕间与结算'!F154&gt;=1,'幕间与结算'!F154&lt;=99),1,0)</f>
        <v>0</v>
      </c>
      <c r="D355">
        <f>IF(AND('幕间与结算'!J154="确认",ISNUMBER('幕间与结算'!K154),'幕间与结算'!L154&lt;&gt;"",ISNUMBER('幕间与结算'!M154),'幕间与结算'!M154&gt;0,'幕间与结算'!M154&lt;=99),'幕间与结算'!M154,0)</f>
        <v>0</v>
      </c>
      <c r="E355">
        <f>IF(AND(B355=1,COUNTIFS($A$210:A355,A355,$B$210:B355,1,'幕间与结算'!$E$9:E154,'幕间与结算'!E154)=1),146,999999)</f>
        <v>999999</v>
      </c>
      <c r="F355">
        <v>154</v>
      </c>
      <c r="AA355">
        <f>IF($A355=1,$E355,999999)</f>
        <v>999999</v>
      </c>
      <c r="AB355">
        <f>IF($A355=2,$E355,999999)</f>
        <v>999999</v>
      </c>
      <c r="AC355">
        <f>IF($A355=3,$E355,999999)</f>
        <v>999999</v>
      </c>
      <c r="AD355">
        <f>IF($A355=4,$E355,999999)</f>
        <v>999999</v>
      </c>
      <c r="AE355">
        <f>IF($A355=5,$E355,999999)</f>
        <v>999999</v>
      </c>
      <c r="AF355">
        <f>IF($A355=6,$E355,999999)</f>
        <v>999999</v>
      </c>
      <c r="AG355">
        <f>IF($A355=7,$E355,999999)</f>
        <v>999999</v>
      </c>
      <c r="AH355">
        <f>IF($A355=8,$E355,999999)</f>
        <v>999999</v>
      </c>
      <c r="AI355">
        <f>IF($A355=9,$E355,999999)</f>
        <v>999999</v>
      </c>
      <c r="AJ355">
        <f>IF($A355=10,$E355,999999)</f>
        <v>999999</v>
      </c>
      <c r="AK355">
        <f>IF($A355=11,$E355,999999)</f>
        <v>999999</v>
      </c>
      <c r="AL355">
        <f>IF($A355=12,$E355,999999)</f>
        <v>999999</v>
      </c>
      <c r="AM355">
        <f>IF($A355=13,$E355,999999)</f>
        <v>999999</v>
      </c>
      <c r="AN355">
        <f>IF($A355=14,$E355,999999)</f>
        <v>999999</v>
      </c>
      <c r="AO355">
        <f>IF($A355=15,$E355,999999)</f>
        <v>999999</v>
      </c>
      <c r="AP355">
        <f>IF($A355=16,$E355,999999)</f>
        <v>999999</v>
      </c>
      <c r="AQ355">
        <f>IF($A355=17,$E355,999999)</f>
        <v>999999</v>
      </c>
      <c r="AR355">
        <f>IF($A355=18,$E355,999999)</f>
        <v>999999</v>
      </c>
      <c r="AS355">
        <f>IF($A355=19,$E355,999999)</f>
        <v>999999</v>
      </c>
      <c r="AT355">
        <f>IF($A355=20,$E355,999999)</f>
        <v>999999</v>
      </c>
      <c r="BA355">
        <f>MAX(0,MIN(CEILING((BF355+BG355)/2,1),BA354+IF('幕间与结算'!E154="体力",N('幕间与结算'!K154),0)))</f>
        <v>0</v>
      </c>
      <c r="BB355">
        <f>MAX(0,MIN(BJ355,BB354+IF('幕间与结算'!E154="毅力",N('幕间与结算'!K154),0)))</f>
        <v>0</v>
      </c>
      <c r="BC355">
        <f>MAX(0,MIN(99-BL355,BC354+IF('幕间与结算'!E154="理智",N('幕间与结算'!K154),0)))</f>
        <v>0</v>
      </c>
      <c r="BD355">
        <f>MAX(0,MIN(99,BD354+IF('幕间与结算'!E154="崩溃点",N('幕间与结算'!K154),0)))</f>
        <v>0</v>
      </c>
      <c r="BF355">
        <f>MAX(0,MIN(18,'幕间计算'!BF354+IF('幕间与结算'!E154="力量",N('幕间与结算'!K154),0)))</f>
        <v>0</v>
      </c>
      <c r="BG355">
        <f>MAX(0,MIN(18,'幕间计算'!BG354+IF('幕间与结算'!E154="体质",N('幕间与结算'!K154),0)))</f>
        <v>0</v>
      </c>
      <c r="BH355">
        <f>MAX(0,MIN(18,'幕间计算'!BH354+IF('幕间与结算'!E154="敏捷",N('幕间与结算'!K154),0)))</f>
        <v>0</v>
      </c>
      <c r="BI355">
        <f>MAX(0,MIN(18,'幕间计算'!BI354+IF('幕间与结算'!E154="智力",N('幕间与结算'!K154),0)))</f>
        <v>0</v>
      </c>
      <c r="BJ355">
        <f>MAX(0,MIN(18,'幕间计算'!BJ354+IF('幕间与结算'!E154="意志",N('幕间与结算'!K154),0)))</f>
        <v>0</v>
      </c>
      <c r="BK355">
        <f>MAX(0,MIN(18,'幕间计算'!BK354+IF('幕间与结算'!E154="魅力",N('幕间与结算'!K154),0)))</f>
        <v>0</v>
      </c>
      <c r="BL355">
        <f>MAX(0,MIN(99,'幕间计算'!BL354+IF('幕间与结算'!E154="技能：非自然知识",N('幕间与结算'!K154),0)))</f>
        <v>0</v>
      </c>
    </row>
    <row r="356">
      <c r="A356">
        <f>IFERROR(IF(AND(VALUE('幕间与结算'!B155)&gt;=1,VALUE('幕间与结算'!B155)&lt;=20),VALUE('幕间与结算'!B155),0),0)</f>
        <v>0</v>
      </c>
      <c r="B356">
        <f>IF(AND(A356&gt;0,'幕间与结算'!D155&lt;&gt;"",'幕间与结算'!J155="确认",ISNUMBER('幕间与结算'!K155),OR('幕间与结算'!G155="失败",'幕间与结算'!G155="大失败"),'幕间与结算'!H155="√",LEFT('幕间与结算'!E155,3)="技能：",'幕间与结算'!E155&lt;&gt;"技能：非自然知识",ISNUMBER('幕间与结算'!F155),'幕间与结算'!F155&gt;=1,'幕间与结算'!F155&lt;=99),1,0)</f>
        <v>0</v>
      </c>
      <c r="D356">
        <f>IF(AND('幕间与结算'!J155="确认",ISNUMBER('幕间与结算'!K155),'幕间与结算'!L155&lt;&gt;"",ISNUMBER('幕间与结算'!M155),'幕间与结算'!M155&gt;0,'幕间与结算'!M155&lt;=99),'幕间与结算'!M155,0)</f>
        <v>0</v>
      </c>
      <c r="E356">
        <f>IF(AND(B356=1,COUNTIFS($A$210:A356,A356,$B$210:B356,1,'幕间与结算'!$E$9:E155,'幕间与结算'!E155)=1),147,999999)</f>
        <v>999999</v>
      </c>
      <c r="F356">
        <v>155</v>
      </c>
      <c r="AA356">
        <f>IF($A356=1,$E356,999999)</f>
        <v>999999</v>
      </c>
      <c r="AB356">
        <f>IF($A356=2,$E356,999999)</f>
        <v>999999</v>
      </c>
      <c r="AC356">
        <f>IF($A356=3,$E356,999999)</f>
        <v>999999</v>
      </c>
      <c r="AD356">
        <f>IF($A356=4,$E356,999999)</f>
        <v>999999</v>
      </c>
      <c r="AE356">
        <f>IF($A356=5,$E356,999999)</f>
        <v>999999</v>
      </c>
      <c r="AF356">
        <f>IF($A356=6,$E356,999999)</f>
        <v>999999</v>
      </c>
      <c r="AG356">
        <f>IF($A356=7,$E356,999999)</f>
        <v>999999</v>
      </c>
      <c r="AH356">
        <f>IF($A356=8,$E356,999999)</f>
        <v>999999</v>
      </c>
      <c r="AI356">
        <f>IF($A356=9,$E356,999999)</f>
        <v>999999</v>
      </c>
      <c r="AJ356">
        <f>IF($A356=10,$E356,999999)</f>
        <v>999999</v>
      </c>
      <c r="AK356">
        <f>IF($A356=11,$E356,999999)</f>
        <v>999999</v>
      </c>
      <c r="AL356">
        <f>IF($A356=12,$E356,999999)</f>
        <v>999999</v>
      </c>
      <c r="AM356">
        <f>IF($A356=13,$E356,999999)</f>
        <v>999999</v>
      </c>
      <c r="AN356">
        <f>IF($A356=14,$E356,999999)</f>
        <v>999999</v>
      </c>
      <c r="AO356">
        <f>IF($A356=15,$E356,999999)</f>
        <v>999999</v>
      </c>
      <c r="AP356">
        <f>IF($A356=16,$E356,999999)</f>
        <v>999999</v>
      </c>
      <c r="AQ356">
        <f>IF($A356=17,$E356,999999)</f>
        <v>999999</v>
      </c>
      <c r="AR356">
        <f>IF($A356=18,$E356,999999)</f>
        <v>999999</v>
      </c>
      <c r="AS356">
        <f>IF($A356=19,$E356,999999)</f>
        <v>999999</v>
      </c>
      <c r="AT356">
        <f>IF($A356=20,$E356,999999)</f>
        <v>999999</v>
      </c>
      <c r="BA356">
        <f>MAX(0,MIN(CEILING((BF356+BG356)/2,1),BA355+IF('幕间与结算'!E155="体力",N('幕间与结算'!K155),0)))</f>
        <v>0</v>
      </c>
      <c r="BB356">
        <f>MAX(0,MIN(BJ356,BB355+IF('幕间与结算'!E155="毅力",N('幕间与结算'!K155),0)))</f>
        <v>0</v>
      </c>
      <c r="BC356">
        <f>MAX(0,MIN(99-BL356,BC355+IF('幕间与结算'!E155="理智",N('幕间与结算'!K155),0)))</f>
        <v>0</v>
      </c>
      <c r="BD356">
        <f>MAX(0,MIN(99,BD355+IF('幕间与结算'!E155="崩溃点",N('幕间与结算'!K155),0)))</f>
        <v>0</v>
      </c>
      <c r="BF356">
        <f>MAX(0,MIN(18,'幕间计算'!BF355+IF('幕间与结算'!E155="力量",N('幕间与结算'!K155),0)))</f>
        <v>0</v>
      </c>
      <c r="BG356">
        <f>MAX(0,MIN(18,'幕间计算'!BG355+IF('幕间与结算'!E155="体质",N('幕间与结算'!K155),0)))</f>
        <v>0</v>
      </c>
      <c r="BH356">
        <f>MAX(0,MIN(18,'幕间计算'!BH355+IF('幕间与结算'!E155="敏捷",N('幕间与结算'!K155),0)))</f>
        <v>0</v>
      </c>
      <c r="BI356">
        <f>MAX(0,MIN(18,'幕间计算'!BI355+IF('幕间与结算'!E155="智力",N('幕间与结算'!K155),0)))</f>
        <v>0</v>
      </c>
      <c r="BJ356">
        <f>MAX(0,MIN(18,'幕间计算'!BJ355+IF('幕间与结算'!E155="意志",N('幕间与结算'!K155),0)))</f>
        <v>0</v>
      </c>
      <c r="BK356">
        <f>MAX(0,MIN(18,'幕间计算'!BK355+IF('幕间与结算'!E155="魅力",N('幕间与结算'!K155),0)))</f>
        <v>0</v>
      </c>
      <c r="BL356">
        <f>MAX(0,MIN(99,'幕间计算'!BL355+IF('幕间与结算'!E155="技能：非自然知识",N('幕间与结算'!K155),0)))</f>
        <v>0</v>
      </c>
    </row>
    <row r="357">
      <c r="A357">
        <f>IFERROR(IF(AND(VALUE('幕间与结算'!B156)&gt;=1,VALUE('幕间与结算'!B156)&lt;=20),VALUE('幕间与结算'!B156),0),0)</f>
        <v>0</v>
      </c>
      <c r="B357">
        <f>IF(AND(A357&gt;0,'幕间与结算'!D156&lt;&gt;"",'幕间与结算'!J156="确认",ISNUMBER('幕间与结算'!K156),OR('幕间与结算'!G156="失败",'幕间与结算'!G156="大失败"),'幕间与结算'!H156="√",LEFT('幕间与结算'!E156,3)="技能：",'幕间与结算'!E156&lt;&gt;"技能：非自然知识",ISNUMBER('幕间与结算'!F156),'幕间与结算'!F156&gt;=1,'幕间与结算'!F156&lt;=99),1,0)</f>
        <v>0</v>
      </c>
      <c r="D357">
        <f>IF(AND('幕间与结算'!J156="确认",ISNUMBER('幕间与结算'!K156),'幕间与结算'!L156&lt;&gt;"",ISNUMBER('幕间与结算'!M156),'幕间与结算'!M156&gt;0,'幕间与结算'!M156&lt;=99),'幕间与结算'!M156,0)</f>
        <v>0</v>
      </c>
      <c r="E357">
        <f>IF(AND(B357=1,COUNTIFS($A$210:A357,A357,$B$210:B357,1,'幕间与结算'!$E$9:E156,'幕间与结算'!E156)=1),148,999999)</f>
        <v>999999</v>
      </c>
      <c r="F357">
        <v>156</v>
      </c>
      <c r="AA357">
        <f>IF($A357=1,$E357,999999)</f>
        <v>999999</v>
      </c>
      <c r="AB357">
        <f>IF($A357=2,$E357,999999)</f>
        <v>999999</v>
      </c>
      <c r="AC357">
        <f>IF($A357=3,$E357,999999)</f>
        <v>999999</v>
      </c>
      <c r="AD357">
        <f>IF($A357=4,$E357,999999)</f>
        <v>999999</v>
      </c>
      <c r="AE357">
        <f>IF($A357=5,$E357,999999)</f>
        <v>999999</v>
      </c>
      <c r="AF357">
        <f>IF($A357=6,$E357,999999)</f>
        <v>999999</v>
      </c>
      <c r="AG357">
        <f>IF($A357=7,$E357,999999)</f>
        <v>999999</v>
      </c>
      <c r="AH357">
        <f>IF($A357=8,$E357,999999)</f>
        <v>999999</v>
      </c>
      <c r="AI357">
        <f>IF($A357=9,$E357,999999)</f>
        <v>999999</v>
      </c>
      <c r="AJ357">
        <f>IF($A357=10,$E357,999999)</f>
        <v>999999</v>
      </c>
      <c r="AK357">
        <f>IF($A357=11,$E357,999999)</f>
        <v>999999</v>
      </c>
      <c r="AL357">
        <f>IF($A357=12,$E357,999999)</f>
        <v>999999</v>
      </c>
      <c r="AM357">
        <f>IF($A357=13,$E357,999999)</f>
        <v>999999</v>
      </c>
      <c r="AN357">
        <f>IF($A357=14,$E357,999999)</f>
        <v>999999</v>
      </c>
      <c r="AO357">
        <f>IF($A357=15,$E357,999999)</f>
        <v>999999</v>
      </c>
      <c r="AP357">
        <f>IF($A357=16,$E357,999999)</f>
        <v>999999</v>
      </c>
      <c r="AQ357">
        <f>IF($A357=17,$E357,999999)</f>
        <v>999999</v>
      </c>
      <c r="AR357">
        <f>IF($A357=18,$E357,999999)</f>
        <v>999999</v>
      </c>
      <c r="AS357">
        <f>IF($A357=19,$E357,999999)</f>
        <v>999999</v>
      </c>
      <c r="AT357">
        <f>IF($A357=20,$E357,999999)</f>
        <v>999999</v>
      </c>
      <c r="BA357">
        <f>MAX(0,MIN(CEILING((BF357+BG357)/2,1),BA356+IF('幕间与结算'!E156="体力",N('幕间与结算'!K156),0)))</f>
        <v>0</v>
      </c>
      <c r="BB357">
        <f>MAX(0,MIN(BJ357,BB356+IF('幕间与结算'!E156="毅力",N('幕间与结算'!K156),0)))</f>
        <v>0</v>
      </c>
      <c r="BC357">
        <f>MAX(0,MIN(99-BL357,BC356+IF('幕间与结算'!E156="理智",N('幕间与结算'!K156),0)))</f>
        <v>0</v>
      </c>
      <c r="BD357">
        <f>MAX(0,MIN(99,BD356+IF('幕间与结算'!E156="崩溃点",N('幕间与结算'!K156),0)))</f>
        <v>0</v>
      </c>
      <c r="BF357">
        <f>MAX(0,MIN(18,'幕间计算'!BF356+IF('幕间与结算'!E156="力量",N('幕间与结算'!K156),0)))</f>
        <v>0</v>
      </c>
      <c r="BG357">
        <f>MAX(0,MIN(18,'幕间计算'!BG356+IF('幕间与结算'!E156="体质",N('幕间与结算'!K156),0)))</f>
        <v>0</v>
      </c>
      <c r="BH357">
        <f>MAX(0,MIN(18,'幕间计算'!BH356+IF('幕间与结算'!E156="敏捷",N('幕间与结算'!K156),0)))</f>
        <v>0</v>
      </c>
      <c r="BI357">
        <f>MAX(0,MIN(18,'幕间计算'!BI356+IF('幕间与结算'!E156="智力",N('幕间与结算'!K156),0)))</f>
        <v>0</v>
      </c>
      <c r="BJ357">
        <f>MAX(0,MIN(18,'幕间计算'!BJ356+IF('幕间与结算'!E156="意志",N('幕间与结算'!K156),0)))</f>
        <v>0</v>
      </c>
      <c r="BK357">
        <f>MAX(0,MIN(18,'幕间计算'!BK356+IF('幕间与结算'!E156="魅力",N('幕间与结算'!K156),0)))</f>
        <v>0</v>
      </c>
      <c r="BL357">
        <f>MAX(0,MIN(99,'幕间计算'!BL356+IF('幕间与结算'!E156="技能：非自然知识",N('幕间与结算'!K156),0)))</f>
        <v>0</v>
      </c>
    </row>
    <row r="358">
      <c r="A358">
        <f>IFERROR(IF(AND(VALUE('幕间与结算'!B157)&gt;=1,VALUE('幕间与结算'!B157)&lt;=20),VALUE('幕间与结算'!B157),0),0)</f>
        <v>0</v>
      </c>
      <c r="B358">
        <f>IF(AND(A358&gt;0,'幕间与结算'!D157&lt;&gt;"",'幕间与结算'!J157="确认",ISNUMBER('幕间与结算'!K157),OR('幕间与结算'!G157="失败",'幕间与结算'!G157="大失败"),'幕间与结算'!H157="√",LEFT('幕间与结算'!E157,3)="技能：",'幕间与结算'!E157&lt;&gt;"技能：非自然知识",ISNUMBER('幕间与结算'!F157),'幕间与结算'!F157&gt;=1,'幕间与结算'!F157&lt;=99),1,0)</f>
        <v>0</v>
      </c>
      <c r="D358">
        <f>IF(AND('幕间与结算'!J157="确认",ISNUMBER('幕间与结算'!K157),'幕间与结算'!L157&lt;&gt;"",ISNUMBER('幕间与结算'!M157),'幕间与结算'!M157&gt;0,'幕间与结算'!M157&lt;=99),'幕间与结算'!M157,0)</f>
        <v>0</v>
      </c>
      <c r="E358">
        <f>IF(AND(B358=1,COUNTIFS($A$210:A358,A358,$B$210:B358,1,'幕间与结算'!$E$9:E157,'幕间与结算'!E157)=1),149,999999)</f>
        <v>999999</v>
      </c>
      <c r="F358">
        <v>157</v>
      </c>
      <c r="AA358">
        <f>IF($A358=1,$E358,999999)</f>
        <v>999999</v>
      </c>
      <c r="AB358">
        <f>IF($A358=2,$E358,999999)</f>
        <v>999999</v>
      </c>
      <c r="AC358">
        <f>IF($A358=3,$E358,999999)</f>
        <v>999999</v>
      </c>
      <c r="AD358">
        <f>IF($A358=4,$E358,999999)</f>
        <v>999999</v>
      </c>
      <c r="AE358">
        <f>IF($A358=5,$E358,999999)</f>
        <v>999999</v>
      </c>
      <c r="AF358">
        <f>IF($A358=6,$E358,999999)</f>
        <v>999999</v>
      </c>
      <c r="AG358">
        <f>IF($A358=7,$E358,999999)</f>
        <v>999999</v>
      </c>
      <c r="AH358">
        <f>IF($A358=8,$E358,999999)</f>
        <v>999999</v>
      </c>
      <c r="AI358">
        <f>IF($A358=9,$E358,999999)</f>
        <v>999999</v>
      </c>
      <c r="AJ358">
        <f>IF($A358=10,$E358,999999)</f>
        <v>999999</v>
      </c>
      <c r="AK358">
        <f>IF($A358=11,$E358,999999)</f>
        <v>999999</v>
      </c>
      <c r="AL358">
        <f>IF($A358=12,$E358,999999)</f>
        <v>999999</v>
      </c>
      <c r="AM358">
        <f>IF($A358=13,$E358,999999)</f>
        <v>999999</v>
      </c>
      <c r="AN358">
        <f>IF($A358=14,$E358,999999)</f>
        <v>999999</v>
      </c>
      <c r="AO358">
        <f>IF($A358=15,$E358,999999)</f>
        <v>999999</v>
      </c>
      <c r="AP358">
        <f>IF($A358=16,$E358,999999)</f>
        <v>999999</v>
      </c>
      <c r="AQ358">
        <f>IF($A358=17,$E358,999999)</f>
        <v>999999</v>
      </c>
      <c r="AR358">
        <f>IF($A358=18,$E358,999999)</f>
        <v>999999</v>
      </c>
      <c r="AS358">
        <f>IF($A358=19,$E358,999999)</f>
        <v>999999</v>
      </c>
      <c r="AT358">
        <f>IF($A358=20,$E358,999999)</f>
        <v>999999</v>
      </c>
      <c r="BA358">
        <f>MAX(0,MIN(CEILING((BF358+BG358)/2,1),BA357+IF('幕间与结算'!E157="体力",N('幕间与结算'!K157),0)))</f>
        <v>0</v>
      </c>
      <c r="BB358">
        <f>MAX(0,MIN(BJ358,BB357+IF('幕间与结算'!E157="毅力",N('幕间与结算'!K157),0)))</f>
        <v>0</v>
      </c>
      <c r="BC358">
        <f>MAX(0,MIN(99-BL358,BC357+IF('幕间与结算'!E157="理智",N('幕间与结算'!K157),0)))</f>
        <v>0</v>
      </c>
      <c r="BD358">
        <f>MAX(0,MIN(99,BD357+IF('幕间与结算'!E157="崩溃点",N('幕间与结算'!K157),0)))</f>
        <v>0</v>
      </c>
      <c r="BF358">
        <f>MAX(0,MIN(18,'幕间计算'!BF357+IF('幕间与结算'!E157="力量",N('幕间与结算'!K157),0)))</f>
        <v>0</v>
      </c>
      <c r="BG358">
        <f>MAX(0,MIN(18,'幕间计算'!BG357+IF('幕间与结算'!E157="体质",N('幕间与结算'!K157),0)))</f>
        <v>0</v>
      </c>
      <c r="BH358">
        <f>MAX(0,MIN(18,'幕间计算'!BH357+IF('幕间与结算'!E157="敏捷",N('幕间与结算'!K157),0)))</f>
        <v>0</v>
      </c>
      <c r="BI358">
        <f>MAX(0,MIN(18,'幕间计算'!BI357+IF('幕间与结算'!E157="智力",N('幕间与结算'!K157),0)))</f>
        <v>0</v>
      </c>
      <c r="BJ358">
        <f>MAX(0,MIN(18,'幕间计算'!BJ357+IF('幕间与结算'!E157="意志",N('幕间与结算'!K157),0)))</f>
        <v>0</v>
      </c>
      <c r="BK358">
        <f>MAX(0,MIN(18,'幕间计算'!BK357+IF('幕间与结算'!E157="魅力",N('幕间与结算'!K157),0)))</f>
        <v>0</v>
      </c>
      <c r="BL358">
        <f>MAX(0,MIN(99,'幕间计算'!BL357+IF('幕间与结算'!E157="技能：非自然知识",N('幕间与结算'!K157),0)))</f>
        <v>0</v>
      </c>
    </row>
    <row r="359">
      <c r="A359">
        <f>IFERROR(IF(AND(VALUE('幕间与结算'!B158)&gt;=1,VALUE('幕间与结算'!B158)&lt;=20),VALUE('幕间与结算'!B158),0),0)</f>
        <v>0</v>
      </c>
      <c r="B359">
        <f>IF(AND(A359&gt;0,'幕间与结算'!D158&lt;&gt;"",'幕间与结算'!J158="确认",ISNUMBER('幕间与结算'!K158),OR('幕间与结算'!G158="失败",'幕间与结算'!G158="大失败"),'幕间与结算'!H158="√",LEFT('幕间与结算'!E158,3)="技能：",'幕间与结算'!E158&lt;&gt;"技能：非自然知识",ISNUMBER('幕间与结算'!F158),'幕间与结算'!F158&gt;=1,'幕间与结算'!F158&lt;=99),1,0)</f>
        <v>0</v>
      </c>
      <c r="D359">
        <f>IF(AND('幕间与结算'!J158="确认",ISNUMBER('幕间与结算'!K158),'幕间与结算'!L158&lt;&gt;"",ISNUMBER('幕间与结算'!M158),'幕间与结算'!M158&gt;0,'幕间与结算'!M158&lt;=99),'幕间与结算'!M158,0)</f>
        <v>0</v>
      </c>
      <c r="E359">
        <f>IF(AND(B359=1,COUNTIFS($A$210:A359,A359,$B$210:B359,1,'幕间与结算'!$E$9:E158,'幕间与结算'!E158)=1),150,999999)</f>
        <v>999999</v>
      </c>
      <c r="F359">
        <v>158</v>
      </c>
      <c r="AA359">
        <f>IF($A359=1,$E359,999999)</f>
        <v>999999</v>
      </c>
      <c r="AB359">
        <f>IF($A359=2,$E359,999999)</f>
        <v>999999</v>
      </c>
      <c r="AC359">
        <f>IF($A359=3,$E359,999999)</f>
        <v>999999</v>
      </c>
      <c r="AD359">
        <f>IF($A359=4,$E359,999999)</f>
        <v>999999</v>
      </c>
      <c r="AE359">
        <f>IF($A359=5,$E359,999999)</f>
        <v>999999</v>
      </c>
      <c r="AF359">
        <f>IF($A359=6,$E359,999999)</f>
        <v>999999</v>
      </c>
      <c r="AG359">
        <f>IF($A359=7,$E359,999999)</f>
        <v>999999</v>
      </c>
      <c r="AH359">
        <f>IF($A359=8,$E359,999999)</f>
        <v>999999</v>
      </c>
      <c r="AI359">
        <f>IF($A359=9,$E359,999999)</f>
        <v>999999</v>
      </c>
      <c r="AJ359">
        <f>IF($A359=10,$E359,999999)</f>
        <v>999999</v>
      </c>
      <c r="AK359">
        <f>IF($A359=11,$E359,999999)</f>
        <v>999999</v>
      </c>
      <c r="AL359">
        <f>IF($A359=12,$E359,999999)</f>
        <v>999999</v>
      </c>
      <c r="AM359">
        <f>IF($A359=13,$E359,999999)</f>
        <v>999999</v>
      </c>
      <c r="AN359">
        <f>IF($A359=14,$E359,999999)</f>
        <v>999999</v>
      </c>
      <c r="AO359">
        <f>IF($A359=15,$E359,999999)</f>
        <v>999999</v>
      </c>
      <c r="AP359">
        <f>IF($A359=16,$E359,999999)</f>
        <v>999999</v>
      </c>
      <c r="AQ359">
        <f>IF($A359=17,$E359,999999)</f>
        <v>999999</v>
      </c>
      <c r="AR359">
        <f>IF($A359=18,$E359,999999)</f>
        <v>999999</v>
      </c>
      <c r="AS359">
        <f>IF($A359=19,$E359,999999)</f>
        <v>999999</v>
      </c>
      <c r="AT359">
        <f>IF($A359=20,$E359,999999)</f>
        <v>999999</v>
      </c>
      <c r="BA359">
        <f>MAX(0,MIN(CEILING((BF359+BG359)/2,1),BA358+IF('幕间与结算'!E158="体力",N('幕间与结算'!K158),0)))</f>
        <v>0</v>
      </c>
      <c r="BB359">
        <f>MAX(0,MIN(BJ359,BB358+IF('幕间与结算'!E158="毅力",N('幕间与结算'!K158),0)))</f>
        <v>0</v>
      </c>
      <c r="BC359">
        <f>MAX(0,MIN(99-BL359,BC358+IF('幕间与结算'!E158="理智",N('幕间与结算'!K158),0)))</f>
        <v>0</v>
      </c>
      <c r="BD359">
        <f>MAX(0,MIN(99,BD358+IF('幕间与结算'!E158="崩溃点",N('幕间与结算'!K158),0)))</f>
        <v>0</v>
      </c>
      <c r="BF359">
        <f>MAX(0,MIN(18,'幕间计算'!BF358+IF('幕间与结算'!E158="力量",N('幕间与结算'!K158),0)))</f>
        <v>0</v>
      </c>
      <c r="BG359">
        <f>MAX(0,MIN(18,'幕间计算'!BG358+IF('幕间与结算'!E158="体质",N('幕间与结算'!K158),0)))</f>
        <v>0</v>
      </c>
      <c r="BH359">
        <f>MAX(0,MIN(18,'幕间计算'!BH358+IF('幕间与结算'!E158="敏捷",N('幕间与结算'!K158),0)))</f>
        <v>0</v>
      </c>
      <c r="BI359">
        <f>MAX(0,MIN(18,'幕间计算'!BI358+IF('幕间与结算'!E158="智力",N('幕间与结算'!K158),0)))</f>
        <v>0</v>
      </c>
      <c r="BJ359">
        <f>MAX(0,MIN(18,'幕间计算'!BJ358+IF('幕间与结算'!E158="意志",N('幕间与结算'!K158),0)))</f>
        <v>0</v>
      </c>
      <c r="BK359">
        <f>MAX(0,MIN(18,'幕间计算'!BK358+IF('幕间与结算'!E158="魅力",N('幕间与结算'!K158),0)))</f>
        <v>0</v>
      </c>
      <c r="BL359">
        <f>MAX(0,MIN(99,'幕间计算'!BL358+IF('幕间与结算'!E158="技能：非自然知识",N('幕间与结算'!K158),0)))</f>
        <v>0</v>
      </c>
    </row>
    <row r="360">
      <c r="A360">
        <f>IFERROR(IF(AND(VALUE('幕间与结算'!B159)&gt;=1,VALUE('幕间与结算'!B159)&lt;=20),VALUE('幕间与结算'!B159),0),0)</f>
        <v>0</v>
      </c>
      <c r="B360">
        <f>IF(AND(A360&gt;0,'幕间与结算'!D159&lt;&gt;"",'幕间与结算'!J159="确认",ISNUMBER('幕间与结算'!K159),OR('幕间与结算'!G159="失败",'幕间与结算'!G159="大失败"),'幕间与结算'!H159="√",LEFT('幕间与结算'!E159,3)="技能：",'幕间与结算'!E159&lt;&gt;"技能：非自然知识",ISNUMBER('幕间与结算'!F159),'幕间与结算'!F159&gt;=1,'幕间与结算'!F159&lt;=99),1,0)</f>
        <v>0</v>
      </c>
      <c r="D360">
        <f>IF(AND('幕间与结算'!J159="确认",ISNUMBER('幕间与结算'!K159),'幕间与结算'!L159&lt;&gt;"",ISNUMBER('幕间与结算'!M159),'幕间与结算'!M159&gt;0,'幕间与结算'!M159&lt;=99),'幕间与结算'!M159,0)</f>
        <v>0</v>
      </c>
      <c r="E360">
        <f>IF(AND(B360=1,COUNTIFS($A$210:A360,A360,$B$210:B360,1,'幕间与结算'!$E$9:E159,'幕间与结算'!E159)=1),151,999999)</f>
        <v>999999</v>
      </c>
      <c r="F360">
        <v>159</v>
      </c>
      <c r="AA360">
        <f>IF($A360=1,$E360,999999)</f>
        <v>999999</v>
      </c>
      <c r="AB360">
        <f>IF($A360=2,$E360,999999)</f>
        <v>999999</v>
      </c>
      <c r="AC360">
        <f>IF($A360=3,$E360,999999)</f>
        <v>999999</v>
      </c>
      <c r="AD360">
        <f>IF($A360=4,$E360,999999)</f>
        <v>999999</v>
      </c>
      <c r="AE360">
        <f>IF($A360=5,$E360,999999)</f>
        <v>999999</v>
      </c>
      <c r="AF360">
        <f>IF($A360=6,$E360,999999)</f>
        <v>999999</v>
      </c>
      <c r="AG360">
        <f>IF($A360=7,$E360,999999)</f>
        <v>999999</v>
      </c>
      <c r="AH360">
        <f>IF($A360=8,$E360,999999)</f>
        <v>999999</v>
      </c>
      <c r="AI360">
        <f>IF($A360=9,$E360,999999)</f>
        <v>999999</v>
      </c>
      <c r="AJ360">
        <f>IF($A360=10,$E360,999999)</f>
        <v>999999</v>
      </c>
      <c r="AK360">
        <f>IF($A360=11,$E360,999999)</f>
        <v>999999</v>
      </c>
      <c r="AL360">
        <f>IF($A360=12,$E360,999999)</f>
        <v>999999</v>
      </c>
      <c r="AM360">
        <f>IF($A360=13,$E360,999999)</f>
        <v>999999</v>
      </c>
      <c r="AN360">
        <f>IF($A360=14,$E360,999999)</f>
        <v>999999</v>
      </c>
      <c r="AO360">
        <f>IF($A360=15,$E360,999999)</f>
        <v>999999</v>
      </c>
      <c r="AP360">
        <f>IF($A360=16,$E360,999999)</f>
        <v>999999</v>
      </c>
      <c r="AQ360">
        <f>IF($A360=17,$E360,999999)</f>
        <v>999999</v>
      </c>
      <c r="AR360">
        <f>IF($A360=18,$E360,999999)</f>
        <v>999999</v>
      </c>
      <c r="AS360">
        <f>IF($A360=19,$E360,999999)</f>
        <v>999999</v>
      </c>
      <c r="AT360">
        <f>IF($A360=20,$E360,999999)</f>
        <v>999999</v>
      </c>
      <c r="BA360">
        <f>MAX(0,MIN(CEILING((BF360+BG360)/2,1),BA359+IF('幕间与结算'!E159="体力",N('幕间与结算'!K159),0)))</f>
        <v>0</v>
      </c>
      <c r="BB360">
        <f>MAX(0,MIN(BJ360,BB359+IF('幕间与结算'!E159="毅力",N('幕间与结算'!K159),0)))</f>
        <v>0</v>
      </c>
      <c r="BC360">
        <f>MAX(0,MIN(99-BL360,BC359+IF('幕间与结算'!E159="理智",N('幕间与结算'!K159),0)))</f>
        <v>0</v>
      </c>
      <c r="BD360">
        <f>MAX(0,MIN(99,BD359+IF('幕间与结算'!E159="崩溃点",N('幕间与结算'!K159),0)))</f>
        <v>0</v>
      </c>
      <c r="BF360">
        <f>MAX(0,MIN(18,'幕间计算'!BF359+IF('幕间与结算'!E159="力量",N('幕间与结算'!K159),0)))</f>
        <v>0</v>
      </c>
      <c r="BG360">
        <f>MAX(0,MIN(18,'幕间计算'!BG359+IF('幕间与结算'!E159="体质",N('幕间与结算'!K159),0)))</f>
        <v>0</v>
      </c>
      <c r="BH360">
        <f>MAX(0,MIN(18,'幕间计算'!BH359+IF('幕间与结算'!E159="敏捷",N('幕间与结算'!K159),0)))</f>
        <v>0</v>
      </c>
      <c r="BI360">
        <f>MAX(0,MIN(18,'幕间计算'!BI359+IF('幕间与结算'!E159="智力",N('幕间与结算'!K159),0)))</f>
        <v>0</v>
      </c>
      <c r="BJ360">
        <f>MAX(0,MIN(18,'幕间计算'!BJ359+IF('幕间与结算'!E159="意志",N('幕间与结算'!K159),0)))</f>
        <v>0</v>
      </c>
      <c r="BK360">
        <f>MAX(0,MIN(18,'幕间计算'!BK359+IF('幕间与结算'!E159="魅力",N('幕间与结算'!K159),0)))</f>
        <v>0</v>
      </c>
      <c r="BL360">
        <f>MAX(0,MIN(99,'幕间计算'!BL359+IF('幕间与结算'!E159="技能：非自然知识",N('幕间与结算'!K159),0)))</f>
        <v>0</v>
      </c>
    </row>
    <row r="361">
      <c r="A361">
        <f>IFERROR(IF(AND(VALUE('幕间与结算'!B160)&gt;=1,VALUE('幕间与结算'!B160)&lt;=20),VALUE('幕间与结算'!B160),0),0)</f>
        <v>0</v>
      </c>
      <c r="B361">
        <f>IF(AND(A361&gt;0,'幕间与结算'!D160&lt;&gt;"",'幕间与结算'!J160="确认",ISNUMBER('幕间与结算'!K160),OR('幕间与结算'!G160="失败",'幕间与结算'!G160="大失败"),'幕间与结算'!H160="√",LEFT('幕间与结算'!E160,3)="技能：",'幕间与结算'!E160&lt;&gt;"技能：非自然知识",ISNUMBER('幕间与结算'!F160),'幕间与结算'!F160&gt;=1,'幕间与结算'!F160&lt;=99),1,0)</f>
        <v>0</v>
      </c>
      <c r="D361">
        <f>IF(AND('幕间与结算'!J160="确认",ISNUMBER('幕间与结算'!K160),'幕间与结算'!L160&lt;&gt;"",ISNUMBER('幕间与结算'!M160),'幕间与结算'!M160&gt;0,'幕间与结算'!M160&lt;=99),'幕间与结算'!M160,0)</f>
        <v>0</v>
      </c>
      <c r="E361">
        <f>IF(AND(B361=1,COUNTIFS($A$210:A361,A361,$B$210:B361,1,'幕间与结算'!$E$9:E160,'幕间与结算'!E160)=1),152,999999)</f>
        <v>999999</v>
      </c>
      <c r="F361">
        <v>160</v>
      </c>
      <c r="AA361">
        <f>IF($A361=1,$E361,999999)</f>
        <v>999999</v>
      </c>
      <c r="AB361">
        <f>IF($A361=2,$E361,999999)</f>
        <v>999999</v>
      </c>
      <c r="AC361">
        <f>IF($A361=3,$E361,999999)</f>
        <v>999999</v>
      </c>
      <c r="AD361">
        <f>IF($A361=4,$E361,999999)</f>
        <v>999999</v>
      </c>
      <c r="AE361">
        <f>IF($A361=5,$E361,999999)</f>
        <v>999999</v>
      </c>
      <c r="AF361">
        <f>IF($A361=6,$E361,999999)</f>
        <v>999999</v>
      </c>
      <c r="AG361">
        <f>IF($A361=7,$E361,999999)</f>
        <v>999999</v>
      </c>
      <c r="AH361">
        <f>IF($A361=8,$E361,999999)</f>
        <v>999999</v>
      </c>
      <c r="AI361">
        <f>IF($A361=9,$E361,999999)</f>
        <v>999999</v>
      </c>
      <c r="AJ361">
        <f>IF($A361=10,$E361,999999)</f>
        <v>999999</v>
      </c>
      <c r="AK361">
        <f>IF($A361=11,$E361,999999)</f>
        <v>999999</v>
      </c>
      <c r="AL361">
        <f>IF($A361=12,$E361,999999)</f>
        <v>999999</v>
      </c>
      <c r="AM361">
        <f>IF($A361=13,$E361,999999)</f>
        <v>999999</v>
      </c>
      <c r="AN361">
        <f>IF($A361=14,$E361,999999)</f>
        <v>999999</v>
      </c>
      <c r="AO361">
        <f>IF($A361=15,$E361,999999)</f>
        <v>999999</v>
      </c>
      <c r="AP361">
        <f>IF($A361=16,$E361,999999)</f>
        <v>999999</v>
      </c>
      <c r="AQ361">
        <f>IF($A361=17,$E361,999999)</f>
        <v>999999</v>
      </c>
      <c r="AR361">
        <f>IF($A361=18,$E361,999999)</f>
        <v>999999</v>
      </c>
      <c r="AS361">
        <f>IF($A361=19,$E361,999999)</f>
        <v>999999</v>
      </c>
      <c r="AT361">
        <f>IF($A361=20,$E361,999999)</f>
        <v>999999</v>
      </c>
      <c r="BA361">
        <f>MAX(0,MIN(CEILING((BF361+BG361)/2,1),BA360+IF('幕间与结算'!E160="体力",N('幕间与结算'!K160),0)))</f>
        <v>0</v>
      </c>
      <c r="BB361">
        <f>MAX(0,MIN(BJ361,BB360+IF('幕间与结算'!E160="毅力",N('幕间与结算'!K160),0)))</f>
        <v>0</v>
      </c>
      <c r="BC361">
        <f>MAX(0,MIN(99-BL361,BC360+IF('幕间与结算'!E160="理智",N('幕间与结算'!K160),0)))</f>
        <v>0</v>
      </c>
      <c r="BD361">
        <f>MAX(0,MIN(99,BD360+IF('幕间与结算'!E160="崩溃点",N('幕间与结算'!K160),0)))</f>
        <v>0</v>
      </c>
      <c r="BF361">
        <f>MAX(0,MIN(18,'幕间计算'!BF360+IF('幕间与结算'!E160="力量",N('幕间与结算'!K160),0)))</f>
        <v>0</v>
      </c>
      <c r="BG361">
        <f>MAX(0,MIN(18,'幕间计算'!BG360+IF('幕间与结算'!E160="体质",N('幕间与结算'!K160),0)))</f>
        <v>0</v>
      </c>
      <c r="BH361">
        <f>MAX(0,MIN(18,'幕间计算'!BH360+IF('幕间与结算'!E160="敏捷",N('幕间与结算'!K160),0)))</f>
        <v>0</v>
      </c>
      <c r="BI361">
        <f>MAX(0,MIN(18,'幕间计算'!BI360+IF('幕间与结算'!E160="智力",N('幕间与结算'!K160),0)))</f>
        <v>0</v>
      </c>
      <c r="BJ361">
        <f>MAX(0,MIN(18,'幕间计算'!BJ360+IF('幕间与结算'!E160="意志",N('幕间与结算'!K160),0)))</f>
        <v>0</v>
      </c>
      <c r="BK361">
        <f>MAX(0,MIN(18,'幕间计算'!BK360+IF('幕间与结算'!E160="魅力",N('幕间与结算'!K160),0)))</f>
        <v>0</v>
      </c>
      <c r="BL361">
        <f>MAX(0,MIN(99,'幕间计算'!BL360+IF('幕间与结算'!E160="技能：非自然知识",N('幕间与结算'!K160),0)))</f>
        <v>0</v>
      </c>
    </row>
    <row r="362">
      <c r="A362">
        <f>IFERROR(IF(AND(VALUE('幕间与结算'!B161)&gt;=1,VALUE('幕间与结算'!B161)&lt;=20),VALUE('幕间与结算'!B161),0),0)</f>
        <v>0</v>
      </c>
      <c r="B362">
        <f>IF(AND(A362&gt;0,'幕间与结算'!D161&lt;&gt;"",'幕间与结算'!J161="确认",ISNUMBER('幕间与结算'!K161),OR('幕间与结算'!G161="失败",'幕间与结算'!G161="大失败"),'幕间与结算'!H161="√",LEFT('幕间与结算'!E161,3)="技能：",'幕间与结算'!E161&lt;&gt;"技能：非自然知识",ISNUMBER('幕间与结算'!F161),'幕间与结算'!F161&gt;=1,'幕间与结算'!F161&lt;=99),1,0)</f>
        <v>0</v>
      </c>
      <c r="D362">
        <f>IF(AND('幕间与结算'!J161="确认",ISNUMBER('幕间与结算'!K161),'幕间与结算'!L161&lt;&gt;"",ISNUMBER('幕间与结算'!M161),'幕间与结算'!M161&gt;0,'幕间与结算'!M161&lt;=99),'幕间与结算'!M161,0)</f>
        <v>0</v>
      </c>
      <c r="E362">
        <f>IF(AND(B362=1,COUNTIFS($A$210:A362,A362,$B$210:B362,1,'幕间与结算'!$E$9:E161,'幕间与结算'!E161)=1),153,999999)</f>
        <v>999999</v>
      </c>
      <c r="F362">
        <v>161</v>
      </c>
      <c r="AA362">
        <f>IF($A362=1,$E362,999999)</f>
        <v>999999</v>
      </c>
      <c r="AB362">
        <f>IF($A362=2,$E362,999999)</f>
        <v>999999</v>
      </c>
      <c r="AC362">
        <f>IF($A362=3,$E362,999999)</f>
        <v>999999</v>
      </c>
      <c r="AD362">
        <f>IF($A362=4,$E362,999999)</f>
        <v>999999</v>
      </c>
      <c r="AE362">
        <f>IF($A362=5,$E362,999999)</f>
        <v>999999</v>
      </c>
      <c r="AF362">
        <f>IF($A362=6,$E362,999999)</f>
        <v>999999</v>
      </c>
      <c r="AG362">
        <f>IF($A362=7,$E362,999999)</f>
        <v>999999</v>
      </c>
      <c r="AH362">
        <f>IF($A362=8,$E362,999999)</f>
        <v>999999</v>
      </c>
      <c r="AI362">
        <f>IF($A362=9,$E362,999999)</f>
        <v>999999</v>
      </c>
      <c r="AJ362">
        <f>IF($A362=10,$E362,999999)</f>
        <v>999999</v>
      </c>
      <c r="AK362">
        <f>IF($A362=11,$E362,999999)</f>
        <v>999999</v>
      </c>
      <c r="AL362">
        <f>IF($A362=12,$E362,999999)</f>
        <v>999999</v>
      </c>
      <c r="AM362">
        <f>IF($A362=13,$E362,999999)</f>
        <v>999999</v>
      </c>
      <c r="AN362">
        <f>IF($A362=14,$E362,999999)</f>
        <v>999999</v>
      </c>
      <c r="AO362">
        <f>IF($A362=15,$E362,999999)</f>
        <v>999999</v>
      </c>
      <c r="AP362">
        <f>IF($A362=16,$E362,999999)</f>
        <v>999999</v>
      </c>
      <c r="AQ362">
        <f>IF($A362=17,$E362,999999)</f>
        <v>999999</v>
      </c>
      <c r="AR362">
        <f>IF($A362=18,$E362,999999)</f>
        <v>999999</v>
      </c>
      <c r="AS362">
        <f>IF($A362=19,$E362,999999)</f>
        <v>999999</v>
      </c>
      <c r="AT362">
        <f>IF($A362=20,$E362,999999)</f>
        <v>999999</v>
      </c>
      <c r="BA362">
        <f>MAX(0,MIN(CEILING((BF362+BG362)/2,1),BA361+IF('幕间与结算'!E161="体力",N('幕间与结算'!K161),0)))</f>
        <v>0</v>
      </c>
      <c r="BB362">
        <f>MAX(0,MIN(BJ362,BB361+IF('幕间与结算'!E161="毅力",N('幕间与结算'!K161),0)))</f>
        <v>0</v>
      </c>
      <c r="BC362">
        <f>MAX(0,MIN(99-BL362,BC361+IF('幕间与结算'!E161="理智",N('幕间与结算'!K161),0)))</f>
        <v>0</v>
      </c>
      <c r="BD362">
        <f>MAX(0,MIN(99,BD361+IF('幕间与结算'!E161="崩溃点",N('幕间与结算'!K161),0)))</f>
        <v>0</v>
      </c>
      <c r="BF362">
        <f>MAX(0,MIN(18,'幕间计算'!BF361+IF('幕间与结算'!E161="力量",N('幕间与结算'!K161),0)))</f>
        <v>0</v>
      </c>
      <c r="BG362">
        <f>MAX(0,MIN(18,'幕间计算'!BG361+IF('幕间与结算'!E161="体质",N('幕间与结算'!K161),0)))</f>
        <v>0</v>
      </c>
      <c r="BH362">
        <f>MAX(0,MIN(18,'幕间计算'!BH361+IF('幕间与结算'!E161="敏捷",N('幕间与结算'!K161),0)))</f>
        <v>0</v>
      </c>
      <c r="BI362">
        <f>MAX(0,MIN(18,'幕间计算'!BI361+IF('幕间与结算'!E161="智力",N('幕间与结算'!K161),0)))</f>
        <v>0</v>
      </c>
      <c r="BJ362">
        <f>MAX(0,MIN(18,'幕间计算'!BJ361+IF('幕间与结算'!E161="意志",N('幕间与结算'!K161),0)))</f>
        <v>0</v>
      </c>
      <c r="BK362">
        <f>MAX(0,MIN(18,'幕间计算'!BK361+IF('幕间与结算'!E161="魅力",N('幕间与结算'!K161),0)))</f>
        <v>0</v>
      </c>
      <c r="BL362">
        <f>MAX(0,MIN(99,'幕间计算'!BL361+IF('幕间与结算'!E161="技能：非自然知识",N('幕间与结算'!K161),0)))</f>
        <v>0</v>
      </c>
    </row>
    <row r="363">
      <c r="A363">
        <f>IFERROR(IF(AND(VALUE('幕间与结算'!B162)&gt;=1,VALUE('幕间与结算'!B162)&lt;=20),VALUE('幕间与结算'!B162),0),0)</f>
        <v>0</v>
      </c>
      <c r="B363">
        <f>IF(AND(A363&gt;0,'幕间与结算'!D162&lt;&gt;"",'幕间与结算'!J162="确认",ISNUMBER('幕间与结算'!K162),OR('幕间与结算'!G162="失败",'幕间与结算'!G162="大失败"),'幕间与结算'!H162="√",LEFT('幕间与结算'!E162,3)="技能：",'幕间与结算'!E162&lt;&gt;"技能：非自然知识",ISNUMBER('幕间与结算'!F162),'幕间与结算'!F162&gt;=1,'幕间与结算'!F162&lt;=99),1,0)</f>
        <v>0</v>
      </c>
      <c r="D363">
        <f>IF(AND('幕间与结算'!J162="确认",ISNUMBER('幕间与结算'!K162),'幕间与结算'!L162&lt;&gt;"",ISNUMBER('幕间与结算'!M162),'幕间与结算'!M162&gt;0,'幕间与结算'!M162&lt;=99),'幕间与结算'!M162,0)</f>
        <v>0</v>
      </c>
      <c r="E363">
        <f>IF(AND(B363=1,COUNTIFS($A$210:A363,A363,$B$210:B363,1,'幕间与结算'!$E$9:E162,'幕间与结算'!E162)=1),154,999999)</f>
        <v>999999</v>
      </c>
      <c r="F363">
        <v>162</v>
      </c>
      <c r="AA363">
        <f>IF($A363=1,$E363,999999)</f>
        <v>999999</v>
      </c>
      <c r="AB363">
        <f>IF($A363=2,$E363,999999)</f>
        <v>999999</v>
      </c>
      <c r="AC363">
        <f>IF($A363=3,$E363,999999)</f>
        <v>999999</v>
      </c>
      <c r="AD363">
        <f>IF($A363=4,$E363,999999)</f>
        <v>999999</v>
      </c>
      <c r="AE363">
        <f>IF($A363=5,$E363,999999)</f>
        <v>999999</v>
      </c>
      <c r="AF363">
        <f>IF($A363=6,$E363,999999)</f>
        <v>999999</v>
      </c>
      <c r="AG363">
        <f>IF($A363=7,$E363,999999)</f>
        <v>999999</v>
      </c>
      <c r="AH363">
        <f>IF($A363=8,$E363,999999)</f>
        <v>999999</v>
      </c>
      <c r="AI363">
        <f>IF($A363=9,$E363,999999)</f>
        <v>999999</v>
      </c>
      <c r="AJ363">
        <f>IF($A363=10,$E363,999999)</f>
        <v>999999</v>
      </c>
      <c r="AK363">
        <f>IF($A363=11,$E363,999999)</f>
        <v>999999</v>
      </c>
      <c r="AL363">
        <f>IF($A363=12,$E363,999999)</f>
        <v>999999</v>
      </c>
      <c r="AM363">
        <f>IF($A363=13,$E363,999999)</f>
        <v>999999</v>
      </c>
      <c r="AN363">
        <f>IF($A363=14,$E363,999999)</f>
        <v>999999</v>
      </c>
      <c r="AO363">
        <f>IF($A363=15,$E363,999999)</f>
        <v>999999</v>
      </c>
      <c r="AP363">
        <f>IF($A363=16,$E363,999999)</f>
        <v>999999</v>
      </c>
      <c r="AQ363">
        <f>IF($A363=17,$E363,999999)</f>
        <v>999999</v>
      </c>
      <c r="AR363">
        <f>IF($A363=18,$E363,999999)</f>
        <v>999999</v>
      </c>
      <c r="AS363">
        <f>IF($A363=19,$E363,999999)</f>
        <v>999999</v>
      </c>
      <c r="AT363">
        <f>IF($A363=20,$E363,999999)</f>
        <v>999999</v>
      </c>
      <c r="BA363">
        <f>MAX(0,MIN(CEILING((BF363+BG363)/2,1),BA362+IF('幕间与结算'!E162="体力",N('幕间与结算'!K162),0)))</f>
        <v>0</v>
      </c>
      <c r="BB363">
        <f>MAX(0,MIN(BJ363,BB362+IF('幕间与结算'!E162="毅力",N('幕间与结算'!K162),0)))</f>
        <v>0</v>
      </c>
      <c r="BC363">
        <f>MAX(0,MIN(99-BL363,BC362+IF('幕间与结算'!E162="理智",N('幕间与结算'!K162),0)))</f>
        <v>0</v>
      </c>
      <c r="BD363">
        <f>MAX(0,MIN(99,BD362+IF('幕间与结算'!E162="崩溃点",N('幕间与结算'!K162),0)))</f>
        <v>0</v>
      </c>
      <c r="BF363">
        <f>MAX(0,MIN(18,'幕间计算'!BF362+IF('幕间与结算'!E162="力量",N('幕间与结算'!K162),0)))</f>
        <v>0</v>
      </c>
      <c r="BG363">
        <f>MAX(0,MIN(18,'幕间计算'!BG362+IF('幕间与结算'!E162="体质",N('幕间与结算'!K162),0)))</f>
        <v>0</v>
      </c>
      <c r="BH363">
        <f>MAX(0,MIN(18,'幕间计算'!BH362+IF('幕间与结算'!E162="敏捷",N('幕间与结算'!K162),0)))</f>
        <v>0</v>
      </c>
      <c r="BI363">
        <f>MAX(0,MIN(18,'幕间计算'!BI362+IF('幕间与结算'!E162="智力",N('幕间与结算'!K162),0)))</f>
        <v>0</v>
      </c>
      <c r="BJ363">
        <f>MAX(0,MIN(18,'幕间计算'!BJ362+IF('幕间与结算'!E162="意志",N('幕间与结算'!K162),0)))</f>
        <v>0</v>
      </c>
      <c r="BK363">
        <f>MAX(0,MIN(18,'幕间计算'!BK362+IF('幕间与结算'!E162="魅力",N('幕间与结算'!K162),0)))</f>
        <v>0</v>
      </c>
      <c r="BL363">
        <f>MAX(0,MIN(99,'幕间计算'!BL362+IF('幕间与结算'!E162="技能：非自然知识",N('幕间与结算'!K162),0)))</f>
        <v>0</v>
      </c>
    </row>
    <row r="364">
      <c r="A364">
        <f>IFERROR(IF(AND(VALUE('幕间与结算'!B163)&gt;=1,VALUE('幕间与结算'!B163)&lt;=20),VALUE('幕间与结算'!B163),0),0)</f>
        <v>0</v>
      </c>
      <c r="B364">
        <f>IF(AND(A364&gt;0,'幕间与结算'!D163&lt;&gt;"",'幕间与结算'!J163="确认",ISNUMBER('幕间与结算'!K163),OR('幕间与结算'!G163="失败",'幕间与结算'!G163="大失败"),'幕间与结算'!H163="√",LEFT('幕间与结算'!E163,3)="技能：",'幕间与结算'!E163&lt;&gt;"技能：非自然知识",ISNUMBER('幕间与结算'!F163),'幕间与结算'!F163&gt;=1,'幕间与结算'!F163&lt;=99),1,0)</f>
        <v>0</v>
      </c>
      <c r="D364">
        <f>IF(AND('幕间与结算'!J163="确认",ISNUMBER('幕间与结算'!K163),'幕间与结算'!L163&lt;&gt;"",ISNUMBER('幕间与结算'!M163),'幕间与结算'!M163&gt;0,'幕间与结算'!M163&lt;=99),'幕间与结算'!M163,0)</f>
        <v>0</v>
      </c>
      <c r="E364">
        <f>IF(AND(B364=1,COUNTIFS($A$210:A364,A364,$B$210:B364,1,'幕间与结算'!$E$9:E163,'幕间与结算'!E163)=1),155,999999)</f>
        <v>999999</v>
      </c>
      <c r="F364">
        <v>163</v>
      </c>
      <c r="AA364">
        <f>IF($A364=1,$E364,999999)</f>
        <v>999999</v>
      </c>
      <c r="AB364">
        <f>IF($A364=2,$E364,999999)</f>
        <v>999999</v>
      </c>
      <c r="AC364">
        <f>IF($A364=3,$E364,999999)</f>
        <v>999999</v>
      </c>
      <c r="AD364">
        <f>IF($A364=4,$E364,999999)</f>
        <v>999999</v>
      </c>
      <c r="AE364">
        <f>IF($A364=5,$E364,999999)</f>
        <v>999999</v>
      </c>
      <c r="AF364">
        <f>IF($A364=6,$E364,999999)</f>
        <v>999999</v>
      </c>
      <c r="AG364">
        <f>IF($A364=7,$E364,999999)</f>
        <v>999999</v>
      </c>
      <c r="AH364">
        <f>IF($A364=8,$E364,999999)</f>
        <v>999999</v>
      </c>
      <c r="AI364">
        <f>IF($A364=9,$E364,999999)</f>
        <v>999999</v>
      </c>
      <c r="AJ364">
        <f>IF($A364=10,$E364,999999)</f>
        <v>999999</v>
      </c>
      <c r="AK364">
        <f>IF($A364=11,$E364,999999)</f>
        <v>999999</v>
      </c>
      <c r="AL364">
        <f>IF($A364=12,$E364,999999)</f>
        <v>999999</v>
      </c>
      <c r="AM364">
        <f>IF($A364=13,$E364,999999)</f>
        <v>999999</v>
      </c>
      <c r="AN364">
        <f>IF($A364=14,$E364,999999)</f>
        <v>999999</v>
      </c>
      <c r="AO364">
        <f>IF($A364=15,$E364,999999)</f>
        <v>999999</v>
      </c>
      <c r="AP364">
        <f>IF($A364=16,$E364,999999)</f>
        <v>999999</v>
      </c>
      <c r="AQ364">
        <f>IF($A364=17,$E364,999999)</f>
        <v>999999</v>
      </c>
      <c r="AR364">
        <f>IF($A364=18,$E364,999999)</f>
        <v>999999</v>
      </c>
      <c r="AS364">
        <f>IF($A364=19,$E364,999999)</f>
        <v>999999</v>
      </c>
      <c r="AT364">
        <f>IF($A364=20,$E364,999999)</f>
        <v>999999</v>
      </c>
      <c r="BA364">
        <f>MAX(0,MIN(CEILING((BF364+BG364)/2,1),BA363+IF('幕间与结算'!E163="体力",N('幕间与结算'!K163),0)))</f>
        <v>0</v>
      </c>
      <c r="BB364">
        <f>MAX(0,MIN(BJ364,BB363+IF('幕间与结算'!E163="毅力",N('幕间与结算'!K163),0)))</f>
        <v>0</v>
      </c>
      <c r="BC364">
        <f>MAX(0,MIN(99-BL364,BC363+IF('幕间与结算'!E163="理智",N('幕间与结算'!K163),0)))</f>
        <v>0</v>
      </c>
      <c r="BD364">
        <f>MAX(0,MIN(99,BD363+IF('幕间与结算'!E163="崩溃点",N('幕间与结算'!K163),0)))</f>
        <v>0</v>
      </c>
      <c r="BF364">
        <f>MAX(0,MIN(18,'幕间计算'!BF363+IF('幕间与结算'!E163="力量",N('幕间与结算'!K163),0)))</f>
        <v>0</v>
      </c>
      <c r="BG364">
        <f>MAX(0,MIN(18,'幕间计算'!BG363+IF('幕间与结算'!E163="体质",N('幕间与结算'!K163),0)))</f>
        <v>0</v>
      </c>
      <c r="BH364">
        <f>MAX(0,MIN(18,'幕间计算'!BH363+IF('幕间与结算'!E163="敏捷",N('幕间与结算'!K163),0)))</f>
        <v>0</v>
      </c>
      <c r="BI364">
        <f>MAX(0,MIN(18,'幕间计算'!BI363+IF('幕间与结算'!E163="智力",N('幕间与结算'!K163),0)))</f>
        <v>0</v>
      </c>
      <c r="BJ364">
        <f>MAX(0,MIN(18,'幕间计算'!BJ363+IF('幕间与结算'!E163="意志",N('幕间与结算'!K163),0)))</f>
        <v>0</v>
      </c>
      <c r="BK364">
        <f>MAX(0,MIN(18,'幕间计算'!BK363+IF('幕间与结算'!E163="魅力",N('幕间与结算'!K163),0)))</f>
        <v>0</v>
      </c>
      <c r="BL364">
        <f>MAX(0,MIN(99,'幕间计算'!BL363+IF('幕间与结算'!E163="技能：非自然知识",N('幕间与结算'!K163),0)))</f>
        <v>0</v>
      </c>
    </row>
    <row r="365">
      <c r="A365">
        <f>IFERROR(IF(AND(VALUE('幕间与结算'!B164)&gt;=1,VALUE('幕间与结算'!B164)&lt;=20),VALUE('幕间与结算'!B164),0),0)</f>
        <v>0</v>
      </c>
      <c r="B365">
        <f>IF(AND(A365&gt;0,'幕间与结算'!D164&lt;&gt;"",'幕间与结算'!J164="确认",ISNUMBER('幕间与结算'!K164),OR('幕间与结算'!G164="失败",'幕间与结算'!G164="大失败"),'幕间与结算'!H164="√",LEFT('幕间与结算'!E164,3)="技能：",'幕间与结算'!E164&lt;&gt;"技能：非自然知识",ISNUMBER('幕间与结算'!F164),'幕间与结算'!F164&gt;=1,'幕间与结算'!F164&lt;=99),1,0)</f>
        <v>0</v>
      </c>
      <c r="D365">
        <f>IF(AND('幕间与结算'!J164="确认",ISNUMBER('幕间与结算'!K164),'幕间与结算'!L164&lt;&gt;"",ISNUMBER('幕间与结算'!M164),'幕间与结算'!M164&gt;0,'幕间与结算'!M164&lt;=99),'幕间与结算'!M164,0)</f>
        <v>0</v>
      </c>
      <c r="E365">
        <f>IF(AND(B365=1,COUNTIFS($A$210:A365,A365,$B$210:B365,1,'幕间与结算'!$E$9:E164,'幕间与结算'!E164)=1),156,999999)</f>
        <v>999999</v>
      </c>
      <c r="F365">
        <v>164</v>
      </c>
      <c r="AA365">
        <f>IF($A365=1,$E365,999999)</f>
        <v>999999</v>
      </c>
      <c r="AB365">
        <f>IF($A365=2,$E365,999999)</f>
        <v>999999</v>
      </c>
      <c r="AC365">
        <f>IF($A365=3,$E365,999999)</f>
        <v>999999</v>
      </c>
      <c r="AD365">
        <f>IF($A365=4,$E365,999999)</f>
        <v>999999</v>
      </c>
      <c r="AE365">
        <f>IF($A365=5,$E365,999999)</f>
        <v>999999</v>
      </c>
      <c r="AF365">
        <f>IF($A365=6,$E365,999999)</f>
        <v>999999</v>
      </c>
      <c r="AG365">
        <f>IF($A365=7,$E365,999999)</f>
        <v>999999</v>
      </c>
      <c r="AH365">
        <f>IF($A365=8,$E365,999999)</f>
        <v>999999</v>
      </c>
      <c r="AI365">
        <f>IF($A365=9,$E365,999999)</f>
        <v>999999</v>
      </c>
      <c r="AJ365">
        <f>IF($A365=10,$E365,999999)</f>
        <v>999999</v>
      </c>
      <c r="AK365">
        <f>IF($A365=11,$E365,999999)</f>
        <v>999999</v>
      </c>
      <c r="AL365">
        <f>IF($A365=12,$E365,999999)</f>
        <v>999999</v>
      </c>
      <c r="AM365">
        <f>IF($A365=13,$E365,999999)</f>
        <v>999999</v>
      </c>
      <c r="AN365">
        <f>IF($A365=14,$E365,999999)</f>
        <v>999999</v>
      </c>
      <c r="AO365">
        <f>IF($A365=15,$E365,999999)</f>
        <v>999999</v>
      </c>
      <c r="AP365">
        <f>IF($A365=16,$E365,999999)</f>
        <v>999999</v>
      </c>
      <c r="AQ365">
        <f>IF($A365=17,$E365,999999)</f>
        <v>999999</v>
      </c>
      <c r="AR365">
        <f>IF($A365=18,$E365,999999)</f>
        <v>999999</v>
      </c>
      <c r="AS365">
        <f>IF($A365=19,$E365,999999)</f>
        <v>999999</v>
      </c>
      <c r="AT365">
        <f>IF($A365=20,$E365,999999)</f>
        <v>999999</v>
      </c>
      <c r="BA365">
        <f>MAX(0,MIN(CEILING((BF365+BG365)/2,1),BA364+IF('幕间与结算'!E164="体力",N('幕间与结算'!K164),0)))</f>
        <v>0</v>
      </c>
      <c r="BB365">
        <f>MAX(0,MIN(BJ365,BB364+IF('幕间与结算'!E164="毅力",N('幕间与结算'!K164),0)))</f>
        <v>0</v>
      </c>
      <c r="BC365">
        <f>MAX(0,MIN(99-BL365,BC364+IF('幕间与结算'!E164="理智",N('幕间与结算'!K164),0)))</f>
        <v>0</v>
      </c>
      <c r="BD365">
        <f>MAX(0,MIN(99,BD364+IF('幕间与结算'!E164="崩溃点",N('幕间与结算'!K164),0)))</f>
        <v>0</v>
      </c>
      <c r="BF365">
        <f>MAX(0,MIN(18,'幕间计算'!BF364+IF('幕间与结算'!E164="力量",N('幕间与结算'!K164),0)))</f>
        <v>0</v>
      </c>
      <c r="BG365">
        <f>MAX(0,MIN(18,'幕间计算'!BG364+IF('幕间与结算'!E164="体质",N('幕间与结算'!K164),0)))</f>
        <v>0</v>
      </c>
      <c r="BH365">
        <f>MAX(0,MIN(18,'幕间计算'!BH364+IF('幕间与结算'!E164="敏捷",N('幕间与结算'!K164),0)))</f>
        <v>0</v>
      </c>
      <c r="BI365">
        <f>MAX(0,MIN(18,'幕间计算'!BI364+IF('幕间与结算'!E164="智力",N('幕间与结算'!K164),0)))</f>
        <v>0</v>
      </c>
      <c r="BJ365">
        <f>MAX(0,MIN(18,'幕间计算'!BJ364+IF('幕间与结算'!E164="意志",N('幕间与结算'!K164),0)))</f>
        <v>0</v>
      </c>
      <c r="BK365">
        <f>MAX(0,MIN(18,'幕间计算'!BK364+IF('幕间与结算'!E164="魅力",N('幕间与结算'!K164),0)))</f>
        <v>0</v>
      </c>
      <c r="BL365">
        <f>MAX(0,MIN(99,'幕间计算'!BL364+IF('幕间与结算'!E164="技能：非自然知识",N('幕间与结算'!K164),0)))</f>
        <v>0</v>
      </c>
    </row>
    <row r="366">
      <c r="A366">
        <f>IFERROR(IF(AND(VALUE('幕间与结算'!B165)&gt;=1,VALUE('幕间与结算'!B165)&lt;=20),VALUE('幕间与结算'!B165),0),0)</f>
        <v>0</v>
      </c>
      <c r="B366">
        <f>IF(AND(A366&gt;0,'幕间与结算'!D165&lt;&gt;"",'幕间与结算'!J165="确认",ISNUMBER('幕间与结算'!K165),OR('幕间与结算'!G165="失败",'幕间与结算'!G165="大失败"),'幕间与结算'!H165="√",LEFT('幕间与结算'!E165,3)="技能：",'幕间与结算'!E165&lt;&gt;"技能：非自然知识",ISNUMBER('幕间与结算'!F165),'幕间与结算'!F165&gt;=1,'幕间与结算'!F165&lt;=99),1,0)</f>
        <v>0</v>
      </c>
      <c r="D366">
        <f>IF(AND('幕间与结算'!J165="确认",ISNUMBER('幕间与结算'!K165),'幕间与结算'!L165&lt;&gt;"",ISNUMBER('幕间与结算'!M165),'幕间与结算'!M165&gt;0,'幕间与结算'!M165&lt;=99),'幕间与结算'!M165,0)</f>
        <v>0</v>
      </c>
      <c r="E366">
        <f>IF(AND(B366=1,COUNTIFS($A$210:A366,A366,$B$210:B366,1,'幕间与结算'!$E$9:E165,'幕间与结算'!E165)=1),157,999999)</f>
        <v>999999</v>
      </c>
      <c r="F366">
        <v>165</v>
      </c>
      <c r="AA366">
        <f>IF($A366=1,$E366,999999)</f>
        <v>999999</v>
      </c>
      <c r="AB366">
        <f>IF($A366=2,$E366,999999)</f>
        <v>999999</v>
      </c>
      <c r="AC366">
        <f>IF($A366=3,$E366,999999)</f>
        <v>999999</v>
      </c>
      <c r="AD366">
        <f>IF($A366=4,$E366,999999)</f>
        <v>999999</v>
      </c>
      <c r="AE366">
        <f>IF($A366=5,$E366,999999)</f>
        <v>999999</v>
      </c>
      <c r="AF366">
        <f>IF($A366=6,$E366,999999)</f>
        <v>999999</v>
      </c>
      <c r="AG366">
        <f>IF($A366=7,$E366,999999)</f>
        <v>999999</v>
      </c>
      <c r="AH366">
        <f>IF($A366=8,$E366,999999)</f>
        <v>999999</v>
      </c>
      <c r="AI366">
        <f>IF($A366=9,$E366,999999)</f>
        <v>999999</v>
      </c>
      <c r="AJ366">
        <f>IF($A366=10,$E366,999999)</f>
        <v>999999</v>
      </c>
      <c r="AK366">
        <f>IF($A366=11,$E366,999999)</f>
        <v>999999</v>
      </c>
      <c r="AL366">
        <f>IF($A366=12,$E366,999999)</f>
        <v>999999</v>
      </c>
      <c r="AM366">
        <f>IF($A366=13,$E366,999999)</f>
        <v>999999</v>
      </c>
      <c r="AN366">
        <f>IF($A366=14,$E366,999999)</f>
        <v>999999</v>
      </c>
      <c r="AO366">
        <f>IF($A366=15,$E366,999999)</f>
        <v>999999</v>
      </c>
      <c r="AP366">
        <f>IF($A366=16,$E366,999999)</f>
        <v>999999</v>
      </c>
      <c r="AQ366">
        <f>IF($A366=17,$E366,999999)</f>
        <v>999999</v>
      </c>
      <c r="AR366">
        <f>IF($A366=18,$E366,999999)</f>
        <v>999999</v>
      </c>
      <c r="AS366">
        <f>IF($A366=19,$E366,999999)</f>
        <v>999999</v>
      </c>
      <c r="AT366">
        <f>IF($A366=20,$E366,999999)</f>
        <v>999999</v>
      </c>
      <c r="BA366">
        <f>MAX(0,MIN(CEILING((BF366+BG366)/2,1),BA365+IF('幕间与结算'!E165="体力",N('幕间与结算'!K165),0)))</f>
        <v>0</v>
      </c>
      <c r="BB366">
        <f>MAX(0,MIN(BJ366,BB365+IF('幕间与结算'!E165="毅力",N('幕间与结算'!K165),0)))</f>
        <v>0</v>
      </c>
      <c r="BC366">
        <f>MAX(0,MIN(99-BL366,BC365+IF('幕间与结算'!E165="理智",N('幕间与结算'!K165),0)))</f>
        <v>0</v>
      </c>
      <c r="BD366">
        <f>MAX(0,MIN(99,BD365+IF('幕间与结算'!E165="崩溃点",N('幕间与结算'!K165),0)))</f>
        <v>0</v>
      </c>
      <c r="BF366">
        <f>MAX(0,MIN(18,'幕间计算'!BF365+IF('幕间与结算'!E165="力量",N('幕间与结算'!K165),0)))</f>
        <v>0</v>
      </c>
      <c r="BG366">
        <f>MAX(0,MIN(18,'幕间计算'!BG365+IF('幕间与结算'!E165="体质",N('幕间与结算'!K165),0)))</f>
        <v>0</v>
      </c>
      <c r="BH366">
        <f>MAX(0,MIN(18,'幕间计算'!BH365+IF('幕间与结算'!E165="敏捷",N('幕间与结算'!K165),0)))</f>
        <v>0</v>
      </c>
      <c r="BI366">
        <f>MAX(0,MIN(18,'幕间计算'!BI365+IF('幕间与结算'!E165="智力",N('幕间与结算'!K165),0)))</f>
        <v>0</v>
      </c>
      <c r="BJ366">
        <f>MAX(0,MIN(18,'幕间计算'!BJ365+IF('幕间与结算'!E165="意志",N('幕间与结算'!K165),0)))</f>
        <v>0</v>
      </c>
      <c r="BK366">
        <f>MAX(0,MIN(18,'幕间计算'!BK365+IF('幕间与结算'!E165="魅力",N('幕间与结算'!K165),0)))</f>
        <v>0</v>
      </c>
      <c r="BL366">
        <f>MAX(0,MIN(99,'幕间计算'!BL365+IF('幕间与结算'!E165="技能：非自然知识",N('幕间与结算'!K165),0)))</f>
        <v>0</v>
      </c>
    </row>
    <row r="367">
      <c r="A367">
        <f>IFERROR(IF(AND(VALUE('幕间与结算'!B166)&gt;=1,VALUE('幕间与结算'!B166)&lt;=20),VALUE('幕间与结算'!B166),0),0)</f>
        <v>0</v>
      </c>
      <c r="B367">
        <f>IF(AND(A367&gt;0,'幕间与结算'!D166&lt;&gt;"",'幕间与结算'!J166="确认",ISNUMBER('幕间与结算'!K166),OR('幕间与结算'!G166="失败",'幕间与结算'!G166="大失败"),'幕间与结算'!H166="√",LEFT('幕间与结算'!E166,3)="技能：",'幕间与结算'!E166&lt;&gt;"技能：非自然知识",ISNUMBER('幕间与结算'!F166),'幕间与结算'!F166&gt;=1,'幕间与结算'!F166&lt;=99),1,0)</f>
        <v>0</v>
      </c>
      <c r="D367">
        <f>IF(AND('幕间与结算'!J166="确认",ISNUMBER('幕间与结算'!K166),'幕间与结算'!L166&lt;&gt;"",ISNUMBER('幕间与结算'!M166),'幕间与结算'!M166&gt;0,'幕间与结算'!M166&lt;=99),'幕间与结算'!M166,0)</f>
        <v>0</v>
      </c>
      <c r="E367">
        <f>IF(AND(B367=1,COUNTIFS($A$210:A367,A367,$B$210:B367,1,'幕间与结算'!$E$9:E166,'幕间与结算'!E166)=1),158,999999)</f>
        <v>999999</v>
      </c>
      <c r="F367">
        <v>166</v>
      </c>
      <c r="AA367">
        <f>IF($A367=1,$E367,999999)</f>
        <v>999999</v>
      </c>
      <c r="AB367">
        <f>IF($A367=2,$E367,999999)</f>
        <v>999999</v>
      </c>
      <c r="AC367">
        <f>IF($A367=3,$E367,999999)</f>
        <v>999999</v>
      </c>
      <c r="AD367">
        <f>IF($A367=4,$E367,999999)</f>
        <v>999999</v>
      </c>
      <c r="AE367">
        <f>IF($A367=5,$E367,999999)</f>
        <v>999999</v>
      </c>
      <c r="AF367">
        <f>IF($A367=6,$E367,999999)</f>
        <v>999999</v>
      </c>
      <c r="AG367">
        <f>IF($A367=7,$E367,999999)</f>
        <v>999999</v>
      </c>
      <c r="AH367">
        <f>IF($A367=8,$E367,999999)</f>
        <v>999999</v>
      </c>
      <c r="AI367">
        <f>IF($A367=9,$E367,999999)</f>
        <v>999999</v>
      </c>
      <c r="AJ367">
        <f>IF($A367=10,$E367,999999)</f>
        <v>999999</v>
      </c>
      <c r="AK367">
        <f>IF($A367=11,$E367,999999)</f>
        <v>999999</v>
      </c>
      <c r="AL367">
        <f>IF($A367=12,$E367,999999)</f>
        <v>999999</v>
      </c>
      <c r="AM367">
        <f>IF($A367=13,$E367,999999)</f>
        <v>999999</v>
      </c>
      <c r="AN367">
        <f>IF($A367=14,$E367,999999)</f>
        <v>999999</v>
      </c>
      <c r="AO367">
        <f>IF($A367=15,$E367,999999)</f>
        <v>999999</v>
      </c>
      <c r="AP367">
        <f>IF($A367=16,$E367,999999)</f>
        <v>999999</v>
      </c>
      <c r="AQ367">
        <f>IF($A367=17,$E367,999999)</f>
        <v>999999</v>
      </c>
      <c r="AR367">
        <f>IF($A367=18,$E367,999999)</f>
        <v>999999</v>
      </c>
      <c r="AS367">
        <f>IF($A367=19,$E367,999999)</f>
        <v>999999</v>
      </c>
      <c r="AT367">
        <f>IF($A367=20,$E367,999999)</f>
        <v>999999</v>
      </c>
      <c r="BA367">
        <f>MAX(0,MIN(CEILING((BF367+BG367)/2,1),BA366+IF('幕间与结算'!E166="体力",N('幕间与结算'!K166),0)))</f>
        <v>0</v>
      </c>
      <c r="BB367">
        <f>MAX(0,MIN(BJ367,BB366+IF('幕间与结算'!E166="毅力",N('幕间与结算'!K166),0)))</f>
        <v>0</v>
      </c>
      <c r="BC367">
        <f>MAX(0,MIN(99-BL367,BC366+IF('幕间与结算'!E166="理智",N('幕间与结算'!K166),0)))</f>
        <v>0</v>
      </c>
      <c r="BD367">
        <f>MAX(0,MIN(99,BD366+IF('幕间与结算'!E166="崩溃点",N('幕间与结算'!K166),0)))</f>
        <v>0</v>
      </c>
      <c r="BF367">
        <f>MAX(0,MIN(18,'幕间计算'!BF366+IF('幕间与结算'!E166="力量",N('幕间与结算'!K166),0)))</f>
        <v>0</v>
      </c>
      <c r="BG367">
        <f>MAX(0,MIN(18,'幕间计算'!BG366+IF('幕间与结算'!E166="体质",N('幕间与结算'!K166),0)))</f>
        <v>0</v>
      </c>
      <c r="BH367">
        <f>MAX(0,MIN(18,'幕间计算'!BH366+IF('幕间与结算'!E166="敏捷",N('幕间与结算'!K166),0)))</f>
        <v>0</v>
      </c>
      <c r="BI367">
        <f>MAX(0,MIN(18,'幕间计算'!BI366+IF('幕间与结算'!E166="智力",N('幕间与结算'!K166),0)))</f>
        <v>0</v>
      </c>
      <c r="BJ367">
        <f>MAX(0,MIN(18,'幕间计算'!BJ366+IF('幕间与结算'!E166="意志",N('幕间与结算'!K166),0)))</f>
        <v>0</v>
      </c>
      <c r="BK367">
        <f>MAX(0,MIN(18,'幕间计算'!BK366+IF('幕间与结算'!E166="魅力",N('幕间与结算'!K166),0)))</f>
        <v>0</v>
      </c>
      <c r="BL367">
        <f>MAX(0,MIN(99,'幕间计算'!BL366+IF('幕间与结算'!E166="技能：非自然知识",N('幕间与结算'!K166),0)))</f>
        <v>0</v>
      </c>
    </row>
    <row r="368">
      <c r="A368">
        <f>IFERROR(IF(AND(VALUE('幕间与结算'!B167)&gt;=1,VALUE('幕间与结算'!B167)&lt;=20),VALUE('幕间与结算'!B167),0),0)</f>
        <v>0</v>
      </c>
      <c r="B368">
        <f>IF(AND(A368&gt;0,'幕间与结算'!D167&lt;&gt;"",'幕间与结算'!J167="确认",ISNUMBER('幕间与结算'!K167),OR('幕间与结算'!G167="失败",'幕间与结算'!G167="大失败"),'幕间与结算'!H167="√",LEFT('幕间与结算'!E167,3)="技能：",'幕间与结算'!E167&lt;&gt;"技能：非自然知识",ISNUMBER('幕间与结算'!F167),'幕间与结算'!F167&gt;=1,'幕间与结算'!F167&lt;=99),1,0)</f>
        <v>0</v>
      </c>
      <c r="D368">
        <f>IF(AND('幕间与结算'!J167="确认",ISNUMBER('幕间与结算'!K167),'幕间与结算'!L167&lt;&gt;"",ISNUMBER('幕间与结算'!M167),'幕间与结算'!M167&gt;0,'幕间与结算'!M167&lt;=99),'幕间与结算'!M167,0)</f>
        <v>0</v>
      </c>
      <c r="E368">
        <f>IF(AND(B368=1,COUNTIFS($A$210:A368,A368,$B$210:B368,1,'幕间与结算'!$E$9:E167,'幕间与结算'!E167)=1),159,999999)</f>
        <v>999999</v>
      </c>
      <c r="F368">
        <v>167</v>
      </c>
      <c r="AA368">
        <f>IF($A368=1,$E368,999999)</f>
        <v>999999</v>
      </c>
      <c r="AB368">
        <f>IF($A368=2,$E368,999999)</f>
        <v>999999</v>
      </c>
      <c r="AC368">
        <f>IF($A368=3,$E368,999999)</f>
        <v>999999</v>
      </c>
      <c r="AD368">
        <f>IF($A368=4,$E368,999999)</f>
        <v>999999</v>
      </c>
      <c r="AE368">
        <f>IF($A368=5,$E368,999999)</f>
        <v>999999</v>
      </c>
      <c r="AF368">
        <f>IF($A368=6,$E368,999999)</f>
        <v>999999</v>
      </c>
      <c r="AG368">
        <f>IF($A368=7,$E368,999999)</f>
        <v>999999</v>
      </c>
      <c r="AH368">
        <f>IF($A368=8,$E368,999999)</f>
        <v>999999</v>
      </c>
      <c r="AI368">
        <f>IF($A368=9,$E368,999999)</f>
        <v>999999</v>
      </c>
      <c r="AJ368">
        <f>IF($A368=10,$E368,999999)</f>
        <v>999999</v>
      </c>
      <c r="AK368">
        <f>IF($A368=11,$E368,999999)</f>
        <v>999999</v>
      </c>
      <c r="AL368">
        <f>IF($A368=12,$E368,999999)</f>
        <v>999999</v>
      </c>
      <c r="AM368">
        <f>IF($A368=13,$E368,999999)</f>
        <v>999999</v>
      </c>
      <c r="AN368">
        <f>IF($A368=14,$E368,999999)</f>
        <v>999999</v>
      </c>
      <c r="AO368">
        <f>IF($A368=15,$E368,999999)</f>
        <v>999999</v>
      </c>
      <c r="AP368">
        <f>IF($A368=16,$E368,999999)</f>
        <v>999999</v>
      </c>
      <c r="AQ368">
        <f>IF($A368=17,$E368,999999)</f>
        <v>999999</v>
      </c>
      <c r="AR368">
        <f>IF($A368=18,$E368,999999)</f>
        <v>999999</v>
      </c>
      <c r="AS368">
        <f>IF($A368=19,$E368,999999)</f>
        <v>999999</v>
      </c>
      <c r="AT368">
        <f>IF($A368=20,$E368,999999)</f>
        <v>999999</v>
      </c>
      <c r="BA368">
        <f>MAX(0,MIN(CEILING((BF368+BG368)/2,1),BA367+IF('幕间与结算'!E167="体力",N('幕间与结算'!K167),0)))</f>
        <v>0</v>
      </c>
      <c r="BB368">
        <f>MAX(0,MIN(BJ368,BB367+IF('幕间与结算'!E167="毅力",N('幕间与结算'!K167),0)))</f>
        <v>0</v>
      </c>
      <c r="BC368">
        <f>MAX(0,MIN(99-BL368,BC367+IF('幕间与结算'!E167="理智",N('幕间与结算'!K167),0)))</f>
        <v>0</v>
      </c>
      <c r="BD368">
        <f>MAX(0,MIN(99,BD367+IF('幕间与结算'!E167="崩溃点",N('幕间与结算'!K167),0)))</f>
        <v>0</v>
      </c>
      <c r="BF368">
        <f>MAX(0,MIN(18,'幕间计算'!BF367+IF('幕间与结算'!E167="力量",N('幕间与结算'!K167),0)))</f>
        <v>0</v>
      </c>
      <c r="BG368">
        <f>MAX(0,MIN(18,'幕间计算'!BG367+IF('幕间与结算'!E167="体质",N('幕间与结算'!K167),0)))</f>
        <v>0</v>
      </c>
      <c r="BH368">
        <f>MAX(0,MIN(18,'幕间计算'!BH367+IF('幕间与结算'!E167="敏捷",N('幕间与结算'!K167),0)))</f>
        <v>0</v>
      </c>
      <c r="BI368">
        <f>MAX(0,MIN(18,'幕间计算'!BI367+IF('幕间与结算'!E167="智力",N('幕间与结算'!K167),0)))</f>
        <v>0</v>
      </c>
      <c r="BJ368">
        <f>MAX(0,MIN(18,'幕间计算'!BJ367+IF('幕间与结算'!E167="意志",N('幕间与结算'!K167),0)))</f>
        <v>0</v>
      </c>
      <c r="BK368">
        <f>MAX(0,MIN(18,'幕间计算'!BK367+IF('幕间与结算'!E167="魅力",N('幕间与结算'!K167),0)))</f>
        <v>0</v>
      </c>
      <c r="BL368">
        <f>MAX(0,MIN(99,'幕间计算'!BL367+IF('幕间与结算'!E167="技能：非自然知识",N('幕间与结算'!K167),0)))</f>
        <v>0</v>
      </c>
    </row>
    <row r="369">
      <c r="A369">
        <f>IFERROR(IF(AND(VALUE('幕间与结算'!B168)&gt;=1,VALUE('幕间与结算'!B168)&lt;=20),VALUE('幕间与结算'!B168),0),0)</f>
        <v>0</v>
      </c>
      <c r="B369">
        <f>IF(AND(A369&gt;0,'幕间与结算'!D168&lt;&gt;"",'幕间与结算'!J168="确认",ISNUMBER('幕间与结算'!K168),OR('幕间与结算'!G168="失败",'幕间与结算'!G168="大失败"),'幕间与结算'!H168="√",LEFT('幕间与结算'!E168,3)="技能：",'幕间与结算'!E168&lt;&gt;"技能：非自然知识",ISNUMBER('幕间与结算'!F168),'幕间与结算'!F168&gt;=1,'幕间与结算'!F168&lt;=99),1,0)</f>
        <v>0</v>
      </c>
      <c r="D369">
        <f>IF(AND('幕间与结算'!J168="确认",ISNUMBER('幕间与结算'!K168),'幕间与结算'!L168&lt;&gt;"",ISNUMBER('幕间与结算'!M168),'幕间与结算'!M168&gt;0,'幕间与结算'!M168&lt;=99),'幕间与结算'!M168,0)</f>
        <v>0</v>
      </c>
      <c r="E369">
        <f>IF(AND(B369=1,COUNTIFS($A$210:A369,A369,$B$210:B369,1,'幕间与结算'!$E$9:E168,'幕间与结算'!E168)=1),160,999999)</f>
        <v>999999</v>
      </c>
      <c r="F369">
        <v>168</v>
      </c>
      <c r="AA369">
        <f>IF($A369=1,$E369,999999)</f>
        <v>999999</v>
      </c>
      <c r="AB369">
        <f>IF($A369=2,$E369,999999)</f>
        <v>999999</v>
      </c>
      <c r="AC369">
        <f>IF($A369=3,$E369,999999)</f>
        <v>999999</v>
      </c>
      <c r="AD369">
        <f>IF($A369=4,$E369,999999)</f>
        <v>999999</v>
      </c>
      <c r="AE369">
        <f>IF($A369=5,$E369,999999)</f>
        <v>999999</v>
      </c>
      <c r="AF369">
        <f>IF($A369=6,$E369,999999)</f>
        <v>999999</v>
      </c>
      <c r="AG369">
        <f>IF($A369=7,$E369,999999)</f>
        <v>999999</v>
      </c>
      <c r="AH369">
        <f>IF($A369=8,$E369,999999)</f>
        <v>999999</v>
      </c>
      <c r="AI369">
        <f>IF($A369=9,$E369,999999)</f>
        <v>999999</v>
      </c>
      <c r="AJ369">
        <f>IF($A369=10,$E369,999999)</f>
        <v>999999</v>
      </c>
      <c r="AK369">
        <f>IF($A369=11,$E369,999999)</f>
        <v>999999</v>
      </c>
      <c r="AL369">
        <f>IF($A369=12,$E369,999999)</f>
        <v>999999</v>
      </c>
      <c r="AM369">
        <f>IF($A369=13,$E369,999999)</f>
        <v>999999</v>
      </c>
      <c r="AN369">
        <f>IF($A369=14,$E369,999999)</f>
        <v>999999</v>
      </c>
      <c r="AO369">
        <f>IF($A369=15,$E369,999999)</f>
        <v>999999</v>
      </c>
      <c r="AP369">
        <f>IF($A369=16,$E369,999999)</f>
        <v>999999</v>
      </c>
      <c r="AQ369">
        <f>IF($A369=17,$E369,999999)</f>
        <v>999999</v>
      </c>
      <c r="AR369">
        <f>IF($A369=18,$E369,999999)</f>
        <v>999999</v>
      </c>
      <c r="AS369">
        <f>IF($A369=19,$E369,999999)</f>
        <v>999999</v>
      </c>
      <c r="AT369">
        <f>IF($A369=20,$E369,999999)</f>
        <v>999999</v>
      </c>
      <c r="BA369">
        <f>MAX(0,MIN(CEILING((BF369+BG369)/2,1),BA368+IF('幕间与结算'!E168="体力",N('幕间与结算'!K168),0)))</f>
        <v>0</v>
      </c>
      <c r="BB369">
        <f>MAX(0,MIN(BJ369,BB368+IF('幕间与结算'!E168="毅力",N('幕间与结算'!K168),0)))</f>
        <v>0</v>
      </c>
      <c r="BC369">
        <f>MAX(0,MIN(99-BL369,BC368+IF('幕间与结算'!E168="理智",N('幕间与结算'!K168),0)))</f>
        <v>0</v>
      </c>
      <c r="BD369">
        <f>MAX(0,MIN(99,BD368+IF('幕间与结算'!E168="崩溃点",N('幕间与结算'!K168),0)))</f>
        <v>0</v>
      </c>
      <c r="BF369">
        <f>MAX(0,MIN(18,'幕间计算'!BF368+IF('幕间与结算'!E168="力量",N('幕间与结算'!K168),0)))</f>
        <v>0</v>
      </c>
      <c r="BG369">
        <f>MAX(0,MIN(18,'幕间计算'!BG368+IF('幕间与结算'!E168="体质",N('幕间与结算'!K168),0)))</f>
        <v>0</v>
      </c>
      <c r="BH369">
        <f>MAX(0,MIN(18,'幕间计算'!BH368+IF('幕间与结算'!E168="敏捷",N('幕间与结算'!K168),0)))</f>
        <v>0</v>
      </c>
      <c r="BI369">
        <f>MAX(0,MIN(18,'幕间计算'!BI368+IF('幕间与结算'!E168="智力",N('幕间与结算'!K168),0)))</f>
        <v>0</v>
      </c>
      <c r="BJ369">
        <f>MAX(0,MIN(18,'幕间计算'!BJ368+IF('幕间与结算'!E168="意志",N('幕间与结算'!K168),0)))</f>
        <v>0</v>
      </c>
      <c r="BK369">
        <f>MAX(0,MIN(18,'幕间计算'!BK368+IF('幕间与结算'!E168="魅力",N('幕间与结算'!K168),0)))</f>
        <v>0</v>
      </c>
      <c r="BL369">
        <f>MAX(0,MIN(99,'幕间计算'!BL368+IF('幕间与结算'!E168="技能：非自然知识",N('幕间与结算'!K168),0)))</f>
        <v>0</v>
      </c>
    </row>
    <row r="370">
      <c r="A370">
        <f>IFERROR(IF(AND(VALUE('幕间与结算'!B169)&gt;=1,VALUE('幕间与结算'!B169)&lt;=20),VALUE('幕间与结算'!B169),0),0)</f>
        <v>0</v>
      </c>
      <c r="B370">
        <f>IF(AND(A370&gt;0,'幕间与结算'!D169&lt;&gt;"",'幕间与结算'!J169="确认",ISNUMBER('幕间与结算'!K169),OR('幕间与结算'!G169="失败",'幕间与结算'!G169="大失败"),'幕间与结算'!H169="√",LEFT('幕间与结算'!E169,3)="技能：",'幕间与结算'!E169&lt;&gt;"技能：非自然知识",ISNUMBER('幕间与结算'!F169),'幕间与结算'!F169&gt;=1,'幕间与结算'!F169&lt;=99),1,0)</f>
        <v>0</v>
      </c>
      <c r="D370">
        <f>IF(AND('幕间与结算'!J169="确认",ISNUMBER('幕间与结算'!K169),'幕间与结算'!L169&lt;&gt;"",ISNUMBER('幕间与结算'!M169),'幕间与结算'!M169&gt;0,'幕间与结算'!M169&lt;=99),'幕间与结算'!M169,0)</f>
        <v>0</v>
      </c>
      <c r="E370">
        <f>IF(AND(B370=1,COUNTIFS($A$210:A370,A370,$B$210:B370,1,'幕间与结算'!$E$9:E169,'幕间与结算'!E169)=1),161,999999)</f>
        <v>999999</v>
      </c>
      <c r="F370">
        <v>169</v>
      </c>
      <c r="AA370">
        <f>IF($A370=1,$E370,999999)</f>
        <v>999999</v>
      </c>
      <c r="AB370">
        <f>IF($A370=2,$E370,999999)</f>
        <v>999999</v>
      </c>
      <c r="AC370">
        <f>IF($A370=3,$E370,999999)</f>
        <v>999999</v>
      </c>
      <c r="AD370">
        <f>IF($A370=4,$E370,999999)</f>
        <v>999999</v>
      </c>
      <c r="AE370">
        <f>IF($A370=5,$E370,999999)</f>
        <v>999999</v>
      </c>
      <c r="AF370">
        <f>IF($A370=6,$E370,999999)</f>
        <v>999999</v>
      </c>
      <c r="AG370">
        <f>IF($A370=7,$E370,999999)</f>
        <v>999999</v>
      </c>
      <c r="AH370">
        <f>IF($A370=8,$E370,999999)</f>
        <v>999999</v>
      </c>
      <c r="AI370">
        <f>IF($A370=9,$E370,999999)</f>
        <v>999999</v>
      </c>
      <c r="AJ370">
        <f>IF($A370=10,$E370,999999)</f>
        <v>999999</v>
      </c>
      <c r="AK370">
        <f>IF($A370=11,$E370,999999)</f>
        <v>999999</v>
      </c>
      <c r="AL370">
        <f>IF($A370=12,$E370,999999)</f>
        <v>999999</v>
      </c>
      <c r="AM370">
        <f>IF($A370=13,$E370,999999)</f>
        <v>999999</v>
      </c>
      <c r="AN370">
        <f>IF($A370=14,$E370,999999)</f>
        <v>999999</v>
      </c>
      <c r="AO370">
        <f>IF($A370=15,$E370,999999)</f>
        <v>999999</v>
      </c>
      <c r="AP370">
        <f>IF($A370=16,$E370,999999)</f>
        <v>999999</v>
      </c>
      <c r="AQ370">
        <f>IF($A370=17,$E370,999999)</f>
        <v>999999</v>
      </c>
      <c r="AR370">
        <f>IF($A370=18,$E370,999999)</f>
        <v>999999</v>
      </c>
      <c r="AS370">
        <f>IF($A370=19,$E370,999999)</f>
        <v>999999</v>
      </c>
      <c r="AT370">
        <f>IF($A370=20,$E370,999999)</f>
        <v>999999</v>
      </c>
      <c r="BA370">
        <f>MAX(0,MIN(CEILING((BF370+BG370)/2,1),BA369+IF('幕间与结算'!E169="体力",N('幕间与结算'!K169),0)))</f>
        <v>0</v>
      </c>
      <c r="BB370">
        <f>MAX(0,MIN(BJ370,BB369+IF('幕间与结算'!E169="毅力",N('幕间与结算'!K169),0)))</f>
        <v>0</v>
      </c>
      <c r="BC370">
        <f>MAX(0,MIN(99-BL370,BC369+IF('幕间与结算'!E169="理智",N('幕间与结算'!K169),0)))</f>
        <v>0</v>
      </c>
      <c r="BD370">
        <f>MAX(0,MIN(99,BD369+IF('幕间与结算'!E169="崩溃点",N('幕间与结算'!K169),0)))</f>
        <v>0</v>
      </c>
      <c r="BF370">
        <f>MAX(0,MIN(18,'幕间计算'!BF369+IF('幕间与结算'!E169="力量",N('幕间与结算'!K169),0)))</f>
        <v>0</v>
      </c>
      <c r="BG370">
        <f>MAX(0,MIN(18,'幕间计算'!BG369+IF('幕间与结算'!E169="体质",N('幕间与结算'!K169),0)))</f>
        <v>0</v>
      </c>
      <c r="BH370">
        <f>MAX(0,MIN(18,'幕间计算'!BH369+IF('幕间与结算'!E169="敏捷",N('幕间与结算'!K169),0)))</f>
        <v>0</v>
      </c>
      <c r="BI370">
        <f>MAX(0,MIN(18,'幕间计算'!BI369+IF('幕间与结算'!E169="智力",N('幕间与结算'!K169),0)))</f>
        <v>0</v>
      </c>
      <c r="BJ370">
        <f>MAX(0,MIN(18,'幕间计算'!BJ369+IF('幕间与结算'!E169="意志",N('幕间与结算'!K169),0)))</f>
        <v>0</v>
      </c>
      <c r="BK370">
        <f>MAX(0,MIN(18,'幕间计算'!BK369+IF('幕间与结算'!E169="魅力",N('幕间与结算'!K169),0)))</f>
        <v>0</v>
      </c>
      <c r="BL370">
        <f>MAX(0,MIN(99,'幕间计算'!BL369+IF('幕间与结算'!E169="技能：非自然知识",N('幕间与结算'!K169),0)))</f>
        <v>0</v>
      </c>
    </row>
    <row r="371">
      <c r="A371">
        <f>IFERROR(IF(AND(VALUE('幕间与结算'!B170)&gt;=1,VALUE('幕间与结算'!B170)&lt;=20),VALUE('幕间与结算'!B170),0),0)</f>
        <v>0</v>
      </c>
      <c r="B371">
        <f>IF(AND(A371&gt;0,'幕间与结算'!D170&lt;&gt;"",'幕间与结算'!J170="确认",ISNUMBER('幕间与结算'!K170),OR('幕间与结算'!G170="失败",'幕间与结算'!G170="大失败"),'幕间与结算'!H170="√",LEFT('幕间与结算'!E170,3)="技能：",'幕间与结算'!E170&lt;&gt;"技能：非自然知识",ISNUMBER('幕间与结算'!F170),'幕间与结算'!F170&gt;=1,'幕间与结算'!F170&lt;=99),1,0)</f>
        <v>0</v>
      </c>
      <c r="D371">
        <f>IF(AND('幕间与结算'!J170="确认",ISNUMBER('幕间与结算'!K170),'幕间与结算'!L170&lt;&gt;"",ISNUMBER('幕间与结算'!M170),'幕间与结算'!M170&gt;0,'幕间与结算'!M170&lt;=99),'幕间与结算'!M170,0)</f>
        <v>0</v>
      </c>
      <c r="E371">
        <f>IF(AND(B371=1,COUNTIFS($A$210:A371,A371,$B$210:B371,1,'幕间与结算'!$E$9:E170,'幕间与结算'!E170)=1),162,999999)</f>
        <v>999999</v>
      </c>
      <c r="F371">
        <v>170</v>
      </c>
      <c r="AA371">
        <f>IF($A371=1,$E371,999999)</f>
        <v>999999</v>
      </c>
      <c r="AB371">
        <f>IF($A371=2,$E371,999999)</f>
        <v>999999</v>
      </c>
      <c r="AC371">
        <f>IF($A371=3,$E371,999999)</f>
        <v>999999</v>
      </c>
      <c r="AD371">
        <f>IF($A371=4,$E371,999999)</f>
        <v>999999</v>
      </c>
      <c r="AE371">
        <f>IF($A371=5,$E371,999999)</f>
        <v>999999</v>
      </c>
      <c r="AF371">
        <f>IF($A371=6,$E371,999999)</f>
        <v>999999</v>
      </c>
      <c r="AG371">
        <f>IF($A371=7,$E371,999999)</f>
        <v>999999</v>
      </c>
      <c r="AH371">
        <f>IF($A371=8,$E371,999999)</f>
        <v>999999</v>
      </c>
      <c r="AI371">
        <f>IF($A371=9,$E371,999999)</f>
        <v>999999</v>
      </c>
      <c r="AJ371">
        <f>IF($A371=10,$E371,999999)</f>
        <v>999999</v>
      </c>
      <c r="AK371">
        <f>IF($A371=11,$E371,999999)</f>
        <v>999999</v>
      </c>
      <c r="AL371">
        <f>IF($A371=12,$E371,999999)</f>
        <v>999999</v>
      </c>
      <c r="AM371">
        <f>IF($A371=13,$E371,999999)</f>
        <v>999999</v>
      </c>
      <c r="AN371">
        <f>IF($A371=14,$E371,999999)</f>
        <v>999999</v>
      </c>
      <c r="AO371">
        <f>IF($A371=15,$E371,999999)</f>
        <v>999999</v>
      </c>
      <c r="AP371">
        <f>IF($A371=16,$E371,999999)</f>
        <v>999999</v>
      </c>
      <c r="AQ371">
        <f>IF($A371=17,$E371,999999)</f>
        <v>999999</v>
      </c>
      <c r="AR371">
        <f>IF($A371=18,$E371,999999)</f>
        <v>999999</v>
      </c>
      <c r="AS371">
        <f>IF($A371=19,$E371,999999)</f>
        <v>999999</v>
      </c>
      <c r="AT371">
        <f>IF($A371=20,$E371,999999)</f>
        <v>999999</v>
      </c>
      <c r="BA371">
        <f>MAX(0,MIN(CEILING((BF371+BG371)/2,1),BA370+IF('幕间与结算'!E170="体力",N('幕间与结算'!K170),0)))</f>
        <v>0</v>
      </c>
      <c r="BB371">
        <f>MAX(0,MIN(BJ371,BB370+IF('幕间与结算'!E170="毅力",N('幕间与结算'!K170),0)))</f>
        <v>0</v>
      </c>
      <c r="BC371">
        <f>MAX(0,MIN(99-BL371,BC370+IF('幕间与结算'!E170="理智",N('幕间与结算'!K170),0)))</f>
        <v>0</v>
      </c>
      <c r="BD371">
        <f>MAX(0,MIN(99,BD370+IF('幕间与结算'!E170="崩溃点",N('幕间与结算'!K170),0)))</f>
        <v>0</v>
      </c>
      <c r="BF371">
        <f>MAX(0,MIN(18,'幕间计算'!BF370+IF('幕间与结算'!E170="力量",N('幕间与结算'!K170),0)))</f>
        <v>0</v>
      </c>
      <c r="BG371">
        <f>MAX(0,MIN(18,'幕间计算'!BG370+IF('幕间与结算'!E170="体质",N('幕间与结算'!K170),0)))</f>
        <v>0</v>
      </c>
      <c r="BH371">
        <f>MAX(0,MIN(18,'幕间计算'!BH370+IF('幕间与结算'!E170="敏捷",N('幕间与结算'!K170),0)))</f>
        <v>0</v>
      </c>
      <c r="BI371">
        <f>MAX(0,MIN(18,'幕间计算'!BI370+IF('幕间与结算'!E170="智力",N('幕间与结算'!K170),0)))</f>
        <v>0</v>
      </c>
      <c r="BJ371">
        <f>MAX(0,MIN(18,'幕间计算'!BJ370+IF('幕间与结算'!E170="意志",N('幕间与结算'!K170),0)))</f>
        <v>0</v>
      </c>
      <c r="BK371">
        <f>MAX(0,MIN(18,'幕间计算'!BK370+IF('幕间与结算'!E170="魅力",N('幕间与结算'!K170),0)))</f>
        <v>0</v>
      </c>
      <c r="BL371">
        <f>MAX(0,MIN(99,'幕间计算'!BL370+IF('幕间与结算'!E170="技能：非自然知识",N('幕间与结算'!K170),0)))</f>
        <v>0</v>
      </c>
    </row>
    <row r="372">
      <c r="A372">
        <f>IFERROR(IF(AND(VALUE('幕间与结算'!B171)&gt;=1,VALUE('幕间与结算'!B171)&lt;=20),VALUE('幕间与结算'!B171),0),0)</f>
        <v>0</v>
      </c>
      <c r="B372">
        <f>IF(AND(A372&gt;0,'幕间与结算'!D171&lt;&gt;"",'幕间与结算'!J171="确认",ISNUMBER('幕间与结算'!K171),OR('幕间与结算'!G171="失败",'幕间与结算'!G171="大失败"),'幕间与结算'!H171="√",LEFT('幕间与结算'!E171,3)="技能：",'幕间与结算'!E171&lt;&gt;"技能：非自然知识",ISNUMBER('幕间与结算'!F171),'幕间与结算'!F171&gt;=1,'幕间与结算'!F171&lt;=99),1,0)</f>
        <v>0</v>
      </c>
      <c r="D372">
        <f>IF(AND('幕间与结算'!J171="确认",ISNUMBER('幕间与结算'!K171),'幕间与结算'!L171&lt;&gt;"",ISNUMBER('幕间与结算'!M171),'幕间与结算'!M171&gt;0,'幕间与结算'!M171&lt;=99),'幕间与结算'!M171,0)</f>
        <v>0</v>
      </c>
      <c r="E372">
        <f>IF(AND(B372=1,COUNTIFS($A$210:A372,A372,$B$210:B372,1,'幕间与结算'!$E$9:E171,'幕间与结算'!E171)=1),163,999999)</f>
        <v>999999</v>
      </c>
      <c r="F372">
        <v>171</v>
      </c>
      <c r="AA372">
        <f>IF($A372=1,$E372,999999)</f>
        <v>999999</v>
      </c>
      <c r="AB372">
        <f>IF($A372=2,$E372,999999)</f>
        <v>999999</v>
      </c>
      <c r="AC372">
        <f>IF($A372=3,$E372,999999)</f>
        <v>999999</v>
      </c>
      <c r="AD372">
        <f>IF($A372=4,$E372,999999)</f>
        <v>999999</v>
      </c>
      <c r="AE372">
        <f>IF($A372=5,$E372,999999)</f>
        <v>999999</v>
      </c>
      <c r="AF372">
        <f>IF($A372=6,$E372,999999)</f>
        <v>999999</v>
      </c>
      <c r="AG372">
        <f>IF($A372=7,$E372,999999)</f>
        <v>999999</v>
      </c>
      <c r="AH372">
        <f>IF($A372=8,$E372,999999)</f>
        <v>999999</v>
      </c>
      <c r="AI372">
        <f>IF($A372=9,$E372,999999)</f>
        <v>999999</v>
      </c>
      <c r="AJ372">
        <f>IF($A372=10,$E372,999999)</f>
        <v>999999</v>
      </c>
      <c r="AK372">
        <f>IF($A372=11,$E372,999999)</f>
        <v>999999</v>
      </c>
      <c r="AL372">
        <f>IF($A372=12,$E372,999999)</f>
        <v>999999</v>
      </c>
      <c r="AM372">
        <f>IF($A372=13,$E372,999999)</f>
        <v>999999</v>
      </c>
      <c r="AN372">
        <f>IF($A372=14,$E372,999999)</f>
        <v>999999</v>
      </c>
      <c r="AO372">
        <f>IF($A372=15,$E372,999999)</f>
        <v>999999</v>
      </c>
      <c r="AP372">
        <f>IF($A372=16,$E372,999999)</f>
        <v>999999</v>
      </c>
      <c r="AQ372">
        <f>IF($A372=17,$E372,999999)</f>
        <v>999999</v>
      </c>
      <c r="AR372">
        <f>IF($A372=18,$E372,999999)</f>
        <v>999999</v>
      </c>
      <c r="AS372">
        <f>IF($A372=19,$E372,999999)</f>
        <v>999999</v>
      </c>
      <c r="AT372">
        <f>IF($A372=20,$E372,999999)</f>
        <v>999999</v>
      </c>
      <c r="BA372">
        <f>MAX(0,MIN(CEILING((BF372+BG372)/2,1),BA371+IF('幕间与结算'!E171="体力",N('幕间与结算'!K171),0)))</f>
        <v>0</v>
      </c>
      <c r="BB372">
        <f>MAX(0,MIN(BJ372,BB371+IF('幕间与结算'!E171="毅力",N('幕间与结算'!K171),0)))</f>
        <v>0</v>
      </c>
      <c r="BC372">
        <f>MAX(0,MIN(99-BL372,BC371+IF('幕间与结算'!E171="理智",N('幕间与结算'!K171),0)))</f>
        <v>0</v>
      </c>
      <c r="BD372">
        <f>MAX(0,MIN(99,BD371+IF('幕间与结算'!E171="崩溃点",N('幕间与结算'!K171),0)))</f>
        <v>0</v>
      </c>
      <c r="BF372">
        <f>MAX(0,MIN(18,'幕间计算'!BF371+IF('幕间与结算'!E171="力量",N('幕间与结算'!K171),0)))</f>
        <v>0</v>
      </c>
      <c r="BG372">
        <f>MAX(0,MIN(18,'幕间计算'!BG371+IF('幕间与结算'!E171="体质",N('幕间与结算'!K171),0)))</f>
        <v>0</v>
      </c>
      <c r="BH372">
        <f>MAX(0,MIN(18,'幕间计算'!BH371+IF('幕间与结算'!E171="敏捷",N('幕间与结算'!K171),0)))</f>
        <v>0</v>
      </c>
      <c r="BI372">
        <f>MAX(0,MIN(18,'幕间计算'!BI371+IF('幕间与结算'!E171="智力",N('幕间与结算'!K171),0)))</f>
        <v>0</v>
      </c>
      <c r="BJ372">
        <f>MAX(0,MIN(18,'幕间计算'!BJ371+IF('幕间与结算'!E171="意志",N('幕间与结算'!K171),0)))</f>
        <v>0</v>
      </c>
      <c r="BK372">
        <f>MAX(0,MIN(18,'幕间计算'!BK371+IF('幕间与结算'!E171="魅力",N('幕间与结算'!K171),0)))</f>
        <v>0</v>
      </c>
      <c r="BL372">
        <f>MAX(0,MIN(99,'幕间计算'!BL371+IF('幕间与结算'!E171="技能：非自然知识",N('幕间与结算'!K171),0)))</f>
        <v>0</v>
      </c>
    </row>
    <row r="373">
      <c r="A373">
        <f>IFERROR(IF(AND(VALUE('幕间与结算'!B172)&gt;=1,VALUE('幕间与结算'!B172)&lt;=20),VALUE('幕间与结算'!B172),0),0)</f>
        <v>0</v>
      </c>
      <c r="B373">
        <f>IF(AND(A373&gt;0,'幕间与结算'!D172&lt;&gt;"",'幕间与结算'!J172="确认",ISNUMBER('幕间与结算'!K172),OR('幕间与结算'!G172="失败",'幕间与结算'!G172="大失败"),'幕间与结算'!H172="√",LEFT('幕间与结算'!E172,3)="技能：",'幕间与结算'!E172&lt;&gt;"技能：非自然知识",ISNUMBER('幕间与结算'!F172),'幕间与结算'!F172&gt;=1,'幕间与结算'!F172&lt;=99),1,0)</f>
        <v>0</v>
      </c>
      <c r="D373">
        <f>IF(AND('幕间与结算'!J172="确认",ISNUMBER('幕间与结算'!K172),'幕间与结算'!L172&lt;&gt;"",ISNUMBER('幕间与结算'!M172),'幕间与结算'!M172&gt;0,'幕间与结算'!M172&lt;=99),'幕间与结算'!M172,0)</f>
        <v>0</v>
      </c>
      <c r="E373">
        <f>IF(AND(B373=1,COUNTIFS($A$210:A373,A373,$B$210:B373,1,'幕间与结算'!$E$9:E172,'幕间与结算'!E172)=1),164,999999)</f>
        <v>999999</v>
      </c>
      <c r="F373">
        <v>172</v>
      </c>
      <c r="AA373">
        <f>IF($A373=1,$E373,999999)</f>
        <v>999999</v>
      </c>
      <c r="AB373">
        <f>IF($A373=2,$E373,999999)</f>
        <v>999999</v>
      </c>
      <c r="AC373">
        <f>IF($A373=3,$E373,999999)</f>
        <v>999999</v>
      </c>
      <c r="AD373">
        <f>IF($A373=4,$E373,999999)</f>
        <v>999999</v>
      </c>
      <c r="AE373">
        <f>IF($A373=5,$E373,999999)</f>
        <v>999999</v>
      </c>
      <c r="AF373">
        <f>IF($A373=6,$E373,999999)</f>
        <v>999999</v>
      </c>
      <c r="AG373">
        <f>IF($A373=7,$E373,999999)</f>
        <v>999999</v>
      </c>
      <c r="AH373">
        <f>IF($A373=8,$E373,999999)</f>
        <v>999999</v>
      </c>
      <c r="AI373">
        <f>IF($A373=9,$E373,999999)</f>
        <v>999999</v>
      </c>
      <c r="AJ373">
        <f>IF($A373=10,$E373,999999)</f>
        <v>999999</v>
      </c>
      <c r="AK373">
        <f>IF($A373=11,$E373,999999)</f>
        <v>999999</v>
      </c>
      <c r="AL373">
        <f>IF($A373=12,$E373,999999)</f>
        <v>999999</v>
      </c>
      <c r="AM373">
        <f>IF($A373=13,$E373,999999)</f>
        <v>999999</v>
      </c>
      <c r="AN373">
        <f>IF($A373=14,$E373,999999)</f>
        <v>999999</v>
      </c>
      <c r="AO373">
        <f>IF($A373=15,$E373,999999)</f>
        <v>999999</v>
      </c>
      <c r="AP373">
        <f>IF($A373=16,$E373,999999)</f>
        <v>999999</v>
      </c>
      <c r="AQ373">
        <f>IF($A373=17,$E373,999999)</f>
        <v>999999</v>
      </c>
      <c r="AR373">
        <f>IF($A373=18,$E373,999999)</f>
        <v>999999</v>
      </c>
      <c r="AS373">
        <f>IF($A373=19,$E373,999999)</f>
        <v>999999</v>
      </c>
      <c r="AT373">
        <f>IF($A373=20,$E373,999999)</f>
        <v>999999</v>
      </c>
      <c r="BA373">
        <f>MAX(0,MIN(CEILING((BF373+BG373)/2,1),BA372+IF('幕间与结算'!E172="体力",N('幕间与结算'!K172),0)))</f>
        <v>0</v>
      </c>
      <c r="BB373">
        <f>MAX(0,MIN(BJ373,BB372+IF('幕间与结算'!E172="毅力",N('幕间与结算'!K172),0)))</f>
        <v>0</v>
      </c>
      <c r="BC373">
        <f>MAX(0,MIN(99-BL373,BC372+IF('幕间与结算'!E172="理智",N('幕间与结算'!K172),0)))</f>
        <v>0</v>
      </c>
      <c r="BD373">
        <f>MAX(0,MIN(99,BD372+IF('幕间与结算'!E172="崩溃点",N('幕间与结算'!K172),0)))</f>
        <v>0</v>
      </c>
      <c r="BF373">
        <f>MAX(0,MIN(18,'幕间计算'!BF372+IF('幕间与结算'!E172="力量",N('幕间与结算'!K172),0)))</f>
        <v>0</v>
      </c>
      <c r="BG373">
        <f>MAX(0,MIN(18,'幕间计算'!BG372+IF('幕间与结算'!E172="体质",N('幕间与结算'!K172),0)))</f>
        <v>0</v>
      </c>
      <c r="BH373">
        <f>MAX(0,MIN(18,'幕间计算'!BH372+IF('幕间与结算'!E172="敏捷",N('幕间与结算'!K172),0)))</f>
        <v>0</v>
      </c>
      <c r="BI373">
        <f>MAX(0,MIN(18,'幕间计算'!BI372+IF('幕间与结算'!E172="智力",N('幕间与结算'!K172),0)))</f>
        <v>0</v>
      </c>
      <c r="BJ373">
        <f>MAX(0,MIN(18,'幕间计算'!BJ372+IF('幕间与结算'!E172="意志",N('幕间与结算'!K172),0)))</f>
        <v>0</v>
      </c>
      <c r="BK373">
        <f>MAX(0,MIN(18,'幕间计算'!BK372+IF('幕间与结算'!E172="魅力",N('幕间与结算'!K172),0)))</f>
        <v>0</v>
      </c>
      <c r="BL373">
        <f>MAX(0,MIN(99,'幕间计算'!BL372+IF('幕间与结算'!E172="技能：非自然知识",N('幕间与结算'!K172),0)))</f>
        <v>0</v>
      </c>
    </row>
    <row r="374">
      <c r="A374">
        <f>IFERROR(IF(AND(VALUE('幕间与结算'!B173)&gt;=1,VALUE('幕间与结算'!B173)&lt;=20),VALUE('幕间与结算'!B173),0),0)</f>
        <v>0</v>
      </c>
      <c r="B374">
        <f>IF(AND(A374&gt;0,'幕间与结算'!D173&lt;&gt;"",'幕间与结算'!J173="确认",ISNUMBER('幕间与结算'!K173),OR('幕间与结算'!G173="失败",'幕间与结算'!G173="大失败"),'幕间与结算'!H173="√",LEFT('幕间与结算'!E173,3)="技能：",'幕间与结算'!E173&lt;&gt;"技能：非自然知识",ISNUMBER('幕间与结算'!F173),'幕间与结算'!F173&gt;=1,'幕间与结算'!F173&lt;=99),1,0)</f>
        <v>0</v>
      </c>
      <c r="D374">
        <f>IF(AND('幕间与结算'!J173="确认",ISNUMBER('幕间与结算'!K173),'幕间与结算'!L173&lt;&gt;"",ISNUMBER('幕间与结算'!M173),'幕间与结算'!M173&gt;0,'幕间与结算'!M173&lt;=99),'幕间与结算'!M173,0)</f>
        <v>0</v>
      </c>
      <c r="E374">
        <f>IF(AND(B374=1,COUNTIFS($A$210:A374,A374,$B$210:B374,1,'幕间与结算'!$E$9:E173,'幕间与结算'!E173)=1),165,999999)</f>
        <v>999999</v>
      </c>
      <c r="F374">
        <v>173</v>
      </c>
      <c r="AA374">
        <f>IF($A374=1,$E374,999999)</f>
        <v>999999</v>
      </c>
      <c r="AB374">
        <f>IF($A374=2,$E374,999999)</f>
        <v>999999</v>
      </c>
      <c r="AC374">
        <f>IF($A374=3,$E374,999999)</f>
        <v>999999</v>
      </c>
      <c r="AD374">
        <f>IF($A374=4,$E374,999999)</f>
        <v>999999</v>
      </c>
      <c r="AE374">
        <f>IF($A374=5,$E374,999999)</f>
        <v>999999</v>
      </c>
      <c r="AF374">
        <f>IF($A374=6,$E374,999999)</f>
        <v>999999</v>
      </c>
      <c r="AG374">
        <f>IF($A374=7,$E374,999999)</f>
        <v>999999</v>
      </c>
      <c r="AH374">
        <f>IF($A374=8,$E374,999999)</f>
        <v>999999</v>
      </c>
      <c r="AI374">
        <f>IF($A374=9,$E374,999999)</f>
        <v>999999</v>
      </c>
      <c r="AJ374">
        <f>IF($A374=10,$E374,999999)</f>
        <v>999999</v>
      </c>
      <c r="AK374">
        <f>IF($A374=11,$E374,999999)</f>
        <v>999999</v>
      </c>
      <c r="AL374">
        <f>IF($A374=12,$E374,999999)</f>
        <v>999999</v>
      </c>
      <c r="AM374">
        <f>IF($A374=13,$E374,999999)</f>
        <v>999999</v>
      </c>
      <c r="AN374">
        <f>IF($A374=14,$E374,999999)</f>
        <v>999999</v>
      </c>
      <c r="AO374">
        <f>IF($A374=15,$E374,999999)</f>
        <v>999999</v>
      </c>
      <c r="AP374">
        <f>IF($A374=16,$E374,999999)</f>
        <v>999999</v>
      </c>
      <c r="AQ374">
        <f>IF($A374=17,$E374,999999)</f>
        <v>999999</v>
      </c>
      <c r="AR374">
        <f>IF($A374=18,$E374,999999)</f>
        <v>999999</v>
      </c>
      <c r="AS374">
        <f>IF($A374=19,$E374,999999)</f>
        <v>999999</v>
      </c>
      <c r="AT374">
        <f>IF($A374=20,$E374,999999)</f>
        <v>999999</v>
      </c>
      <c r="BA374">
        <f>MAX(0,MIN(CEILING((BF374+BG374)/2,1),BA373+IF('幕间与结算'!E173="体力",N('幕间与结算'!K173),0)))</f>
        <v>0</v>
      </c>
      <c r="BB374">
        <f>MAX(0,MIN(BJ374,BB373+IF('幕间与结算'!E173="毅力",N('幕间与结算'!K173),0)))</f>
        <v>0</v>
      </c>
      <c r="BC374">
        <f>MAX(0,MIN(99-BL374,BC373+IF('幕间与结算'!E173="理智",N('幕间与结算'!K173),0)))</f>
        <v>0</v>
      </c>
      <c r="BD374">
        <f>MAX(0,MIN(99,BD373+IF('幕间与结算'!E173="崩溃点",N('幕间与结算'!K173),0)))</f>
        <v>0</v>
      </c>
      <c r="BF374">
        <f>MAX(0,MIN(18,'幕间计算'!BF373+IF('幕间与结算'!E173="力量",N('幕间与结算'!K173),0)))</f>
        <v>0</v>
      </c>
      <c r="BG374">
        <f>MAX(0,MIN(18,'幕间计算'!BG373+IF('幕间与结算'!E173="体质",N('幕间与结算'!K173),0)))</f>
        <v>0</v>
      </c>
      <c r="BH374">
        <f>MAX(0,MIN(18,'幕间计算'!BH373+IF('幕间与结算'!E173="敏捷",N('幕间与结算'!K173),0)))</f>
        <v>0</v>
      </c>
      <c r="BI374">
        <f>MAX(0,MIN(18,'幕间计算'!BI373+IF('幕间与结算'!E173="智力",N('幕间与结算'!K173),0)))</f>
        <v>0</v>
      </c>
      <c r="BJ374">
        <f>MAX(0,MIN(18,'幕间计算'!BJ373+IF('幕间与结算'!E173="意志",N('幕间与结算'!K173),0)))</f>
        <v>0</v>
      </c>
      <c r="BK374">
        <f>MAX(0,MIN(18,'幕间计算'!BK373+IF('幕间与结算'!E173="魅力",N('幕间与结算'!K173),0)))</f>
        <v>0</v>
      </c>
      <c r="BL374">
        <f>MAX(0,MIN(99,'幕间计算'!BL373+IF('幕间与结算'!E173="技能：非自然知识",N('幕间与结算'!K173),0)))</f>
        <v>0</v>
      </c>
    </row>
    <row r="375">
      <c r="A375">
        <f>IFERROR(IF(AND(VALUE('幕间与结算'!B174)&gt;=1,VALUE('幕间与结算'!B174)&lt;=20),VALUE('幕间与结算'!B174),0),0)</f>
        <v>0</v>
      </c>
      <c r="B375">
        <f>IF(AND(A375&gt;0,'幕间与结算'!D174&lt;&gt;"",'幕间与结算'!J174="确认",ISNUMBER('幕间与结算'!K174),OR('幕间与结算'!G174="失败",'幕间与结算'!G174="大失败"),'幕间与结算'!H174="√",LEFT('幕间与结算'!E174,3)="技能：",'幕间与结算'!E174&lt;&gt;"技能：非自然知识",ISNUMBER('幕间与结算'!F174),'幕间与结算'!F174&gt;=1,'幕间与结算'!F174&lt;=99),1,0)</f>
        <v>0</v>
      </c>
      <c r="D375">
        <f>IF(AND('幕间与结算'!J174="确认",ISNUMBER('幕间与结算'!K174),'幕间与结算'!L174&lt;&gt;"",ISNUMBER('幕间与结算'!M174),'幕间与结算'!M174&gt;0,'幕间与结算'!M174&lt;=99),'幕间与结算'!M174,0)</f>
        <v>0</v>
      </c>
      <c r="E375">
        <f>IF(AND(B375=1,COUNTIFS($A$210:A375,A375,$B$210:B375,1,'幕间与结算'!$E$9:E174,'幕间与结算'!E174)=1),166,999999)</f>
        <v>999999</v>
      </c>
      <c r="F375">
        <v>174</v>
      </c>
      <c r="AA375">
        <f>IF($A375=1,$E375,999999)</f>
        <v>999999</v>
      </c>
      <c r="AB375">
        <f>IF($A375=2,$E375,999999)</f>
        <v>999999</v>
      </c>
      <c r="AC375">
        <f>IF($A375=3,$E375,999999)</f>
        <v>999999</v>
      </c>
      <c r="AD375">
        <f>IF($A375=4,$E375,999999)</f>
        <v>999999</v>
      </c>
      <c r="AE375">
        <f>IF($A375=5,$E375,999999)</f>
        <v>999999</v>
      </c>
      <c r="AF375">
        <f>IF($A375=6,$E375,999999)</f>
        <v>999999</v>
      </c>
      <c r="AG375">
        <f>IF($A375=7,$E375,999999)</f>
        <v>999999</v>
      </c>
      <c r="AH375">
        <f>IF($A375=8,$E375,999999)</f>
        <v>999999</v>
      </c>
      <c r="AI375">
        <f>IF($A375=9,$E375,999999)</f>
        <v>999999</v>
      </c>
      <c r="AJ375">
        <f>IF($A375=10,$E375,999999)</f>
        <v>999999</v>
      </c>
      <c r="AK375">
        <f>IF($A375=11,$E375,999999)</f>
        <v>999999</v>
      </c>
      <c r="AL375">
        <f>IF($A375=12,$E375,999999)</f>
        <v>999999</v>
      </c>
      <c r="AM375">
        <f>IF($A375=13,$E375,999999)</f>
        <v>999999</v>
      </c>
      <c r="AN375">
        <f>IF($A375=14,$E375,999999)</f>
        <v>999999</v>
      </c>
      <c r="AO375">
        <f>IF($A375=15,$E375,999999)</f>
        <v>999999</v>
      </c>
      <c r="AP375">
        <f>IF($A375=16,$E375,999999)</f>
        <v>999999</v>
      </c>
      <c r="AQ375">
        <f>IF($A375=17,$E375,999999)</f>
        <v>999999</v>
      </c>
      <c r="AR375">
        <f>IF($A375=18,$E375,999999)</f>
        <v>999999</v>
      </c>
      <c r="AS375">
        <f>IF($A375=19,$E375,999999)</f>
        <v>999999</v>
      </c>
      <c r="AT375">
        <f>IF($A375=20,$E375,999999)</f>
        <v>999999</v>
      </c>
      <c r="BA375">
        <f>MAX(0,MIN(CEILING((BF375+BG375)/2,1),BA374+IF('幕间与结算'!E174="体力",N('幕间与结算'!K174),0)))</f>
        <v>0</v>
      </c>
      <c r="BB375">
        <f>MAX(0,MIN(BJ375,BB374+IF('幕间与结算'!E174="毅力",N('幕间与结算'!K174),0)))</f>
        <v>0</v>
      </c>
      <c r="BC375">
        <f>MAX(0,MIN(99-BL375,BC374+IF('幕间与结算'!E174="理智",N('幕间与结算'!K174),0)))</f>
        <v>0</v>
      </c>
      <c r="BD375">
        <f>MAX(0,MIN(99,BD374+IF('幕间与结算'!E174="崩溃点",N('幕间与结算'!K174),0)))</f>
        <v>0</v>
      </c>
      <c r="BF375">
        <f>MAX(0,MIN(18,'幕间计算'!BF374+IF('幕间与结算'!E174="力量",N('幕间与结算'!K174),0)))</f>
        <v>0</v>
      </c>
      <c r="BG375">
        <f>MAX(0,MIN(18,'幕间计算'!BG374+IF('幕间与结算'!E174="体质",N('幕间与结算'!K174),0)))</f>
        <v>0</v>
      </c>
      <c r="BH375">
        <f>MAX(0,MIN(18,'幕间计算'!BH374+IF('幕间与结算'!E174="敏捷",N('幕间与结算'!K174),0)))</f>
        <v>0</v>
      </c>
      <c r="BI375">
        <f>MAX(0,MIN(18,'幕间计算'!BI374+IF('幕间与结算'!E174="智力",N('幕间与结算'!K174),0)))</f>
        <v>0</v>
      </c>
      <c r="BJ375">
        <f>MAX(0,MIN(18,'幕间计算'!BJ374+IF('幕间与结算'!E174="意志",N('幕间与结算'!K174),0)))</f>
        <v>0</v>
      </c>
      <c r="BK375">
        <f>MAX(0,MIN(18,'幕间计算'!BK374+IF('幕间与结算'!E174="魅力",N('幕间与结算'!K174),0)))</f>
        <v>0</v>
      </c>
      <c r="BL375">
        <f>MAX(0,MIN(99,'幕间计算'!BL374+IF('幕间与结算'!E174="技能：非自然知识",N('幕间与结算'!K174),0)))</f>
        <v>0</v>
      </c>
    </row>
    <row r="376">
      <c r="A376">
        <f>IFERROR(IF(AND(VALUE('幕间与结算'!B175)&gt;=1,VALUE('幕间与结算'!B175)&lt;=20),VALUE('幕间与结算'!B175),0),0)</f>
        <v>0</v>
      </c>
      <c r="B376">
        <f>IF(AND(A376&gt;0,'幕间与结算'!D175&lt;&gt;"",'幕间与结算'!J175="确认",ISNUMBER('幕间与结算'!K175),OR('幕间与结算'!G175="失败",'幕间与结算'!G175="大失败"),'幕间与结算'!H175="√",LEFT('幕间与结算'!E175,3)="技能：",'幕间与结算'!E175&lt;&gt;"技能：非自然知识",ISNUMBER('幕间与结算'!F175),'幕间与结算'!F175&gt;=1,'幕间与结算'!F175&lt;=99),1,0)</f>
        <v>0</v>
      </c>
      <c r="D376">
        <f>IF(AND('幕间与结算'!J175="确认",ISNUMBER('幕间与结算'!K175),'幕间与结算'!L175&lt;&gt;"",ISNUMBER('幕间与结算'!M175),'幕间与结算'!M175&gt;0,'幕间与结算'!M175&lt;=99),'幕间与结算'!M175,0)</f>
        <v>0</v>
      </c>
      <c r="E376">
        <f>IF(AND(B376=1,COUNTIFS($A$210:A376,A376,$B$210:B376,1,'幕间与结算'!$E$9:E175,'幕间与结算'!E175)=1),167,999999)</f>
        <v>999999</v>
      </c>
      <c r="F376">
        <v>175</v>
      </c>
      <c r="AA376">
        <f>IF($A376=1,$E376,999999)</f>
        <v>999999</v>
      </c>
      <c r="AB376">
        <f>IF($A376=2,$E376,999999)</f>
        <v>999999</v>
      </c>
      <c r="AC376">
        <f>IF($A376=3,$E376,999999)</f>
        <v>999999</v>
      </c>
      <c r="AD376">
        <f>IF($A376=4,$E376,999999)</f>
        <v>999999</v>
      </c>
      <c r="AE376">
        <f>IF($A376=5,$E376,999999)</f>
        <v>999999</v>
      </c>
      <c r="AF376">
        <f>IF($A376=6,$E376,999999)</f>
        <v>999999</v>
      </c>
      <c r="AG376">
        <f>IF($A376=7,$E376,999999)</f>
        <v>999999</v>
      </c>
      <c r="AH376">
        <f>IF($A376=8,$E376,999999)</f>
        <v>999999</v>
      </c>
      <c r="AI376">
        <f>IF($A376=9,$E376,999999)</f>
        <v>999999</v>
      </c>
      <c r="AJ376">
        <f>IF($A376=10,$E376,999999)</f>
        <v>999999</v>
      </c>
      <c r="AK376">
        <f>IF($A376=11,$E376,999999)</f>
        <v>999999</v>
      </c>
      <c r="AL376">
        <f>IF($A376=12,$E376,999999)</f>
        <v>999999</v>
      </c>
      <c r="AM376">
        <f>IF($A376=13,$E376,999999)</f>
        <v>999999</v>
      </c>
      <c r="AN376">
        <f>IF($A376=14,$E376,999999)</f>
        <v>999999</v>
      </c>
      <c r="AO376">
        <f>IF($A376=15,$E376,999999)</f>
        <v>999999</v>
      </c>
      <c r="AP376">
        <f>IF($A376=16,$E376,999999)</f>
        <v>999999</v>
      </c>
      <c r="AQ376">
        <f>IF($A376=17,$E376,999999)</f>
        <v>999999</v>
      </c>
      <c r="AR376">
        <f>IF($A376=18,$E376,999999)</f>
        <v>999999</v>
      </c>
      <c r="AS376">
        <f>IF($A376=19,$E376,999999)</f>
        <v>999999</v>
      </c>
      <c r="AT376">
        <f>IF($A376=20,$E376,999999)</f>
        <v>999999</v>
      </c>
      <c r="BA376">
        <f>MAX(0,MIN(CEILING((BF376+BG376)/2,1),BA375+IF('幕间与结算'!E175="体力",N('幕间与结算'!K175),0)))</f>
        <v>0</v>
      </c>
      <c r="BB376">
        <f>MAX(0,MIN(BJ376,BB375+IF('幕间与结算'!E175="毅力",N('幕间与结算'!K175),0)))</f>
        <v>0</v>
      </c>
      <c r="BC376">
        <f>MAX(0,MIN(99-BL376,BC375+IF('幕间与结算'!E175="理智",N('幕间与结算'!K175),0)))</f>
        <v>0</v>
      </c>
      <c r="BD376">
        <f>MAX(0,MIN(99,BD375+IF('幕间与结算'!E175="崩溃点",N('幕间与结算'!K175),0)))</f>
        <v>0</v>
      </c>
      <c r="BF376">
        <f>MAX(0,MIN(18,'幕间计算'!BF375+IF('幕间与结算'!E175="力量",N('幕间与结算'!K175),0)))</f>
        <v>0</v>
      </c>
      <c r="BG376">
        <f>MAX(0,MIN(18,'幕间计算'!BG375+IF('幕间与结算'!E175="体质",N('幕间与结算'!K175),0)))</f>
        <v>0</v>
      </c>
      <c r="BH376">
        <f>MAX(0,MIN(18,'幕间计算'!BH375+IF('幕间与结算'!E175="敏捷",N('幕间与结算'!K175),0)))</f>
        <v>0</v>
      </c>
      <c r="BI376">
        <f>MAX(0,MIN(18,'幕间计算'!BI375+IF('幕间与结算'!E175="智力",N('幕间与结算'!K175),0)))</f>
        <v>0</v>
      </c>
      <c r="BJ376">
        <f>MAX(0,MIN(18,'幕间计算'!BJ375+IF('幕间与结算'!E175="意志",N('幕间与结算'!K175),0)))</f>
        <v>0</v>
      </c>
      <c r="BK376">
        <f>MAX(0,MIN(18,'幕间计算'!BK375+IF('幕间与结算'!E175="魅力",N('幕间与结算'!K175),0)))</f>
        <v>0</v>
      </c>
      <c r="BL376">
        <f>MAX(0,MIN(99,'幕间计算'!BL375+IF('幕间与结算'!E175="技能：非自然知识",N('幕间与结算'!K175),0)))</f>
        <v>0</v>
      </c>
    </row>
    <row r="377">
      <c r="A377">
        <f>IFERROR(IF(AND(VALUE('幕间与结算'!B176)&gt;=1,VALUE('幕间与结算'!B176)&lt;=20),VALUE('幕间与结算'!B176),0),0)</f>
        <v>0</v>
      </c>
      <c r="B377">
        <f>IF(AND(A377&gt;0,'幕间与结算'!D176&lt;&gt;"",'幕间与结算'!J176="确认",ISNUMBER('幕间与结算'!K176),OR('幕间与结算'!G176="失败",'幕间与结算'!G176="大失败"),'幕间与结算'!H176="√",LEFT('幕间与结算'!E176,3)="技能：",'幕间与结算'!E176&lt;&gt;"技能：非自然知识",ISNUMBER('幕间与结算'!F176),'幕间与结算'!F176&gt;=1,'幕间与结算'!F176&lt;=99),1,0)</f>
        <v>0</v>
      </c>
      <c r="D377">
        <f>IF(AND('幕间与结算'!J176="确认",ISNUMBER('幕间与结算'!K176),'幕间与结算'!L176&lt;&gt;"",ISNUMBER('幕间与结算'!M176),'幕间与结算'!M176&gt;0,'幕间与结算'!M176&lt;=99),'幕间与结算'!M176,0)</f>
        <v>0</v>
      </c>
      <c r="E377">
        <f>IF(AND(B377=1,COUNTIFS($A$210:A377,A377,$B$210:B377,1,'幕间与结算'!$E$9:E176,'幕间与结算'!E176)=1),168,999999)</f>
        <v>999999</v>
      </c>
      <c r="F377">
        <v>176</v>
      </c>
      <c r="AA377">
        <f>IF($A377=1,$E377,999999)</f>
        <v>999999</v>
      </c>
      <c r="AB377">
        <f>IF($A377=2,$E377,999999)</f>
        <v>999999</v>
      </c>
      <c r="AC377">
        <f>IF($A377=3,$E377,999999)</f>
        <v>999999</v>
      </c>
      <c r="AD377">
        <f>IF($A377=4,$E377,999999)</f>
        <v>999999</v>
      </c>
      <c r="AE377">
        <f>IF($A377=5,$E377,999999)</f>
        <v>999999</v>
      </c>
      <c r="AF377">
        <f>IF($A377=6,$E377,999999)</f>
        <v>999999</v>
      </c>
      <c r="AG377">
        <f>IF($A377=7,$E377,999999)</f>
        <v>999999</v>
      </c>
      <c r="AH377">
        <f>IF($A377=8,$E377,999999)</f>
        <v>999999</v>
      </c>
      <c r="AI377">
        <f>IF($A377=9,$E377,999999)</f>
        <v>999999</v>
      </c>
      <c r="AJ377">
        <f>IF($A377=10,$E377,999999)</f>
        <v>999999</v>
      </c>
      <c r="AK377">
        <f>IF($A377=11,$E377,999999)</f>
        <v>999999</v>
      </c>
      <c r="AL377">
        <f>IF($A377=12,$E377,999999)</f>
        <v>999999</v>
      </c>
      <c r="AM377">
        <f>IF($A377=13,$E377,999999)</f>
        <v>999999</v>
      </c>
      <c r="AN377">
        <f>IF($A377=14,$E377,999999)</f>
        <v>999999</v>
      </c>
      <c r="AO377">
        <f>IF($A377=15,$E377,999999)</f>
        <v>999999</v>
      </c>
      <c r="AP377">
        <f>IF($A377=16,$E377,999999)</f>
        <v>999999</v>
      </c>
      <c r="AQ377">
        <f>IF($A377=17,$E377,999999)</f>
        <v>999999</v>
      </c>
      <c r="AR377">
        <f>IF($A377=18,$E377,999999)</f>
        <v>999999</v>
      </c>
      <c r="AS377">
        <f>IF($A377=19,$E377,999999)</f>
        <v>999999</v>
      </c>
      <c r="AT377">
        <f>IF($A377=20,$E377,999999)</f>
        <v>999999</v>
      </c>
      <c r="BA377">
        <f>MAX(0,MIN(CEILING((BF377+BG377)/2,1),BA376+IF('幕间与结算'!E176="体力",N('幕间与结算'!K176),0)))</f>
        <v>0</v>
      </c>
      <c r="BB377">
        <f>MAX(0,MIN(BJ377,BB376+IF('幕间与结算'!E176="毅力",N('幕间与结算'!K176),0)))</f>
        <v>0</v>
      </c>
      <c r="BC377">
        <f>MAX(0,MIN(99-BL377,BC376+IF('幕间与结算'!E176="理智",N('幕间与结算'!K176),0)))</f>
        <v>0</v>
      </c>
      <c r="BD377">
        <f>MAX(0,MIN(99,BD376+IF('幕间与结算'!E176="崩溃点",N('幕间与结算'!K176),0)))</f>
        <v>0</v>
      </c>
      <c r="BF377">
        <f>MAX(0,MIN(18,'幕间计算'!BF376+IF('幕间与结算'!E176="力量",N('幕间与结算'!K176),0)))</f>
        <v>0</v>
      </c>
      <c r="BG377">
        <f>MAX(0,MIN(18,'幕间计算'!BG376+IF('幕间与结算'!E176="体质",N('幕间与结算'!K176),0)))</f>
        <v>0</v>
      </c>
      <c r="BH377">
        <f>MAX(0,MIN(18,'幕间计算'!BH376+IF('幕间与结算'!E176="敏捷",N('幕间与结算'!K176),0)))</f>
        <v>0</v>
      </c>
      <c r="BI377">
        <f>MAX(0,MIN(18,'幕间计算'!BI376+IF('幕间与结算'!E176="智力",N('幕间与结算'!K176),0)))</f>
        <v>0</v>
      </c>
      <c r="BJ377">
        <f>MAX(0,MIN(18,'幕间计算'!BJ376+IF('幕间与结算'!E176="意志",N('幕间与结算'!K176),0)))</f>
        <v>0</v>
      </c>
      <c r="BK377">
        <f>MAX(0,MIN(18,'幕间计算'!BK376+IF('幕间与结算'!E176="魅力",N('幕间与结算'!K176),0)))</f>
        <v>0</v>
      </c>
      <c r="BL377">
        <f>MAX(0,MIN(99,'幕间计算'!BL376+IF('幕间与结算'!E176="技能：非自然知识",N('幕间与结算'!K176),0)))</f>
        <v>0</v>
      </c>
    </row>
    <row r="378">
      <c r="A378">
        <f>IFERROR(IF(AND(VALUE('幕间与结算'!B177)&gt;=1,VALUE('幕间与结算'!B177)&lt;=20),VALUE('幕间与结算'!B177),0),0)</f>
        <v>0</v>
      </c>
      <c r="B378">
        <f>IF(AND(A378&gt;0,'幕间与结算'!D177&lt;&gt;"",'幕间与结算'!J177="确认",ISNUMBER('幕间与结算'!K177),OR('幕间与结算'!G177="失败",'幕间与结算'!G177="大失败"),'幕间与结算'!H177="√",LEFT('幕间与结算'!E177,3)="技能：",'幕间与结算'!E177&lt;&gt;"技能：非自然知识",ISNUMBER('幕间与结算'!F177),'幕间与结算'!F177&gt;=1,'幕间与结算'!F177&lt;=99),1,0)</f>
        <v>0</v>
      </c>
      <c r="D378">
        <f>IF(AND('幕间与结算'!J177="确认",ISNUMBER('幕间与结算'!K177),'幕间与结算'!L177&lt;&gt;"",ISNUMBER('幕间与结算'!M177),'幕间与结算'!M177&gt;0,'幕间与结算'!M177&lt;=99),'幕间与结算'!M177,0)</f>
        <v>0</v>
      </c>
      <c r="E378">
        <f>IF(AND(B378=1,COUNTIFS($A$210:A378,A378,$B$210:B378,1,'幕间与结算'!$E$9:E177,'幕间与结算'!E177)=1),169,999999)</f>
        <v>999999</v>
      </c>
      <c r="F378">
        <v>177</v>
      </c>
      <c r="AA378">
        <f>IF($A378=1,$E378,999999)</f>
        <v>999999</v>
      </c>
      <c r="AB378">
        <f>IF($A378=2,$E378,999999)</f>
        <v>999999</v>
      </c>
      <c r="AC378">
        <f>IF($A378=3,$E378,999999)</f>
        <v>999999</v>
      </c>
      <c r="AD378">
        <f>IF($A378=4,$E378,999999)</f>
        <v>999999</v>
      </c>
      <c r="AE378">
        <f>IF($A378=5,$E378,999999)</f>
        <v>999999</v>
      </c>
      <c r="AF378">
        <f>IF($A378=6,$E378,999999)</f>
        <v>999999</v>
      </c>
      <c r="AG378">
        <f>IF($A378=7,$E378,999999)</f>
        <v>999999</v>
      </c>
      <c r="AH378">
        <f>IF($A378=8,$E378,999999)</f>
        <v>999999</v>
      </c>
      <c r="AI378">
        <f>IF($A378=9,$E378,999999)</f>
        <v>999999</v>
      </c>
      <c r="AJ378">
        <f>IF($A378=10,$E378,999999)</f>
        <v>999999</v>
      </c>
      <c r="AK378">
        <f>IF($A378=11,$E378,999999)</f>
        <v>999999</v>
      </c>
      <c r="AL378">
        <f>IF($A378=12,$E378,999999)</f>
        <v>999999</v>
      </c>
      <c r="AM378">
        <f>IF($A378=13,$E378,999999)</f>
        <v>999999</v>
      </c>
      <c r="AN378">
        <f>IF($A378=14,$E378,999999)</f>
        <v>999999</v>
      </c>
      <c r="AO378">
        <f>IF($A378=15,$E378,999999)</f>
        <v>999999</v>
      </c>
      <c r="AP378">
        <f>IF($A378=16,$E378,999999)</f>
        <v>999999</v>
      </c>
      <c r="AQ378">
        <f>IF($A378=17,$E378,999999)</f>
        <v>999999</v>
      </c>
      <c r="AR378">
        <f>IF($A378=18,$E378,999999)</f>
        <v>999999</v>
      </c>
      <c r="AS378">
        <f>IF($A378=19,$E378,999999)</f>
        <v>999999</v>
      </c>
      <c r="AT378">
        <f>IF($A378=20,$E378,999999)</f>
        <v>999999</v>
      </c>
      <c r="BA378">
        <f>MAX(0,MIN(CEILING((BF378+BG378)/2,1),BA377+IF('幕间与结算'!E177="体力",N('幕间与结算'!K177),0)))</f>
        <v>0</v>
      </c>
      <c r="BB378">
        <f>MAX(0,MIN(BJ378,BB377+IF('幕间与结算'!E177="毅力",N('幕间与结算'!K177),0)))</f>
        <v>0</v>
      </c>
      <c r="BC378">
        <f>MAX(0,MIN(99-BL378,BC377+IF('幕间与结算'!E177="理智",N('幕间与结算'!K177),0)))</f>
        <v>0</v>
      </c>
      <c r="BD378">
        <f>MAX(0,MIN(99,BD377+IF('幕间与结算'!E177="崩溃点",N('幕间与结算'!K177),0)))</f>
        <v>0</v>
      </c>
      <c r="BF378">
        <f>MAX(0,MIN(18,'幕间计算'!BF377+IF('幕间与结算'!E177="力量",N('幕间与结算'!K177),0)))</f>
        <v>0</v>
      </c>
      <c r="BG378">
        <f>MAX(0,MIN(18,'幕间计算'!BG377+IF('幕间与结算'!E177="体质",N('幕间与结算'!K177),0)))</f>
        <v>0</v>
      </c>
      <c r="BH378">
        <f>MAX(0,MIN(18,'幕间计算'!BH377+IF('幕间与结算'!E177="敏捷",N('幕间与结算'!K177),0)))</f>
        <v>0</v>
      </c>
      <c r="BI378">
        <f>MAX(0,MIN(18,'幕间计算'!BI377+IF('幕间与结算'!E177="智力",N('幕间与结算'!K177),0)))</f>
        <v>0</v>
      </c>
      <c r="BJ378">
        <f>MAX(0,MIN(18,'幕间计算'!BJ377+IF('幕间与结算'!E177="意志",N('幕间与结算'!K177),0)))</f>
        <v>0</v>
      </c>
      <c r="BK378">
        <f>MAX(0,MIN(18,'幕间计算'!BK377+IF('幕间与结算'!E177="魅力",N('幕间与结算'!K177),0)))</f>
        <v>0</v>
      </c>
      <c r="BL378">
        <f>MAX(0,MIN(99,'幕间计算'!BL377+IF('幕间与结算'!E177="技能：非自然知识",N('幕间与结算'!K177),0)))</f>
        <v>0</v>
      </c>
    </row>
    <row r="379">
      <c r="A379">
        <f>IFERROR(IF(AND(VALUE('幕间与结算'!B178)&gt;=1,VALUE('幕间与结算'!B178)&lt;=20),VALUE('幕间与结算'!B178),0),0)</f>
        <v>0</v>
      </c>
      <c r="B379">
        <f>IF(AND(A379&gt;0,'幕间与结算'!D178&lt;&gt;"",'幕间与结算'!J178="确认",ISNUMBER('幕间与结算'!K178),OR('幕间与结算'!G178="失败",'幕间与结算'!G178="大失败"),'幕间与结算'!H178="√",LEFT('幕间与结算'!E178,3)="技能：",'幕间与结算'!E178&lt;&gt;"技能：非自然知识",ISNUMBER('幕间与结算'!F178),'幕间与结算'!F178&gt;=1,'幕间与结算'!F178&lt;=99),1,0)</f>
        <v>0</v>
      </c>
      <c r="D379">
        <f>IF(AND('幕间与结算'!J178="确认",ISNUMBER('幕间与结算'!K178),'幕间与结算'!L178&lt;&gt;"",ISNUMBER('幕间与结算'!M178),'幕间与结算'!M178&gt;0,'幕间与结算'!M178&lt;=99),'幕间与结算'!M178,0)</f>
        <v>0</v>
      </c>
      <c r="E379">
        <f>IF(AND(B379=1,COUNTIFS($A$210:A379,A379,$B$210:B379,1,'幕间与结算'!$E$9:E178,'幕间与结算'!E178)=1),170,999999)</f>
        <v>999999</v>
      </c>
      <c r="F379">
        <v>178</v>
      </c>
      <c r="AA379">
        <f>IF($A379=1,$E379,999999)</f>
        <v>999999</v>
      </c>
      <c r="AB379">
        <f>IF($A379=2,$E379,999999)</f>
        <v>999999</v>
      </c>
      <c r="AC379">
        <f>IF($A379=3,$E379,999999)</f>
        <v>999999</v>
      </c>
      <c r="AD379">
        <f>IF($A379=4,$E379,999999)</f>
        <v>999999</v>
      </c>
      <c r="AE379">
        <f>IF($A379=5,$E379,999999)</f>
        <v>999999</v>
      </c>
      <c r="AF379">
        <f>IF($A379=6,$E379,999999)</f>
        <v>999999</v>
      </c>
      <c r="AG379">
        <f>IF($A379=7,$E379,999999)</f>
        <v>999999</v>
      </c>
      <c r="AH379">
        <f>IF($A379=8,$E379,999999)</f>
        <v>999999</v>
      </c>
      <c r="AI379">
        <f>IF($A379=9,$E379,999999)</f>
        <v>999999</v>
      </c>
      <c r="AJ379">
        <f>IF($A379=10,$E379,999999)</f>
        <v>999999</v>
      </c>
      <c r="AK379">
        <f>IF($A379=11,$E379,999999)</f>
        <v>999999</v>
      </c>
      <c r="AL379">
        <f>IF($A379=12,$E379,999999)</f>
        <v>999999</v>
      </c>
      <c r="AM379">
        <f>IF($A379=13,$E379,999999)</f>
        <v>999999</v>
      </c>
      <c r="AN379">
        <f>IF($A379=14,$E379,999999)</f>
        <v>999999</v>
      </c>
      <c r="AO379">
        <f>IF($A379=15,$E379,999999)</f>
        <v>999999</v>
      </c>
      <c r="AP379">
        <f>IF($A379=16,$E379,999999)</f>
        <v>999999</v>
      </c>
      <c r="AQ379">
        <f>IF($A379=17,$E379,999999)</f>
        <v>999999</v>
      </c>
      <c r="AR379">
        <f>IF($A379=18,$E379,999999)</f>
        <v>999999</v>
      </c>
      <c r="AS379">
        <f>IF($A379=19,$E379,999999)</f>
        <v>999999</v>
      </c>
      <c r="AT379">
        <f>IF($A379=20,$E379,999999)</f>
        <v>999999</v>
      </c>
      <c r="BA379">
        <f>MAX(0,MIN(CEILING((BF379+BG379)/2,1),BA378+IF('幕间与结算'!E178="体力",N('幕间与结算'!K178),0)))</f>
        <v>0</v>
      </c>
      <c r="BB379">
        <f>MAX(0,MIN(BJ379,BB378+IF('幕间与结算'!E178="毅力",N('幕间与结算'!K178),0)))</f>
        <v>0</v>
      </c>
      <c r="BC379">
        <f>MAX(0,MIN(99-BL379,BC378+IF('幕间与结算'!E178="理智",N('幕间与结算'!K178),0)))</f>
        <v>0</v>
      </c>
      <c r="BD379">
        <f>MAX(0,MIN(99,BD378+IF('幕间与结算'!E178="崩溃点",N('幕间与结算'!K178),0)))</f>
        <v>0</v>
      </c>
      <c r="BF379">
        <f>MAX(0,MIN(18,'幕间计算'!BF378+IF('幕间与结算'!E178="力量",N('幕间与结算'!K178),0)))</f>
        <v>0</v>
      </c>
      <c r="BG379">
        <f>MAX(0,MIN(18,'幕间计算'!BG378+IF('幕间与结算'!E178="体质",N('幕间与结算'!K178),0)))</f>
        <v>0</v>
      </c>
      <c r="BH379">
        <f>MAX(0,MIN(18,'幕间计算'!BH378+IF('幕间与结算'!E178="敏捷",N('幕间与结算'!K178),0)))</f>
        <v>0</v>
      </c>
      <c r="BI379">
        <f>MAX(0,MIN(18,'幕间计算'!BI378+IF('幕间与结算'!E178="智力",N('幕间与结算'!K178),0)))</f>
        <v>0</v>
      </c>
      <c r="BJ379">
        <f>MAX(0,MIN(18,'幕间计算'!BJ378+IF('幕间与结算'!E178="意志",N('幕间与结算'!K178),0)))</f>
        <v>0</v>
      </c>
      <c r="BK379">
        <f>MAX(0,MIN(18,'幕间计算'!BK378+IF('幕间与结算'!E178="魅力",N('幕间与结算'!K178),0)))</f>
        <v>0</v>
      </c>
      <c r="BL379">
        <f>MAX(0,MIN(99,'幕间计算'!BL378+IF('幕间与结算'!E178="技能：非自然知识",N('幕间与结算'!K178),0)))</f>
        <v>0</v>
      </c>
    </row>
    <row r="380">
      <c r="A380">
        <f>IFERROR(IF(AND(VALUE('幕间与结算'!B179)&gt;=1,VALUE('幕间与结算'!B179)&lt;=20),VALUE('幕间与结算'!B179),0),0)</f>
        <v>0</v>
      </c>
      <c r="B380">
        <f>IF(AND(A380&gt;0,'幕间与结算'!D179&lt;&gt;"",'幕间与结算'!J179="确认",ISNUMBER('幕间与结算'!K179),OR('幕间与结算'!G179="失败",'幕间与结算'!G179="大失败"),'幕间与结算'!H179="√",LEFT('幕间与结算'!E179,3)="技能：",'幕间与结算'!E179&lt;&gt;"技能：非自然知识",ISNUMBER('幕间与结算'!F179),'幕间与结算'!F179&gt;=1,'幕间与结算'!F179&lt;=99),1,0)</f>
        <v>0</v>
      </c>
      <c r="D380">
        <f>IF(AND('幕间与结算'!J179="确认",ISNUMBER('幕间与结算'!K179),'幕间与结算'!L179&lt;&gt;"",ISNUMBER('幕间与结算'!M179),'幕间与结算'!M179&gt;0,'幕间与结算'!M179&lt;=99),'幕间与结算'!M179,0)</f>
        <v>0</v>
      </c>
      <c r="E380">
        <f>IF(AND(B380=1,COUNTIFS($A$210:A380,A380,$B$210:B380,1,'幕间与结算'!$E$9:E179,'幕间与结算'!E179)=1),171,999999)</f>
        <v>999999</v>
      </c>
      <c r="F380">
        <v>179</v>
      </c>
      <c r="AA380">
        <f>IF($A380=1,$E380,999999)</f>
        <v>999999</v>
      </c>
      <c r="AB380">
        <f>IF($A380=2,$E380,999999)</f>
        <v>999999</v>
      </c>
      <c r="AC380">
        <f>IF($A380=3,$E380,999999)</f>
        <v>999999</v>
      </c>
      <c r="AD380">
        <f>IF($A380=4,$E380,999999)</f>
        <v>999999</v>
      </c>
      <c r="AE380">
        <f>IF($A380=5,$E380,999999)</f>
        <v>999999</v>
      </c>
      <c r="AF380">
        <f>IF($A380=6,$E380,999999)</f>
        <v>999999</v>
      </c>
      <c r="AG380">
        <f>IF($A380=7,$E380,999999)</f>
        <v>999999</v>
      </c>
      <c r="AH380">
        <f>IF($A380=8,$E380,999999)</f>
        <v>999999</v>
      </c>
      <c r="AI380">
        <f>IF($A380=9,$E380,999999)</f>
        <v>999999</v>
      </c>
      <c r="AJ380">
        <f>IF($A380=10,$E380,999999)</f>
        <v>999999</v>
      </c>
      <c r="AK380">
        <f>IF($A380=11,$E380,999999)</f>
        <v>999999</v>
      </c>
      <c r="AL380">
        <f>IF($A380=12,$E380,999999)</f>
        <v>999999</v>
      </c>
      <c r="AM380">
        <f>IF($A380=13,$E380,999999)</f>
        <v>999999</v>
      </c>
      <c r="AN380">
        <f>IF($A380=14,$E380,999999)</f>
        <v>999999</v>
      </c>
      <c r="AO380">
        <f>IF($A380=15,$E380,999999)</f>
        <v>999999</v>
      </c>
      <c r="AP380">
        <f>IF($A380=16,$E380,999999)</f>
        <v>999999</v>
      </c>
      <c r="AQ380">
        <f>IF($A380=17,$E380,999999)</f>
        <v>999999</v>
      </c>
      <c r="AR380">
        <f>IF($A380=18,$E380,999999)</f>
        <v>999999</v>
      </c>
      <c r="AS380">
        <f>IF($A380=19,$E380,999999)</f>
        <v>999999</v>
      </c>
      <c r="AT380">
        <f>IF($A380=20,$E380,999999)</f>
        <v>999999</v>
      </c>
      <c r="BA380">
        <f>MAX(0,MIN(CEILING((BF380+BG380)/2,1),BA379+IF('幕间与结算'!E179="体力",N('幕间与结算'!K179),0)))</f>
        <v>0</v>
      </c>
      <c r="BB380">
        <f>MAX(0,MIN(BJ380,BB379+IF('幕间与结算'!E179="毅力",N('幕间与结算'!K179),0)))</f>
        <v>0</v>
      </c>
      <c r="BC380">
        <f>MAX(0,MIN(99-BL380,BC379+IF('幕间与结算'!E179="理智",N('幕间与结算'!K179),0)))</f>
        <v>0</v>
      </c>
      <c r="BD380">
        <f>MAX(0,MIN(99,BD379+IF('幕间与结算'!E179="崩溃点",N('幕间与结算'!K179),0)))</f>
        <v>0</v>
      </c>
      <c r="BF380">
        <f>MAX(0,MIN(18,'幕间计算'!BF379+IF('幕间与结算'!E179="力量",N('幕间与结算'!K179),0)))</f>
        <v>0</v>
      </c>
      <c r="BG380">
        <f>MAX(0,MIN(18,'幕间计算'!BG379+IF('幕间与结算'!E179="体质",N('幕间与结算'!K179),0)))</f>
        <v>0</v>
      </c>
      <c r="BH380">
        <f>MAX(0,MIN(18,'幕间计算'!BH379+IF('幕间与结算'!E179="敏捷",N('幕间与结算'!K179),0)))</f>
        <v>0</v>
      </c>
      <c r="BI380">
        <f>MAX(0,MIN(18,'幕间计算'!BI379+IF('幕间与结算'!E179="智力",N('幕间与结算'!K179),0)))</f>
        <v>0</v>
      </c>
      <c r="BJ380">
        <f>MAX(0,MIN(18,'幕间计算'!BJ379+IF('幕间与结算'!E179="意志",N('幕间与结算'!K179),0)))</f>
        <v>0</v>
      </c>
      <c r="BK380">
        <f>MAX(0,MIN(18,'幕间计算'!BK379+IF('幕间与结算'!E179="魅力",N('幕间与结算'!K179),0)))</f>
        <v>0</v>
      </c>
      <c r="BL380">
        <f>MAX(0,MIN(99,'幕间计算'!BL379+IF('幕间与结算'!E179="技能：非自然知识",N('幕间与结算'!K179),0)))</f>
        <v>0</v>
      </c>
    </row>
    <row r="381">
      <c r="A381">
        <f>IFERROR(IF(AND(VALUE('幕间与结算'!B180)&gt;=1,VALUE('幕间与结算'!B180)&lt;=20),VALUE('幕间与结算'!B180),0),0)</f>
        <v>0</v>
      </c>
      <c r="B381">
        <f>IF(AND(A381&gt;0,'幕间与结算'!D180&lt;&gt;"",'幕间与结算'!J180="确认",ISNUMBER('幕间与结算'!K180),OR('幕间与结算'!G180="失败",'幕间与结算'!G180="大失败"),'幕间与结算'!H180="√",LEFT('幕间与结算'!E180,3)="技能：",'幕间与结算'!E180&lt;&gt;"技能：非自然知识",ISNUMBER('幕间与结算'!F180),'幕间与结算'!F180&gt;=1,'幕间与结算'!F180&lt;=99),1,0)</f>
        <v>0</v>
      </c>
      <c r="D381">
        <f>IF(AND('幕间与结算'!J180="确认",ISNUMBER('幕间与结算'!K180),'幕间与结算'!L180&lt;&gt;"",ISNUMBER('幕间与结算'!M180),'幕间与结算'!M180&gt;0,'幕间与结算'!M180&lt;=99),'幕间与结算'!M180,0)</f>
        <v>0</v>
      </c>
      <c r="E381">
        <f>IF(AND(B381=1,COUNTIFS($A$210:A381,A381,$B$210:B381,1,'幕间与结算'!$E$9:E180,'幕间与结算'!E180)=1),172,999999)</f>
        <v>999999</v>
      </c>
      <c r="F381">
        <v>180</v>
      </c>
      <c r="AA381">
        <f>IF($A381=1,$E381,999999)</f>
        <v>999999</v>
      </c>
      <c r="AB381">
        <f>IF($A381=2,$E381,999999)</f>
        <v>999999</v>
      </c>
      <c r="AC381">
        <f>IF($A381=3,$E381,999999)</f>
        <v>999999</v>
      </c>
      <c r="AD381">
        <f>IF($A381=4,$E381,999999)</f>
        <v>999999</v>
      </c>
      <c r="AE381">
        <f>IF($A381=5,$E381,999999)</f>
        <v>999999</v>
      </c>
      <c r="AF381">
        <f>IF($A381=6,$E381,999999)</f>
        <v>999999</v>
      </c>
      <c r="AG381">
        <f>IF($A381=7,$E381,999999)</f>
        <v>999999</v>
      </c>
      <c r="AH381">
        <f>IF($A381=8,$E381,999999)</f>
        <v>999999</v>
      </c>
      <c r="AI381">
        <f>IF($A381=9,$E381,999999)</f>
        <v>999999</v>
      </c>
      <c r="AJ381">
        <f>IF($A381=10,$E381,999999)</f>
        <v>999999</v>
      </c>
      <c r="AK381">
        <f>IF($A381=11,$E381,999999)</f>
        <v>999999</v>
      </c>
      <c r="AL381">
        <f>IF($A381=12,$E381,999999)</f>
        <v>999999</v>
      </c>
      <c r="AM381">
        <f>IF($A381=13,$E381,999999)</f>
        <v>999999</v>
      </c>
      <c r="AN381">
        <f>IF($A381=14,$E381,999999)</f>
        <v>999999</v>
      </c>
      <c r="AO381">
        <f>IF($A381=15,$E381,999999)</f>
        <v>999999</v>
      </c>
      <c r="AP381">
        <f>IF($A381=16,$E381,999999)</f>
        <v>999999</v>
      </c>
      <c r="AQ381">
        <f>IF($A381=17,$E381,999999)</f>
        <v>999999</v>
      </c>
      <c r="AR381">
        <f>IF($A381=18,$E381,999999)</f>
        <v>999999</v>
      </c>
      <c r="AS381">
        <f>IF($A381=19,$E381,999999)</f>
        <v>999999</v>
      </c>
      <c r="AT381">
        <f>IF($A381=20,$E381,999999)</f>
        <v>999999</v>
      </c>
      <c r="BA381">
        <f>MAX(0,MIN(CEILING((BF381+BG381)/2,1),BA380+IF('幕间与结算'!E180="体力",N('幕间与结算'!K180),0)))</f>
        <v>0</v>
      </c>
      <c r="BB381">
        <f>MAX(0,MIN(BJ381,BB380+IF('幕间与结算'!E180="毅力",N('幕间与结算'!K180),0)))</f>
        <v>0</v>
      </c>
      <c r="BC381">
        <f>MAX(0,MIN(99-BL381,BC380+IF('幕间与结算'!E180="理智",N('幕间与结算'!K180),0)))</f>
        <v>0</v>
      </c>
      <c r="BD381">
        <f>MAX(0,MIN(99,BD380+IF('幕间与结算'!E180="崩溃点",N('幕间与结算'!K180),0)))</f>
        <v>0</v>
      </c>
      <c r="BF381">
        <f>MAX(0,MIN(18,'幕间计算'!BF380+IF('幕间与结算'!E180="力量",N('幕间与结算'!K180),0)))</f>
        <v>0</v>
      </c>
      <c r="BG381">
        <f>MAX(0,MIN(18,'幕间计算'!BG380+IF('幕间与结算'!E180="体质",N('幕间与结算'!K180),0)))</f>
        <v>0</v>
      </c>
      <c r="BH381">
        <f>MAX(0,MIN(18,'幕间计算'!BH380+IF('幕间与结算'!E180="敏捷",N('幕间与结算'!K180),0)))</f>
        <v>0</v>
      </c>
      <c r="BI381">
        <f>MAX(0,MIN(18,'幕间计算'!BI380+IF('幕间与结算'!E180="智力",N('幕间与结算'!K180),0)))</f>
        <v>0</v>
      </c>
      <c r="BJ381">
        <f>MAX(0,MIN(18,'幕间计算'!BJ380+IF('幕间与结算'!E180="意志",N('幕间与结算'!K180),0)))</f>
        <v>0</v>
      </c>
      <c r="BK381">
        <f>MAX(0,MIN(18,'幕间计算'!BK380+IF('幕间与结算'!E180="魅力",N('幕间与结算'!K180),0)))</f>
        <v>0</v>
      </c>
      <c r="BL381">
        <f>MAX(0,MIN(99,'幕间计算'!BL380+IF('幕间与结算'!E180="技能：非自然知识",N('幕间与结算'!K180),0)))</f>
        <v>0</v>
      </c>
    </row>
    <row r="382">
      <c r="A382">
        <f>IFERROR(IF(AND(VALUE('幕间与结算'!B181)&gt;=1,VALUE('幕间与结算'!B181)&lt;=20),VALUE('幕间与结算'!B181),0),0)</f>
        <v>0</v>
      </c>
      <c r="B382">
        <f>IF(AND(A382&gt;0,'幕间与结算'!D181&lt;&gt;"",'幕间与结算'!J181="确认",ISNUMBER('幕间与结算'!K181),OR('幕间与结算'!G181="失败",'幕间与结算'!G181="大失败"),'幕间与结算'!H181="√",LEFT('幕间与结算'!E181,3)="技能：",'幕间与结算'!E181&lt;&gt;"技能：非自然知识",ISNUMBER('幕间与结算'!F181),'幕间与结算'!F181&gt;=1,'幕间与结算'!F181&lt;=99),1,0)</f>
        <v>0</v>
      </c>
      <c r="D382">
        <f>IF(AND('幕间与结算'!J181="确认",ISNUMBER('幕间与结算'!K181),'幕间与结算'!L181&lt;&gt;"",ISNUMBER('幕间与结算'!M181),'幕间与结算'!M181&gt;0,'幕间与结算'!M181&lt;=99),'幕间与结算'!M181,0)</f>
        <v>0</v>
      </c>
      <c r="E382">
        <f>IF(AND(B382=1,COUNTIFS($A$210:A382,A382,$B$210:B382,1,'幕间与结算'!$E$9:E181,'幕间与结算'!E181)=1),173,999999)</f>
        <v>999999</v>
      </c>
      <c r="F382">
        <v>181</v>
      </c>
      <c r="AA382">
        <f>IF($A382=1,$E382,999999)</f>
        <v>999999</v>
      </c>
      <c r="AB382">
        <f>IF($A382=2,$E382,999999)</f>
        <v>999999</v>
      </c>
      <c r="AC382">
        <f>IF($A382=3,$E382,999999)</f>
        <v>999999</v>
      </c>
      <c r="AD382">
        <f>IF($A382=4,$E382,999999)</f>
        <v>999999</v>
      </c>
      <c r="AE382">
        <f>IF($A382=5,$E382,999999)</f>
        <v>999999</v>
      </c>
      <c r="AF382">
        <f>IF($A382=6,$E382,999999)</f>
        <v>999999</v>
      </c>
      <c r="AG382">
        <f>IF($A382=7,$E382,999999)</f>
        <v>999999</v>
      </c>
      <c r="AH382">
        <f>IF($A382=8,$E382,999999)</f>
        <v>999999</v>
      </c>
      <c r="AI382">
        <f>IF($A382=9,$E382,999999)</f>
        <v>999999</v>
      </c>
      <c r="AJ382">
        <f>IF($A382=10,$E382,999999)</f>
        <v>999999</v>
      </c>
      <c r="AK382">
        <f>IF($A382=11,$E382,999999)</f>
        <v>999999</v>
      </c>
      <c r="AL382">
        <f>IF($A382=12,$E382,999999)</f>
        <v>999999</v>
      </c>
      <c r="AM382">
        <f>IF($A382=13,$E382,999999)</f>
        <v>999999</v>
      </c>
      <c r="AN382">
        <f>IF($A382=14,$E382,999999)</f>
        <v>999999</v>
      </c>
      <c r="AO382">
        <f>IF($A382=15,$E382,999999)</f>
        <v>999999</v>
      </c>
      <c r="AP382">
        <f>IF($A382=16,$E382,999999)</f>
        <v>999999</v>
      </c>
      <c r="AQ382">
        <f>IF($A382=17,$E382,999999)</f>
        <v>999999</v>
      </c>
      <c r="AR382">
        <f>IF($A382=18,$E382,999999)</f>
        <v>999999</v>
      </c>
      <c r="AS382">
        <f>IF($A382=19,$E382,999999)</f>
        <v>999999</v>
      </c>
      <c r="AT382">
        <f>IF($A382=20,$E382,999999)</f>
        <v>999999</v>
      </c>
      <c r="BA382">
        <f>MAX(0,MIN(CEILING((BF382+BG382)/2,1),BA381+IF('幕间与结算'!E181="体力",N('幕间与结算'!K181),0)))</f>
        <v>0</v>
      </c>
      <c r="BB382">
        <f>MAX(0,MIN(BJ382,BB381+IF('幕间与结算'!E181="毅力",N('幕间与结算'!K181),0)))</f>
        <v>0</v>
      </c>
      <c r="BC382">
        <f>MAX(0,MIN(99-BL382,BC381+IF('幕间与结算'!E181="理智",N('幕间与结算'!K181),0)))</f>
        <v>0</v>
      </c>
      <c r="BD382">
        <f>MAX(0,MIN(99,BD381+IF('幕间与结算'!E181="崩溃点",N('幕间与结算'!K181),0)))</f>
        <v>0</v>
      </c>
      <c r="BF382">
        <f>MAX(0,MIN(18,'幕间计算'!BF381+IF('幕间与结算'!E181="力量",N('幕间与结算'!K181),0)))</f>
        <v>0</v>
      </c>
      <c r="BG382">
        <f>MAX(0,MIN(18,'幕间计算'!BG381+IF('幕间与结算'!E181="体质",N('幕间与结算'!K181),0)))</f>
        <v>0</v>
      </c>
      <c r="BH382">
        <f>MAX(0,MIN(18,'幕间计算'!BH381+IF('幕间与结算'!E181="敏捷",N('幕间与结算'!K181),0)))</f>
        <v>0</v>
      </c>
      <c r="BI382">
        <f>MAX(0,MIN(18,'幕间计算'!BI381+IF('幕间与结算'!E181="智力",N('幕间与结算'!K181),0)))</f>
        <v>0</v>
      </c>
      <c r="BJ382">
        <f>MAX(0,MIN(18,'幕间计算'!BJ381+IF('幕间与结算'!E181="意志",N('幕间与结算'!K181),0)))</f>
        <v>0</v>
      </c>
      <c r="BK382">
        <f>MAX(0,MIN(18,'幕间计算'!BK381+IF('幕间与结算'!E181="魅力",N('幕间与结算'!K181),0)))</f>
        <v>0</v>
      </c>
      <c r="BL382">
        <f>MAX(0,MIN(99,'幕间计算'!BL381+IF('幕间与结算'!E181="技能：非自然知识",N('幕间与结算'!K181),0)))</f>
        <v>0</v>
      </c>
    </row>
    <row r="383">
      <c r="A383">
        <f>IFERROR(IF(AND(VALUE('幕间与结算'!B182)&gt;=1,VALUE('幕间与结算'!B182)&lt;=20),VALUE('幕间与结算'!B182),0),0)</f>
        <v>0</v>
      </c>
      <c r="B383">
        <f>IF(AND(A383&gt;0,'幕间与结算'!D182&lt;&gt;"",'幕间与结算'!J182="确认",ISNUMBER('幕间与结算'!K182),OR('幕间与结算'!G182="失败",'幕间与结算'!G182="大失败"),'幕间与结算'!H182="√",LEFT('幕间与结算'!E182,3)="技能：",'幕间与结算'!E182&lt;&gt;"技能：非自然知识",ISNUMBER('幕间与结算'!F182),'幕间与结算'!F182&gt;=1,'幕间与结算'!F182&lt;=99),1,0)</f>
        <v>0</v>
      </c>
      <c r="D383">
        <f>IF(AND('幕间与结算'!J182="确认",ISNUMBER('幕间与结算'!K182),'幕间与结算'!L182&lt;&gt;"",ISNUMBER('幕间与结算'!M182),'幕间与结算'!M182&gt;0,'幕间与结算'!M182&lt;=99),'幕间与结算'!M182,0)</f>
        <v>0</v>
      </c>
      <c r="E383">
        <f>IF(AND(B383=1,COUNTIFS($A$210:A383,A383,$B$210:B383,1,'幕间与结算'!$E$9:E182,'幕间与结算'!E182)=1),174,999999)</f>
        <v>999999</v>
      </c>
      <c r="F383">
        <v>182</v>
      </c>
      <c r="AA383">
        <f>IF($A383=1,$E383,999999)</f>
        <v>999999</v>
      </c>
      <c r="AB383">
        <f>IF($A383=2,$E383,999999)</f>
        <v>999999</v>
      </c>
      <c r="AC383">
        <f>IF($A383=3,$E383,999999)</f>
        <v>999999</v>
      </c>
      <c r="AD383">
        <f>IF($A383=4,$E383,999999)</f>
        <v>999999</v>
      </c>
      <c r="AE383">
        <f>IF($A383=5,$E383,999999)</f>
        <v>999999</v>
      </c>
      <c r="AF383">
        <f>IF($A383=6,$E383,999999)</f>
        <v>999999</v>
      </c>
      <c r="AG383">
        <f>IF($A383=7,$E383,999999)</f>
        <v>999999</v>
      </c>
      <c r="AH383">
        <f>IF($A383=8,$E383,999999)</f>
        <v>999999</v>
      </c>
      <c r="AI383">
        <f>IF($A383=9,$E383,999999)</f>
        <v>999999</v>
      </c>
      <c r="AJ383">
        <f>IF($A383=10,$E383,999999)</f>
        <v>999999</v>
      </c>
      <c r="AK383">
        <f>IF($A383=11,$E383,999999)</f>
        <v>999999</v>
      </c>
      <c r="AL383">
        <f>IF($A383=12,$E383,999999)</f>
        <v>999999</v>
      </c>
      <c r="AM383">
        <f>IF($A383=13,$E383,999999)</f>
        <v>999999</v>
      </c>
      <c r="AN383">
        <f>IF($A383=14,$E383,999999)</f>
        <v>999999</v>
      </c>
      <c r="AO383">
        <f>IF($A383=15,$E383,999999)</f>
        <v>999999</v>
      </c>
      <c r="AP383">
        <f>IF($A383=16,$E383,999999)</f>
        <v>999999</v>
      </c>
      <c r="AQ383">
        <f>IF($A383=17,$E383,999999)</f>
        <v>999999</v>
      </c>
      <c r="AR383">
        <f>IF($A383=18,$E383,999999)</f>
        <v>999999</v>
      </c>
      <c r="AS383">
        <f>IF($A383=19,$E383,999999)</f>
        <v>999999</v>
      </c>
      <c r="AT383">
        <f>IF($A383=20,$E383,999999)</f>
        <v>999999</v>
      </c>
      <c r="BA383">
        <f>MAX(0,MIN(CEILING((BF383+BG383)/2,1),BA382+IF('幕间与结算'!E182="体力",N('幕间与结算'!K182),0)))</f>
        <v>0</v>
      </c>
      <c r="BB383">
        <f>MAX(0,MIN(BJ383,BB382+IF('幕间与结算'!E182="毅力",N('幕间与结算'!K182),0)))</f>
        <v>0</v>
      </c>
      <c r="BC383">
        <f>MAX(0,MIN(99-BL383,BC382+IF('幕间与结算'!E182="理智",N('幕间与结算'!K182),0)))</f>
        <v>0</v>
      </c>
      <c r="BD383">
        <f>MAX(0,MIN(99,BD382+IF('幕间与结算'!E182="崩溃点",N('幕间与结算'!K182),0)))</f>
        <v>0</v>
      </c>
      <c r="BF383">
        <f>MAX(0,MIN(18,'幕间计算'!BF382+IF('幕间与结算'!E182="力量",N('幕间与结算'!K182),0)))</f>
        <v>0</v>
      </c>
      <c r="BG383">
        <f>MAX(0,MIN(18,'幕间计算'!BG382+IF('幕间与结算'!E182="体质",N('幕间与结算'!K182),0)))</f>
        <v>0</v>
      </c>
      <c r="BH383">
        <f>MAX(0,MIN(18,'幕间计算'!BH382+IF('幕间与结算'!E182="敏捷",N('幕间与结算'!K182),0)))</f>
        <v>0</v>
      </c>
      <c r="BI383">
        <f>MAX(0,MIN(18,'幕间计算'!BI382+IF('幕间与结算'!E182="智力",N('幕间与结算'!K182),0)))</f>
        <v>0</v>
      </c>
      <c r="BJ383">
        <f>MAX(0,MIN(18,'幕间计算'!BJ382+IF('幕间与结算'!E182="意志",N('幕间与结算'!K182),0)))</f>
        <v>0</v>
      </c>
      <c r="BK383">
        <f>MAX(0,MIN(18,'幕间计算'!BK382+IF('幕间与结算'!E182="魅力",N('幕间与结算'!K182),0)))</f>
        <v>0</v>
      </c>
      <c r="BL383">
        <f>MAX(0,MIN(99,'幕间计算'!BL382+IF('幕间与结算'!E182="技能：非自然知识",N('幕间与结算'!K182),0)))</f>
        <v>0</v>
      </c>
    </row>
    <row r="384">
      <c r="A384">
        <f>IFERROR(IF(AND(VALUE('幕间与结算'!B183)&gt;=1,VALUE('幕间与结算'!B183)&lt;=20),VALUE('幕间与结算'!B183),0),0)</f>
        <v>0</v>
      </c>
      <c r="B384">
        <f>IF(AND(A384&gt;0,'幕间与结算'!D183&lt;&gt;"",'幕间与结算'!J183="确认",ISNUMBER('幕间与结算'!K183),OR('幕间与结算'!G183="失败",'幕间与结算'!G183="大失败"),'幕间与结算'!H183="√",LEFT('幕间与结算'!E183,3)="技能：",'幕间与结算'!E183&lt;&gt;"技能：非自然知识",ISNUMBER('幕间与结算'!F183),'幕间与结算'!F183&gt;=1,'幕间与结算'!F183&lt;=99),1,0)</f>
        <v>0</v>
      </c>
      <c r="D384">
        <f>IF(AND('幕间与结算'!J183="确认",ISNUMBER('幕间与结算'!K183),'幕间与结算'!L183&lt;&gt;"",ISNUMBER('幕间与结算'!M183),'幕间与结算'!M183&gt;0,'幕间与结算'!M183&lt;=99),'幕间与结算'!M183,0)</f>
        <v>0</v>
      </c>
      <c r="E384">
        <f>IF(AND(B384=1,COUNTIFS($A$210:A384,A384,$B$210:B384,1,'幕间与结算'!$E$9:E183,'幕间与结算'!E183)=1),175,999999)</f>
        <v>999999</v>
      </c>
      <c r="F384">
        <v>183</v>
      </c>
      <c r="AA384">
        <f>IF($A384=1,$E384,999999)</f>
        <v>999999</v>
      </c>
      <c r="AB384">
        <f>IF($A384=2,$E384,999999)</f>
        <v>999999</v>
      </c>
      <c r="AC384">
        <f>IF($A384=3,$E384,999999)</f>
        <v>999999</v>
      </c>
      <c r="AD384">
        <f>IF($A384=4,$E384,999999)</f>
        <v>999999</v>
      </c>
      <c r="AE384">
        <f>IF($A384=5,$E384,999999)</f>
        <v>999999</v>
      </c>
      <c r="AF384">
        <f>IF($A384=6,$E384,999999)</f>
        <v>999999</v>
      </c>
      <c r="AG384">
        <f>IF($A384=7,$E384,999999)</f>
        <v>999999</v>
      </c>
      <c r="AH384">
        <f>IF($A384=8,$E384,999999)</f>
        <v>999999</v>
      </c>
      <c r="AI384">
        <f>IF($A384=9,$E384,999999)</f>
        <v>999999</v>
      </c>
      <c r="AJ384">
        <f>IF($A384=10,$E384,999999)</f>
        <v>999999</v>
      </c>
      <c r="AK384">
        <f>IF($A384=11,$E384,999999)</f>
        <v>999999</v>
      </c>
      <c r="AL384">
        <f>IF($A384=12,$E384,999999)</f>
        <v>999999</v>
      </c>
      <c r="AM384">
        <f>IF($A384=13,$E384,999999)</f>
        <v>999999</v>
      </c>
      <c r="AN384">
        <f>IF($A384=14,$E384,999999)</f>
        <v>999999</v>
      </c>
      <c r="AO384">
        <f>IF($A384=15,$E384,999999)</f>
        <v>999999</v>
      </c>
      <c r="AP384">
        <f>IF($A384=16,$E384,999999)</f>
        <v>999999</v>
      </c>
      <c r="AQ384">
        <f>IF($A384=17,$E384,999999)</f>
        <v>999999</v>
      </c>
      <c r="AR384">
        <f>IF($A384=18,$E384,999999)</f>
        <v>999999</v>
      </c>
      <c r="AS384">
        <f>IF($A384=19,$E384,999999)</f>
        <v>999999</v>
      </c>
      <c r="AT384">
        <f>IF($A384=20,$E384,999999)</f>
        <v>999999</v>
      </c>
      <c r="BA384">
        <f>MAX(0,MIN(CEILING((BF384+BG384)/2,1),BA383+IF('幕间与结算'!E183="体力",N('幕间与结算'!K183),0)))</f>
        <v>0</v>
      </c>
      <c r="BB384">
        <f>MAX(0,MIN(BJ384,BB383+IF('幕间与结算'!E183="毅力",N('幕间与结算'!K183),0)))</f>
        <v>0</v>
      </c>
      <c r="BC384">
        <f>MAX(0,MIN(99-BL384,BC383+IF('幕间与结算'!E183="理智",N('幕间与结算'!K183),0)))</f>
        <v>0</v>
      </c>
      <c r="BD384">
        <f>MAX(0,MIN(99,BD383+IF('幕间与结算'!E183="崩溃点",N('幕间与结算'!K183),0)))</f>
        <v>0</v>
      </c>
      <c r="BF384">
        <f>MAX(0,MIN(18,'幕间计算'!BF383+IF('幕间与结算'!E183="力量",N('幕间与结算'!K183),0)))</f>
        <v>0</v>
      </c>
      <c r="BG384">
        <f>MAX(0,MIN(18,'幕间计算'!BG383+IF('幕间与结算'!E183="体质",N('幕间与结算'!K183),0)))</f>
        <v>0</v>
      </c>
      <c r="BH384">
        <f>MAX(0,MIN(18,'幕间计算'!BH383+IF('幕间与结算'!E183="敏捷",N('幕间与结算'!K183),0)))</f>
        <v>0</v>
      </c>
      <c r="BI384">
        <f>MAX(0,MIN(18,'幕间计算'!BI383+IF('幕间与结算'!E183="智力",N('幕间与结算'!K183),0)))</f>
        <v>0</v>
      </c>
      <c r="BJ384">
        <f>MAX(0,MIN(18,'幕间计算'!BJ383+IF('幕间与结算'!E183="意志",N('幕间与结算'!K183),0)))</f>
        <v>0</v>
      </c>
      <c r="BK384">
        <f>MAX(0,MIN(18,'幕间计算'!BK383+IF('幕间与结算'!E183="魅力",N('幕间与结算'!K183),0)))</f>
        <v>0</v>
      </c>
      <c r="BL384">
        <f>MAX(0,MIN(99,'幕间计算'!BL383+IF('幕间与结算'!E183="技能：非自然知识",N('幕间与结算'!K183),0)))</f>
        <v>0</v>
      </c>
    </row>
    <row r="385">
      <c r="A385">
        <f>IFERROR(IF(AND(VALUE('幕间与结算'!B184)&gt;=1,VALUE('幕间与结算'!B184)&lt;=20),VALUE('幕间与结算'!B184),0),0)</f>
        <v>0</v>
      </c>
      <c r="B385">
        <f>IF(AND(A385&gt;0,'幕间与结算'!D184&lt;&gt;"",'幕间与结算'!J184="确认",ISNUMBER('幕间与结算'!K184),OR('幕间与结算'!G184="失败",'幕间与结算'!G184="大失败"),'幕间与结算'!H184="√",LEFT('幕间与结算'!E184,3)="技能：",'幕间与结算'!E184&lt;&gt;"技能：非自然知识",ISNUMBER('幕间与结算'!F184),'幕间与结算'!F184&gt;=1,'幕间与结算'!F184&lt;=99),1,0)</f>
        <v>0</v>
      </c>
      <c r="D385">
        <f>IF(AND('幕间与结算'!J184="确认",ISNUMBER('幕间与结算'!K184),'幕间与结算'!L184&lt;&gt;"",ISNUMBER('幕间与结算'!M184),'幕间与结算'!M184&gt;0,'幕间与结算'!M184&lt;=99),'幕间与结算'!M184,0)</f>
        <v>0</v>
      </c>
      <c r="E385">
        <f>IF(AND(B385=1,COUNTIFS($A$210:A385,A385,$B$210:B385,1,'幕间与结算'!$E$9:E184,'幕间与结算'!E184)=1),176,999999)</f>
        <v>999999</v>
      </c>
      <c r="F385">
        <v>184</v>
      </c>
      <c r="AA385">
        <f>IF($A385=1,$E385,999999)</f>
        <v>999999</v>
      </c>
      <c r="AB385">
        <f>IF($A385=2,$E385,999999)</f>
        <v>999999</v>
      </c>
      <c r="AC385">
        <f>IF($A385=3,$E385,999999)</f>
        <v>999999</v>
      </c>
      <c r="AD385">
        <f>IF($A385=4,$E385,999999)</f>
        <v>999999</v>
      </c>
      <c r="AE385">
        <f>IF($A385=5,$E385,999999)</f>
        <v>999999</v>
      </c>
      <c r="AF385">
        <f>IF($A385=6,$E385,999999)</f>
        <v>999999</v>
      </c>
      <c r="AG385">
        <f>IF($A385=7,$E385,999999)</f>
        <v>999999</v>
      </c>
      <c r="AH385">
        <f>IF($A385=8,$E385,999999)</f>
        <v>999999</v>
      </c>
      <c r="AI385">
        <f>IF($A385=9,$E385,999999)</f>
        <v>999999</v>
      </c>
      <c r="AJ385">
        <f>IF($A385=10,$E385,999999)</f>
        <v>999999</v>
      </c>
      <c r="AK385">
        <f>IF($A385=11,$E385,999999)</f>
        <v>999999</v>
      </c>
      <c r="AL385">
        <f>IF($A385=12,$E385,999999)</f>
        <v>999999</v>
      </c>
      <c r="AM385">
        <f>IF($A385=13,$E385,999999)</f>
        <v>999999</v>
      </c>
      <c r="AN385">
        <f>IF($A385=14,$E385,999999)</f>
        <v>999999</v>
      </c>
      <c r="AO385">
        <f>IF($A385=15,$E385,999999)</f>
        <v>999999</v>
      </c>
      <c r="AP385">
        <f>IF($A385=16,$E385,999999)</f>
        <v>999999</v>
      </c>
      <c r="AQ385">
        <f>IF($A385=17,$E385,999999)</f>
        <v>999999</v>
      </c>
      <c r="AR385">
        <f>IF($A385=18,$E385,999999)</f>
        <v>999999</v>
      </c>
      <c r="AS385">
        <f>IF($A385=19,$E385,999999)</f>
        <v>999999</v>
      </c>
      <c r="AT385">
        <f>IF($A385=20,$E385,999999)</f>
        <v>999999</v>
      </c>
      <c r="BA385">
        <f>MAX(0,MIN(CEILING((BF385+BG385)/2,1),BA384+IF('幕间与结算'!E184="体力",N('幕间与结算'!K184),0)))</f>
        <v>0</v>
      </c>
      <c r="BB385">
        <f>MAX(0,MIN(BJ385,BB384+IF('幕间与结算'!E184="毅力",N('幕间与结算'!K184),0)))</f>
        <v>0</v>
      </c>
      <c r="BC385">
        <f>MAX(0,MIN(99-BL385,BC384+IF('幕间与结算'!E184="理智",N('幕间与结算'!K184),0)))</f>
        <v>0</v>
      </c>
      <c r="BD385">
        <f>MAX(0,MIN(99,BD384+IF('幕间与结算'!E184="崩溃点",N('幕间与结算'!K184),0)))</f>
        <v>0</v>
      </c>
      <c r="BF385">
        <f>MAX(0,MIN(18,'幕间计算'!BF384+IF('幕间与结算'!E184="力量",N('幕间与结算'!K184),0)))</f>
        <v>0</v>
      </c>
      <c r="BG385">
        <f>MAX(0,MIN(18,'幕间计算'!BG384+IF('幕间与结算'!E184="体质",N('幕间与结算'!K184),0)))</f>
        <v>0</v>
      </c>
      <c r="BH385">
        <f>MAX(0,MIN(18,'幕间计算'!BH384+IF('幕间与结算'!E184="敏捷",N('幕间与结算'!K184),0)))</f>
        <v>0</v>
      </c>
      <c r="BI385">
        <f>MAX(0,MIN(18,'幕间计算'!BI384+IF('幕间与结算'!E184="智力",N('幕间与结算'!K184),0)))</f>
        <v>0</v>
      </c>
      <c r="BJ385">
        <f>MAX(0,MIN(18,'幕间计算'!BJ384+IF('幕间与结算'!E184="意志",N('幕间与结算'!K184),0)))</f>
        <v>0</v>
      </c>
      <c r="BK385">
        <f>MAX(0,MIN(18,'幕间计算'!BK384+IF('幕间与结算'!E184="魅力",N('幕间与结算'!K184),0)))</f>
        <v>0</v>
      </c>
      <c r="BL385">
        <f>MAX(0,MIN(99,'幕间计算'!BL384+IF('幕间与结算'!E184="技能：非自然知识",N('幕间与结算'!K184),0)))</f>
        <v>0</v>
      </c>
    </row>
    <row r="386">
      <c r="A386">
        <f>IFERROR(IF(AND(VALUE('幕间与结算'!B185)&gt;=1,VALUE('幕间与结算'!B185)&lt;=20),VALUE('幕间与结算'!B185),0),0)</f>
        <v>0</v>
      </c>
      <c r="B386">
        <f>IF(AND(A386&gt;0,'幕间与结算'!D185&lt;&gt;"",'幕间与结算'!J185="确认",ISNUMBER('幕间与结算'!K185),OR('幕间与结算'!G185="失败",'幕间与结算'!G185="大失败"),'幕间与结算'!H185="√",LEFT('幕间与结算'!E185,3)="技能：",'幕间与结算'!E185&lt;&gt;"技能：非自然知识",ISNUMBER('幕间与结算'!F185),'幕间与结算'!F185&gt;=1,'幕间与结算'!F185&lt;=99),1,0)</f>
        <v>0</v>
      </c>
      <c r="D386">
        <f>IF(AND('幕间与结算'!J185="确认",ISNUMBER('幕间与结算'!K185),'幕间与结算'!L185&lt;&gt;"",ISNUMBER('幕间与结算'!M185),'幕间与结算'!M185&gt;0,'幕间与结算'!M185&lt;=99),'幕间与结算'!M185,0)</f>
        <v>0</v>
      </c>
      <c r="E386">
        <f>IF(AND(B386=1,COUNTIFS($A$210:A386,A386,$B$210:B386,1,'幕间与结算'!$E$9:E185,'幕间与结算'!E185)=1),177,999999)</f>
        <v>999999</v>
      </c>
      <c r="F386">
        <v>185</v>
      </c>
      <c r="AA386">
        <f>IF($A386=1,$E386,999999)</f>
        <v>999999</v>
      </c>
      <c r="AB386">
        <f>IF($A386=2,$E386,999999)</f>
        <v>999999</v>
      </c>
      <c r="AC386">
        <f>IF($A386=3,$E386,999999)</f>
        <v>999999</v>
      </c>
      <c r="AD386">
        <f>IF($A386=4,$E386,999999)</f>
        <v>999999</v>
      </c>
      <c r="AE386">
        <f>IF($A386=5,$E386,999999)</f>
        <v>999999</v>
      </c>
      <c r="AF386">
        <f>IF($A386=6,$E386,999999)</f>
        <v>999999</v>
      </c>
      <c r="AG386">
        <f>IF($A386=7,$E386,999999)</f>
        <v>999999</v>
      </c>
      <c r="AH386">
        <f>IF($A386=8,$E386,999999)</f>
        <v>999999</v>
      </c>
      <c r="AI386">
        <f>IF($A386=9,$E386,999999)</f>
        <v>999999</v>
      </c>
      <c r="AJ386">
        <f>IF($A386=10,$E386,999999)</f>
        <v>999999</v>
      </c>
      <c r="AK386">
        <f>IF($A386=11,$E386,999999)</f>
        <v>999999</v>
      </c>
      <c r="AL386">
        <f>IF($A386=12,$E386,999999)</f>
        <v>999999</v>
      </c>
      <c r="AM386">
        <f>IF($A386=13,$E386,999999)</f>
        <v>999999</v>
      </c>
      <c r="AN386">
        <f>IF($A386=14,$E386,999999)</f>
        <v>999999</v>
      </c>
      <c r="AO386">
        <f>IF($A386=15,$E386,999999)</f>
        <v>999999</v>
      </c>
      <c r="AP386">
        <f>IF($A386=16,$E386,999999)</f>
        <v>999999</v>
      </c>
      <c r="AQ386">
        <f>IF($A386=17,$E386,999999)</f>
        <v>999999</v>
      </c>
      <c r="AR386">
        <f>IF($A386=18,$E386,999999)</f>
        <v>999999</v>
      </c>
      <c r="AS386">
        <f>IF($A386=19,$E386,999999)</f>
        <v>999999</v>
      </c>
      <c r="AT386">
        <f>IF($A386=20,$E386,999999)</f>
        <v>999999</v>
      </c>
      <c r="BA386">
        <f>MAX(0,MIN(CEILING((BF386+BG386)/2,1),BA385+IF('幕间与结算'!E185="体力",N('幕间与结算'!K185),0)))</f>
        <v>0</v>
      </c>
      <c r="BB386">
        <f>MAX(0,MIN(BJ386,BB385+IF('幕间与结算'!E185="毅力",N('幕间与结算'!K185),0)))</f>
        <v>0</v>
      </c>
      <c r="BC386">
        <f>MAX(0,MIN(99-BL386,BC385+IF('幕间与结算'!E185="理智",N('幕间与结算'!K185),0)))</f>
        <v>0</v>
      </c>
      <c r="BD386">
        <f>MAX(0,MIN(99,BD385+IF('幕间与结算'!E185="崩溃点",N('幕间与结算'!K185),0)))</f>
        <v>0</v>
      </c>
      <c r="BF386">
        <f>MAX(0,MIN(18,'幕间计算'!BF385+IF('幕间与结算'!E185="力量",N('幕间与结算'!K185),0)))</f>
        <v>0</v>
      </c>
      <c r="BG386">
        <f>MAX(0,MIN(18,'幕间计算'!BG385+IF('幕间与结算'!E185="体质",N('幕间与结算'!K185),0)))</f>
        <v>0</v>
      </c>
      <c r="BH386">
        <f>MAX(0,MIN(18,'幕间计算'!BH385+IF('幕间与结算'!E185="敏捷",N('幕间与结算'!K185),0)))</f>
        <v>0</v>
      </c>
      <c r="BI386">
        <f>MAX(0,MIN(18,'幕间计算'!BI385+IF('幕间与结算'!E185="智力",N('幕间与结算'!K185),0)))</f>
        <v>0</v>
      </c>
      <c r="BJ386">
        <f>MAX(0,MIN(18,'幕间计算'!BJ385+IF('幕间与结算'!E185="意志",N('幕间与结算'!K185),0)))</f>
        <v>0</v>
      </c>
      <c r="BK386">
        <f>MAX(0,MIN(18,'幕间计算'!BK385+IF('幕间与结算'!E185="魅力",N('幕间与结算'!K185),0)))</f>
        <v>0</v>
      </c>
      <c r="BL386">
        <f>MAX(0,MIN(99,'幕间计算'!BL385+IF('幕间与结算'!E185="技能：非自然知识",N('幕间与结算'!K185),0)))</f>
        <v>0</v>
      </c>
    </row>
    <row r="387">
      <c r="A387">
        <f>IFERROR(IF(AND(VALUE('幕间与结算'!B186)&gt;=1,VALUE('幕间与结算'!B186)&lt;=20),VALUE('幕间与结算'!B186),0),0)</f>
        <v>0</v>
      </c>
      <c r="B387">
        <f>IF(AND(A387&gt;0,'幕间与结算'!D186&lt;&gt;"",'幕间与结算'!J186="确认",ISNUMBER('幕间与结算'!K186),OR('幕间与结算'!G186="失败",'幕间与结算'!G186="大失败"),'幕间与结算'!H186="√",LEFT('幕间与结算'!E186,3)="技能：",'幕间与结算'!E186&lt;&gt;"技能：非自然知识",ISNUMBER('幕间与结算'!F186),'幕间与结算'!F186&gt;=1,'幕间与结算'!F186&lt;=99),1,0)</f>
        <v>0</v>
      </c>
      <c r="D387">
        <f>IF(AND('幕间与结算'!J186="确认",ISNUMBER('幕间与结算'!K186),'幕间与结算'!L186&lt;&gt;"",ISNUMBER('幕间与结算'!M186),'幕间与结算'!M186&gt;0,'幕间与结算'!M186&lt;=99),'幕间与结算'!M186,0)</f>
        <v>0</v>
      </c>
      <c r="E387">
        <f>IF(AND(B387=1,COUNTIFS($A$210:A387,A387,$B$210:B387,1,'幕间与结算'!$E$9:E186,'幕间与结算'!E186)=1),178,999999)</f>
        <v>999999</v>
      </c>
      <c r="F387">
        <v>186</v>
      </c>
      <c r="AA387">
        <f>IF($A387=1,$E387,999999)</f>
        <v>999999</v>
      </c>
      <c r="AB387">
        <f>IF($A387=2,$E387,999999)</f>
        <v>999999</v>
      </c>
      <c r="AC387">
        <f>IF($A387=3,$E387,999999)</f>
        <v>999999</v>
      </c>
      <c r="AD387">
        <f>IF($A387=4,$E387,999999)</f>
        <v>999999</v>
      </c>
      <c r="AE387">
        <f>IF($A387=5,$E387,999999)</f>
        <v>999999</v>
      </c>
      <c r="AF387">
        <f>IF($A387=6,$E387,999999)</f>
        <v>999999</v>
      </c>
      <c r="AG387">
        <f>IF($A387=7,$E387,999999)</f>
        <v>999999</v>
      </c>
      <c r="AH387">
        <f>IF($A387=8,$E387,999999)</f>
        <v>999999</v>
      </c>
      <c r="AI387">
        <f>IF($A387=9,$E387,999999)</f>
        <v>999999</v>
      </c>
      <c r="AJ387">
        <f>IF($A387=10,$E387,999999)</f>
        <v>999999</v>
      </c>
      <c r="AK387">
        <f>IF($A387=11,$E387,999999)</f>
        <v>999999</v>
      </c>
      <c r="AL387">
        <f>IF($A387=12,$E387,999999)</f>
        <v>999999</v>
      </c>
      <c r="AM387">
        <f>IF($A387=13,$E387,999999)</f>
        <v>999999</v>
      </c>
      <c r="AN387">
        <f>IF($A387=14,$E387,999999)</f>
        <v>999999</v>
      </c>
      <c r="AO387">
        <f>IF($A387=15,$E387,999999)</f>
        <v>999999</v>
      </c>
      <c r="AP387">
        <f>IF($A387=16,$E387,999999)</f>
        <v>999999</v>
      </c>
      <c r="AQ387">
        <f>IF($A387=17,$E387,999999)</f>
        <v>999999</v>
      </c>
      <c r="AR387">
        <f>IF($A387=18,$E387,999999)</f>
        <v>999999</v>
      </c>
      <c r="AS387">
        <f>IF($A387=19,$E387,999999)</f>
        <v>999999</v>
      </c>
      <c r="AT387">
        <f>IF($A387=20,$E387,999999)</f>
        <v>999999</v>
      </c>
      <c r="BA387">
        <f>MAX(0,MIN(CEILING((BF387+BG387)/2,1),BA386+IF('幕间与结算'!E186="体力",N('幕间与结算'!K186),0)))</f>
        <v>0</v>
      </c>
      <c r="BB387">
        <f>MAX(0,MIN(BJ387,BB386+IF('幕间与结算'!E186="毅力",N('幕间与结算'!K186),0)))</f>
        <v>0</v>
      </c>
      <c r="BC387">
        <f>MAX(0,MIN(99-BL387,BC386+IF('幕间与结算'!E186="理智",N('幕间与结算'!K186),0)))</f>
        <v>0</v>
      </c>
      <c r="BD387">
        <f>MAX(0,MIN(99,BD386+IF('幕间与结算'!E186="崩溃点",N('幕间与结算'!K186),0)))</f>
        <v>0</v>
      </c>
      <c r="BF387">
        <f>MAX(0,MIN(18,'幕间计算'!BF386+IF('幕间与结算'!E186="力量",N('幕间与结算'!K186),0)))</f>
        <v>0</v>
      </c>
      <c r="BG387">
        <f>MAX(0,MIN(18,'幕间计算'!BG386+IF('幕间与结算'!E186="体质",N('幕间与结算'!K186),0)))</f>
        <v>0</v>
      </c>
      <c r="BH387">
        <f>MAX(0,MIN(18,'幕间计算'!BH386+IF('幕间与结算'!E186="敏捷",N('幕间与结算'!K186),0)))</f>
        <v>0</v>
      </c>
      <c r="BI387">
        <f>MAX(0,MIN(18,'幕间计算'!BI386+IF('幕间与结算'!E186="智力",N('幕间与结算'!K186),0)))</f>
        <v>0</v>
      </c>
      <c r="BJ387">
        <f>MAX(0,MIN(18,'幕间计算'!BJ386+IF('幕间与结算'!E186="意志",N('幕间与结算'!K186),0)))</f>
        <v>0</v>
      </c>
      <c r="BK387">
        <f>MAX(0,MIN(18,'幕间计算'!BK386+IF('幕间与结算'!E186="魅力",N('幕间与结算'!K186),0)))</f>
        <v>0</v>
      </c>
      <c r="BL387">
        <f>MAX(0,MIN(99,'幕间计算'!BL386+IF('幕间与结算'!E186="技能：非自然知识",N('幕间与结算'!K186),0)))</f>
        <v>0</v>
      </c>
    </row>
    <row r="388">
      <c r="A388">
        <f>IFERROR(IF(AND(VALUE('幕间与结算'!B187)&gt;=1,VALUE('幕间与结算'!B187)&lt;=20),VALUE('幕间与结算'!B187),0),0)</f>
        <v>0</v>
      </c>
      <c r="B388">
        <f>IF(AND(A388&gt;0,'幕间与结算'!D187&lt;&gt;"",'幕间与结算'!J187="确认",ISNUMBER('幕间与结算'!K187),OR('幕间与结算'!G187="失败",'幕间与结算'!G187="大失败"),'幕间与结算'!H187="√",LEFT('幕间与结算'!E187,3)="技能：",'幕间与结算'!E187&lt;&gt;"技能：非自然知识",ISNUMBER('幕间与结算'!F187),'幕间与结算'!F187&gt;=1,'幕间与结算'!F187&lt;=99),1,0)</f>
        <v>0</v>
      </c>
      <c r="D388">
        <f>IF(AND('幕间与结算'!J187="确认",ISNUMBER('幕间与结算'!K187),'幕间与结算'!L187&lt;&gt;"",ISNUMBER('幕间与结算'!M187),'幕间与结算'!M187&gt;0,'幕间与结算'!M187&lt;=99),'幕间与结算'!M187,0)</f>
        <v>0</v>
      </c>
      <c r="E388">
        <f>IF(AND(B388=1,COUNTIFS($A$210:A388,A388,$B$210:B388,1,'幕间与结算'!$E$9:E187,'幕间与结算'!E187)=1),179,999999)</f>
        <v>999999</v>
      </c>
      <c r="F388">
        <v>187</v>
      </c>
      <c r="AA388">
        <f>IF($A388=1,$E388,999999)</f>
        <v>999999</v>
      </c>
      <c r="AB388">
        <f>IF($A388=2,$E388,999999)</f>
        <v>999999</v>
      </c>
      <c r="AC388">
        <f>IF($A388=3,$E388,999999)</f>
        <v>999999</v>
      </c>
      <c r="AD388">
        <f>IF($A388=4,$E388,999999)</f>
        <v>999999</v>
      </c>
      <c r="AE388">
        <f>IF($A388=5,$E388,999999)</f>
        <v>999999</v>
      </c>
      <c r="AF388">
        <f>IF($A388=6,$E388,999999)</f>
        <v>999999</v>
      </c>
      <c r="AG388">
        <f>IF($A388=7,$E388,999999)</f>
        <v>999999</v>
      </c>
      <c r="AH388">
        <f>IF($A388=8,$E388,999999)</f>
        <v>999999</v>
      </c>
      <c r="AI388">
        <f>IF($A388=9,$E388,999999)</f>
        <v>999999</v>
      </c>
      <c r="AJ388">
        <f>IF($A388=10,$E388,999999)</f>
        <v>999999</v>
      </c>
      <c r="AK388">
        <f>IF($A388=11,$E388,999999)</f>
        <v>999999</v>
      </c>
      <c r="AL388">
        <f>IF($A388=12,$E388,999999)</f>
        <v>999999</v>
      </c>
      <c r="AM388">
        <f>IF($A388=13,$E388,999999)</f>
        <v>999999</v>
      </c>
      <c r="AN388">
        <f>IF($A388=14,$E388,999999)</f>
        <v>999999</v>
      </c>
      <c r="AO388">
        <f>IF($A388=15,$E388,999999)</f>
        <v>999999</v>
      </c>
      <c r="AP388">
        <f>IF($A388=16,$E388,999999)</f>
        <v>999999</v>
      </c>
      <c r="AQ388">
        <f>IF($A388=17,$E388,999999)</f>
        <v>999999</v>
      </c>
      <c r="AR388">
        <f>IF($A388=18,$E388,999999)</f>
        <v>999999</v>
      </c>
      <c r="AS388">
        <f>IF($A388=19,$E388,999999)</f>
        <v>999999</v>
      </c>
      <c r="AT388">
        <f>IF($A388=20,$E388,999999)</f>
        <v>999999</v>
      </c>
      <c r="BA388">
        <f>MAX(0,MIN(CEILING((BF388+BG388)/2,1),BA387+IF('幕间与结算'!E187="体力",N('幕间与结算'!K187),0)))</f>
        <v>0</v>
      </c>
      <c r="BB388">
        <f>MAX(0,MIN(BJ388,BB387+IF('幕间与结算'!E187="毅力",N('幕间与结算'!K187),0)))</f>
        <v>0</v>
      </c>
      <c r="BC388">
        <f>MAX(0,MIN(99-BL388,BC387+IF('幕间与结算'!E187="理智",N('幕间与结算'!K187),0)))</f>
        <v>0</v>
      </c>
      <c r="BD388">
        <f>MAX(0,MIN(99,BD387+IF('幕间与结算'!E187="崩溃点",N('幕间与结算'!K187),0)))</f>
        <v>0</v>
      </c>
      <c r="BF388">
        <f>MAX(0,MIN(18,'幕间计算'!BF387+IF('幕间与结算'!E187="力量",N('幕间与结算'!K187),0)))</f>
        <v>0</v>
      </c>
      <c r="BG388">
        <f>MAX(0,MIN(18,'幕间计算'!BG387+IF('幕间与结算'!E187="体质",N('幕间与结算'!K187),0)))</f>
        <v>0</v>
      </c>
      <c r="BH388">
        <f>MAX(0,MIN(18,'幕间计算'!BH387+IF('幕间与结算'!E187="敏捷",N('幕间与结算'!K187),0)))</f>
        <v>0</v>
      </c>
      <c r="BI388">
        <f>MAX(0,MIN(18,'幕间计算'!BI387+IF('幕间与结算'!E187="智力",N('幕间与结算'!K187),0)))</f>
        <v>0</v>
      </c>
      <c r="BJ388">
        <f>MAX(0,MIN(18,'幕间计算'!BJ387+IF('幕间与结算'!E187="意志",N('幕间与结算'!K187),0)))</f>
        <v>0</v>
      </c>
      <c r="BK388">
        <f>MAX(0,MIN(18,'幕间计算'!BK387+IF('幕间与结算'!E187="魅力",N('幕间与结算'!K187),0)))</f>
        <v>0</v>
      </c>
      <c r="BL388">
        <f>MAX(0,MIN(99,'幕间计算'!BL387+IF('幕间与结算'!E187="技能：非自然知识",N('幕间与结算'!K187),0)))</f>
        <v>0</v>
      </c>
    </row>
    <row r="389">
      <c r="A389">
        <f>IFERROR(IF(AND(VALUE('幕间与结算'!B188)&gt;=1,VALUE('幕间与结算'!B188)&lt;=20),VALUE('幕间与结算'!B188),0),0)</f>
        <v>0</v>
      </c>
      <c r="B389">
        <f>IF(AND(A389&gt;0,'幕间与结算'!D188&lt;&gt;"",'幕间与结算'!J188="确认",ISNUMBER('幕间与结算'!K188),OR('幕间与结算'!G188="失败",'幕间与结算'!G188="大失败"),'幕间与结算'!H188="√",LEFT('幕间与结算'!E188,3)="技能：",'幕间与结算'!E188&lt;&gt;"技能：非自然知识",ISNUMBER('幕间与结算'!F188),'幕间与结算'!F188&gt;=1,'幕间与结算'!F188&lt;=99),1,0)</f>
        <v>0</v>
      </c>
      <c r="D389">
        <f>IF(AND('幕间与结算'!J188="确认",ISNUMBER('幕间与结算'!K188),'幕间与结算'!L188&lt;&gt;"",ISNUMBER('幕间与结算'!M188),'幕间与结算'!M188&gt;0,'幕间与结算'!M188&lt;=99),'幕间与结算'!M188,0)</f>
        <v>0</v>
      </c>
      <c r="E389">
        <f>IF(AND(B389=1,COUNTIFS($A$210:A389,A389,$B$210:B389,1,'幕间与结算'!$E$9:E188,'幕间与结算'!E188)=1),180,999999)</f>
        <v>999999</v>
      </c>
      <c r="F389">
        <v>188</v>
      </c>
      <c r="AA389">
        <f>IF($A389=1,$E389,999999)</f>
        <v>999999</v>
      </c>
      <c r="AB389">
        <f>IF($A389=2,$E389,999999)</f>
        <v>999999</v>
      </c>
      <c r="AC389">
        <f>IF($A389=3,$E389,999999)</f>
        <v>999999</v>
      </c>
      <c r="AD389">
        <f>IF($A389=4,$E389,999999)</f>
        <v>999999</v>
      </c>
      <c r="AE389">
        <f>IF($A389=5,$E389,999999)</f>
        <v>999999</v>
      </c>
      <c r="AF389">
        <f>IF($A389=6,$E389,999999)</f>
        <v>999999</v>
      </c>
      <c r="AG389">
        <f>IF($A389=7,$E389,999999)</f>
        <v>999999</v>
      </c>
      <c r="AH389">
        <f>IF($A389=8,$E389,999999)</f>
        <v>999999</v>
      </c>
      <c r="AI389">
        <f>IF($A389=9,$E389,999999)</f>
        <v>999999</v>
      </c>
      <c r="AJ389">
        <f>IF($A389=10,$E389,999999)</f>
        <v>999999</v>
      </c>
      <c r="AK389">
        <f>IF($A389=11,$E389,999999)</f>
        <v>999999</v>
      </c>
      <c r="AL389">
        <f>IF($A389=12,$E389,999999)</f>
        <v>999999</v>
      </c>
      <c r="AM389">
        <f>IF($A389=13,$E389,999999)</f>
        <v>999999</v>
      </c>
      <c r="AN389">
        <f>IF($A389=14,$E389,999999)</f>
        <v>999999</v>
      </c>
      <c r="AO389">
        <f>IF($A389=15,$E389,999999)</f>
        <v>999999</v>
      </c>
      <c r="AP389">
        <f>IF($A389=16,$E389,999999)</f>
        <v>999999</v>
      </c>
      <c r="AQ389">
        <f>IF($A389=17,$E389,999999)</f>
        <v>999999</v>
      </c>
      <c r="AR389">
        <f>IF($A389=18,$E389,999999)</f>
        <v>999999</v>
      </c>
      <c r="AS389">
        <f>IF($A389=19,$E389,999999)</f>
        <v>999999</v>
      </c>
      <c r="AT389">
        <f>IF($A389=20,$E389,999999)</f>
        <v>999999</v>
      </c>
      <c r="BA389">
        <f>MAX(0,MIN(CEILING((BF389+BG389)/2,1),BA388+IF('幕间与结算'!E188="体力",N('幕间与结算'!K188),0)))</f>
        <v>0</v>
      </c>
      <c r="BB389">
        <f>MAX(0,MIN(BJ389,BB388+IF('幕间与结算'!E188="毅力",N('幕间与结算'!K188),0)))</f>
        <v>0</v>
      </c>
      <c r="BC389">
        <f>MAX(0,MIN(99-BL389,BC388+IF('幕间与结算'!E188="理智",N('幕间与结算'!K188),0)))</f>
        <v>0</v>
      </c>
      <c r="BD389">
        <f>MAX(0,MIN(99,BD388+IF('幕间与结算'!E188="崩溃点",N('幕间与结算'!K188),0)))</f>
        <v>0</v>
      </c>
      <c r="BF389">
        <f>MAX(0,MIN(18,'幕间计算'!BF388+IF('幕间与结算'!E188="力量",N('幕间与结算'!K188),0)))</f>
        <v>0</v>
      </c>
      <c r="BG389">
        <f>MAX(0,MIN(18,'幕间计算'!BG388+IF('幕间与结算'!E188="体质",N('幕间与结算'!K188),0)))</f>
        <v>0</v>
      </c>
      <c r="BH389">
        <f>MAX(0,MIN(18,'幕间计算'!BH388+IF('幕间与结算'!E188="敏捷",N('幕间与结算'!K188),0)))</f>
        <v>0</v>
      </c>
      <c r="BI389">
        <f>MAX(0,MIN(18,'幕间计算'!BI388+IF('幕间与结算'!E188="智力",N('幕间与结算'!K188),0)))</f>
        <v>0</v>
      </c>
      <c r="BJ389">
        <f>MAX(0,MIN(18,'幕间计算'!BJ388+IF('幕间与结算'!E188="意志",N('幕间与结算'!K188),0)))</f>
        <v>0</v>
      </c>
      <c r="BK389">
        <f>MAX(0,MIN(18,'幕间计算'!BK388+IF('幕间与结算'!E188="魅力",N('幕间与结算'!K188),0)))</f>
        <v>0</v>
      </c>
      <c r="BL389">
        <f>MAX(0,MIN(99,'幕间计算'!BL388+IF('幕间与结算'!E188="技能：非自然知识",N('幕间与结算'!K188),0)))</f>
        <v>0</v>
      </c>
    </row>
    <row r="390">
      <c r="A390">
        <f>IFERROR(IF(AND(VALUE('幕间与结算'!B189)&gt;=1,VALUE('幕间与结算'!B189)&lt;=20),VALUE('幕间与结算'!B189),0),0)</f>
        <v>0</v>
      </c>
      <c r="B390">
        <f>IF(AND(A390&gt;0,'幕间与结算'!D189&lt;&gt;"",'幕间与结算'!J189="确认",ISNUMBER('幕间与结算'!K189),OR('幕间与结算'!G189="失败",'幕间与结算'!G189="大失败"),'幕间与结算'!H189="√",LEFT('幕间与结算'!E189,3)="技能：",'幕间与结算'!E189&lt;&gt;"技能：非自然知识",ISNUMBER('幕间与结算'!F189),'幕间与结算'!F189&gt;=1,'幕间与结算'!F189&lt;=99),1,0)</f>
        <v>0</v>
      </c>
      <c r="D390">
        <f>IF(AND('幕间与结算'!J189="确认",ISNUMBER('幕间与结算'!K189),'幕间与结算'!L189&lt;&gt;"",ISNUMBER('幕间与结算'!M189),'幕间与结算'!M189&gt;0,'幕间与结算'!M189&lt;=99),'幕间与结算'!M189,0)</f>
        <v>0</v>
      </c>
      <c r="E390">
        <f>IF(AND(B390=1,COUNTIFS($A$210:A390,A390,$B$210:B390,1,'幕间与结算'!$E$9:E189,'幕间与结算'!E189)=1),181,999999)</f>
        <v>999999</v>
      </c>
      <c r="F390">
        <v>189</v>
      </c>
      <c r="AA390">
        <f>IF($A390=1,$E390,999999)</f>
        <v>999999</v>
      </c>
      <c r="AB390">
        <f>IF($A390=2,$E390,999999)</f>
        <v>999999</v>
      </c>
      <c r="AC390">
        <f>IF($A390=3,$E390,999999)</f>
        <v>999999</v>
      </c>
      <c r="AD390">
        <f>IF($A390=4,$E390,999999)</f>
        <v>999999</v>
      </c>
      <c r="AE390">
        <f>IF($A390=5,$E390,999999)</f>
        <v>999999</v>
      </c>
      <c r="AF390">
        <f>IF($A390=6,$E390,999999)</f>
        <v>999999</v>
      </c>
      <c r="AG390">
        <f>IF($A390=7,$E390,999999)</f>
        <v>999999</v>
      </c>
      <c r="AH390">
        <f>IF($A390=8,$E390,999999)</f>
        <v>999999</v>
      </c>
      <c r="AI390">
        <f>IF($A390=9,$E390,999999)</f>
        <v>999999</v>
      </c>
      <c r="AJ390">
        <f>IF($A390=10,$E390,999999)</f>
        <v>999999</v>
      </c>
      <c r="AK390">
        <f>IF($A390=11,$E390,999999)</f>
        <v>999999</v>
      </c>
      <c r="AL390">
        <f>IF($A390=12,$E390,999999)</f>
        <v>999999</v>
      </c>
      <c r="AM390">
        <f>IF($A390=13,$E390,999999)</f>
        <v>999999</v>
      </c>
      <c r="AN390">
        <f>IF($A390=14,$E390,999999)</f>
        <v>999999</v>
      </c>
      <c r="AO390">
        <f>IF($A390=15,$E390,999999)</f>
        <v>999999</v>
      </c>
      <c r="AP390">
        <f>IF($A390=16,$E390,999999)</f>
        <v>999999</v>
      </c>
      <c r="AQ390">
        <f>IF($A390=17,$E390,999999)</f>
        <v>999999</v>
      </c>
      <c r="AR390">
        <f>IF($A390=18,$E390,999999)</f>
        <v>999999</v>
      </c>
      <c r="AS390">
        <f>IF($A390=19,$E390,999999)</f>
        <v>999999</v>
      </c>
      <c r="AT390">
        <f>IF($A390=20,$E390,999999)</f>
        <v>999999</v>
      </c>
      <c r="BA390">
        <f>MAX(0,MIN(CEILING((BF390+BG390)/2,1),BA389+IF('幕间与结算'!E189="体力",N('幕间与结算'!K189),0)))</f>
        <v>0</v>
      </c>
      <c r="BB390">
        <f>MAX(0,MIN(BJ390,BB389+IF('幕间与结算'!E189="毅力",N('幕间与结算'!K189),0)))</f>
        <v>0</v>
      </c>
      <c r="BC390">
        <f>MAX(0,MIN(99-BL390,BC389+IF('幕间与结算'!E189="理智",N('幕间与结算'!K189),0)))</f>
        <v>0</v>
      </c>
      <c r="BD390">
        <f>MAX(0,MIN(99,BD389+IF('幕间与结算'!E189="崩溃点",N('幕间与结算'!K189),0)))</f>
        <v>0</v>
      </c>
      <c r="BF390">
        <f>MAX(0,MIN(18,'幕间计算'!BF389+IF('幕间与结算'!E189="力量",N('幕间与结算'!K189),0)))</f>
        <v>0</v>
      </c>
      <c r="BG390">
        <f>MAX(0,MIN(18,'幕间计算'!BG389+IF('幕间与结算'!E189="体质",N('幕间与结算'!K189),0)))</f>
        <v>0</v>
      </c>
      <c r="BH390">
        <f>MAX(0,MIN(18,'幕间计算'!BH389+IF('幕间与结算'!E189="敏捷",N('幕间与结算'!K189),0)))</f>
        <v>0</v>
      </c>
      <c r="BI390">
        <f>MAX(0,MIN(18,'幕间计算'!BI389+IF('幕间与结算'!E189="智力",N('幕间与结算'!K189),0)))</f>
        <v>0</v>
      </c>
      <c r="BJ390">
        <f>MAX(0,MIN(18,'幕间计算'!BJ389+IF('幕间与结算'!E189="意志",N('幕间与结算'!K189),0)))</f>
        <v>0</v>
      </c>
      <c r="BK390">
        <f>MAX(0,MIN(18,'幕间计算'!BK389+IF('幕间与结算'!E189="魅力",N('幕间与结算'!K189),0)))</f>
        <v>0</v>
      </c>
      <c r="BL390">
        <f>MAX(0,MIN(99,'幕间计算'!BL389+IF('幕间与结算'!E189="技能：非自然知识",N('幕间与结算'!K189),0)))</f>
        <v>0</v>
      </c>
    </row>
    <row r="391">
      <c r="A391">
        <f>IFERROR(IF(AND(VALUE('幕间与结算'!B190)&gt;=1,VALUE('幕间与结算'!B190)&lt;=20),VALUE('幕间与结算'!B190),0),0)</f>
        <v>0</v>
      </c>
      <c r="B391">
        <f>IF(AND(A391&gt;0,'幕间与结算'!D190&lt;&gt;"",'幕间与结算'!J190="确认",ISNUMBER('幕间与结算'!K190),OR('幕间与结算'!G190="失败",'幕间与结算'!G190="大失败"),'幕间与结算'!H190="√",LEFT('幕间与结算'!E190,3)="技能：",'幕间与结算'!E190&lt;&gt;"技能：非自然知识",ISNUMBER('幕间与结算'!F190),'幕间与结算'!F190&gt;=1,'幕间与结算'!F190&lt;=99),1,0)</f>
        <v>0</v>
      </c>
      <c r="D391">
        <f>IF(AND('幕间与结算'!J190="确认",ISNUMBER('幕间与结算'!K190),'幕间与结算'!L190&lt;&gt;"",ISNUMBER('幕间与结算'!M190),'幕间与结算'!M190&gt;0,'幕间与结算'!M190&lt;=99),'幕间与结算'!M190,0)</f>
        <v>0</v>
      </c>
      <c r="E391">
        <f>IF(AND(B391=1,COUNTIFS($A$210:A391,A391,$B$210:B391,1,'幕间与结算'!$E$9:E190,'幕间与结算'!E190)=1),182,999999)</f>
        <v>999999</v>
      </c>
      <c r="F391">
        <v>190</v>
      </c>
      <c r="AA391">
        <f>IF($A391=1,$E391,999999)</f>
        <v>999999</v>
      </c>
      <c r="AB391">
        <f>IF($A391=2,$E391,999999)</f>
        <v>999999</v>
      </c>
      <c r="AC391">
        <f>IF($A391=3,$E391,999999)</f>
        <v>999999</v>
      </c>
      <c r="AD391">
        <f>IF($A391=4,$E391,999999)</f>
        <v>999999</v>
      </c>
      <c r="AE391">
        <f>IF($A391=5,$E391,999999)</f>
        <v>999999</v>
      </c>
      <c r="AF391">
        <f>IF($A391=6,$E391,999999)</f>
        <v>999999</v>
      </c>
      <c r="AG391">
        <f>IF($A391=7,$E391,999999)</f>
        <v>999999</v>
      </c>
      <c r="AH391">
        <f>IF($A391=8,$E391,999999)</f>
        <v>999999</v>
      </c>
      <c r="AI391">
        <f>IF($A391=9,$E391,999999)</f>
        <v>999999</v>
      </c>
      <c r="AJ391">
        <f>IF($A391=10,$E391,999999)</f>
        <v>999999</v>
      </c>
      <c r="AK391">
        <f>IF($A391=11,$E391,999999)</f>
        <v>999999</v>
      </c>
      <c r="AL391">
        <f>IF($A391=12,$E391,999999)</f>
        <v>999999</v>
      </c>
      <c r="AM391">
        <f>IF($A391=13,$E391,999999)</f>
        <v>999999</v>
      </c>
      <c r="AN391">
        <f>IF($A391=14,$E391,999999)</f>
        <v>999999</v>
      </c>
      <c r="AO391">
        <f>IF($A391=15,$E391,999999)</f>
        <v>999999</v>
      </c>
      <c r="AP391">
        <f>IF($A391=16,$E391,999999)</f>
        <v>999999</v>
      </c>
      <c r="AQ391">
        <f>IF($A391=17,$E391,999999)</f>
        <v>999999</v>
      </c>
      <c r="AR391">
        <f>IF($A391=18,$E391,999999)</f>
        <v>999999</v>
      </c>
      <c r="AS391">
        <f>IF($A391=19,$E391,999999)</f>
        <v>999999</v>
      </c>
      <c r="AT391">
        <f>IF($A391=20,$E391,999999)</f>
        <v>999999</v>
      </c>
      <c r="BA391">
        <f>MAX(0,MIN(CEILING((BF391+BG391)/2,1),BA390+IF('幕间与结算'!E190="体力",N('幕间与结算'!K190),0)))</f>
        <v>0</v>
      </c>
      <c r="BB391">
        <f>MAX(0,MIN(BJ391,BB390+IF('幕间与结算'!E190="毅力",N('幕间与结算'!K190),0)))</f>
        <v>0</v>
      </c>
      <c r="BC391">
        <f>MAX(0,MIN(99-BL391,BC390+IF('幕间与结算'!E190="理智",N('幕间与结算'!K190),0)))</f>
        <v>0</v>
      </c>
      <c r="BD391">
        <f>MAX(0,MIN(99,BD390+IF('幕间与结算'!E190="崩溃点",N('幕间与结算'!K190),0)))</f>
        <v>0</v>
      </c>
      <c r="BF391">
        <f>MAX(0,MIN(18,'幕间计算'!BF390+IF('幕间与结算'!E190="力量",N('幕间与结算'!K190),0)))</f>
        <v>0</v>
      </c>
      <c r="BG391">
        <f>MAX(0,MIN(18,'幕间计算'!BG390+IF('幕间与结算'!E190="体质",N('幕间与结算'!K190),0)))</f>
        <v>0</v>
      </c>
      <c r="BH391">
        <f>MAX(0,MIN(18,'幕间计算'!BH390+IF('幕间与结算'!E190="敏捷",N('幕间与结算'!K190),0)))</f>
        <v>0</v>
      </c>
      <c r="BI391">
        <f>MAX(0,MIN(18,'幕间计算'!BI390+IF('幕间与结算'!E190="智力",N('幕间与结算'!K190),0)))</f>
        <v>0</v>
      </c>
      <c r="BJ391">
        <f>MAX(0,MIN(18,'幕间计算'!BJ390+IF('幕间与结算'!E190="意志",N('幕间与结算'!K190),0)))</f>
        <v>0</v>
      </c>
      <c r="BK391">
        <f>MAX(0,MIN(18,'幕间计算'!BK390+IF('幕间与结算'!E190="魅力",N('幕间与结算'!K190),0)))</f>
        <v>0</v>
      </c>
      <c r="BL391">
        <f>MAX(0,MIN(99,'幕间计算'!BL390+IF('幕间与结算'!E190="技能：非自然知识",N('幕间与结算'!K190),0)))</f>
        <v>0</v>
      </c>
    </row>
    <row r="392">
      <c r="A392">
        <f>IFERROR(IF(AND(VALUE('幕间与结算'!B191)&gt;=1,VALUE('幕间与结算'!B191)&lt;=20),VALUE('幕间与结算'!B191),0),0)</f>
        <v>0</v>
      </c>
      <c r="B392">
        <f>IF(AND(A392&gt;0,'幕间与结算'!D191&lt;&gt;"",'幕间与结算'!J191="确认",ISNUMBER('幕间与结算'!K191),OR('幕间与结算'!G191="失败",'幕间与结算'!G191="大失败"),'幕间与结算'!H191="√",LEFT('幕间与结算'!E191,3)="技能：",'幕间与结算'!E191&lt;&gt;"技能：非自然知识",ISNUMBER('幕间与结算'!F191),'幕间与结算'!F191&gt;=1,'幕间与结算'!F191&lt;=99),1,0)</f>
        <v>0</v>
      </c>
      <c r="D392">
        <f>IF(AND('幕间与结算'!J191="确认",ISNUMBER('幕间与结算'!K191),'幕间与结算'!L191&lt;&gt;"",ISNUMBER('幕间与结算'!M191),'幕间与结算'!M191&gt;0,'幕间与结算'!M191&lt;=99),'幕间与结算'!M191,0)</f>
        <v>0</v>
      </c>
      <c r="E392">
        <f>IF(AND(B392=1,COUNTIFS($A$210:A392,A392,$B$210:B392,1,'幕间与结算'!$E$9:E191,'幕间与结算'!E191)=1),183,999999)</f>
        <v>999999</v>
      </c>
      <c r="F392">
        <v>191</v>
      </c>
      <c r="AA392">
        <f>IF($A392=1,$E392,999999)</f>
        <v>999999</v>
      </c>
      <c r="AB392">
        <f>IF($A392=2,$E392,999999)</f>
        <v>999999</v>
      </c>
      <c r="AC392">
        <f>IF($A392=3,$E392,999999)</f>
        <v>999999</v>
      </c>
      <c r="AD392">
        <f>IF($A392=4,$E392,999999)</f>
        <v>999999</v>
      </c>
      <c r="AE392">
        <f>IF($A392=5,$E392,999999)</f>
        <v>999999</v>
      </c>
      <c r="AF392">
        <f>IF($A392=6,$E392,999999)</f>
        <v>999999</v>
      </c>
      <c r="AG392">
        <f>IF($A392=7,$E392,999999)</f>
        <v>999999</v>
      </c>
      <c r="AH392">
        <f>IF($A392=8,$E392,999999)</f>
        <v>999999</v>
      </c>
      <c r="AI392">
        <f>IF($A392=9,$E392,999999)</f>
        <v>999999</v>
      </c>
      <c r="AJ392">
        <f>IF($A392=10,$E392,999999)</f>
        <v>999999</v>
      </c>
      <c r="AK392">
        <f>IF($A392=11,$E392,999999)</f>
        <v>999999</v>
      </c>
      <c r="AL392">
        <f>IF($A392=12,$E392,999999)</f>
        <v>999999</v>
      </c>
      <c r="AM392">
        <f>IF($A392=13,$E392,999999)</f>
        <v>999999</v>
      </c>
      <c r="AN392">
        <f>IF($A392=14,$E392,999999)</f>
        <v>999999</v>
      </c>
      <c r="AO392">
        <f>IF($A392=15,$E392,999999)</f>
        <v>999999</v>
      </c>
      <c r="AP392">
        <f>IF($A392=16,$E392,999999)</f>
        <v>999999</v>
      </c>
      <c r="AQ392">
        <f>IF($A392=17,$E392,999999)</f>
        <v>999999</v>
      </c>
      <c r="AR392">
        <f>IF($A392=18,$E392,999999)</f>
        <v>999999</v>
      </c>
      <c r="AS392">
        <f>IF($A392=19,$E392,999999)</f>
        <v>999999</v>
      </c>
      <c r="AT392">
        <f>IF($A392=20,$E392,999999)</f>
        <v>999999</v>
      </c>
      <c r="BA392">
        <f>MAX(0,MIN(CEILING((BF392+BG392)/2,1),BA391+IF('幕间与结算'!E191="体力",N('幕间与结算'!K191),0)))</f>
        <v>0</v>
      </c>
      <c r="BB392">
        <f>MAX(0,MIN(BJ392,BB391+IF('幕间与结算'!E191="毅力",N('幕间与结算'!K191),0)))</f>
        <v>0</v>
      </c>
      <c r="BC392">
        <f>MAX(0,MIN(99-BL392,BC391+IF('幕间与结算'!E191="理智",N('幕间与结算'!K191),0)))</f>
        <v>0</v>
      </c>
      <c r="BD392">
        <f>MAX(0,MIN(99,BD391+IF('幕间与结算'!E191="崩溃点",N('幕间与结算'!K191),0)))</f>
        <v>0</v>
      </c>
      <c r="BF392">
        <f>MAX(0,MIN(18,'幕间计算'!BF391+IF('幕间与结算'!E191="力量",N('幕间与结算'!K191),0)))</f>
        <v>0</v>
      </c>
      <c r="BG392">
        <f>MAX(0,MIN(18,'幕间计算'!BG391+IF('幕间与结算'!E191="体质",N('幕间与结算'!K191),0)))</f>
        <v>0</v>
      </c>
      <c r="BH392">
        <f>MAX(0,MIN(18,'幕间计算'!BH391+IF('幕间与结算'!E191="敏捷",N('幕间与结算'!K191),0)))</f>
        <v>0</v>
      </c>
      <c r="BI392">
        <f>MAX(0,MIN(18,'幕间计算'!BI391+IF('幕间与结算'!E191="智力",N('幕间与结算'!K191),0)))</f>
        <v>0</v>
      </c>
      <c r="BJ392">
        <f>MAX(0,MIN(18,'幕间计算'!BJ391+IF('幕间与结算'!E191="意志",N('幕间与结算'!K191),0)))</f>
        <v>0</v>
      </c>
      <c r="BK392">
        <f>MAX(0,MIN(18,'幕间计算'!BK391+IF('幕间与结算'!E191="魅力",N('幕间与结算'!K191),0)))</f>
        <v>0</v>
      </c>
      <c r="BL392">
        <f>MAX(0,MIN(99,'幕间计算'!BL391+IF('幕间与结算'!E191="技能：非自然知识",N('幕间与结算'!K191),0)))</f>
        <v>0</v>
      </c>
    </row>
    <row r="393">
      <c r="A393">
        <f>IFERROR(IF(AND(VALUE('幕间与结算'!B192)&gt;=1,VALUE('幕间与结算'!B192)&lt;=20),VALUE('幕间与结算'!B192),0),0)</f>
        <v>0</v>
      </c>
      <c r="B393">
        <f>IF(AND(A393&gt;0,'幕间与结算'!D192&lt;&gt;"",'幕间与结算'!J192="确认",ISNUMBER('幕间与结算'!K192),OR('幕间与结算'!G192="失败",'幕间与结算'!G192="大失败"),'幕间与结算'!H192="√",LEFT('幕间与结算'!E192,3)="技能：",'幕间与结算'!E192&lt;&gt;"技能：非自然知识",ISNUMBER('幕间与结算'!F192),'幕间与结算'!F192&gt;=1,'幕间与结算'!F192&lt;=99),1,0)</f>
        <v>0</v>
      </c>
      <c r="D393">
        <f>IF(AND('幕间与结算'!J192="确认",ISNUMBER('幕间与结算'!K192),'幕间与结算'!L192&lt;&gt;"",ISNUMBER('幕间与结算'!M192),'幕间与结算'!M192&gt;0,'幕间与结算'!M192&lt;=99),'幕间与结算'!M192,0)</f>
        <v>0</v>
      </c>
      <c r="E393">
        <f>IF(AND(B393=1,COUNTIFS($A$210:A393,A393,$B$210:B393,1,'幕间与结算'!$E$9:E192,'幕间与结算'!E192)=1),184,999999)</f>
        <v>999999</v>
      </c>
      <c r="F393">
        <v>192</v>
      </c>
      <c r="AA393">
        <f>IF($A393=1,$E393,999999)</f>
        <v>999999</v>
      </c>
      <c r="AB393">
        <f>IF($A393=2,$E393,999999)</f>
        <v>999999</v>
      </c>
      <c r="AC393">
        <f>IF($A393=3,$E393,999999)</f>
        <v>999999</v>
      </c>
      <c r="AD393">
        <f>IF($A393=4,$E393,999999)</f>
        <v>999999</v>
      </c>
      <c r="AE393">
        <f>IF($A393=5,$E393,999999)</f>
        <v>999999</v>
      </c>
      <c r="AF393">
        <f>IF($A393=6,$E393,999999)</f>
        <v>999999</v>
      </c>
      <c r="AG393">
        <f>IF($A393=7,$E393,999999)</f>
        <v>999999</v>
      </c>
      <c r="AH393">
        <f>IF($A393=8,$E393,999999)</f>
        <v>999999</v>
      </c>
      <c r="AI393">
        <f>IF($A393=9,$E393,999999)</f>
        <v>999999</v>
      </c>
      <c r="AJ393">
        <f>IF($A393=10,$E393,999999)</f>
        <v>999999</v>
      </c>
      <c r="AK393">
        <f>IF($A393=11,$E393,999999)</f>
        <v>999999</v>
      </c>
      <c r="AL393">
        <f>IF($A393=12,$E393,999999)</f>
        <v>999999</v>
      </c>
      <c r="AM393">
        <f>IF($A393=13,$E393,999999)</f>
        <v>999999</v>
      </c>
      <c r="AN393">
        <f>IF($A393=14,$E393,999999)</f>
        <v>999999</v>
      </c>
      <c r="AO393">
        <f>IF($A393=15,$E393,999999)</f>
        <v>999999</v>
      </c>
      <c r="AP393">
        <f>IF($A393=16,$E393,999999)</f>
        <v>999999</v>
      </c>
      <c r="AQ393">
        <f>IF($A393=17,$E393,999999)</f>
        <v>999999</v>
      </c>
      <c r="AR393">
        <f>IF($A393=18,$E393,999999)</f>
        <v>999999</v>
      </c>
      <c r="AS393">
        <f>IF($A393=19,$E393,999999)</f>
        <v>999999</v>
      </c>
      <c r="AT393">
        <f>IF($A393=20,$E393,999999)</f>
        <v>999999</v>
      </c>
      <c r="BA393">
        <f>MAX(0,MIN(CEILING((BF393+BG393)/2,1),BA392+IF('幕间与结算'!E192="体力",N('幕间与结算'!K192),0)))</f>
        <v>0</v>
      </c>
      <c r="BB393">
        <f>MAX(0,MIN(BJ393,BB392+IF('幕间与结算'!E192="毅力",N('幕间与结算'!K192),0)))</f>
        <v>0</v>
      </c>
      <c r="BC393">
        <f>MAX(0,MIN(99-BL393,BC392+IF('幕间与结算'!E192="理智",N('幕间与结算'!K192),0)))</f>
        <v>0</v>
      </c>
      <c r="BD393">
        <f>MAX(0,MIN(99,BD392+IF('幕间与结算'!E192="崩溃点",N('幕间与结算'!K192),0)))</f>
        <v>0</v>
      </c>
      <c r="BF393">
        <f>MAX(0,MIN(18,'幕间计算'!BF392+IF('幕间与结算'!E192="力量",N('幕间与结算'!K192),0)))</f>
        <v>0</v>
      </c>
      <c r="BG393">
        <f>MAX(0,MIN(18,'幕间计算'!BG392+IF('幕间与结算'!E192="体质",N('幕间与结算'!K192),0)))</f>
        <v>0</v>
      </c>
      <c r="BH393">
        <f>MAX(0,MIN(18,'幕间计算'!BH392+IF('幕间与结算'!E192="敏捷",N('幕间与结算'!K192),0)))</f>
        <v>0</v>
      </c>
      <c r="BI393">
        <f>MAX(0,MIN(18,'幕间计算'!BI392+IF('幕间与结算'!E192="智力",N('幕间与结算'!K192),0)))</f>
        <v>0</v>
      </c>
      <c r="BJ393">
        <f>MAX(0,MIN(18,'幕间计算'!BJ392+IF('幕间与结算'!E192="意志",N('幕间与结算'!K192),0)))</f>
        <v>0</v>
      </c>
      <c r="BK393">
        <f>MAX(0,MIN(18,'幕间计算'!BK392+IF('幕间与结算'!E192="魅力",N('幕间与结算'!K192),0)))</f>
        <v>0</v>
      </c>
      <c r="BL393">
        <f>MAX(0,MIN(99,'幕间计算'!BL392+IF('幕间与结算'!E192="技能：非自然知识",N('幕间与结算'!K192),0)))</f>
        <v>0</v>
      </c>
    </row>
    <row r="394">
      <c r="A394">
        <f>IFERROR(IF(AND(VALUE('幕间与结算'!B193)&gt;=1,VALUE('幕间与结算'!B193)&lt;=20),VALUE('幕间与结算'!B193),0),0)</f>
        <v>0</v>
      </c>
      <c r="B394">
        <f>IF(AND(A394&gt;0,'幕间与结算'!D193&lt;&gt;"",'幕间与结算'!J193="确认",ISNUMBER('幕间与结算'!K193),OR('幕间与结算'!G193="失败",'幕间与结算'!G193="大失败"),'幕间与结算'!H193="√",LEFT('幕间与结算'!E193,3)="技能：",'幕间与结算'!E193&lt;&gt;"技能：非自然知识",ISNUMBER('幕间与结算'!F193),'幕间与结算'!F193&gt;=1,'幕间与结算'!F193&lt;=99),1,0)</f>
        <v>0</v>
      </c>
      <c r="D394">
        <f>IF(AND('幕间与结算'!J193="确认",ISNUMBER('幕间与结算'!K193),'幕间与结算'!L193&lt;&gt;"",ISNUMBER('幕间与结算'!M193),'幕间与结算'!M193&gt;0,'幕间与结算'!M193&lt;=99),'幕间与结算'!M193,0)</f>
        <v>0</v>
      </c>
      <c r="E394">
        <f>IF(AND(B394=1,COUNTIFS($A$210:A394,A394,$B$210:B394,1,'幕间与结算'!$E$9:E193,'幕间与结算'!E193)=1),185,999999)</f>
        <v>999999</v>
      </c>
      <c r="F394">
        <v>193</v>
      </c>
      <c r="AA394">
        <f>IF($A394=1,$E394,999999)</f>
        <v>999999</v>
      </c>
      <c r="AB394">
        <f>IF($A394=2,$E394,999999)</f>
        <v>999999</v>
      </c>
      <c r="AC394">
        <f>IF($A394=3,$E394,999999)</f>
        <v>999999</v>
      </c>
      <c r="AD394">
        <f>IF($A394=4,$E394,999999)</f>
        <v>999999</v>
      </c>
      <c r="AE394">
        <f>IF($A394=5,$E394,999999)</f>
        <v>999999</v>
      </c>
      <c r="AF394">
        <f>IF($A394=6,$E394,999999)</f>
        <v>999999</v>
      </c>
      <c r="AG394">
        <f>IF($A394=7,$E394,999999)</f>
        <v>999999</v>
      </c>
      <c r="AH394">
        <f>IF($A394=8,$E394,999999)</f>
        <v>999999</v>
      </c>
      <c r="AI394">
        <f>IF($A394=9,$E394,999999)</f>
        <v>999999</v>
      </c>
      <c r="AJ394">
        <f>IF($A394=10,$E394,999999)</f>
        <v>999999</v>
      </c>
      <c r="AK394">
        <f>IF($A394=11,$E394,999999)</f>
        <v>999999</v>
      </c>
      <c r="AL394">
        <f>IF($A394=12,$E394,999999)</f>
        <v>999999</v>
      </c>
      <c r="AM394">
        <f>IF($A394=13,$E394,999999)</f>
        <v>999999</v>
      </c>
      <c r="AN394">
        <f>IF($A394=14,$E394,999999)</f>
        <v>999999</v>
      </c>
      <c r="AO394">
        <f>IF($A394=15,$E394,999999)</f>
        <v>999999</v>
      </c>
      <c r="AP394">
        <f>IF($A394=16,$E394,999999)</f>
        <v>999999</v>
      </c>
      <c r="AQ394">
        <f>IF($A394=17,$E394,999999)</f>
        <v>999999</v>
      </c>
      <c r="AR394">
        <f>IF($A394=18,$E394,999999)</f>
        <v>999999</v>
      </c>
      <c r="AS394">
        <f>IF($A394=19,$E394,999999)</f>
        <v>999999</v>
      </c>
      <c r="AT394">
        <f>IF($A394=20,$E394,999999)</f>
        <v>999999</v>
      </c>
      <c r="BA394">
        <f>MAX(0,MIN(CEILING((BF394+BG394)/2,1),BA393+IF('幕间与结算'!E193="体力",N('幕间与结算'!K193),0)))</f>
        <v>0</v>
      </c>
      <c r="BB394">
        <f>MAX(0,MIN(BJ394,BB393+IF('幕间与结算'!E193="毅力",N('幕间与结算'!K193),0)))</f>
        <v>0</v>
      </c>
      <c r="BC394">
        <f>MAX(0,MIN(99-BL394,BC393+IF('幕间与结算'!E193="理智",N('幕间与结算'!K193),0)))</f>
        <v>0</v>
      </c>
      <c r="BD394">
        <f>MAX(0,MIN(99,BD393+IF('幕间与结算'!E193="崩溃点",N('幕间与结算'!K193),0)))</f>
        <v>0</v>
      </c>
      <c r="BF394">
        <f>MAX(0,MIN(18,'幕间计算'!BF393+IF('幕间与结算'!E193="力量",N('幕间与结算'!K193),0)))</f>
        <v>0</v>
      </c>
      <c r="BG394">
        <f>MAX(0,MIN(18,'幕间计算'!BG393+IF('幕间与结算'!E193="体质",N('幕间与结算'!K193),0)))</f>
        <v>0</v>
      </c>
      <c r="BH394">
        <f>MAX(0,MIN(18,'幕间计算'!BH393+IF('幕间与结算'!E193="敏捷",N('幕间与结算'!K193),0)))</f>
        <v>0</v>
      </c>
      <c r="BI394">
        <f>MAX(0,MIN(18,'幕间计算'!BI393+IF('幕间与结算'!E193="智力",N('幕间与结算'!K193),0)))</f>
        <v>0</v>
      </c>
      <c r="BJ394">
        <f>MAX(0,MIN(18,'幕间计算'!BJ393+IF('幕间与结算'!E193="意志",N('幕间与结算'!K193),0)))</f>
        <v>0</v>
      </c>
      <c r="BK394">
        <f>MAX(0,MIN(18,'幕间计算'!BK393+IF('幕间与结算'!E193="魅力",N('幕间与结算'!K193),0)))</f>
        <v>0</v>
      </c>
      <c r="BL394">
        <f>MAX(0,MIN(99,'幕间计算'!BL393+IF('幕间与结算'!E193="技能：非自然知识",N('幕间与结算'!K193),0)))</f>
        <v>0</v>
      </c>
    </row>
    <row r="395">
      <c r="A395">
        <f>IFERROR(IF(AND(VALUE('幕间与结算'!B194)&gt;=1,VALUE('幕间与结算'!B194)&lt;=20),VALUE('幕间与结算'!B194),0),0)</f>
        <v>0</v>
      </c>
      <c r="B395">
        <f>IF(AND(A395&gt;0,'幕间与结算'!D194&lt;&gt;"",'幕间与结算'!J194="确认",ISNUMBER('幕间与结算'!K194),OR('幕间与结算'!G194="失败",'幕间与结算'!G194="大失败"),'幕间与结算'!H194="√",LEFT('幕间与结算'!E194,3)="技能：",'幕间与结算'!E194&lt;&gt;"技能：非自然知识",ISNUMBER('幕间与结算'!F194),'幕间与结算'!F194&gt;=1,'幕间与结算'!F194&lt;=99),1,0)</f>
        <v>0</v>
      </c>
      <c r="D395">
        <f>IF(AND('幕间与结算'!J194="确认",ISNUMBER('幕间与结算'!K194),'幕间与结算'!L194&lt;&gt;"",ISNUMBER('幕间与结算'!M194),'幕间与结算'!M194&gt;0,'幕间与结算'!M194&lt;=99),'幕间与结算'!M194,0)</f>
        <v>0</v>
      </c>
      <c r="E395">
        <f>IF(AND(B395=1,COUNTIFS($A$210:A395,A395,$B$210:B395,1,'幕间与结算'!$E$9:E194,'幕间与结算'!E194)=1),186,999999)</f>
        <v>999999</v>
      </c>
      <c r="F395">
        <v>194</v>
      </c>
      <c r="AA395">
        <f>IF($A395=1,$E395,999999)</f>
        <v>999999</v>
      </c>
      <c r="AB395">
        <f>IF($A395=2,$E395,999999)</f>
        <v>999999</v>
      </c>
      <c r="AC395">
        <f>IF($A395=3,$E395,999999)</f>
        <v>999999</v>
      </c>
      <c r="AD395">
        <f>IF($A395=4,$E395,999999)</f>
        <v>999999</v>
      </c>
      <c r="AE395">
        <f>IF($A395=5,$E395,999999)</f>
        <v>999999</v>
      </c>
      <c r="AF395">
        <f>IF($A395=6,$E395,999999)</f>
        <v>999999</v>
      </c>
      <c r="AG395">
        <f>IF($A395=7,$E395,999999)</f>
        <v>999999</v>
      </c>
      <c r="AH395">
        <f>IF($A395=8,$E395,999999)</f>
        <v>999999</v>
      </c>
      <c r="AI395">
        <f>IF($A395=9,$E395,999999)</f>
        <v>999999</v>
      </c>
      <c r="AJ395">
        <f>IF($A395=10,$E395,999999)</f>
        <v>999999</v>
      </c>
      <c r="AK395">
        <f>IF($A395=11,$E395,999999)</f>
        <v>999999</v>
      </c>
      <c r="AL395">
        <f>IF($A395=12,$E395,999999)</f>
        <v>999999</v>
      </c>
      <c r="AM395">
        <f>IF($A395=13,$E395,999999)</f>
        <v>999999</v>
      </c>
      <c r="AN395">
        <f>IF($A395=14,$E395,999999)</f>
        <v>999999</v>
      </c>
      <c r="AO395">
        <f>IF($A395=15,$E395,999999)</f>
        <v>999999</v>
      </c>
      <c r="AP395">
        <f>IF($A395=16,$E395,999999)</f>
        <v>999999</v>
      </c>
      <c r="AQ395">
        <f>IF($A395=17,$E395,999999)</f>
        <v>999999</v>
      </c>
      <c r="AR395">
        <f>IF($A395=18,$E395,999999)</f>
        <v>999999</v>
      </c>
      <c r="AS395">
        <f>IF($A395=19,$E395,999999)</f>
        <v>999999</v>
      </c>
      <c r="AT395">
        <f>IF($A395=20,$E395,999999)</f>
        <v>999999</v>
      </c>
      <c r="BA395">
        <f>MAX(0,MIN(CEILING((BF395+BG395)/2,1),BA394+IF('幕间与结算'!E194="体力",N('幕间与结算'!K194),0)))</f>
        <v>0</v>
      </c>
      <c r="BB395">
        <f>MAX(0,MIN(BJ395,BB394+IF('幕间与结算'!E194="毅力",N('幕间与结算'!K194),0)))</f>
        <v>0</v>
      </c>
      <c r="BC395">
        <f>MAX(0,MIN(99-BL395,BC394+IF('幕间与结算'!E194="理智",N('幕间与结算'!K194),0)))</f>
        <v>0</v>
      </c>
      <c r="BD395">
        <f>MAX(0,MIN(99,BD394+IF('幕间与结算'!E194="崩溃点",N('幕间与结算'!K194),0)))</f>
        <v>0</v>
      </c>
      <c r="BF395">
        <f>MAX(0,MIN(18,'幕间计算'!BF394+IF('幕间与结算'!E194="力量",N('幕间与结算'!K194),0)))</f>
        <v>0</v>
      </c>
      <c r="BG395">
        <f>MAX(0,MIN(18,'幕间计算'!BG394+IF('幕间与结算'!E194="体质",N('幕间与结算'!K194),0)))</f>
        <v>0</v>
      </c>
      <c r="BH395">
        <f>MAX(0,MIN(18,'幕间计算'!BH394+IF('幕间与结算'!E194="敏捷",N('幕间与结算'!K194),0)))</f>
        <v>0</v>
      </c>
      <c r="BI395">
        <f>MAX(0,MIN(18,'幕间计算'!BI394+IF('幕间与结算'!E194="智力",N('幕间与结算'!K194),0)))</f>
        <v>0</v>
      </c>
      <c r="BJ395">
        <f>MAX(0,MIN(18,'幕间计算'!BJ394+IF('幕间与结算'!E194="意志",N('幕间与结算'!K194),0)))</f>
        <v>0</v>
      </c>
      <c r="BK395">
        <f>MAX(0,MIN(18,'幕间计算'!BK394+IF('幕间与结算'!E194="魅力",N('幕间与结算'!K194),0)))</f>
        <v>0</v>
      </c>
      <c r="BL395">
        <f>MAX(0,MIN(99,'幕间计算'!BL394+IF('幕间与结算'!E194="技能：非自然知识",N('幕间与结算'!K194),0)))</f>
        <v>0</v>
      </c>
    </row>
    <row r="396">
      <c r="A396">
        <f>IFERROR(IF(AND(VALUE('幕间与结算'!B195)&gt;=1,VALUE('幕间与结算'!B195)&lt;=20),VALUE('幕间与结算'!B195),0),0)</f>
        <v>0</v>
      </c>
      <c r="B396">
        <f>IF(AND(A396&gt;0,'幕间与结算'!D195&lt;&gt;"",'幕间与结算'!J195="确认",ISNUMBER('幕间与结算'!K195),OR('幕间与结算'!G195="失败",'幕间与结算'!G195="大失败"),'幕间与结算'!H195="√",LEFT('幕间与结算'!E195,3)="技能：",'幕间与结算'!E195&lt;&gt;"技能：非自然知识",ISNUMBER('幕间与结算'!F195),'幕间与结算'!F195&gt;=1,'幕间与结算'!F195&lt;=99),1,0)</f>
        <v>0</v>
      </c>
      <c r="D396">
        <f>IF(AND('幕间与结算'!J195="确认",ISNUMBER('幕间与结算'!K195),'幕间与结算'!L195&lt;&gt;"",ISNUMBER('幕间与结算'!M195),'幕间与结算'!M195&gt;0,'幕间与结算'!M195&lt;=99),'幕间与结算'!M195,0)</f>
        <v>0</v>
      </c>
      <c r="E396">
        <f>IF(AND(B396=1,COUNTIFS($A$210:A396,A396,$B$210:B396,1,'幕间与结算'!$E$9:E195,'幕间与结算'!E195)=1),187,999999)</f>
        <v>999999</v>
      </c>
      <c r="F396">
        <v>195</v>
      </c>
      <c r="AA396">
        <f>IF($A396=1,$E396,999999)</f>
        <v>999999</v>
      </c>
      <c r="AB396">
        <f>IF($A396=2,$E396,999999)</f>
        <v>999999</v>
      </c>
      <c r="AC396">
        <f>IF($A396=3,$E396,999999)</f>
        <v>999999</v>
      </c>
      <c r="AD396">
        <f>IF($A396=4,$E396,999999)</f>
        <v>999999</v>
      </c>
      <c r="AE396">
        <f>IF($A396=5,$E396,999999)</f>
        <v>999999</v>
      </c>
      <c r="AF396">
        <f>IF($A396=6,$E396,999999)</f>
        <v>999999</v>
      </c>
      <c r="AG396">
        <f>IF($A396=7,$E396,999999)</f>
        <v>999999</v>
      </c>
      <c r="AH396">
        <f>IF($A396=8,$E396,999999)</f>
        <v>999999</v>
      </c>
      <c r="AI396">
        <f>IF($A396=9,$E396,999999)</f>
        <v>999999</v>
      </c>
      <c r="AJ396">
        <f>IF($A396=10,$E396,999999)</f>
        <v>999999</v>
      </c>
      <c r="AK396">
        <f>IF($A396=11,$E396,999999)</f>
        <v>999999</v>
      </c>
      <c r="AL396">
        <f>IF($A396=12,$E396,999999)</f>
        <v>999999</v>
      </c>
      <c r="AM396">
        <f>IF($A396=13,$E396,999999)</f>
        <v>999999</v>
      </c>
      <c r="AN396">
        <f>IF($A396=14,$E396,999999)</f>
        <v>999999</v>
      </c>
      <c r="AO396">
        <f>IF($A396=15,$E396,999999)</f>
        <v>999999</v>
      </c>
      <c r="AP396">
        <f>IF($A396=16,$E396,999999)</f>
        <v>999999</v>
      </c>
      <c r="AQ396">
        <f>IF($A396=17,$E396,999999)</f>
        <v>999999</v>
      </c>
      <c r="AR396">
        <f>IF($A396=18,$E396,999999)</f>
        <v>999999</v>
      </c>
      <c r="AS396">
        <f>IF($A396=19,$E396,999999)</f>
        <v>999999</v>
      </c>
      <c r="AT396">
        <f>IF($A396=20,$E396,999999)</f>
        <v>999999</v>
      </c>
      <c r="BA396">
        <f>MAX(0,MIN(CEILING((BF396+BG396)/2,1),BA395+IF('幕间与结算'!E195="体力",N('幕间与结算'!K195),0)))</f>
        <v>0</v>
      </c>
      <c r="BB396">
        <f>MAX(0,MIN(BJ396,BB395+IF('幕间与结算'!E195="毅力",N('幕间与结算'!K195),0)))</f>
        <v>0</v>
      </c>
      <c r="BC396">
        <f>MAX(0,MIN(99-BL396,BC395+IF('幕间与结算'!E195="理智",N('幕间与结算'!K195),0)))</f>
        <v>0</v>
      </c>
      <c r="BD396">
        <f>MAX(0,MIN(99,BD395+IF('幕间与结算'!E195="崩溃点",N('幕间与结算'!K195),0)))</f>
        <v>0</v>
      </c>
      <c r="BF396">
        <f>MAX(0,MIN(18,'幕间计算'!BF395+IF('幕间与结算'!E195="力量",N('幕间与结算'!K195),0)))</f>
        <v>0</v>
      </c>
      <c r="BG396">
        <f>MAX(0,MIN(18,'幕间计算'!BG395+IF('幕间与结算'!E195="体质",N('幕间与结算'!K195),0)))</f>
        <v>0</v>
      </c>
      <c r="BH396">
        <f>MAX(0,MIN(18,'幕间计算'!BH395+IF('幕间与结算'!E195="敏捷",N('幕间与结算'!K195),0)))</f>
        <v>0</v>
      </c>
      <c r="BI396">
        <f>MAX(0,MIN(18,'幕间计算'!BI395+IF('幕间与结算'!E195="智力",N('幕间与结算'!K195),0)))</f>
        <v>0</v>
      </c>
      <c r="BJ396">
        <f>MAX(0,MIN(18,'幕间计算'!BJ395+IF('幕间与结算'!E195="意志",N('幕间与结算'!K195),0)))</f>
        <v>0</v>
      </c>
      <c r="BK396">
        <f>MAX(0,MIN(18,'幕间计算'!BK395+IF('幕间与结算'!E195="魅力",N('幕间与结算'!K195),0)))</f>
        <v>0</v>
      </c>
      <c r="BL396">
        <f>MAX(0,MIN(99,'幕间计算'!BL395+IF('幕间与结算'!E195="技能：非自然知识",N('幕间与结算'!K195),0)))</f>
        <v>0</v>
      </c>
    </row>
    <row r="397">
      <c r="A397">
        <f>IFERROR(IF(AND(VALUE('幕间与结算'!B196)&gt;=1,VALUE('幕间与结算'!B196)&lt;=20),VALUE('幕间与结算'!B196),0),0)</f>
        <v>0</v>
      </c>
      <c r="B397">
        <f>IF(AND(A397&gt;0,'幕间与结算'!D196&lt;&gt;"",'幕间与结算'!J196="确认",ISNUMBER('幕间与结算'!K196),OR('幕间与结算'!G196="失败",'幕间与结算'!G196="大失败"),'幕间与结算'!H196="√",LEFT('幕间与结算'!E196,3)="技能：",'幕间与结算'!E196&lt;&gt;"技能：非自然知识",ISNUMBER('幕间与结算'!F196),'幕间与结算'!F196&gt;=1,'幕间与结算'!F196&lt;=99),1,0)</f>
        <v>0</v>
      </c>
      <c r="D397">
        <f>IF(AND('幕间与结算'!J196="确认",ISNUMBER('幕间与结算'!K196),'幕间与结算'!L196&lt;&gt;"",ISNUMBER('幕间与结算'!M196),'幕间与结算'!M196&gt;0,'幕间与结算'!M196&lt;=99),'幕间与结算'!M196,0)</f>
        <v>0</v>
      </c>
      <c r="E397">
        <f>IF(AND(B397=1,COUNTIFS($A$210:A397,A397,$B$210:B397,1,'幕间与结算'!$E$9:E196,'幕间与结算'!E196)=1),188,999999)</f>
        <v>999999</v>
      </c>
      <c r="F397">
        <v>196</v>
      </c>
      <c r="AA397">
        <f>IF($A397=1,$E397,999999)</f>
        <v>999999</v>
      </c>
      <c r="AB397">
        <f>IF($A397=2,$E397,999999)</f>
        <v>999999</v>
      </c>
      <c r="AC397">
        <f>IF($A397=3,$E397,999999)</f>
        <v>999999</v>
      </c>
      <c r="AD397">
        <f>IF($A397=4,$E397,999999)</f>
        <v>999999</v>
      </c>
      <c r="AE397">
        <f>IF($A397=5,$E397,999999)</f>
        <v>999999</v>
      </c>
      <c r="AF397">
        <f>IF($A397=6,$E397,999999)</f>
        <v>999999</v>
      </c>
      <c r="AG397">
        <f>IF($A397=7,$E397,999999)</f>
        <v>999999</v>
      </c>
      <c r="AH397">
        <f>IF($A397=8,$E397,999999)</f>
        <v>999999</v>
      </c>
      <c r="AI397">
        <f>IF($A397=9,$E397,999999)</f>
        <v>999999</v>
      </c>
      <c r="AJ397">
        <f>IF($A397=10,$E397,999999)</f>
        <v>999999</v>
      </c>
      <c r="AK397">
        <f>IF($A397=11,$E397,999999)</f>
        <v>999999</v>
      </c>
      <c r="AL397">
        <f>IF($A397=12,$E397,999999)</f>
        <v>999999</v>
      </c>
      <c r="AM397">
        <f>IF($A397=13,$E397,999999)</f>
        <v>999999</v>
      </c>
      <c r="AN397">
        <f>IF($A397=14,$E397,999999)</f>
        <v>999999</v>
      </c>
      <c r="AO397">
        <f>IF($A397=15,$E397,999999)</f>
        <v>999999</v>
      </c>
      <c r="AP397">
        <f>IF($A397=16,$E397,999999)</f>
        <v>999999</v>
      </c>
      <c r="AQ397">
        <f>IF($A397=17,$E397,999999)</f>
        <v>999999</v>
      </c>
      <c r="AR397">
        <f>IF($A397=18,$E397,999999)</f>
        <v>999999</v>
      </c>
      <c r="AS397">
        <f>IF($A397=19,$E397,999999)</f>
        <v>999999</v>
      </c>
      <c r="AT397">
        <f>IF($A397=20,$E397,999999)</f>
        <v>999999</v>
      </c>
      <c r="BA397">
        <f>MAX(0,MIN(CEILING((BF397+BG397)/2,1),BA396+IF('幕间与结算'!E196="体力",N('幕间与结算'!K196),0)))</f>
        <v>0</v>
      </c>
      <c r="BB397">
        <f>MAX(0,MIN(BJ397,BB396+IF('幕间与结算'!E196="毅力",N('幕间与结算'!K196),0)))</f>
        <v>0</v>
      </c>
      <c r="BC397">
        <f>MAX(0,MIN(99-BL397,BC396+IF('幕间与结算'!E196="理智",N('幕间与结算'!K196),0)))</f>
        <v>0</v>
      </c>
      <c r="BD397">
        <f>MAX(0,MIN(99,BD396+IF('幕间与结算'!E196="崩溃点",N('幕间与结算'!K196),0)))</f>
        <v>0</v>
      </c>
      <c r="BF397">
        <f>MAX(0,MIN(18,'幕间计算'!BF396+IF('幕间与结算'!E196="力量",N('幕间与结算'!K196),0)))</f>
        <v>0</v>
      </c>
      <c r="BG397">
        <f>MAX(0,MIN(18,'幕间计算'!BG396+IF('幕间与结算'!E196="体质",N('幕间与结算'!K196),0)))</f>
        <v>0</v>
      </c>
      <c r="BH397">
        <f>MAX(0,MIN(18,'幕间计算'!BH396+IF('幕间与结算'!E196="敏捷",N('幕间与结算'!K196),0)))</f>
        <v>0</v>
      </c>
      <c r="BI397">
        <f>MAX(0,MIN(18,'幕间计算'!BI396+IF('幕间与结算'!E196="智力",N('幕间与结算'!K196),0)))</f>
        <v>0</v>
      </c>
      <c r="BJ397">
        <f>MAX(0,MIN(18,'幕间计算'!BJ396+IF('幕间与结算'!E196="意志",N('幕间与结算'!K196),0)))</f>
        <v>0</v>
      </c>
      <c r="BK397">
        <f>MAX(0,MIN(18,'幕间计算'!BK396+IF('幕间与结算'!E196="魅力",N('幕间与结算'!K196),0)))</f>
        <v>0</v>
      </c>
      <c r="BL397">
        <f>MAX(0,MIN(99,'幕间计算'!BL396+IF('幕间与结算'!E196="技能：非自然知识",N('幕间与结算'!K196),0)))</f>
        <v>0</v>
      </c>
    </row>
    <row r="398">
      <c r="A398">
        <f>IFERROR(IF(AND(VALUE('幕间与结算'!B197)&gt;=1,VALUE('幕间与结算'!B197)&lt;=20),VALUE('幕间与结算'!B197),0),0)</f>
        <v>0</v>
      </c>
      <c r="B398">
        <f>IF(AND(A398&gt;0,'幕间与结算'!D197&lt;&gt;"",'幕间与结算'!J197="确认",ISNUMBER('幕间与结算'!K197),OR('幕间与结算'!G197="失败",'幕间与结算'!G197="大失败"),'幕间与结算'!H197="√",LEFT('幕间与结算'!E197,3)="技能：",'幕间与结算'!E197&lt;&gt;"技能：非自然知识",ISNUMBER('幕间与结算'!F197),'幕间与结算'!F197&gt;=1,'幕间与结算'!F197&lt;=99),1,0)</f>
        <v>0</v>
      </c>
      <c r="D398">
        <f>IF(AND('幕间与结算'!J197="确认",ISNUMBER('幕间与结算'!K197),'幕间与结算'!L197&lt;&gt;"",ISNUMBER('幕间与结算'!M197),'幕间与结算'!M197&gt;0,'幕间与结算'!M197&lt;=99),'幕间与结算'!M197,0)</f>
        <v>0</v>
      </c>
      <c r="E398">
        <f>IF(AND(B398=1,COUNTIFS($A$210:A398,A398,$B$210:B398,1,'幕间与结算'!$E$9:E197,'幕间与结算'!E197)=1),189,999999)</f>
        <v>999999</v>
      </c>
      <c r="F398">
        <v>197</v>
      </c>
      <c r="AA398">
        <f>IF($A398=1,$E398,999999)</f>
        <v>999999</v>
      </c>
      <c r="AB398">
        <f>IF($A398=2,$E398,999999)</f>
        <v>999999</v>
      </c>
      <c r="AC398">
        <f>IF($A398=3,$E398,999999)</f>
        <v>999999</v>
      </c>
      <c r="AD398">
        <f>IF($A398=4,$E398,999999)</f>
        <v>999999</v>
      </c>
      <c r="AE398">
        <f>IF($A398=5,$E398,999999)</f>
        <v>999999</v>
      </c>
      <c r="AF398">
        <f>IF($A398=6,$E398,999999)</f>
        <v>999999</v>
      </c>
      <c r="AG398">
        <f>IF($A398=7,$E398,999999)</f>
        <v>999999</v>
      </c>
      <c r="AH398">
        <f>IF($A398=8,$E398,999999)</f>
        <v>999999</v>
      </c>
      <c r="AI398">
        <f>IF($A398=9,$E398,999999)</f>
        <v>999999</v>
      </c>
      <c r="AJ398">
        <f>IF($A398=10,$E398,999999)</f>
        <v>999999</v>
      </c>
      <c r="AK398">
        <f>IF($A398=11,$E398,999999)</f>
        <v>999999</v>
      </c>
      <c r="AL398">
        <f>IF($A398=12,$E398,999999)</f>
        <v>999999</v>
      </c>
      <c r="AM398">
        <f>IF($A398=13,$E398,999999)</f>
        <v>999999</v>
      </c>
      <c r="AN398">
        <f>IF($A398=14,$E398,999999)</f>
        <v>999999</v>
      </c>
      <c r="AO398">
        <f>IF($A398=15,$E398,999999)</f>
        <v>999999</v>
      </c>
      <c r="AP398">
        <f>IF($A398=16,$E398,999999)</f>
        <v>999999</v>
      </c>
      <c r="AQ398">
        <f>IF($A398=17,$E398,999999)</f>
        <v>999999</v>
      </c>
      <c r="AR398">
        <f>IF($A398=18,$E398,999999)</f>
        <v>999999</v>
      </c>
      <c r="AS398">
        <f>IF($A398=19,$E398,999999)</f>
        <v>999999</v>
      </c>
      <c r="AT398">
        <f>IF($A398=20,$E398,999999)</f>
        <v>999999</v>
      </c>
      <c r="BA398">
        <f>MAX(0,MIN(CEILING((BF398+BG398)/2,1),BA397+IF('幕间与结算'!E197="体力",N('幕间与结算'!K197),0)))</f>
        <v>0</v>
      </c>
      <c r="BB398">
        <f>MAX(0,MIN(BJ398,BB397+IF('幕间与结算'!E197="毅力",N('幕间与结算'!K197),0)))</f>
        <v>0</v>
      </c>
      <c r="BC398">
        <f>MAX(0,MIN(99-BL398,BC397+IF('幕间与结算'!E197="理智",N('幕间与结算'!K197),0)))</f>
        <v>0</v>
      </c>
      <c r="BD398">
        <f>MAX(0,MIN(99,BD397+IF('幕间与结算'!E197="崩溃点",N('幕间与结算'!K197),0)))</f>
        <v>0</v>
      </c>
      <c r="BF398">
        <f>MAX(0,MIN(18,'幕间计算'!BF397+IF('幕间与结算'!E197="力量",N('幕间与结算'!K197),0)))</f>
        <v>0</v>
      </c>
      <c r="BG398">
        <f>MAX(0,MIN(18,'幕间计算'!BG397+IF('幕间与结算'!E197="体质",N('幕间与结算'!K197),0)))</f>
        <v>0</v>
      </c>
      <c r="BH398">
        <f>MAX(0,MIN(18,'幕间计算'!BH397+IF('幕间与结算'!E197="敏捷",N('幕间与结算'!K197),0)))</f>
        <v>0</v>
      </c>
      <c r="BI398">
        <f>MAX(0,MIN(18,'幕间计算'!BI397+IF('幕间与结算'!E197="智力",N('幕间与结算'!K197),0)))</f>
        <v>0</v>
      </c>
      <c r="BJ398">
        <f>MAX(0,MIN(18,'幕间计算'!BJ397+IF('幕间与结算'!E197="意志",N('幕间与结算'!K197),0)))</f>
        <v>0</v>
      </c>
      <c r="BK398">
        <f>MAX(0,MIN(18,'幕间计算'!BK397+IF('幕间与结算'!E197="魅力",N('幕间与结算'!K197),0)))</f>
        <v>0</v>
      </c>
      <c r="BL398">
        <f>MAX(0,MIN(99,'幕间计算'!BL397+IF('幕间与结算'!E197="技能：非自然知识",N('幕间与结算'!K197),0)))</f>
        <v>0</v>
      </c>
    </row>
    <row r="399">
      <c r="A399">
        <f>IFERROR(IF(AND(VALUE('幕间与结算'!B198)&gt;=1,VALUE('幕间与结算'!B198)&lt;=20),VALUE('幕间与结算'!B198),0),0)</f>
        <v>0</v>
      </c>
      <c r="B399">
        <f>IF(AND(A399&gt;0,'幕间与结算'!D198&lt;&gt;"",'幕间与结算'!J198="确认",ISNUMBER('幕间与结算'!K198),OR('幕间与结算'!G198="失败",'幕间与结算'!G198="大失败"),'幕间与结算'!H198="√",LEFT('幕间与结算'!E198,3)="技能：",'幕间与结算'!E198&lt;&gt;"技能：非自然知识",ISNUMBER('幕间与结算'!F198),'幕间与结算'!F198&gt;=1,'幕间与结算'!F198&lt;=99),1,0)</f>
        <v>0</v>
      </c>
      <c r="D399">
        <f>IF(AND('幕间与结算'!J198="确认",ISNUMBER('幕间与结算'!K198),'幕间与结算'!L198&lt;&gt;"",ISNUMBER('幕间与结算'!M198),'幕间与结算'!M198&gt;0,'幕间与结算'!M198&lt;=99),'幕间与结算'!M198,0)</f>
        <v>0</v>
      </c>
      <c r="E399">
        <f>IF(AND(B399=1,COUNTIFS($A$210:A399,A399,$B$210:B399,1,'幕间与结算'!$E$9:E198,'幕间与结算'!E198)=1),190,999999)</f>
        <v>999999</v>
      </c>
      <c r="F399">
        <v>198</v>
      </c>
      <c r="AA399">
        <f>IF($A399=1,$E399,999999)</f>
        <v>999999</v>
      </c>
      <c r="AB399">
        <f>IF($A399=2,$E399,999999)</f>
        <v>999999</v>
      </c>
      <c r="AC399">
        <f>IF($A399=3,$E399,999999)</f>
        <v>999999</v>
      </c>
      <c r="AD399">
        <f>IF($A399=4,$E399,999999)</f>
        <v>999999</v>
      </c>
      <c r="AE399">
        <f>IF($A399=5,$E399,999999)</f>
        <v>999999</v>
      </c>
      <c r="AF399">
        <f>IF($A399=6,$E399,999999)</f>
        <v>999999</v>
      </c>
      <c r="AG399">
        <f>IF($A399=7,$E399,999999)</f>
        <v>999999</v>
      </c>
      <c r="AH399">
        <f>IF($A399=8,$E399,999999)</f>
        <v>999999</v>
      </c>
      <c r="AI399">
        <f>IF($A399=9,$E399,999999)</f>
        <v>999999</v>
      </c>
      <c r="AJ399">
        <f>IF($A399=10,$E399,999999)</f>
        <v>999999</v>
      </c>
      <c r="AK399">
        <f>IF($A399=11,$E399,999999)</f>
        <v>999999</v>
      </c>
      <c r="AL399">
        <f>IF($A399=12,$E399,999999)</f>
        <v>999999</v>
      </c>
      <c r="AM399">
        <f>IF($A399=13,$E399,999999)</f>
        <v>999999</v>
      </c>
      <c r="AN399">
        <f>IF($A399=14,$E399,999999)</f>
        <v>999999</v>
      </c>
      <c r="AO399">
        <f>IF($A399=15,$E399,999999)</f>
        <v>999999</v>
      </c>
      <c r="AP399">
        <f>IF($A399=16,$E399,999999)</f>
        <v>999999</v>
      </c>
      <c r="AQ399">
        <f>IF($A399=17,$E399,999999)</f>
        <v>999999</v>
      </c>
      <c r="AR399">
        <f>IF($A399=18,$E399,999999)</f>
        <v>999999</v>
      </c>
      <c r="AS399">
        <f>IF($A399=19,$E399,999999)</f>
        <v>999999</v>
      </c>
      <c r="AT399">
        <f>IF($A399=20,$E399,999999)</f>
        <v>999999</v>
      </c>
      <c r="BA399">
        <f>MAX(0,MIN(CEILING((BF399+BG399)/2,1),BA398+IF('幕间与结算'!E198="体力",N('幕间与结算'!K198),0)))</f>
        <v>0</v>
      </c>
      <c r="BB399">
        <f>MAX(0,MIN(BJ399,BB398+IF('幕间与结算'!E198="毅力",N('幕间与结算'!K198),0)))</f>
        <v>0</v>
      </c>
      <c r="BC399">
        <f>MAX(0,MIN(99-BL399,BC398+IF('幕间与结算'!E198="理智",N('幕间与结算'!K198),0)))</f>
        <v>0</v>
      </c>
      <c r="BD399">
        <f>MAX(0,MIN(99,BD398+IF('幕间与结算'!E198="崩溃点",N('幕间与结算'!K198),0)))</f>
        <v>0</v>
      </c>
      <c r="BF399">
        <f>MAX(0,MIN(18,'幕间计算'!BF398+IF('幕间与结算'!E198="力量",N('幕间与结算'!K198),0)))</f>
        <v>0</v>
      </c>
      <c r="BG399">
        <f>MAX(0,MIN(18,'幕间计算'!BG398+IF('幕间与结算'!E198="体质",N('幕间与结算'!K198),0)))</f>
        <v>0</v>
      </c>
      <c r="BH399">
        <f>MAX(0,MIN(18,'幕间计算'!BH398+IF('幕间与结算'!E198="敏捷",N('幕间与结算'!K198),0)))</f>
        <v>0</v>
      </c>
      <c r="BI399">
        <f>MAX(0,MIN(18,'幕间计算'!BI398+IF('幕间与结算'!E198="智力",N('幕间与结算'!K198),0)))</f>
        <v>0</v>
      </c>
      <c r="BJ399">
        <f>MAX(0,MIN(18,'幕间计算'!BJ398+IF('幕间与结算'!E198="意志",N('幕间与结算'!K198),0)))</f>
        <v>0</v>
      </c>
      <c r="BK399">
        <f>MAX(0,MIN(18,'幕间计算'!BK398+IF('幕间与结算'!E198="魅力",N('幕间与结算'!K198),0)))</f>
        <v>0</v>
      </c>
      <c r="BL399">
        <f>MAX(0,MIN(99,'幕间计算'!BL398+IF('幕间与结算'!E198="技能：非自然知识",N('幕间与结算'!K198),0)))</f>
        <v>0</v>
      </c>
    </row>
    <row r="400">
      <c r="A400">
        <f>IFERROR(IF(AND(VALUE('幕间与结算'!B199)&gt;=1,VALUE('幕间与结算'!B199)&lt;=20),VALUE('幕间与结算'!B199),0),0)</f>
        <v>0</v>
      </c>
      <c r="B400">
        <f>IF(AND(A400&gt;0,'幕间与结算'!D199&lt;&gt;"",'幕间与结算'!J199="确认",ISNUMBER('幕间与结算'!K199),OR('幕间与结算'!G199="失败",'幕间与结算'!G199="大失败"),'幕间与结算'!H199="√",LEFT('幕间与结算'!E199,3)="技能：",'幕间与结算'!E199&lt;&gt;"技能：非自然知识",ISNUMBER('幕间与结算'!F199),'幕间与结算'!F199&gt;=1,'幕间与结算'!F199&lt;=99),1,0)</f>
        <v>0</v>
      </c>
      <c r="D400">
        <f>IF(AND('幕间与结算'!J199="确认",ISNUMBER('幕间与结算'!K199),'幕间与结算'!L199&lt;&gt;"",ISNUMBER('幕间与结算'!M199),'幕间与结算'!M199&gt;0,'幕间与结算'!M199&lt;=99),'幕间与结算'!M199,0)</f>
        <v>0</v>
      </c>
      <c r="E400">
        <f>IF(AND(B400=1,COUNTIFS($A$210:A400,A400,$B$210:B400,1,'幕间与结算'!$E$9:E199,'幕间与结算'!E199)=1),191,999999)</f>
        <v>999999</v>
      </c>
      <c r="F400">
        <v>199</v>
      </c>
      <c r="AA400">
        <f>IF($A400=1,$E400,999999)</f>
        <v>999999</v>
      </c>
      <c r="AB400">
        <f>IF($A400=2,$E400,999999)</f>
        <v>999999</v>
      </c>
      <c r="AC400">
        <f>IF($A400=3,$E400,999999)</f>
        <v>999999</v>
      </c>
      <c r="AD400">
        <f>IF($A400=4,$E400,999999)</f>
        <v>999999</v>
      </c>
      <c r="AE400">
        <f>IF($A400=5,$E400,999999)</f>
        <v>999999</v>
      </c>
      <c r="AF400">
        <f>IF($A400=6,$E400,999999)</f>
        <v>999999</v>
      </c>
      <c r="AG400">
        <f>IF($A400=7,$E400,999999)</f>
        <v>999999</v>
      </c>
      <c r="AH400">
        <f>IF($A400=8,$E400,999999)</f>
        <v>999999</v>
      </c>
      <c r="AI400">
        <f>IF($A400=9,$E400,999999)</f>
        <v>999999</v>
      </c>
      <c r="AJ400">
        <f>IF($A400=10,$E400,999999)</f>
        <v>999999</v>
      </c>
      <c r="AK400">
        <f>IF($A400=11,$E400,999999)</f>
        <v>999999</v>
      </c>
      <c r="AL400">
        <f>IF($A400=12,$E400,999999)</f>
        <v>999999</v>
      </c>
      <c r="AM400">
        <f>IF($A400=13,$E400,999999)</f>
        <v>999999</v>
      </c>
      <c r="AN400">
        <f>IF($A400=14,$E400,999999)</f>
        <v>999999</v>
      </c>
      <c r="AO400">
        <f>IF($A400=15,$E400,999999)</f>
        <v>999999</v>
      </c>
      <c r="AP400">
        <f>IF($A400=16,$E400,999999)</f>
        <v>999999</v>
      </c>
      <c r="AQ400">
        <f>IF($A400=17,$E400,999999)</f>
        <v>999999</v>
      </c>
      <c r="AR400">
        <f>IF($A400=18,$E400,999999)</f>
        <v>999999</v>
      </c>
      <c r="AS400">
        <f>IF($A400=19,$E400,999999)</f>
        <v>999999</v>
      </c>
      <c r="AT400">
        <f>IF($A400=20,$E400,999999)</f>
        <v>999999</v>
      </c>
      <c r="BA400">
        <f>MAX(0,MIN(CEILING((BF400+BG400)/2,1),BA399+IF('幕间与结算'!E199="体力",N('幕间与结算'!K199),0)))</f>
        <v>0</v>
      </c>
      <c r="BB400">
        <f>MAX(0,MIN(BJ400,BB399+IF('幕间与结算'!E199="毅力",N('幕间与结算'!K199),0)))</f>
        <v>0</v>
      </c>
      <c r="BC400">
        <f>MAX(0,MIN(99-BL400,BC399+IF('幕间与结算'!E199="理智",N('幕间与结算'!K199),0)))</f>
        <v>0</v>
      </c>
      <c r="BD400">
        <f>MAX(0,MIN(99,BD399+IF('幕间与结算'!E199="崩溃点",N('幕间与结算'!K199),0)))</f>
        <v>0</v>
      </c>
      <c r="BF400">
        <f>MAX(0,MIN(18,'幕间计算'!BF399+IF('幕间与结算'!E199="力量",N('幕间与结算'!K199),0)))</f>
        <v>0</v>
      </c>
      <c r="BG400">
        <f>MAX(0,MIN(18,'幕间计算'!BG399+IF('幕间与结算'!E199="体质",N('幕间与结算'!K199),0)))</f>
        <v>0</v>
      </c>
      <c r="BH400">
        <f>MAX(0,MIN(18,'幕间计算'!BH399+IF('幕间与结算'!E199="敏捷",N('幕间与结算'!K199),0)))</f>
        <v>0</v>
      </c>
      <c r="BI400">
        <f>MAX(0,MIN(18,'幕间计算'!BI399+IF('幕间与结算'!E199="智力",N('幕间与结算'!K199),0)))</f>
        <v>0</v>
      </c>
      <c r="BJ400">
        <f>MAX(0,MIN(18,'幕间计算'!BJ399+IF('幕间与结算'!E199="意志",N('幕间与结算'!K199),0)))</f>
        <v>0</v>
      </c>
      <c r="BK400">
        <f>MAX(0,MIN(18,'幕间计算'!BK399+IF('幕间与结算'!E199="魅力",N('幕间与结算'!K199),0)))</f>
        <v>0</v>
      </c>
      <c r="BL400">
        <f>MAX(0,MIN(99,'幕间计算'!BL399+IF('幕间与结算'!E199="技能：非自然知识",N('幕间与结算'!K199),0)))</f>
        <v>0</v>
      </c>
    </row>
    <row r="401">
      <c r="A401">
        <f>IFERROR(IF(AND(VALUE('幕间与结算'!B200)&gt;=1,VALUE('幕间与结算'!B200)&lt;=20),VALUE('幕间与结算'!B200),0),0)</f>
        <v>0</v>
      </c>
      <c r="B401">
        <f>IF(AND(A401&gt;0,'幕间与结算'!D200&lt;&gt;"",'幕间与结算'!J200="确认",ISNUMBER('幕间与结算'!K200),OR('幕间与结算'!G200="失败",'幕间与结算'!G200="大失败"),'幕间与结算'!H200="√",LEFT('幕间与结算'!E200,3)="技能：",'幕间与结算'!E200&lt;&gt;"技能：非自然知识",ISNUMBER('幕间与结算'!F200),'幕间与结算'!F200&gt;=1,'幕间与结算'!F200&lt;=99),1,0)</f>
        <v>0</v>
      </c>
      <c r="D401">
        <f>IF(AND('幕间与结算'!J200="确认",ISNUMBER('幕间与结算'!K200),'幕间与结算'!L200&lt;&gt;"",ISNUMBER('幕间与结算'!M200),'幕间与结算'!M200&gt;0,'幕间与结算'!M200&lt;=99),'幕间与结算'!M200,0)</f>
        <v>0</v>
      </c>
      <c r="E401">
        <f>IF(AND(B401=1,COUNTIFS($A$210:A401,A401,$B$210:B401,1,'幕间与结算'!$E$9:E200,'幕间与结算'!E200)=1),192,999999)</f>
        <v>999999</v>
      </c>
      <c r="F401">
        <v>200</v>
      </c>
      <c r="AA401">
        <f>IF($A401=1,$E401,999999)</f>
        <v>999999</v>
      </c>
      <c r="AB401">
        <f>IF($A401=2,$E401,999999)</f>
        <v>999999</v>
      </c>
      <c r="AC401">
        <f>IF($A401=3,$E401,999999)</f>
        <v>999999</v>
      </c>
      <c r="AD401">
        <f>IF($A401=4,$E401,999999)</f>
        <v>999999</v>
      </c>
      <c r="AE401">
        <f>IF($A401=5,$E401,999999)</f>
        <v>999999</v>
      </c>
      <c r="AF401">
        <f>IF($A401=6,$E401,999999)</f>
        <v>999999</v>
      </c>
      <c r="AG401">
        <f>IF($A401=7,$E401,999999)</f>
        <v>999999</v>
      </c>
      <c r="AH401">
        <f>IF($A401=8,$E401,999999)</f>
        <v>999999</v>
      </c>
      <c r="AI401">
        <f>IF($A401=9,$E401,999999)</f>
        <v>999999</v>
      </c>
      <c r="AJ401">
        <f>IF($A401=10,$E401,999999)</f>
        <v>999999</v>
      </c>
      <c r="AK401">
        <f>IF($A401=11,$E401,999999)</f>
        <v>999999</v>
      </c>
      <c r="AL401">
        <f>IF($A401=12,$E401,999999)</f>
        <v>999999</v>
      </c>
      <c r="AM401">
        <f>IF($A401=13,$E401,999999)</f>
        <v>999999</v>
      </c>
      <c r="AN401">
        <f>IF($A401=14,$E401,999999)</f>
        <v>999999</v>
      </c>
      <c r="AO401">
        <f>IF($A401=15,$E401,999999)</f>
        <v>999999</v>
      </c>
      <c r="AP401">
        <f>IF($A401=16,$E401,999999)</f>
        <v>999999</v>
      </c>
      <c r="AQ401">
        <f>IF($A401=17,$E401,999999)</f>
        <v>999999</v>
      </c>
      <c r="AR401">
        <f>IF($A401=18,$E401,999999)</f>
        <v>999999</v>
      </c>
      <c r="AS401">
        <f>IF($A401=19,$E401,999999)</f>
        <v>999999</v>
      </c>
      <c r="AT401">
        <f>IF($A401=20,$E401,999999)</f>
        <v>999999</v>
      </c>
      <c r="BA401">
        <f>MAX(0,MIN(CEILING((BF401+BG401)/2,1),BA400+IF('幕间与结算'!E200="体力",N('幕间与结算'!K200),0)))</f>
        <v>0</v>
      </c>
      <c r="BB401">
        <f>MAX(0,MIN(BJ401,BB400+IF('幕间与结算'!E200="毅力",N('幕间与结算'!K200),0)))</f>
        <v>0</v>
      </c>
      <c r="BC401">
        <f>MAX(0,MIN(99-BL401,BC400+IF('幕间与结算'!E200="理智",N('幕间与结算'!K200),0)))</f>
        <v>0</v>
      </c>
      <c r="BD401">
        <f>MAX(0,MIN(99,BD400+IF('幕间与结算'!E200="崩溃点",N('幕间与结算'!K200),0)))</f>
        <v>0</v>
      </c>
      <c r="BF401">
        <f>MAX(0,MIN(18,'幕间计算'!BF400+IF('幕间与结算'!E200="力量",N('幕间与结算'!K200),0)))</f>
        <v>0</v>
      </c>
      <c r="BG401">
        <f>MAX(0,MIN(18,'幕间计算'!BG400+IF('幕间与结算'!E200="体质",N('幕间与结算'!K200),0)))</f>
        <v>0</v>
      </c>
      <c r="BH401">
        <f>MAX(0,MIN(18,'幕间计算'!BH400+IF('幕间与结算'!E200="敏捷",N('幕间与结算'!K200),0)))</f>
        <v>0</v>
      </c>
      <c r="BI401">
        <f>MAX(0,MIN(18,'幕间计算'!BI400+IF('幕间与结算'!E200="智力",N('幕间与结算'!K200),0)))</f>
        <v>0</v>
      </c>
      <c r="BJ401">
        <f>MAX(0,MIN(18,'幕间计算'!BJ400+IF('幕间与结算'!E200="意志",N('幕间与结算'!K200),0)))</f>
        <v>0</v>
      </c>
      <c r="BK401">
        <f>MAX(0,MIN(18,'幕间计算'!BK400+IF('幕间与结算'!E200="魅力",N('幕间与结算'!K200),0)))</f>
        <v>0</v>
      </c>
      <c r="BL401">
        <f>MAX(0,MIN(99,'幕间计算'!BL400+IF('幕间与结算'!E200="技能：非自然知识",N('幕间与结算'!K200),0)))</f>
        <v>0</v>
      </c>
    </row>
    <row r="402">
      <c r="A402">
        <f>IFERROR(IF(AND(VALUE('幕间与结算'!B201)&gt;=1,VALUE('幕间与结算'!B201)&lt;=20),VALUE('幕间与结算'!B201),0),0)</f>
        <v>0</v>
      </c>
      <c r="B402">
        <f>IF(AND(A402&gt;0,'幕间与结算'!D201&lt;&gt;"",'幕间与结算'!J201="确认",ISNUMBER('幕间与结算'!K201),OR('幕间与结算'!G201="失败",'幕间与结算'!G201="大失败"),'幕间与结算'!H201="√",LEFT('幕间与结算'!E201,3)="技能：",'幕间与结算'!E201&lt;&gt;"技能：非自然知识",ISNUMBER('幕间与结算'!F201),'幕间与结算'!F201&gt;=1,'幕间与结算'!F201&lt;=99),1,0)</f>
        <v>0</v>
      </c>
      <c r="D402">
        <f>IF(AND('幕间与结算'!J201="确认",ISNUMBER('幕间与结算'!K201),'幕间与结算'!L201&lt;&gt;"",ISNUMBER('幕间与结算'!M201),'幕间与结算'!M201&gt;0,'幕间与结算'!M201&lt;=99),'幕间与结算'!M201,0)</f>
        <v>0</v>
      </c>
      <c r="E402">
        <f>IF(AND(B402=1,COUNTIFS($A$210:A402,A402,$B$210:B402,1,'幕间与结算'!$E$9:E201,'幕间与结算'!E201)=1),193,999999)</f>
        <v>999999</v>
      </c>
      <c r="F402">
        <v>201</v>
      </c>
      <c r="AA402">
        <f>IF($A402=1,$E402,999999)</f>
        <v>999999</v>
      </c>
      <c r="AB402">
        <f>IF($A402=2,$E402,999999)</f>
        <v>999999</v>
      </c>
      <c r="AC402">
        <f>IF($A402=3,$E402,999999)</f>
        <v>999999</v>
      </c>
      <c r="AD402">
        <f>IF($A402=4,$E402,999999)</f>
        <v>999999</v>
      </c>
      <c r="AE402">
        <f>IF($A402=5,$E402,999999)</f>
        <v>999999</v>
      </c>
      <c r="AF402">
        <f>IF($A402=6,$E402,999999)</f>
        <v>999999</v>
      </c>
      <c r="AG402">
        <f>IF($A402=7,$E402,999999)</f>
        <v>999999</v>
      </c>
      <c r="AH402">
        <f>IF($A402=8,$E402,999999)</f>
        <v>999999</v>
      </c>
      <c r="AI402">
        <f>IF($A402=9,$E402,999999)</f>
        <v>999999</v>
      </c>
      <c r="AJ402">
        <f>IF($A402=10,$E402,999999)</f>
        <v>999999</v>
      </c>
      <c r="AK402">
        <f>IF($A402=11,$E402,999999)</f>
        <v>999999</v>
      </c>
      <c r="AL402">
        <f>IF($A402=12,$E402,999999)</f>
        <v>999999</v>
      </c>
      <c r="AM402">
        <f>IF($A402=13,$E402,999999)</f>
        <v>999999</v>
      </c>
      <c r="AN402">
        <f>IF($A402=14,$E402,999999)</f>
        <v>999999</v>
      </c>
      <c r="AO402">
        <f>IF($A402=15,$E402,999999)</f>
        <v>999999</v>
      </c>
      <c r="AP402">
        <f>IF($A402=16,$E402,999999)</f>
        <v>999999</v>
      </c>
      <c r="AQ402">
        <f>IF($A402=17,$E402,999999)</f>
        <v>999999</v>
      </c>
      <c r="AR402">
        <f>IF($A402=18,$E402,999999)</f>
        <v>999999</v>
      </c>
      <c r="AS402">
        <f>IF($A402=19,$E402,999999)</f>
        <v>999999</v>
      </c>
      <c r="AT402">
        <f>IF($A402=20,$E402,999999)</f>
        <v>999999</v>
      </c>
      <c r="BA402">
        <f>MAX(0,MIN(CEILING((BF402+BG402)/2,1),BA401+IF('幕间与结算'!E201="体力",N('幕间与结算'!K201),0)))</f>
        <v>0</v>
      </c>
      <c r="BB402">
        <f>MAX(0,MIN(BJ402,BB401+IF('幕间与结算'!E201="毅力",N('幕间与结算'!K201),0)))</f>
        <v>0</v>
      </c>
      <c r="BC402">
        <f>MAX(0,MIN(99-BL402,BC401+IF('幕间与结算'!E201="理智",N('幕间与结算'!K201),0)))</f>
        <v>0</v>
      </c>
      <c r="BD402">
        <f>MAX(0,MIN(99,BD401+IF('幕间与结算'!E201="崩溃点",N('幕间与结算'!K201),0)))</f>
        <v>0</v>
      </c>
      <c r="BF402">
        <f>MAX(0,MIN(18,'幕间计算'!BF401+IF('幕间与结算'!E201="力量",N('幕间与结算'!K201),0)))</f>
        <v>0</v>
      </c>
      <c r="BG402">
        <f>MAX(0,MIN(18,'幕间计算'!BG401+IF('幕间与结算'!E201="体质",N('幕间与结算'!K201),0)))</f>
        <v>0</v>
      </c>
      <c r="BH402">
        <f>MAX(0,MIN(18,'幕间计算'!BH401+IF('幕间与结算'!E201="敏捷",N('幕间与结算'!K201),0)))</f>
        <v>0</v>
      </c>
      <c r="BI402">
        <f>MAX(0,MIN(18,'幕间计算'!BI401+IF('幕间与结算'!E201="智力",N('幕间与结算'!K201),0)))</f>
        <v>0</v>
      </c>
      <c r="BJ402">
        <f>MAX(0,MIN(18,'幕间计算'!BJ401+IF('幕间与结算'!E201="意志",N('幕间与结算'!K201),0)))</f>
        <v>0</v>
      </c>
      <c r="BK402">
        <f>MAX(0,MIN(18,'幕间计算'!BK401+IF('幕间与结算'!E201="魅力",N('幕间与结算'!K201),0)))</f>
        <v>0</v>
      </c>
      <c r="BL402">
        <f>MAX(0,MIN(99,'幕间计算'!BL401+IF('幕间与结算'!E201="技能：非自然知识",N('幕间与结算'!K201),0)))</f>
        <v>0</v>
      </c>
    </row>
    <row r="403">
      <c r="A403">
        <f>IFERROR(IF(AND(VALUE('幕间与结算'!B202)&gt;=1,VALUE('幕间与结算'!B202)&lt;=20),VALUE('幕间与结算'!B202),0),0)</f>
        <v>0</v>
      </c>
      <c r="B403">
        <f>IF(AND(A403&gt;0,'幕间与结算'!D202&lt;&gt;"",'幕间与结算'!J202="确认",ISNUMBER('幕间与结算'!K202),OR('幕间与结算'!G202="失败",'幕间与结算'!G202="大失败"),'幕间与结算'!H202="√",LEFT('幕间与结算'!E202,3)="技能：",'幕间与结算'!E202&lt;&gt;"技能：非自然知识",ISNUMBER('幕间与结算'!F202),'幕间与结算'!F202&gt;=1,'幕间与结算'!F202&lt;=99),1,0)</f>
        <v>0</v>
      </c>
      <c r="D403">
        <f>IF(AND('幕间与结算'!J202="确认",ISNUMBER('幕间与结算'!K202),'幕间与结算'!L202&lt;&gt;"",ISNUMBER('幕间与结算'!M202),'幕间与结算'!M202&gt;0,'幕间与结算'!M202&lt;=99),'幕间与结算'!M202,0)</f>
        <v>0</v>
      </c>
      <c r="E403">
        <f>IF(AND(B403=1,COUNTIFS($A$210:A403,A403,$B$210:B403,1,'幕间与结算'!$E$9:E202,'幕间与结算'!E202)=1),194,999999)</f>
        <v>999999</v>
      </c>
      <c r="F403">
        <v>202</v>
      </c>
      <c r="AA403">
        <f>IF($A403=1,$E403,999999)</f>
        <v>999999</v>
      </c>
      <c r="AB403">
        <f>IF($A403=2,$E403,999999)</f>
        <v>999999</v>
      </c>
      <c r="AC403">
        <f>IF($A403=3,$E403,999999)</f>
        <v>999999</v>
      </c>
      <c r="AD403">
        <f>IF($A403=4,$E403,999999)</f>
        <v>999999</v>
      </c>
      <c r="AE403">
        <f>IF($A403=5,$E403,999999)</f>
        <v>999999</v>
      </c>
      <c r="AF403">
        <f>IF($A403=6,$E403,999999)</f>
        <v>999999</v>
      </c>
      <c r="AG403">
        <f>IF($A403=7,$E403,999999)</f>
        <v>999999</v>
      </c>
      <c r="AH403">
        <f>IF($A403=8,$E403,999999)</f>
        <v>999999</v>
      </c>
      <c r="AI403">
        <f>IF($A403=9,$E403,999999)</f>
        <v>999999</v>
      </c>
      <c r="AJ403">
        <f>IF($A403=10,$E403,999999)</f>
        <v>999999</v>
      </c>
      <c r="AK403">
        <f>IF($A403=11,$E403,999999)</f>
        <v>999999</v>
      </c>
      <c r="AL403">
        <f>IF($A403=12,$E403,999999)</f>
        <v>999999</v>
      </c>
      <c r="AM403">
        <f>IF($A403=13,$E403,999999)</f>
        <v>999999</v>
      </c>
      <c r="AN403">
        <f>IF($A403=14,$E403,999999)</f>
        <v>999999</v>
      </c>
      <c r="AO403">
        <f>IF($A403=15,$E403,999999)</f>
        <v>999999</v>
      </c>
      <c r="AP403">
        <f>IF($A403=16,$E403,999999)</f>
        <v>999999</v>
      </c>
      <c r="AQ403">
        <f>IF($A403=17,$E403,999999)</f>
        <v>999999</v>
      </c>
      <c r="AR403">
        <f>IF($A403=18,$E403,999999)</f>
        <v>999999</v>
      </c>
      <c r="AS403">
        <f>IF($A403=19,$E403,999999)</f>
        <v>999999</v>
      </c>
      <c r="AT403">
        <f>IF($A403=20,$E403,999999)</f>
        <v>999999</v>
      </c>
      <c r="BA403">
        <f>MAX(0,MIN(CEILING((BF403+BG403)/2,1),BA402+IF('幕间与结算'!E202="体力",N('幕间与结算'!K202),0)))</f>
        <v>0</v>
      </c>
      <c r="BB403">
        <f>MAX(0,MIN(BJ403,BB402+IF('幕间与结算'!E202="毅力",N('幕间与结算'!K202),0)))</f>
        <v>0</v>
      </c>
      <c r="BC403">
        <f>MAX(0,MIN(99-BL403,BC402+IF('幕间与结算'!E202="理智",N('幕间与结算'!K202),0)))</f>
        <v>0</v>
      </c>
      <c r="BD403">
        <f>MAX(0,MIN(99,BD402+IF('幕间与结算'!E202="崩溃点",N('幕间与结算'!K202),0)))</f>
        <v>0</v>
      </c>
      <c r="BF403">
        <f>MAX(0,MIN(18,'幕间计算'!BF402+IF('幕间与结算'!E202="力量",N('幕间与结算'!K202),0)))</f>
        <v>0</v>
      </c>
      <c r="BG403">
        <f>MAX(0,MIN(18,'幕间计算'!BG402+IF('幕间与结算'!E202="体质",N('幕间与结算'!K202),0)))</f>
        <v>0</v>
      </c>
      <c r="BH403">
        <f>MAX(0,MIN(18,'幕间计算'!BH402+IF('幕间与结算'!E202="敏捷",N('幕间与结算'!K202),0)))</f>
        <v>0</v>
      </c>
      <c r="BI403">
        <f>MAX(0,MIN(18,'幕间计算'!BI402+IF('幕间与结算'!E202="智力",N('幕间与结算'!K202),0)))</f>
        <v>0</v>
      </c>
      <c r="BJ403">
        <f>MAX(0,MIN(18,'幕间计算'!BJ402+IF('幕间与结算'!E202="意志",N('幕间与结算'!K202),0)))</f>
        <v>0</v>
      </c>
      <c r="BK403">
        <f>MAX(0,MIN(18,'幕间计算'!BK402+IF('幕间与结算'!E202="魅力",N('幕间与结算'!K202),0)))</f>
        <v>0</v>
      </c>
      <c r="BL403">
        <f>MAX(0,MIN(99,'幕间计算'!BL402+IF('幕间与结算'!E202="技能：非自然知识",N('幕间与结算'!K202),0)))</f>
        <v>0</v>
      </c>
    </row>
    <row r="404">
      <c r="A404">
        <f>IFERROR(IF(AND(VALUE('幕间与结算'!B203)&gt;=1,VALUE('幕间与结算'!B203)&lt;=20),VALUE('幕间与结算'!B203),0),0)</f>
        <v>0</v>
      </c>
      <c r="B404">
        <f>IF(AND(A404&gt;0,'幕间与结算'!D203&lt;&gt;"",'幕间与结算'!J203="确认",ISNUMBER('幕间与结算'!K203),OR('幕间与结算'!G203="失败",'幕间与结算'!G203="大失败"),'幕间与结算'!H203="√",LEFT('幕间与结算'!E203,3)="技能：",'幕间与结算'!E203&lt;&gt;"技能：非自然知识",ISNUMBER('幕间与结算'!F203),'幕间与结算'!F203&gt;=1,'幕间与结算'!F203&lt;=99),1,0)</f>
        <v>0</v>
      </c>
      <c r="D404">
        <f>IF(AND('幕间与结算'!J203="确认",ISNUMBER('幕间与结算'!K203),'幕间与结算'!L203&lt;&gt;"",ISNUMBER('幕间与结算'!M203),'幕间与结算'!M203&gt;0,'幕间与结算'!M203&lt;=99),'幕间与结算'!M203,0)</f>
        <v>0</v>
      </c>
      <c r="E404">
        <f>IF(AND(B404=1,COUNTIFS($A$210:A404,A404,$B$210:B404,1,'幕间与结算'!$E$9:E203,'幕间与结算'!E203)=1),195,999999)</f>
        <v>999999</v>
      </c>
      <c r="F404">
        <v>203</v>
      </c>
      <c r="AA404">
        <f>IF($A404=1,$E404,999999)</f>
        <v>999999</v>
      </c>
      <c r="AB404">
        <f>IF($A404=2,$E404,999999)</f>
        <v>999999</v>
      </c>
      <c r="AC404">
        <f>IF($A404=3,$E404,999999)</f>
        <v>999999</v>
      </c>
      <c r="AD404">
        <f>IF($A404=4,$E404,999999)</f>
        <v>999999</v>
      </c>
      <c r="AE404">
        <f>IF($A404=5,$E404,999999)</f>
        <v>999999</v>
      </c>
      <c r="AF404">
        <f>IF($A404=6,$E404,999999)</f>
        <v>999999</v>
      </c>
      <c r="AG404">
        <f>IF($A404=7,$E404,999999)</f>
        <v>999999</v>
      </c>
      <c r="AH404">
        <f>IF($A404=8,$E404,999999)</f>
        <v>999999</v>
      </c>
      <c r="AI404">
        <f>IF($A404=9,$E404,999999)</f>
        <v>999999</v>
      </c>
      <c r="AJ404">
        <f>IF($A404=10,$E404,999999)</f>
        <v>999999</v>
      </c>
      <c r="AK404">
        <f>IF($A404=11,$E404,999999)</f>
        <v>999999</v>
      </c>
      <c r="AL404">
        <f>IF($A404=12,$E404,999999)</f>
        <v>999999</v>
      </c>
      <c r="AM404">
        <f>IF($A404=13,$E404,999999)</f>
        <v>999999</v>
      </c>
      <c r="AN404">
        <f>IF($A404=14,$E404,999999)</f>
        <v>999999</v>
      </c>
      <c r="AO404">
        <f>IF($A404=15,$E404,999999)</f>
        <v>999999</v>
      </c>
      <c r="AP404">
        <f>IF($A404=16,$E404,999999)</f>
        <v>999999</v>
      </c>
      <c r="AQ404">
        <f>IF($A404=17,$E404,999999)</f>
        <v>999999</v>
      </c>
      <c r="AR404">
        <f>IF($A404=18,$E404,999999)</f>
        <v>999999</v>
      </c>
      <c r="AS404">
        <f>IF($A404=19,$E404,999999)</f>
        <v>999999</v>
      </c>
      <c r="AT404">
        <f>IF($A404=20,$E404,999999)</f>
        <v>999999</v>
      </c>
      <c r="BA404">
        <f>MAX(0,MIN(CEILING((BF404+BG404)/2,1),BA403+IF('幕间与结算'!E203="体力",N('幕间与结算'!K203),0)))</f>
        <v>0</v>
      </c>
      <c r="BB404">
        <f>MAX(0,MIN(BJ404,BB403+IF('幕间与结算'!E203="毅力",N('幕间与结算'!K203),0)))</f>
        <v>0</v>
      </c>
      <c r="BC404">
        <f>MAX(0,MIN(99-BL404,BC403+IF('幕间与结算'!E203="理智",N('幕间与结算'!K203),0)))</f>
        <v>0</v>
      </c>
      <c r="BD404">
        <f>MAX(0,MIN(99,BD403+IF('幕间与结算'!E203="崩溃点",N('幕间与结算'!K203),0)))</f>
        <v>0</v>
      </c>
      <c r="BF404">
        <f>MAX(0,MIN(18,'幕间计算'!BF403+IF('幕间与结算'!E203="力量",N('幕间与结算'!K203),0)))</f>
        <v>0</v>
      </c>
      <c r="BG404">
        <f>MAX(0,MIN(18,'幕间计算'!BG403+IF('幕间与结算'!E203="体质",N('幕间与结算'!K203),0)))</f>
        <v>0</v>
      </c>
      <c r="BH404">
        <f>MAX(0,MIN(18,'幕间计算'!BH403+IF('幕间与结算'!E203="敏捷",N('幕间与结算'!K203),0)))</f>
        <v>0</v>
      </c>
      <c r="BI404">
        <f>MAX(0,MIN(18,'幕间计算'!BI403+IF('幕间与结算'!E203="智力",N('幕间与结算'!K203),0)))</f>
        <v>0</v>
      </c>
      <c r="BJ404">
        <f>MAX(0,MIN(18,'幕间计算'!BJ403+IF('幕间与结算'!E203="意志",N('幕间与结算'!K203),0)))</f>
        <v>0</v>
      </c>
      <c r="BK404">
        <f>MAX(0,MIN(18,'幕间计算'!BK403+IF('幕间与结算'!E203="魅力",N('幕间与结算'!K203),0)))</f>
        <v>0</v>
      </c>
      <c r="BL404">
        <f>MAX(0,MIN(99,'幕间计算'!BL403+IF('幕间与结算'!E203="技能：非自然知识",N('幕间与结算'!K203),0)))</f>
        <v>0</v>
      </c>
    </row>
    <row r="405">
      <c r="A405">
        <f>IFERROR(IF(AND(VALUE('幕间与结算'!B204)&gt;=1,VALUE('幕间与结算'!B204)&lt;=20),VALUE('幕间与结算'!B204),0),0)</f>
        <v>0</v>
      </c>
      <c r="B405">
        <f>IF(AND(A405&gt;0,'幕间与结算'!D204&lt;&gt;"",'幕间与结算'!J204="确认",ISNUMBER('幕间与结算'!K204),OR('幕间与结算'!G204="失败",'幕间与结算'!G204="大失败"),'幕间与结算'!H204="√",LEFT('幕间与结算'!E204,3)="技能：",'幕间与结算'!E204&lt;&gt;"技能：非自然知识",ISNUMBER('幕间与结算'!F204),'幕间与结算'!F204&gt;=1,'幕间与结算'!F204&lt;=99),1,0)</f>
        <v>0</v>
      </c>
      <c r="D405">
        <f>IF(AND('幕间与结算'!J204="确认",ISNUMBER('幕间与结算'!K204),'幕间与结算'!L204&lt;&gt;"",ISNUMBER('幕间与结算'!M204),'幕间与结算'!M204&gt;0,'幕间与结算'!M204&lt;=99),'幕间与结算'!M204,0)</f>
        <v>0</v>
      </c>
      <c r="E405">
        <f>IF(AND(B405=1,COUNTIFS($A$210:A405,A405,$B$210:B405,1,'幕间与结算'!$E$9:E204,'幕间与结算'!E204)=1),196,999999)</f>
        <v>999999</v>
      </c>
      <c r="F405">
        <v>204</v>
      </c>
      <c r="AA405">
        <f>IF($A405=1,$E405,999999)</f>
        <v>999999</v>
      </c>
      <c r="AB405">
        <f>IF($A405=2,$E405,999999)</f>
        <v>999999</v>
      </c>
      <c r="AC405">
        <f>IF($A405=3,$E405,999999)</f>
        <v>999999</v>
      </c>
      <c r="AD405">
        <f>IF($A405=4,$E405,999999)</f>
        <v>999999</v>
      </c>
      <c r="AE405">
        <f>IF($A405=5,$E405,999999)</f>
        <v>999999</v>
      </c>
      <c r="AF405">
        <f>IF($A405=6,$E405,999999)</f>
        <v>999999</v>
      </c>
      <c r="AG405">
        <f>IF($A405=7,$E405,999999)</f>
        <v>999999</v>
      </c>
      <c r="AH405">
        <f>IF($A405=8,$E405,999999)</f>
        <v>999999</v>
      </c>
      <c r="AI405">
        <f>IF($A405=9,$E405,999999)</f>
        <v>999999</v>
      </c>
      <c r="AJ405">
        <f>IF($A405=10,$E405,999999)</f>
        <v>999999</v>
      </c>
      <c r="AK405">
        <f>IF($A405=11,$E405,999999)</f>
        <v>999999</v>
      </c>
      <c r="AL405">
        <f>IF($A405=12,$E405,999999)</f>
        <v>999999</v>
      </c>
      <c r="AM405">
        <f>IF($A405=13,$E405,999999)</f>
        <v>999999</v>
      </c>
      <c r="AN405">
        <f>IF($A405=14,$E405,999999)</f>
        <v>999999</v>
      </c>
      <c r="AO405">
        <f>IF($A405=15,$E405,999999)</f>
        <v>999999</v>
      </c>
      <c r="AP405">
        <f>IF($A405=16,$E405,999999)</f>
        <v>999999</v>
      </c>
      <c r="AQ405">
        <f>IF($A405=17,$E405,999999)</f>
        <v>999999</v>
      </c>
      <c r="AR405">
        <f>IF($A405=18,$E405,999999)</f>
        <v>999999</v>
      </c>
      <c r="AS405">
        <f>IF($A405=19,$E405,999999)</f>
        <v>999999</v>
      </c>
      <c r="AT405">
        <f>IF($A405=20,$E405,999999)</f>
        <v>999999</v>
      </c>
      <c r="BA405">
        <f>MAX(0,MIN(CEILING((BF405+BG405)/2,1),BA404+IF('幕间与结算'!E204="体力",N('幕间与结算'!K204),0)))</f>
        <v>0</v>
      </c>
      <c r="BB405">
        <f>MAX(0,MIN(BJ405,BB404+IF('幕间与结算'!E204="毅力",N('幕间与结算'!K204),0)))</f>
        <v>0</v>
      </c>
      <c r="BC405">
        <f>MAX(0,MIN(99-BL405,BC404+IF('幕间与结算'!E204="理智",N('幕间与结算'!K204),0)))</f>
        <v>0</v>
      </c>
      <c r="BD405">
        <f>MAX(0,MIN(99,BD404+IF('幕间与结算'!E204="崩溃点",N('幕间与结算'!K204),0)))</f>
        <v>0</v>
      </c>
      <c r="BF405">
        <f>MAX(0,MIN(18,'幕间计算'!BF404+IF('幕间与结算'!E204="力量",N('幕间与结算'!K204),0)))</f>
        <v>0</v>
      </c>
      <c r="BG405">
        <f>MAX(0,MIN(18,'幕间计算'!BG404+IF('幕间与结算'!E204="体质",N('幕间与结算'!K204),0)))</f>
        <v>0</v>
      </c>
      <c r="BH405">
        <f>MAX(0,MIN(18,'幕间计算'!BH404+IF('幕间与结算'!E204="敏捷",N('幕间与结算'!K204),0)))</f>
        <v>0</v>
      </c>
      <c r="BI405">
        <f>MAX(0,MIN(18,'幕间计算'!BI404+IF('幕间与结算'!E204="智力",N('幕间与结算'!K204),0)))</f>
        <v>0</v>
      </c>
      <c r="BJ405">
        <f>MAX(0,MIN(18,'幕间计算'!BJ404+IF('幕间与结算'!E204="意志",N('幕间与结算'!K204),0)))</f>
        <v>0</v>
      </c>
      <c r="BK405">
        <f>MAX(0,MIN(18,'幕间计算'!BK404+IF('幕间与结算'!E204="魅力",N('幕间与结算'!K204),0)))</f>
        <v>0</v>
      </c>
      <c r="BL405">
        <f>MAX(0,MIN(99,'幕间计算'!BL404+IF('幕间与结算'!E204="技能：非自然知识",N('幕间与结算'!K204),0)))</f>
        <v>0</v>
      </c>
    </row>
    <row r="406">
      <c r="A406">
        <f>IFERROR(IF(AND(VALUE('幕间与结算'!B205)&gt;=1,VALUE('幕间与结算'!B205)&lt;=20),VALUE('幕间与结算'!B205),0),0)</f>
        <v>0</v>
      </c>
      <c r="B406">
        <f>IF(AND(A406&gt;0,'幕间与结算'!D205&lt;&gt;"",'幕间与结算'!J205="确认",ISNUMBER('幕间与结算'!K205),OR('幕间与结算'!G205="失败",'幕间与结算'!G205="大失败"),'幕间与结算'!H205="√",LEFT('幕间与结算'!E205,3)="技能：",'幕间与结算'!E205&lt;&gt;"技能：非自然知识",ISNUMBER('幕间与结算'!F205),'幕间与结算'!F205&gt;=1,'幕间与结算'!F205&lt;=99),1,0)</f>
        <v>0</v>
      </c>
      <c r="D406">
        <f>IF(AND('幕间与结算'!J205="确认",ISNUMBER('幕间与结算'!K205),'幕间与结算'!L205&lt;&gt;"",ISNUMBER('幕间与结算'!M205),'幕间与结算'!M205&gt;0,'幕间与结算'!M205&lt;=99),'幕间与结算'!M205,0)</f>
        <v>0</v>
      </c>
      <c r="E406">
        <f>IF(AND(B406=1,COUNTIFS($A$210:A406,A406,$B$210:B406,1,'幕间与结算'!$E$9:E205,'幕间与结算'!E205)=1),197,999999)</f>
        <v>999999</v>
      </c>
      <c r="F406">
        <v>205</v>
      </c>
      <c r="AA406">
        <f>IF($A406=1,$E406,999999)</f>
        <v>999999</v>
      </c>
      <c r="AB406">
        <f>IF($A406=2,$E406,999999)</f>
        <v>999999</v>
      </c>
      <c r="AC406">
        <f>IF($A406=3,$E406,999999)</f>
        <v>999999</v>
      </c>
      <c r="AD406">
        <f>IF($A406=4,$E406,999999)</f>
        <v>999999</v>
      </c>
      <c r="AE406">
        <f>IF($A406=5,$E406,999999)</f>
        <v>999999</v>
      </c>
      <c r="AF406">
        <f>IF($A406=6,$E406,999999)</f>
        <v>999999</v>
      </c>
      <c r="AG406">
        <f>IF($A406=7,$E406,999999)</f>
        <v>999999</v>
      </c>
      <c r="AH406">
        <f>IF($A406=8,$E406,999999)</f>
        <v>999999</v>
      </c>
      <c r="AI406">
        <f>IF($A406=9,$E406,999999)</f>
        <v>999999</v>
      </c>
      <c r="AJ406">
        <f>IF($A406=10,$E406,999999)</f>
        <v>999999</v>
      </c>
      <c r="AK406">
        <f>IF($A406=11,$E406,999999)</f>
        <v>999999</v>
      </c>
      <c r="AL406">
        <f>IF($A406=12,$E406,999999)</f>
        <v>999999</v>
      </c>
      <c r="AM406">
        <f>IF($A406=13,$E406,999999)</f>
        <v>999999</v>
      </c>
      <c r="AN406">
        <f>IF($A406=14,$E406,999999)</f>
        <v>999999</v>
      </c>
      <c r="AO406">
        <f>IF($A406=15,$E406,999999)</f>
        <v>999999</v>
      </c>
      <c r="AP406">
        <f>IF($A406=16,$E406,999999)</f>
        <v>999999</v>
      </c>
      <c r="AQ406">
        <f>IF($A406=17,$E406,999999)</f>
        <v>999999</v>
      </c>
      <c r="AR406">
        <f>IF($A406=18,$E406,999999)</f>
        <v>999999</v>
      </c>
      <c r="AS406">
        <f>IF($A406=19,$E406,999999)</f>
        <v>999999</v>
      </c>
      <c r="AT406">
        <f>IF($A406=20,$E406,999999)</f>
        <v>999999</v>
      </c>
      <c r="BA406">
        <f>MAX(0,MIN(CEILING((BF406+BG406)/2,1),BA405+IF('幕间与结算'!E205="体力",N('幕间与结算'!K205),0)))</f>
        <v>0</v>
      </c>
      <c r="BB406">
        <f>MAX(0,MIN(BJ406,BB405+IF('幕间与结算'!E205="毅力",N('幕间与结算'!K205),0)))</f>
        <v>0</v>
      </c>
      <c r="BC406">
        <f>MAX(0,MIN(99-BL406,BC405+IF('幕间与结算'!E205="理智",N('幕间与结算'!K205),0)))</f>
        <v>0</v>
      </c>
      <c r="BD406">
        <f>MAX(0,MIN(99,BD405+IF('幕间与结算'!E205="崩溃点",N('幕间与结算'!K205),0)))</f>
        <v>0</v>
      </c>
      <c r="BF406">
        <f>MAX(0,MIN(18,'幕间计算'!BF405+IF('幕间与结算'!E205="力量",N('幕间与结算'!K205),0)))</f>
        <v>0</v>
      </c>
      <c r="BG406">
        <f>MAX(0,MIN(18,'幕间计算'!BG405+IF('幕间与结算'!E205="体质",N('幕间与结算'!K205),0)))</f>
        <v>0</v>
      </c>
      <c r="BH406">
        <f>MAX(0,MIN(18,'幕间计算'!BH405+IF('幕间与结算'!E205="敏捷",N('幕间与结算'!K205),0)))</f>
        <v>0</v>
      </c>
      <c r="BI406">
        <f>MAX(0,MIN(18,'幕间计算'!BI405+IF('幕间与结算'!E205="智力",N('幕间与结算'!K205),0)))</f>
        <v>0</v>
      </c>
      <c r="BJ406">
        <f>MAX(0,MIN(18,'幕间计算'!BJ405+IF('幕间与结算'!E205="意志",N('幕间与结算'!K205),0)))</f>
        <v>0</v>
      </c>
      <c r="BK406">
        <f>MAX(0,MIN(18,'幕间计算'!BK405+IF('幕间与结算'!E205="魅力",N('幕间与结算'!K205),0)))</f>
        <v>0</v>
      </c>
      <c r="BL406">
        <f>MAX(0,MIN(99,'幕间计算'!BL405+IF('幕间与结算'!E205="技能：非自然知识",N('幕间与结算'!K205),0)))</f>
        <v>0</v>
      </c>
    </row>
    <row r="407">
      <c r="A407">
        <f>IFERROR(IF(AND(VALUE('幕间与结算'!B206)&gt;=1,VALUE('幕间与结算'!B206)&lt;=20),VALUE('幕间与结算'!B206),0),0)</f>
        <v>0</v>
      </c>
      <c r="B407">
        <f>IF(AND(A407&gt;0,'幕间与结算'!D206&lt;&gt;"",'幕间与结算'!J206="确认",ISNUMBER('幕间与结算'!K206),OR('幕间与结算'!G206="失败",'幕间与结算'!G206="大失败"),'幕间与结算'!H206="√",LEFT('幕间与结算'!E206,3)="技能：",'幕间与结算'!E206&lt;&gt;"技能：非自然知识",ISNUMBER('幕间与结算'!F206),'幕间与结算'!F206&gt;=1,'幕间与结算'!F206&lt;=99),1,0)</f>
        <v>0</v>
      </c>
      <c r="D407">
        <f>IF(AND('幕间与结算'!J206="确认",ISNUMBER('幕间与结算'!K206),'幕间与结算'!L206&lt;&gt;"",ISNUMBER('幕间与结算'!M206),'幕间与结算'!M206&gt;0,'幕间与结算'!M206&lt;=99),'幕间与结算'!M206,0)</f>
        <v>0</v>
      </c>
      <c r="E407">
        <f>IF(AND(B407=1,COUNTIFS($A$210:A407,A407,$B$210:B407,1,'幕间与结算'!$E$9:E206,'幕间与结算'!E206)=1),198,999999)</f>
        <v>999999</v>
      </c>
      <c r="F407">
        <v>206</v>
      </c>
      <c r="AA407">
        <f>IF($A407=1,$E407,999999)</f>
        <v>999999</v>
      </c>
      <c r="AB407">
        <f>IF($A407=2,$E407,999999)</f>
        <v>999999</v>
      </c>
      <c r="AC407">
        <f>IF($A407=3,$E407,999999)</f>
        <v>999999</v>
      </c>
      <c r="AD407">
        <f>IF($A407=4,$E407,999999)</f>
        <v>999999</v>
      </c>
      <c r="AE407">
        <f>IF($A407=5,$E407,999999)</f>
        <v>999999</v>
      </c>
      <c r="AF407">
        <f>IF($A407=6,$E407,999999)</f>
        <v>999999</v>
      </c>
      <c r="AG407">
        <f>IF($A407=7,$E407,999999)</f>
        <v>999999</v>
      </c>
      <c r="AH407">
        <f>IF($A407=8,$E407,999999)</f>
        <v>999999</v>
      </c>
      <c r="AI407">
        <f>IF($A407=9,$E407,999999)</f>
        <v>999999</v>
      </c>
      <c r="AJ407">
        <f>IF($A407=10,$E407,999999)</f>
        <v>999999</v>
      </c>
      <c r="AK407">
        <f>IF($A407=11,$E407,999999)</f>
        <v>999999</v>
      </c>
      <c r="AL407">
        <f>IF($A407=12,$E407,999999)</f>
        <v>999999</v>
      </c>
      <c r="AM407">
        <f>IF($A407=13,$E407,999999)</f>
        <v>999999</v>
      </c>
      <c r="AN407">
        <f>IF($A407=14,$E407,999999)</f>
        <v>999999</v>
      </c>
      <c r="AO407">
        <f>IF($A407=15,$E407,999999)</f>
        <v>999999</v>
      </c>
      <c r="AP407">
        <f>IF($A407=16,$E407,999999)</f>
        <v>999999</v>
      </c>
      <c r="AQ407">
        <f>IF($A407=17,$E407,999999)</f>
        <v>999999</v>
      </c>
      <c r="AR407">
        <f>IF($A407=18,$E407,999999)</f>
        <v>999999</v>
      </c>
      <c r="AS407">
        <f>IF($A407=19,$E407,999999)</f>
        <v>999999</v>
      </c>
      <c r="AT407">
        <f>IF($A407=20,$E407,999999)</f>
        <v>999999</v>
      </c>
      <c r="BA407">
        <f>MAX(0,MIN(CEILING((BF407+BG407)/2,1),BA406+IF('幕间与结算'!E206="体力",N('幕间与结算'!K206),0)))</f>
        <v>0</v>
      </c>
      <c r="BB407">
        <f>MAX(0,MIN(BJ407,BB406+IF('幕间与结算'!E206="毅力",N('幕间与结算'!K206),0)))</f>
        <v>0</v>
      </c>
      <c r="BC407">
        <f>MAX(0,MIN(99-BL407,BC406+IF('幕间与结算'!E206="理智",N('幕间与结算'!K206),0)))</f>
        <v>0</v>
      </c>
      <c r="BD407">
        <f>MAX(0,MIN(99,BD406+IF('幕间与结算'!E206="崩溃点",N('幕间与结算'!K206),0)))</f>
        <v>0</v>
      </c>
      <c r="BF407">
        <f>MAX(0,MIN(18,'幕间计算'!BF406+IF('幕间与结算'!E206="力量",N('幕间与结算'!K206),0)))</f>
        <v>0</v>
      </c>
      <c r="BG407">
        <f>MAX(0,MIN(18,'幕间计算'!BG406+IF('幕间与结算'!E206="体质",N('幕间与结算'!K206),0)))</f>
        <v>0</v>
      </c>
      <c r="BH407">
        <f>MAX(0,MIN(18,'幕间计算'!BH406+IF('幕间与结算'!E206="敏捷",N('幕间与结算'!K206),0)))</f>
        <v>0</v>
      </c>
      <c r="BI407">
        <f>MAX(0,MIN(18,'幕间计算'!BI406+IF('幕间与结算'!E206="智力",N('幕间与结算'!K206),0)))</f>
        <v>0</v>
      </c>
      <c r="BJ407">
        <f>MAX(0,MIN(18,'幕间计算'!BJ406+IF('幕间与结算'!E206="意志",N('幕间与结算'!K206),0)))</f>
        <v>0</v>
      </c>
      <c r="BK407">
        <f>MAX(0,MIN(18,'幕间计算'!BK406+IF('幕间与结算'!E206="魅力",N('幕间与结算'!K206),0)))</f>
        <v>0</v>
      </c>
      <c r="BL407">
        <f>MAX(0,MIN(99,'幕间计算'!BL406+IF('幕间与结算'!E206="技能：非自然知识",N('幕间与结算'!K206),0)))</f>
        <v>0</v>
      </c>
    </row>
    <row r="408">
      <c r="A408">
        <f>IFERROR(IF(AND(VALUE('幕间与结算'!B207)&gt;=1,VALUE('幕间与结算'!B207)&lt;=20),VALUE('幕间与结算'!B207),0),0)</f>
        <v>0</v>
      </c>
      <c r="B408">
        <f>IF(AND(A408&gt;0,'幕间与结算'!D207&lt;&gt;"",'幕间与结算'!J207="确认",ISNUMBER('幕间与结算'!K207),OR('幕间与结算'!G207="失败",'幕间与结算'!G207="大失败"),'幕间与结算'!H207="√",LEFT('幕间与结算'!E207,3)="技能：",'幕间与结算'!E207&lt;&gt;"技能：非自然知识",ISNUMBER('幕间与结算'!F207),'幕间与结算'!F207&gt;=1,'幕间与结算'!F207&lt;=99),1,0)</f>
        <v>0</v>
      </c>
      <c r="D408">
        <f>IF(AND('幕间与结算'!J207="确认",ISNUMBER('幕间与结算'!K207),'幕间与结算'!L207&lt;&gt;"",ISNUMBER('幕间与结算'!M207),'幕间与结算'!M207&gt;0,'幕间与结算'!M207&lt;=99),'幕间与结算'!M207,0)</f>
        <v>0</v>
      </c>
      <c r="E408">
        <f>IF(AND(B408=1,COUNTIFS($A$210:A408,A408,$B$210:B408,1,'幕间与结算'!$E$9:E207,'幕间与结算'!E207)=1),199,999999)</f>
        <v>999999</v>
      </c>
      <c r="F408">
        <v>207</v>
      </c>
      <c r="AA408">
        <f>IF($A408=1,$E408,999999)</f>
        <v>999999</v>
      </c>
      <c r="AB408">
        <f>IF($A408=2,$E408,999999)</f>
        <v>999999</v>
      </c>
      <c r="AC408">
        <f>IF($A408=3,$E408,999999)</f>
        <v>999999</v>
      </c>
      <c r="AD408">
        <f>IF($A408=4,$E408,999999)</f>
        <v>999999</v>
      </c>
      <c r="AE408">
        <f>IF($A408=5,$E408,999999)</f>
        <v>999999</v>
      </c>
      <c r="AF408">
        <f>IF($A408=6,$E408,999999)</f>
        <v>999999</v>
      </c>
      <c r="AG408">
        <f>IF($A408=7,$E408,999999)</f>
        <v>999999</v>
      </c>
      <c r="AH408">
        <f>IF($A408=8,$E408,999999)</f>
        <v>999999</v>
      </c>
      <c r="AI408">
        <f>IF($A408=9,$E408,999999)</f>
        <v>999999</v>
      </c>
      <c r="AJ408">
        <f>IF($A408=10,$E408,999999)</f>
        <v>999999</v>
      </c>
      <c r="AK408">
        <f>IF($A408=11,$E408,999999)</f>
        <v>999999</v>
      </c>
      <c r="AL408">
        <f>IF($A408=12,$E408,999999)</f>
        <v>999999</v>
      </c>
      <c r="AM408">
        <f>IF($A408=13,$E408,999999)</f>
        <v>999999</v>
      </c>
      <c r="AN408">
        <f>IF($A408=14,$E408,999999)</f>
        <v>999999</v>
      </c>
      <c r="AO408">
        <f>IF($A408=15,$E408,999999)</f>
        <v>999999</v>
      </c>
      <c r="AP408">
        <f>IF($A408=16,$E408,999999)</f>
        <v>999999</v>
      </c>
      <c r="AQ408">
        <f>IF($A408=17,$E408,999999)</f>
        <v>999999</v>
      </c>
      <c r="AR408">
        <f>IF($A408=18,$E408,999999)</f>
        <v>999999</v>
      </c>
      <c r="AS408">
        <f>IF($A408=19,$E408,999999)</f>
        <v>999999</v>
      </c>
      <c r="AT408">
        <f>IF($A408=20,$E408,999999)</f>
        <v>999999</v>
      </c>
      <c r="BA408">
        <f>MAX(0,MIN(CEILING((BF408+BG408)/2,1),BA407+IF('幕间与结算'!E207="体力",N('幕间与结算'!K207),0)))</f>
        <v>0</v>
      </c>
      <c r="BB408">
        <f>MAX(0,MIN(BJ408,BB407+IF('幕间与结算'!E207="毅力",N('幕间与结算'!K207),0)))</f>
        <v>0</v>
      </c>
      <c r="BC408">
        <f>MAX(0,MIN(99-BL408,BC407+IF('幕间与结算'!E207="理智",N('幕间与结算'!K207),0)))</f>
        <v>0</v>
      </c>
      <c r="BD408">
        <f>MAX(0,MIN(99,BD407+IF('幕间与结算'!E207="崩溃点",N('幕间与结算'!K207),0)))</f>
        <v>0</v>
      </c>
      <c r="BF408">
        <f>MAX(0,MIN(18,'幕间计算'!BF407+IF('幕间与结算'!E207="力量",N('幕间与结算'!K207),0)))</f>
        <v>0</v>
      </c>
      <c r="BG408">
        <f>MAX(0,MIN(18,'幕间计算'!BG407+IF('幕间与结算'!E207="体质",N('幕间与结算'!K207),0)))</f>
        <v>0</v>
      </c>
      <c r="BH408">
        <f>MAX(0,MIN(18,'幕间计算'!BH407+IF('幕间与结算'!E207="敏捷",N('幕间与结算'!K207),0)))</f>
        <v>0</v>
      </c>
      <c r="BI408">
        <f>MAX(0,MIN(18,'幕间计算'!BI407+IF('幕间与结算'!E207="智力",N('幕间与结算'!K207),0)))</f>
        <v>0</v>
      </c>
      <c r="BJ408">
        <f>MAX(0,MIN(18,'幕间计算'!BJ407+IF('幕间与结算'!E207="意志",N('幕间与结算'!K207),0)))</f>
        <v>0</v>
      </c>
      <c r="BK408">
        <f>MAX(0,MIN(18,'幕间计算'!BK407+IF('幕间与结算'!E207="魅力",N('幕间与结算'!K207),0)))</f>
        <v>0</v>
      </c>
      <c r="BL408">
        <f>MAX(0,MIN(99,'幕间计算'!BL407+IF('幕间与结算'!E207="技能：非自然知识",N('幕间与结算'!K207),0)))</f>
        <v>0</v>
      </c>
    </row>
    <row r="409">
      <c r="A409">
        <f>IFERROR(IF(AND(VALUE('幕间与结算'!B208)&gt;=1,VALUE('幕间与结算'!B208)&lt;=20),VALUE('幕间与结算'!B208),0),0)</f>
        <v>0</v>
      </c>
      <c r="B409">
        <f>IF(AND(A409&gt;0,'幕间与结算'!D208&lt;&gt;"",'幕间与结算'!J208="确认",ISNUMBER('幕间与结算'!K208),OR('幕间与结算'!G208="失败",'幕间与结算'!G208="大失败"),'幕间与结算'!H208="√",LEFT('幕间与结算'!E208,3)="技能：",'幕间与结算'!E208&lt;&gt;"技能：非自然知识",ISNUMBER('幕间与结算'!F208),'幕间与结算'!F208&gt;=1,'幕间与结算'!F208&lt;=99),1,0)</f>
        <v>0</v>
      </c>
      <c r="D409">
        <f>IF(AND('幕间与结算'!J208="确认",ISNUMBER('幕间与结算'!K208),'幕间与结算'!L208&lt;&gt;"",ISNUMBER('幕间与结算'!M208),'幕间与结算'!M208&gt;0,'幕间与结算'!M208&lt;=99),'幕间与结算'!M208,0)</f>
        <v>0</v>
      </c>
      <c r="E409">
        <f>IF(AND(B409=1,COUNTIFS($A$210:A409,A409,$B$210:B409,1,'幕间与结算'!$E$9:E208,'幕间与结算'!E208)=1),200,999999)</f>
        <v>999999</v>
      </c>
      <c r="F409">
        <v>208</v>
      </c>
      <c r="AA409">
        <f>IF($A409=1,$E409,999999)</f>
        <v>999999</v>
      </c>
      <c r="AB409">
        <f>IF($A409=2,$E409,999999)</f>
        <v>999999</v>
      </c>
      <c r="AC409">
        <f>IF($A409=3,$E409,999999)</f>
        <v>999999</v>
      </c>
      <c r="AD409">
        <f>IF($A409=4,$E409,999999)</f>
        <v>999999</v>
      </c>
      <c r="AE409">
        <f>IF($A409=5,$E409,999999)</f>
        <v>999999</v>
      </c>
      <c r="AF409">
        <f>IF($A409=6,$E409,999999)</f>
        <v>999999</v>
      </c>
      <c r="AG409">
        <f>IF($A409=7,$E409,999999)</f>
        <v>999999</v>
      </c>
      <c r="AH409">
        <f>IF($A409=8,$E409,999999)</f>
        <v>999999</v>
      </c>
      <c r="AI409">
        <f>IF($A409=9,$E409,999999)</f>
        <v>999999</v>
      </c>
      <c r="AJ409">
        <f>IF($A409=10,$E409,999999)</f>
        <v>999999</v>
      </c>
      <c r="AK409">
        <f>IF($A409=11,$E409,999999)</f>
        <v>999999</v>
      </c>
      <c r="AL409">
        <f>IF($A409=12,$E409,999999)</f>
        <v>999999</v>
      </c>
      <c r="AM409">
        <f>IF($A409=13,$E409,999999)</f>
        <v>999999</v>
      </c>
      <c r="AN409">
        <f>IF($A409=14,$E409,999999)</f>
        <v>999999</v>
      </c>
      <c r="AO409">
        <f>IF($A409=15,$E409,999999)</f>
        <v>999999</v>
      </c>
      <c r="AP409">
        <f>IF($A409=16,$E409,999999)</f>
        <v>999999</v>
      </c>
      <c r="AQ409">
        <f>IF($A409=17,$E409,999999)</f>
        <v>999999</v>
      </c>
      <c r="AR409">
        <f>IF($A409=18,$E409,999999)</f>
        <v>999999</v>
      </c>
      <c r="AS409">
        <f>IF($A409=19,$E409,999999)</f>
        <v>999999</v>
      </c>
      <c r="AT409">
        <f>IF($A409=20,$E409,999999)</f>
        <v>999999</v>
      </c>
      <c r="BA409">
        <f>MAX(0,MIN(CEILING((BF409+BG409)/2,1),BA408+IF('幕间与结算'!E208="体力",N('幕间与结算'!K208),0)))</f>
        <v>0</v>
      </c>
      <c r="BB409">
        <f>MAX(0,MIN(BJ409,BB408+IF('幕间与结算'!E208="毅力",N('幕间与结算'!K208),0)))</f>
        <v>0</v>
      </c>
      <c r="BC409">
        <f>MAX(0,MIN(99-BL409,BC408+IF('幕间与结算'!E208="理智",N('幕间与结算'!K208),0)))</f>
        <v>0</v>
      </c>
      <c r="BD409">
        <f>MAX(0,MIN(99,BD408+IF('幕间与结算'!E208="崩溃点",N('幕间与结算'!K208),0)))</f>
        <v>0</v>
      </c>
      <c r="BF409">
        <f>MAX(0,MIN(18,'幕间计算'!BF408+IF('幕间与结算'!E208="力量",N('幕间与结算'!K208),0)))</f>
        <v>0</v>
      </c>
      <c r="BG409">
        <f>MAX(0,MIN(18,'幕间计算'!BG408+IF('幕间与结算'!E208="体质",N('幕间与结算'!K208),0)))</f>
        <v>0</v>
      </c>
      <c r="BH409">
        <f>MAX(0,MIN(18,'幕间计算'!BH408+IF('幕间与结算'!E208="敏捷",N('幕间与结算'!K208),0)))</f>
        <v>0</v>
      </c>
      <c r="BI409">
        <f>MAX(0,MIN(18,'幕间计算'!BI408+IF('幕间与结算'!E208="智力",N('幕间与结算'!K208),0)))</f>
        <v>0</v>
      </c>
      <c r="BJ409">
        <f>MAX(0,MIN(18,'幕间计算'!BJ408+IF('幕间与结算'!E208="意志",N('幕间与结算'!K208),0)))</f>
        <v>0</v>
      </c>
      <c r="BK409">
        <f>MAX(0,MIN(18,'幕间计算'!BK408+IF('幕间与结算'!E208="魅力",N('幕间与结算'!K208),0)))</f>
        <v>0</v>
      </c>
      <c r="BL409">
        <f>MAX(0,MIN(99,'幕间计算'!BL408+IF('幕间与结算'!E208="技能：非自然知识",N('幕间与结算'!K208),0)))</f>
        <v>0</v>
      </c>
    </row>
    <row r="500">
      <c r="A500">
        <f>IFERROR(IF(AND(VALUE('幕间与结算'!B215)&gt;=1,VALUE('幕间与结算'!B215)&lt;=20),VALUE('幕间与结算'!B215),0),0)</f>
        <v>0</v>
      </c>
      <c r="B500">
        <f>IF(AND(A500&gt;0,'幕间与结算'!C215&lt;&gt;"",'幕间与结算'!D215&gt;0,ISNUMBER('幕间与结算'!E215),'幕间与结算'!E215&gt;=1,'幕间与结算'!E215&lt;=4,MOD('幕间与结算'!E215,1)=0,ISNUMBER('幕间与结算'!I215),'幕间与结算'!I215&gt;=0,'幕间与结算'!I215&lt;=99,MOD('幕间与结算'!I215,1)=0,'幕间与结算'!F215="确认"),1,0)</f>
        <v>0</v>
      </c>
      <c r="C500">
        <f>IF(AND(B500=1,COUNTIFS($A$500:A500,A500,$B$500:B500,1,'幕间与结算'!$C$215:C215,'幕间与结算'!C215)=1),1,0)</f>
        <v>0</v>
      </c>
    </row>
    <row r="501">
      <c r="A501">
        <f>IFERROR(IF(AND(VALUE('幕间与结算'!B216)&gt;=1,VALUE('幕间与结算'!B216)&lt;=20),VALUE('幕间与结算'!B216),0),0)</f>
        <v>0</v>
      </c>
      <c r="B501">
        <f>IF(AND(A501&gt;0,'幕间与结算'!C216&lt;&gt;"",'幕间与结算'!D216&gt;0,ISNUMBER('幕间与结算'!E216),'幕间与结算'!E216&gt;=1,'幕间与结算'!E216&lt;=4,MOD('幕间与结算'!E216,1)=0,ISNUMBER('幕间与结算'!I216),'幕间与结算'!I216&gt;=0,'幕间与结算'!I216&lt;=99,MOD('幕间与结算'!I216,1)=0,'幕间与结算'!F216="确认"),1,0)</f>
        <v>0</v>
      </c>
      <c r="C501">
        <f>IF(AND(B501=1,COUNTIFS($A$500:A501,A501,$B$500:B501,1,'幕间与结算'!$C$215:C216,'幕间与结算'!C216)=1),1,0)</f>
        <v>0</v>
      </c>
    </row>
    <row r="502">
      <c r="A502">
        <f>IFERROR(IF(AND(VALUE('幕间与结算'!B217)&gt;=1,VALUE('幕间与结算'!B217)&lt;=20),VALUE('幕间与结算'!B217),0),0)</f>
        <v>0</v>
      </c>
      <c r="B502">
        <f>IF(AND(A502&gt;0,'幕间与结算'!C217&lt;&gt;"",'幕间与结算'!D217&gt;0,ISNUMBER('幕间与结算'!E217),'幕间与结算'!E217&gt;=1,'幕间与结算'!E217&lt;=4,MOD('幕间与结算'!E217,1)=0,ISNUMBER('幕间与结算'!I217),'幕间与结算'!I217&gt;=0,'幕间与结算'!I217&lt;=99,MOD('幕间与结算'!I217,1)=0,'幕间与结算'!F217="确认"),1,0)</f>
        <v>0</v>
      </c>
      <c r="C502">
        <f>IF(AND(B502=1,COUNTIFS($A$500:A502,A502,$B$500:B502,1,'幕间与结算'!$C$215:C217,'幕间与结算'!C217)=1),1,0)</f>
        <v>0</v>
      </c>
    </row>
    <row r="503">
      <c r="A503">
        <f>IFERROR(IF(AND(VALUE('幕间与结算'!B218)&gt;=1,VALUE('幕间与结算'!B218)&lt;=20),VALUE('幕间与结算'!B218),0),0)</f>
        <v>0</v>
      </c>
      <c r="B503">
        <f>IF(AND(A503&gt;0,'幕间与结算'!C218&lt;&gt;"",'幕间与结算'!D218&gt;0,ISNUMBER('幕间与结算'!E218),'幕间与结算'!E218&gt;=1,'幕间与结算'!E218&lt;=4,MOD('幕间与结算'!E218,1)=0,ISNUMBER('幕间与结算'!I218),'幕间与结算'!I218&gt;=0,'幕间与结算'!I218&lt;=99,MOD('幕间与结算'!I218,1)=0,'幕间与结算'!F218="确认"),1,0)</f>
        <v>0</v>
      </c>
      <c r="C503">
        <f>IF(AND(B503=1,COUNTIFS($A$500:A503,A503,$B$500:B503,1,'幕间与结算'!$C$215:C218,'幕间与结算'!C218)=1),1,0)</f>
        <v>0</v>
      </c>
    </row>
    <row r="504">
      <c r="A504">
        <f>IFERROR(IF(AND(VALUE('幕间与结算'!B219)&gt;=1,VALUE('幕间与结算'!B219)&lt;=20),VALUE('幕间与结算'!B219),0),0)</f>
        <v>0</v>
      </c>
      <c r="B504">
        <f>IF(AND(A504&gt;0,'幕间与结算'!C219&lt;&gt;"",'幕间与结算'!D219&gt;0,ISNUMBER('幕间与结算'!E219),'幕间与结算'!E219&gt;=1,'幕间与结算'!E219&lt;=4,MOD('幕间与结算'!E219,1)=0,ISNUMBER('幕间与结算'!I219),'幕间与结算'!I219&gt;=0,'幕间与结算'!I219&lt;=99,MOD('幕间与结算'!I219,1)=0,'幕间与结算'!F219="确认"),1,0)</f>
        <v>0</v>
      </c>
      <c r="C504">
        <f>IF(AND(B504=1,COUNTIFS($A$500:A504,A504,$B$500:B504,1,'幕间与结算'!$C$215:C219,'幕间与结算'!C219)=1),1,0)</f>
        <v>0</v>
      </c>
    </row>
    <row r="505">
      <c r="A505">
        <f>IFERROR(IF(AND(VALUE('幕间与结算'!B220)&gt;=1,VALUE('幕间与结算'!B220)&lt;=20),VALUE('幕间与结算'!B220),0),0)</f>
        <v>0</v>
      </c>
      <c r="B505">
        <f>IF(AND(A505&gt;0,'幕间与结算'!C220&lt;&gt;"",'幕间与结算'!D220&gt;0,ISNUMBER('幕间与结算'!E220),'幕间与结算'!E220&gt;=1,'幕间与结算'!E220&lt;=4,MOD('幕间与结算'!E220,1)=0,ISNUMBER('幕间与结算'!I220),'幕间与结算'!I220&gt;=0,'幕间与结算'!I220&lt;=99,MOD('幕间与结算'!I220,1)=0,'幕间与结算'!F220="确认"),1,0)</f>
        <v>0</v>
      </c>
      <c r="C505">
        <f>IF(AND(B505=1,COUNTIFS($A$500:A505,A505,$B$500:B505,1,'幕间与结算'!$C$215:C220,'幕间与结算'!C220)=1),1,0)</f>
        <v>0</v>
      </c>
    </row>
    <row r="506">
      <c r="A506">
        <f>IFERROR(IF(AND(VALUE('幕间与结算'!B221)&gt;=1,VALUE('幕间与结算'!B221)&lt;=20),VALUE('幕间与结算'!B221),0),0)</f>
        <v>0</v>
      </c>
      <c r="B506">
        <f>IF(AND(A506&gt;0,'幕间与结算'!C221&lt;&gt;"",'幕间与结算'!D221&gt;0,ISNUMBER('幕间与结算'!E221),'幕间与结算'!E221&gt;=1,'幕间与结算'!E221&lt;=4,MOD('幕间与结算'!E221,1)=0,ISNUMBER('幕间与结算'!I221),'幕间与结算'!I221&gt;=0,'幕间与结算'!I221&lt;=99,MOD('幕间与结算'!I221,1)=0,'幕间与结算'!F221="确认"),1,0)</f>
        <v>0</v>
      </c>
      <c r="C506">
        <f>IF(AND(B506=1,COUNTIFS($A$500:A506,A506,$B$500:B506,1,'幕间与结算'!$C$215:C221,'幕间与结算'!C221)=1),1,0)</f>
        <v>0</v>
      </c>
    </row>
    <row r="507">
      <c r="A507">
        <f>IFERROR(IF(AND(VALUE('幕间与结算'!B222)&gt;=1,VALUE('幕间与结算'!B222)&lt;=20),VALUE('幕间与结算'!B222),0),0)</f>
        <v>0</v>
      </c>
      <c r="B507">
        <f>IF(AND(A507&gt;0,'幕间与结算'!C222&lt;&gt;"",'幕间与结算'!D222&gt;0,ISNUMBER('幕间与结算'!E222),'幕间与结算'!E222&gt;=1,'幕间与结算'!E222&lt;=4,MOD('幕间与结算'!E222,1)=0,ISNUMBER('幕间与结算'!I222),'幕间与结算'!I222&gt;=0,'幕间与结算'!I222&lt;=99,MOD('幕间与结算'!I222,1)=0,'幕间与结算'!F222="确认"),1,0)</f>
        <v>0</v>
      </c>
      <c r="C507">
        <f>IF(AND(B507=1,COUNTIFS($A$500:A507,A507,$B$500:B507,1,'幕间与结算'!$C$215:C222,'幕间与结算'!C222)=1),1,0)</f>
        <v>0</v>
      </c>
    </row>
    <row r="508">
      <c r="A508">
        <f>IFERROR(IF(AND(VALUE('幕间与结算'!B223)&gt;=1,VALUE('幕间与结算'!B223)&lt;=20),VALUE('幕间与结算'!B223),0),0)</f>
        <v>0</v>
      </c>
      <c r="B508">
        <f>IF(AND(A508&gt;0,'幕间与结算'!C223&lt;&gt;"",'幕间与结算'!D223&gt;0,ISNUMBER('幕间与结算'!E223),'幕间与结算'!E223&gt;=1,'幕间与结算'!E223&lt;=4,MOD('幕间与结算'!E223,1)=0,ISNUMBER('幕间与结算'!I223),'幕间与结算'!I223&gt;=0,'幕间与结算'!I223&lt;=99,MOD('幕间与结算'!I223,1)=0,'幕间与结算'!F223="确认"),1,0)</f>
        <v>0</v>
      </c>
      <c r="C508">
        <f>IF(AND(B508=1,COUNTIFS($A$500:A508,A508,$B$500:B508,1,'幕间与结算'!$C$215:C223,'幕间与结算'!C223)=1),1,0)</f>
        <v>0</v>
      </c>
    </row>
    <row r="509">
      <c r="A509">
        <f>IFERROR(IF(AND(VALUE('幕间与结算'!B224)&gt;=1,VALUE('幕间与结算'!B224)&lt;=20),VALUE('幕间与结算'!B224),0),0)</f>
        <v>0</v>
      </c>
      <c r="B509">
        <f>IF(AND(A509&gt;0,'幕间与结算'!C224&lt;&gt;"",'幕间与结算'!D224&gt;0,ISNUMBER('幕间与结算'!E224),'幕间与结算'!E224&gt;=1,'幕间与结算'!E224&lt;=4,MOD('幕间与结算'!E224,1)=0,ISNUMBER('幕间与结算'!I224),'幕间与结算'!I224&gt;=0,'幕间与结算'!I224&lt;=99,MOD('幕间与结算'!I224,1)=0,'幕间与结算'!F224="确认"),1,0)</f>
        <v>0</v>
      </c>
      <c r="C509">
        <f>IF(AND(B509=1,COUNTIFS($A$500:A509,A509,$B$500:B509,1,'幕间与结算'!$C$215:C224,'幕间与结算'!C224)=1),1,0)</f>
        <v>0</v>
      </c>
    </row>
    <row r="510">
      <c r="A510">
        <f>IFERROR(IF(AND(VALUE('幕间与结算'!B225)&gt;=1,VALUE('幕间与结算'!B225)&lt;=20),VALUE('幕间与结算'!B225),0),0)</f>
        <v>0</v>
      </c>
      <c r="B510">
        <f>IF(AND(A510&gt;0,'幕间与结算'!C225&lt;&gt;"",'幕间与结算'!D225&gt;0,ISNUMBER('幕间与结算'!E225),'幕间与结算'!E225&gt;=1,'幕间与结算'!E225&lt;=4,MOD('幕间与结算'!E225,1)=0,ISNUMBER('幕间与结算'!I225),'幕间与结算'!I225&gt;=0,'幕间与结算'!I225&lt;=99,MOD('幕间与结算'!I225,1)=0,'幕间与结算'!F225="确认"),1,0)</f>
        <v>0</v>
      </c>
      <c r="C510">
        <f>IF(AND(B510=1,COUNTIFS($A$500:A510,A510,$B$500:B510,1,'幕间与结算'!$C$215:C225,'幕间与结算'!C225)=1),1,0)</f>
        <v>0</v>
      </c>
    </row>
    <row r="511">
      <c r="A511">
        <f>IFERROR(IF(AND(VALUE('幕间与结算'!B226)&gt;=1,VALUE('幕间与结算'!B226)&lt;=20),VALUE('幕间与结算'!B226),0),0)</f>
        <v>0</v>
      </c>
      <c r="B511">
        <f>IF(AND(A511&gt;0,'幕间与结算'!C226&lt;&gt;"",'幕间与结算'!D226&gt;0,ISNUMBER('幕间与结算'!E226),'幕间与结算'!E226&gt;=1,'幕间与结算'!E226&lt;=4,MOD('幕间与结算'!E226,1)=0,ISNUMBER('幕间与结算'!I226),'幕间与结算'!I226&gt;=0,'幕间与结算'!I226&lt;=99,MOD('幕间与结算'!I226,1)=0,'幕间与结算'!F226="确认"),1,0)</f>
        <v>0</v>
      </c>
      <c r="C511">
        <f>IF(AND(B511=1,COUNTIFS($A$500:A511,A511,$B$500:B511,1,'幕间与结算'!$C$215:C226,'幕间与结算'!C226)=1),1,0)</f>
        <v>0</v>
      </c>
    </row>
    <row r="512">
      <c r="A512">
        <f>IFERROR(IF(AND(VALUE('幕间与结算'!B227)&gt;=1,VALUE('幕间与结算'!B227)&lt;=20),VALUE('幕间与结算'!B227),0),0)</f>
        <v>0</v>
      </c>
      <c r="B512">
        <f>IF(AND(A512&gt;0,'幕间与结算'!C227&lt;&gt;"",'幕间与结算'!D227&gt;0,ISNUMBER('幕间与结算'!E227),'幕间与结算'!E227&gt;=1,'幕间与结算'!E227&lt;=4,MOD('幕间与结算'!E227,1)=0,ISNUMBER('幕间与结算'!I227),'幕间与结算'!I227&gt;=0,'幕间与结算'!I227&lt;=99,MOD('幕间与结算'!I227,1)=0,'幕间与结算'!F227="确认"),1,0)</f>
        <v>0</v>
      </c>
      <c r="C512">
        <f>IF(AND(B512=1,COUNTIFS($A$500:A512,A512,$B$500:B512,1,'幕间与结算'!$C$215:C227,'幕间与结算'!C227)=1),1,0)</f>
        <v>0</v>
      </c>
    </row>
    <row r="513">
      <c r="A513">
        <f>IFERROR(IF(AND(VALUE('幕间与结算'!B228)&gt;=1,VALUE('幕间与结算'!B228)&lt;=20),VALUE('幕间与结算'!B228),0),0)</f>
        <v>0</v>
      </c>
      <c r="B513">
        <f>IF(AND(A513&gt;0,'幕间与结算'!C228&lt;&gt;"",'幕间与结算'!D228&gt;0,ISNUMBER('幕间与结算'!E228),'幕间与结算'!E228&gt;=1,'幕间与结算'!E228&lt;=4,MOD('幕间与结算'!E228,1)=0,ISNUMBER('幕间与结算'!I228),'幕间与结算'!I228&gt;=0,'幕间与结算'!I228&lt;=99,MOD('幕间与结算'!I228,1)=0,'幕间与结算'!F228="确认"),1,0)</f>
        <v>0</v>
      </c>
      <c r="C513">
        <f>IF(AND(B513=1,COUNTIFS($A$500:A513,A513,$B$500:B513,1,'幕间与结算'!$C$215:C228,'幕间与结算'!C228)=1),1,0)</f>
        <v>0</v>
      </c>
    </row>
    <row r="514">
      <c r="A514">
        <f>IFERROR(IF(AND(VALUE('幕间与结算'!B229)&gt;=1,VALUE('幕间与结算'!B229)&lt;=20),VALUE('幕间与结算'!B229),0),0)</f>
        <v>0</v>
      </c>
      <c r="B514">
        <f>IF(AND(A514&gt;0,'幕间与结算'!C229&lt;&gt;"",'幕间与结算'!D229&gt;0,ISNUMBER('幕间与结算'!E229),'幕间与结算'!E229&gt;=1,'幕间与结算'!E229&lt;=4,MOD('幕间与结算'!E229,1)=0,ISNUMBER('幕间与结算'!I229),'幕间与结算'!I229&gt;=0,'幕间与结算'!I229&lt;=99,MOD('幕间与结算'!I229,1)=0,'幕间与结算'!F229="确认"),1,0)</f>
        <v>0</v>
      </c>
      <c r="C514">
        <f>IF(AND(B514=1,COUNTIFS($A$500:A514,A514,$B$500:B514,1,'幕间与结算'!$C$215:C229,'幕间与结算'!C229)=1),1,0)</f>
        <v>0</v>
      </c>
    </row>
    <row r="515">
      <c r="A515">
        <f>IFERROR(IF(AND(VALUE('幕间与结算'!B230)&gt;=1,VALUE('幕间与结算'!B230)&lt;=20),VALUE('幕间与结算'!B230),0),0)</f>
        <v>0</v>
      </c>
      <c r="B515">
        <f>IF(AND(A515&gt;0,'幕间与结算'!C230&lt;&gt;"",'幕间与结算'!D230&gt;0,ISNUMBER('幕间与结算'!E230),'幕间与结算'!E230&gt;=1,'幕间与结算'!E230&lt;=4,MOD('幕间与结算'!E230,1)=0,ISNUMBER('幕间与结算'!I230),'幕间与结算'!I230&gt;=0,'幕间与结算'!I230&lt;=99,MOD('幕间与结算'!I230,1)=0,'幕间与结算'!F230="确认"),1,0)</f>
        <v>0</v>
      </c>
      <c r="C515">
        <f>IF(AND(B515=1,COUNTIFS($A$500:A515,A515,$B$500:B515,1,'幕间与结算'!$C$215:C230,'幕间与结算'!C230)=1),1,0)</f>
        <v>0</v>
      </c>
    </row>
    <row r="516">
      <c r="A516">
        <f>IFERROR(IF(AND(VALUE('幕间与结算'!B231)&gt;=1,VALUE('幕间与结算'!B231)&lt;=20),VALUE('幕间与结算'!B231),0),0)</f>
        <v>0</v>
      </c>
      <c r="B516">
        <f>IF(AND(A516&gt;0,'幕间与结算'!C231&lt;&gt;"",'幕间与结算'!D231&gt;0,ISNUMBER('幕间与结算'!E231),'幕间与结算'!E231&gt;=1,'幕间与结算'!E231&lt;=4,MOD('幕间与结算'!E231,1)=0,ISNUMBER('幕间与结算'!I231),'幕间与结算'!I231&gt;=0,'幕间与结算'!I231&lt;=99,MOD('幕间与结算'!I231,1)=0,'幕间与结算'!F231="确认"),1,0)</f>
        <v>0</v>
      </c>
      <c r="C516">
        <f>IF(AND(B516=1,COUNTIFS($A$500:A516,A516,$B$500:B516,1,'幕间与结算'!$C$215:C231,'幕间与结算'!C231)=1),1,0)</f>
        <v>0</v>
      </c>
    </row>
    <row r="517">
      <c r="A517">
        <f>IFERROR(IF(AND(VALUE('幕间与结算'!B232)&gt;=1,VALUE('幕间与结算'!B232)&lt;=20),VALUE('幕间与结算'!B232),0),0)</f>
        <v>0</v>
      </c>
      <c r="B517">
        <f>IF(AND(A517&gt;0,'幕间与结算'!C232&lt;&gt;"",'幕间与结算'!D232&gt;0,ISNUMBER('幕间与结算'!E232),'幕间与结算'!E232&gt;=1,'幕间与结算'!E232&lt;=4,MOD('幕间与结算'!E232,1)=0,ISNUMBER('幕间与结算'!I232),'幕间与结算'!I232&gt;=0,'幕间与结算'!I232&lt;=99,MOD('幕间与结算'!I232,1)=0,'幕间与结算'!F232="确认"),1,0)</f>
        <v>0</v>
      </c>
      <c r="C517">
        <f>IF(AND(B517=1,COUNTIFS($A$500:A517,A517,$B$500:B517,1,'幕间与结算'!$C$215:C232,'幕间与结算'!C232)=1),1,0)</f>
        <v>0</v>
      </c>
    </row>
    <row r="518">
      <c r="A518">
        <f>IFERROR(IF(AND(VALUE('幕间与结算'!B233)&gt;=1,VALUE('幕间与结算'!B233)&lt;=20),VALUE('幕间与结算'!B233),0),0)</f>
        <v>0</v>
      </c>
      <c r="B518">
        <f>IF(AND(A518&gt;0,'幕间与结算'!C233&lt;&gt;"",'幕间与结算'!D233&gt;0,ISNUMBER('幕间与结算'!E233),'幕间与结算'!E233&gt;=1,'幕间与结算'!E233&lt;=4,MOD('幕间与结算'!E233,1)=0,ISNUMBER('幕间与结算'!I233),'幕间与结算'!I233&gt;=0,'幕间与结算'!I233&lt;=99,MOD('幕间与结算'!I233,1)=0,'幕间与结算'!F233="确认"),1,0)</f>
        <v>0</v>
      </c>
      <c r="C518">
        <f>IF(AND(B518=1,COUNTIFS($A$500:A518,A518,$B$500:B518,1,'幕间与结算'!$C$215:C233,'幕间与结算'!C233)=1),1,0)</f>
        <v>0</v>
      </c>
    </row>
    <row r="519">
      <c r="A519">
        <f>IFERROR(IF(AND(VALUE('幕间与结算'!B234)&gt;=1,VALUE('幕间与结算'!B234)&lt;=20),VALUE('幕间与结算'!B234),0),0)</f>
        <v>0</v>
      </c>
      <c r="B519">
        <f>IF(AND(A519&gt;0,'幕间与结算'!C234&lt;&gt;"",'幕间与结算'!D234&gt;0,ISNUMBER('幕间与结算'!E234),'幕间与结算'!E234&gt;=1,'幕间与结算'!E234&lt;=4,MOD('幕间与结算'!E234,1)=0,ISNUMBER('幕间与结算'!I234),'幕间与结算'!I234&gt;=0,'幕间与结算'!I234&lt;=99,MOD('幕间与结算'!I234,1)=0,'幕间与结算'!F234="确认"),1,0)</f>
        <v>0</v>
      </c>
      <c r="C519">
        <f>IF(AND(B519=1,COUNTIFS($A$500:A519,A519,$B$500:B519,1,'幕间与结算'!$C$215:C234,'幕间与结算'!C234)=1),1,0)</f>
        <v>0</v>
      </c>
    </row>
    <row r="520">
      <c r="A520">
        <f>IFERROR(IF(AND(VALUE('幕间与结算'!B235)&gt;=1,VALUE('幕间与结算'!B235)&lt;=20),VALUE('幕间与结算'!B235),0),0)</f>
        <v>0</v>
      </c>
      <c r="B520">
        <f>IF(AND(A520&gt;0,'幕间与结算'!C235&lt;&gt;"",'幕间与结算'!D235&gt;0,ISNUMBER('幕间与结算'!E235),'幕间与结算'!E235&gt;=1,'幕间与结算'!E235&lt;=4,MOD('幕间与结算'!E235,1)=0,ISNUMBER('幕间与结算'!I235),'幕间与结算'!I235&gt;=0,'幕间与结算'!I235&lt;=99,MOD('幕间与结算'!I235,1)=0,'幕间与结算'!F235="确认"),1,0)</f>
        <v>0</v>
      </c>
      <c r="C520">
        <f>IF(AND(B520=1,COUNTIFS($A$500:A520,A520,$B$500:B520,1,'幕间与结算'!$C$215:C235,'幕间与结算'!C235)=1),1,0)</f>
        <v>0</v>
      </c>
    </row>
    <row r="521">
      <c r="A521">
        <f>IFERROR(IF(AND(VALUE('幕间与结算'!B236)&gt;=1,VALUE('幕间与结算'!B236)&lt;=20),VALUE('幕间与结算'!B236),0),0)</f>
        <v>0</v>
      </c>
      <c r="B521">
        <f>IF(AND(A521&gt;0,'幕间与结算'!C236&lt;&gt;"",'幕间与结算'!D236&gt;0,ISNUMBER('幕间与结算'!E236),'幕间与结算'!E236&gt;=1,'幕间与结算'!E236&lt;=4,MOD('幕间与结算'!E236,1)=0,ISNUMBER('幕间与结算'!I236),'幕间与结算'!I236&gt;=0,'幕间与结算'!I236&lt;=99,MOD('幕间与结算'!I236,1)=0,'幕间与结算'!F236="确认"),1,0)</f>
        <v>0</v>
      </c>
      <c r="C521">
        <f>IF(AND(B521=1,COUNTIFS($A$500:A521,A521,$B$500:B521,1,'幕间与结算'!$C$215:C236,'幕间与结算'!C236)=1),1,0)</f>
        <v>0</v>
      </c>
    </row>
    <row r="522">
      <c r="A522">
        <f>IFERROR(IF(AND(VALUE('幕间与结算'!B237)&gt;=1,VALUE('幕间与结算'!B237)&lt;=20),VALUE('幕间与结算'!B237),0),0)</f>
        <v>0</v>
      </c>
      <c r="B522">
        <f>IF(AND(A522&gt;0,'幕间与结算'!C237&lt;&gt;"",'幕间与结算'!D237&gt;0,ISNUMBER('幕间与结算'!E237),'幕间与结算'!E237&gt;=1,'幕间与结算'!E237&lt;=4,MOD('幕间与结算'!E237,1)=0,ISNUMBER('幕间与结算'!I237),'幕间与结算'!I237&gt;=0,'幕间与结算'!I237&lt;=99,MOD('幕间与结算'!I237,1)=0,'幕间与结算'!F237="确认"),1,0)</f>
        <v>0</v>
      </c>
      <c r="C522">
        <f>IF(AND(B522=1,COUNTIFS($A$500:A522,A522,$B$500:B522,1,'幕间与结算'!$C$215:C237,'幕间与结算'!C237)=1),1,0)</f>
        <v>0</v>
      </c>
    </row>
    <row r="523">
      <c r="A523">
        <f>IFERROR(IF(AND(VALUE('幕间与结算'!B238)&gt;=1,VALUE('幕间与结算'!B238)&lt;=20),VALUE('幕间与结算'!B238),0),0)</f>
        <v>0</v>
      </c>
      <c r="B523">
        <f>IF(AND(A523&gt;0,'幕间与结算'!C238&lt;&gt;"",'幕间与结算'!D238&gt;0,ISNUMBER('幕间与结算'!E238),'幕间与结算'!E238&gt;=1,'幕间与结算'!E238&lt;=4,MOD('幕间与结算'!E238,1)=0,ISNUMBER('幕间与结算'!I238),'幕间与结算'!I238&gt;=0,'幕间与结算'!I238&lt;=99,MOD('幕间与结算'!I238,1)=0,'幕间与结算'!F238="确认"),1,0)</f>
        <v>0</v>
      </c>
      <c r="C523">
        <f>IF(AND(B523=1,COUNTIFS($A$500:A523,A523,$B$500:B523,1,'幕间与结算'!$C$215:C238,'幕间与结算'!C238)=1),1,0)</f>
        <v>0</v>
      </c>
    </row>
    <row r="524">
      <c r="A524">
        <f>IFERROR(IF(AND(VALUE('幕间与结算'!B239)&gt;=1,VALUE('幕间与结算'!B239)&lt;=20),VALUE('幕间与结算'!B239),0),0)</f>
        <v>0</v>
      </c>
      <c r="B524">
        <f>IF(AND(A524&gt;0,'幕间与结算'!C239&lt;&gt;"",'幕间与结算'!D239&gt;0,ISNUMBER('幕间与结算'!E239),'幕间与结算'!E239&gt;=1,'幕间与结算'!E239&lt;=4,MOD('幕间与结算'!E239,1)=0,ISNUMBER('幕间与结算'!I239),'幕间与结算'!I239&gt;=0,'幕间与结算'!I239&lt;=99,MOD('幕间与结算'!I239,1)=0,'幕间与结算'!F239="确认"),1,0)</f>
        <v>0</v>
      </c>
      <c r="C524">
        <f>IF(AND(B524=1,COUNTIFS($A$500:A524,A524,$B$500:B524,1,'幕间与结算'!$C$215:C239,'幕间与结算'!C239)=1),1,0)</f>
        <v>0</v>
      </c>
    </row>
    <row r="525">
      <c r="A525">
        <f>IFERROR(IF(AND(VALUE('幕间与结算'!B240)&gt;=1,VALUE('幕间与结算'!B240)&lt;=20),VALUE('幕间与结算'!B240),0),0)</f>
        <v>0</v>
      </c>
      <c r="B525">
        <f>IF(AND(A525&gt;0,'幕间与结算'!C240&lt;&gt;"",'幕间与结算'!D240&gt;0,ISNUMBER('幕间与结算'!E240),'幕间与结算'!E240&gt;=1,'幕间与结算'!E240&lt;=4,MOD('幕间与结算'!E240,1)=0,ISNUMBER('幕间与结算'!I240),'幕间与结算'!I240&gt;=0,'幕间与结算'!I240&lt;=99,MOD('幕间与结算'!I240,1)=0,'幕间与结算'!F240="确认"),1,0)</f>
        <v>0</v>
      </c>
      <c r="C525">
        <f>IF(AND(B525=1,COUNTIFS($A$500:A525,A525,$B$500:B525,1,'幕间与结算'!$C$215:C240,'幕间与结算'!C240)=1),1,0)</f>
        <v>0</v>
      </c>
    </row>
    <row r="526">
      <c r="A526">
        <f>IFERROR(IF(AND(VALUE('幕间与结算'!B241)&gt;=1,VALUE('幕间与结算'!B241)&lt;=20),VALUE('幕间与结算'!B241),0),0)</f>
        <v>0</v>
      </c>
      <c r="B526">
        <f>IF(AND(A526&gt;0,'幕间与结算'!C241&lt;&gt;"",'幕间与结算'!D241&gt;0,ISNUMBER('幕间与结算'!E241),'幕间与结算'!E241&gt;=1,'幕间与结算'!E241&lt;=4,MOD('幕间与结算'!E241,1)=0,ISNUMBER('幕间与结算'!I241),'幕间与结算'!I241&gt;=0,'幕间与结算'!I241&lt;=99,MOD('幕间与结算'!I241,1)=0,'幕间与结算'!F241="确认"),1,0)</f>
        <v>0</v>
      </c>
      <c r="C526">
        <f>IF(AND(B526=1,COUNTIFS($A$500:A526,A526,$B$500:B526,1,'幕间与结算'!$C$215:C241,'幕间与结算'!C241)=1),1,0)</f>
        <v>0</v>
      </c>
    </row>
    <row r="527">
      <c r="A527">
        <f>IFERROR(IF(AND(VALUE('幕间与结算'!B242)&gt;=1,VALUE('幕间与结算'!B242)&lt;=20),VALUE('幕间与结算'!B242),0),0)</f>
        <v>0</v>
      </c>
      <c r="B527">
        <f>IF(AND(A527&gt;0,'幕间与结算'!C242&lt;&gt;"",'幕间与结算'!D242&gt;0,ISNUMBER('幕间与结算'!E242),'幕间与结算'!E242&gt;=1,'幕间与结算'!E242&lt;=4,MOD('幕间与结算'!E242,1)=0,ISNUMBER('幕间与结算'!I242),'幕间与结算'!I242&gt;=0,'幕间与结算'!I242&lt;=99,MOD('幕间与结算'!I242,1)=0,'幕间与结算'!F242="确认"),1,0)</f>
        <v>0</v>
      </c>
      <c r="C527">
        <f>IF(AND(B527=1,COUNTIFS($A$500:A527,A527,$B$500:B527,1,'幕间与结算'!$C$215:C242,'幕间与结算'!C242)=1),1,0)</f>
        <v>0</v>
      </c>
    </row>
    <row r="528">
      <c r="A528">
        <f>IFERROR(IF(AND(VALUE('幕间与结算'!B243)&gt;=1,VALUE('幕间与结算'!B243)&lt;=20),VALUE('幕间与结算'!B243),0),0)</f>
        <v>0</v>
      </c>
      <c r="B528">
        <f>IF(AND(A528&gt;0,'幕间与结算'!C243&lt;&gt;"",'幕间与结算'!D243&gt;0,ISNUMBER('幕间与结算'!E243),'幕间与结算'!E243&gt;=1,'幕间与结算'!E243&lt;=4,MOD('幕间与结算'!E243,1)=0,ISNUMBER('幕间与结算'!I243),'幕间与结算'!I243&gt;=0,'幕间与结算'!I243&lt;=99,MOD('幕间与结算'!I243,1)=0,'幕间与结算'!F243="确认"),1,0)</f>
        <v>0</v>
      </c>
      <c r="C528">
        <f>IF(AND(B528=1,COUNTIFS($A$500:A528,A528,$B$500:B528,1,'幕间与结算'!$C$215:C243,'幕间与结算'!C243)=1),1,0)</f>
        <v>0</v>
      </c>
    </row>
    <row r="529">
      <c r="A529">
        <f>IFERROR(IF(AND(VALUE('幕间与结算'!B244)&gt;=1,VALUE('幕间与结算'!B244)&lt;=20),VALUE('幕间与结算'!B244),0),0)</f>
        <v>0</v>
      </c>
      <c r="B529">
        <f>IF(AND(A529&gt;0,'幕间与结算'!C244&lt;&gt;"",'幕间与结算'!D244&gt;0,ISNUMBER('幕间与结算'!E244),'幕间与结算'!E244&gt;=1,'幕间与结算'!E244&lt;=4,MOD('幕间与结算'!E244,1)=0,ISNUMBER('幕间与结算'!I244),'幕间与结算'!I244&gt;=0,'幕间与结算'!I244&lt;=99,MOD('幕间与结算'!I244,1)=0,'幕间与结算'!F244="确认"),1,0)</f>
        <v>0</v>
      </c>
      <c r="C529">
        <f>IF(AND(B529=1,COUNTIFS($A$500:A529,A529,$B$500:B529,1,'幕间与结算'!$C$215:C244,'幕间与结算'!C244)=1),1,0)</f>
        <v>0</v>
      </c>
    </row>
    <row r="530">
      <c r="A530">
        <f>IFERROR(IF(AND(VALUE('幕间与结算'!B245)&gt;=1,VALUE('幕间与结算'!B245)&lt;=20),VALUE('幕间与结算'!B245),0),0)</f>
        <v>0</v>
      </c>
      <c r="B530">
        <f>IF(AND(A530&gt;0,'幕间与结算'!C245&lt;&gt;"",'幕间与结算'!D245&gt;0,ISNUMBER('幕间与结算'!E245),'幕间与结算'!E245&gt;=1,'幕间与结算'!E245&lt;=4,MOD('幕间与结算'!E245,1)=0,ISNUMBER('幕间与结算'!I245),'幕间与结算'!I245&gt;=0,'幕间与结算'!I245&lt;=99,MOD('幕间与结算'!I245,1)=0,'幕间与结算'!F245="确认"),1,0)</f>
        <v>0</v>
      </c>
      <c r="C530">
        <f>IF(AND(B530=1,COUNTIFS($A$500:A530,A530,$B$500:B530,1,'幕间与结算'!$C$215:C245,'幕间与结算'!C245)=1),1,0)</f>
        <v>0</v>
      </c>
    </row>
    <row r="531">
      <c r="A531">
        <f>IFERROR(IF(AND(VALUE('幕间与结算'!B246)&gt;=1,VALUE('幕间与结算'!B246)&lt;=20),VALUE('幕间与结算'!B246),0),0)</f>
        <v>0</v>
      </c>
      <c r="B531">
        <f>IF(AND(A531&gt;0,'幕间与结算'!C246&lt;&gt;"",'幕间与结算'!D246&gt;0,ISNUMBER('幕间与结算'!E246),'幕间与结算'!E246&gt;=1,'幕间与结算'!E246&lt;=4,MOD('幕间与结算'!E246,1)=0,ISNUMBER('幕间与结算'!I246),'幕间与结算'!I246&gt;=0,'幕间与结算'!I246&lt;=99,MOD('幕间与结算'!I246,1)=0,'幕间与结算'!F246="确认"),1,0)</f>
        <v>0</v>
      </c>
      <c r="C531">
        <f>IF(AND(B531=1,COUNTIFS($A$500:A531,A531,$B$500:B531,1,'幕间与结算'!$C$215:C246,'幕间与结算'!C246)=1),1,0)</f>
        <v>0</v>
      </c>
    </row>
    <row r="532">
      <c r="A532">
        <f>IFERROR(IF(AND(VALUE('幕间与结算'!B247)&gt;=1,VALUE('幕间与结算'!B247)&lt;=20),VALUE('幕间与结算'!B247),0),0)</f>
        <v>0</v>
      </c>
      <c r="B532">
        <f>IF(AND(A532&gt;0,'幕间与结算'!C247&lt;&gt;"",'幕间与结算'!D247&gt;0,ISNUMBER('幕间与结算'!E247),'幕间与结算'!E247&gt;=1,'幕间与结算'!E247&lt;=4,MOD('幕间与结算'!E247,1)=0,ISNUMBER('幕间与结算'!I247),'幕间与结算'!I247&gt;=0,'幕间与结算'!I247&lt;=99,MOD('幕间与结算'!I247,1)=0,'幕间与结算'!F247="确认"),1,0)</f>
        <v>0</v>
      </c>
      <c r="C532">
        <f>IF(AND(B532=1,COUNTIFS($A$500:A532,A532,$B$500:B532,1,'幕间与结算'!$C$215:C247,'幕间与结算'!C247)=1),1,0)</f>
        <v>0</v>
      </c>
    </row>
    <row r="533">
      <c r="A533">
        <f>IFERROR(IF(AND(VALUE('幕间与结算'!B248)&gt;=1,VALUE('幕间与结算'!B248)&lt;=20),VALUE('幕间与结算'!B248),0),0)</f>
        <v>0</v>
      </c>
      <c r="B533">
        <f>IF(AND(A533&gt;0,'幕间与结算'!C248&lt;&gt;"",'幕间与结算'!D248&gt;0,ISNUMBER('幕间与结算'!E248),'幕间与结算'!E248&gt;=1,'幕间与结算'!E248&lt;=4,MOD('幕间与结算'!E248,1)=0,ISNUMBER('幕间与结算'!I248),'幕间与结算'!I248&gt;=0,'幕间与结算'!I248&lt;=99,MOD('幕间与结算'!I248,1)=0,'幕间与结算'!F248="确认"),1,0)</f>
        <v>0</v>
      </c>
      <c r="C533">
        <f>IF(AND(B533=1,COUNTIFS($A$500:A533,A533,$B$500:B533,1,'幕间与结算'!$C$215:C248,'幕间与结算'!C248)=1),1,0)</f>
        <v>0</v>
      </c>
    </row>
    <row r="534">
      <c r="A534">
        <f>IFERROR(IF(AND(VALUE('幕间与结算'!B249)&gt;=1,VALUE('幕间与结算'!B249)&lt;=20),VALUE('幕间与结算'!B249),0),0)</f>
        <v>0</v>
      </c>
      <c r="B534">
        <f>IF(AND(A534&gt;0,'幕间与结算'!C249&lt;&gt;"",'幕间与结算'!D249&gt;0,ISNUMBER('幕间与结算'!E249),'幕间与结算'!E249&gt;=1,'幕间与结算'!E249&lt;=4,MOD('幕间与结算'!E249,1)=0,ISNUMBER('幕间与结算'!I249),'幕间与结算'!I249&gt;=0,'幕间与结算'!I249&lt;=99,MOD('幕间与结算'!I249,1)=0,'幕间与结算'!F249="确认"),1,0)</f>
        <v>0</v>
      </c>
      <c r="C534">
        <f>IF(AND(B534=1,COUNTIFS($A$500:A534,A534,$B$500:B534,1,'幕间与结算'!$C$215:C249,'幕间与结算'!C249)=1),1,0)</f>
        <v>0</v>
      </c>
    </row>
    <row r="535">
      <c r="A535">
        <f>IFERROR(IF(AND(VALUE('幕间与结算'!B250)&gt;=1,VALUE('幕间与结算'!B250)&lt;=20),VALUE('幕间与结算'!B250),0),0)</f>
        <v>0</v>
      </c>
      <c r="B535">
        <f>IF(AND(A535&gt;0,'幕间与结算'!C250&lt;&gt;"",'幕间与结算'!D250&gt;0,ISNUMBER('幕间与结算'!E250),'幕间与结算'!E250&gt;=1,'幕间与结算'!E250&lt;=4,MOD('幕间与结算'!E250,1)=0,ISNUMBER('幕间与结算'!I250),'幕间与结算'!I250&gt;=0,'幕间与结算'!I250&lt;=99,MOD('幕间与结算'!I250,1)=0,'幕间与结算'!F250="确认"),1,0)</f>
        <v>0</v>
      </c>
      <c r="C535">
        <f>IF(AND(B535=1,COUNTIFS($A$500:A535,A535,$B$500:B535,1,'幕间与结算'!$C$215:C250,'幕间与结算'!C250)=1),1,0)</f>
        <v>0</v>
      </c>
    </row>
    <row r="536">
      <c r="A536">
        <f>IFERROR(IF(AND(VALUE('幕间与结算'!B251)&gt;=1,VALUE('幕间与结算'!B251)&lt;=20),VALUE('幕间与结算'!B251),0),0)</f>
        <v>0</v>
      </c>
      <c r="B536">
        <f>IF(AND(A536&gt;0,'幕间与结算'!C251&lt;&gt;"",'幕间与结算'!D251&gt;0,ISNUMBER('幕间与结算'!E251),'幕间与结算'!E251&gt;=1,'幕间与结算'!E251&lt;=4,MOD('幕间与结算'!E251,1)=0,ISNUMBER('幕间与结算'!I251),'幕间与结算'!I251&gt;=0,'幕间与结算'!I251&lt;=99,MOD('幕间与结算'!I251,1)=0,'幕间与结算'!F251="确认"),1,0)</f>
        <v>0</v>
      </c>
      <c r="C536">
        <f>IF(AND(B536=1,COUNTIFS($A$500:A536,A536,$B$500:B536,1,'幕间与结算'!$C$215:C251,'幕间与结算'!C251)=1),1,0)</f>
        <v>0</v>
      </c>
    </row>
    <row r="537">
      <c r="A537">
        <f>IFERROR(IF(AND(VALUE('幕间与结算'!B252)&gt;=1,VALUE('幕间与结算'!B252)&lt;=20),VALUE('幕间与结算'!B252),0),0)</f>
        <v>0</v>
      </c>
      <c r="B537">
        <f>IF(AND(A537&gt;0,'幕间与结算'!C252&lt;&gt;"",'幕间与结算'!D252&gt;0,ISNUMBER('幕间与结算'!E252),'幕间与结算'!E252&gt;=1,'幕间与结算'!E252&lt;=4,MOD('幕间与结算'!E252,1)=0,ISNUMBER('幕间与结算'!I252),'幕间与结算'!I252&gt;=0,'幕间与结算'!I252&lt;=99,MOD('幕间与结算'!I252,1)=0,'幕间与结算'!F252="确认"),1,0)</f>
        <v>0</v>
      </c>
      <c r="C537">
        <f>IF(AND(B537=1,COUNTIFS($A$500:A537,A537,$B$500:B537,1,'幕间与结算'!$C$215:C252,'幕间与结算'!C252)=1),1,0)</f>
        <v>0</v>
      </c>
    </row>
    <row r="538">
      <c r="A538">
        <f>IFERROR(IF(AND(VALUE('幕间与结算'!B253)&gt;=1,VALUE('幕间与结算'!B253)&lt;=20),VALUE('幕间与结算'!B253),0),0)</f>
        <v>0</v>
      </c>
      <c r="B538">
        <f>IF(AND(A538&gt;0,'幕间与结算'!C253&lt;&gt;"",'幕间与结算'!D253&gt;0,ISNUMBER('幕间与结算'!E253),'幕间与结算'!E253&gt;=1,'幕间与结算'!E253&lt;=4,MOD('幕间与结算'!E253,1)=0,ISNUMBER('幕间与结算'!I253),'幕间与结算'!I253&gt;=0,'幕间与结算'!I253&lt;=99,MOD('幕间与结算'!I253,1)=0,'幕间与结算'!F253="确认"),1,0)</f>
        <v>0</v>
      </c>
      <c r="C538">
        <f>IF(AND(B538=1,COUNTIFS($A$500:A538,A538,$B$500:B538,1,'幕间与结算'!$C$215:C253,'幕间与结算'!C253)=1),1,0)</f>
        <v>0</v>
      </c>
    </row>
    <row r="539">
      <c r="A539">
        <f>IFERROR(IF(AND(VALUE('幕间与结算'!B254)&gt;=1,VALUE('幕间与结算'!B254)&lt;=20),VALUE('幕间与结算'!B254),0),0)</f>
        <v>0</v>
      </c>
      <c r="B539">
        <f>IF(AND(A539&gt;0,'幕间与结算'!C254&lt;&gt;"",'幕间与结算'!D254&gt;0,ISNUMBER('幕间与结算'!E254),'幕间与结算'!E254&gt;=1,'幕间与结算'!E254&lt;=4,MOD('幕间与结算'!E254,1)=0,ISNUMBER('幕间与结算'!I254),'幕间与结算'!I254&gt;=0,'幕间与结算'!I254&lt;=99,MOD('幕间与结算'!I254,1)=0,'幕间与结算'!F254="确认"),1,0)</f>
        <v>0</v>
      </c>
      <c r="C539">
        <f>IF(AND(B539=1,COUNTIFS($A$500:A539,A539,$B$500:B539,1,'幕间与结算'!$C$215:C254,'幕间与结算'!C254)=1),1,0)</f>
        <v>0</v>
      </c>
    </row>
    <row r="540">
      <c r="A540">
        <f>IFERROR(IF(AND(VALUE('幕间与结算'!B255)&gt;=1,VALUE('幕间与结算'!B255)&lt;=20),VALUE('幕间与结算'!B255),0),0)</f>
        <v>0</v>
      </c>
      <c r="B540">
        <f>IF(AND(A540&gt;0,'幕间与结算'!C255&lt;&gt;"",'幕间与结算'!D255&gt;0,ISNUMBER('幕间与结算'!E255),'幕间与结算'!E255&gt;=1,'幕间与结算'!E255&lt;=4,MOD('幕间与结算'!E255,1)=0,ISNUMBER('幕间与结算'!I255),'幕间与结算'!I255&gt;=0,'幕间与结算'!I255&lt;=99,MOD('幕间与结算'!I255,1)=0,'幕间与结算'!F255="确认"),1,0)</f>
        <v>0</v>
      </c>
      <c r="C540">
        <f>IF(AND(B540=1,COUNTIFS($A$500:A540,A540,$B$500:B540,1,'幕间与结算'!$C$215:C255,'幕间与结算'!C255)=1),1,0)</f>
        <v>0</v>
      </c>
    </row>
    <row r="541">
      <c r="A541">
        <f>IFERROR(IF(AND(VALUE('幕间与结算'!B256)&gt;=1,VALUE('幕间与结算'!B256)&lt;=20),VALUE('幕间与结算'!B256),0),0)</f>
        <v>0</v>
      </c>
      <c r="B541">
        <f>IF(AND(A541&gt;0,'幕间与结算'!C256&lt;&gt;"",'幕间与结算'!D256&gt;0,ISNUMBER('幕间与结算'!E256),'幕间与结算'!E256&gt;=1,'幕间与结算'!E256&lt;=4,MOD('幕间与结算'!E256,1)=0,ISNUMBER('幕间与结算'!I256),'幕间与结算'!I256&gt;=0,'幕间与结算'!I256&lt;=99,MOD('幕间与结算'!I256,1)=0,'幕间与结算'!F256="确认"),1,0)</f>
        <v>0</v>
      </c>
      <c r="C541">
        <f>IF(AND(B541=1,COUNTIFS($A$500:A541,A541,$B$500:B541,1,'幕间与结算'!$C$215:C256,'幕间与结算'!C256)=1),1,0)</f>
        <v>0</v>
      </c>
    </row>
    <row r="542">
      <c r="A542">
        <f>IFERROR(IF(AND(VALUE('幕间与结算'!B257)&gt;=1,VALUE('幕间与结算'!B257)&lt;=20),VALUE('幕间与结算'!B257),0),0)</f>
        <v>0</v>
      </c>
      <c r="B542">
        <f>IF(AND(A542&gt;0,'幕间与结算'!C257&lt;&gt;"",'幕间与结算'!D257&gt;0,ISNUMBER('幕间与结算'!E257),'幕间与结算'!E257&gt;=1,'幕间与结算'!E257&lt;=4,MOD('幕间与结算'!E257,1)=0,ISNUMBER('幕间与结算'!I257),'幕间与结算'!I257&gt;=0,'幕间与结算'!I257&lt;=99,MOD('幕间与结算'!I257,1)=0,'幕间与结算'!F257="确认"),1,0)</f>
        <v>0</v>
      </c>
      <c r="C542">
        <f>IF(AND(B542=1,COUNTIFS($A$500:A542,A542,$B$500:B542,1,'幕间与结算'!$C$215:C257,'幕间与结算'!C257)=1),1,0)</f>
        <v>0</v>
      </c>
    </row>
    <row r="543">
      <c r="A543">
        <f>IFERROR(IF(AND(VALUE('幕间与结算'!B258)&gt;=1,VALUE('幕间与结算'!B258)&lt;=20),VALUE('幕间与结算'!B258),0),0)</f>
        <v>0</v>
      </c>
      <c r="B543">
        <f>IF(AND(A543&gt;0,'幕间与结算'!C258&lt;&gt;"",'幕间与结算'!D258&gt;0,ISNUMBER('幕间与结算'!E258),'幕间与结算'!E258&gt;=1,'幕间与结算'!E258&lt;=4,MOD('幕间与结算'!E258,1)=0,ISNUMBER('幕间与结算'!I258),'幕间与结算'!I258&gt;=0,'幕间与结算'!I258&lt;=99,MOD('幕间与结算'!I258,1)=0,'幕间与结算'!F258="确认"),1,0)</f>
        <v>0</v>
      </c>
      <c r="C543">
        <f>IF(AND(B543=1,COUNTIFS($A$500:A543,A543,$B$500:B543,1,'幕间与结算'!$C$215:C258,'幕间与结算'!C258)=1),1,0)</f>
        <v>0</v>
      </c>
    </row>
    <row r="544">
      <c r="A544">
        <f>IFERROR(IF(AND(VALUE('幕间与结算'!B259)&gt;=1,VALUE('幕间与结算'!B259)&lt;=20),VALUE('幕间与结算'!B259),0),0)</f>
        <v>0</v>
      </c>
      <c r="B544">
        <f>IF(AND(A544&gt;0,'幕间与结算'!C259&lt;&gt;"",'幕间与结算'!D259&gt;0,ISNUMBER('幕间与结算'!E259),'幕间与结算'!E259&gt;=1,'幕间与结算'!E259&lt;=4,MOD('幕间与结算'!E259,1)=0,ISNUMBER('幕间与结算'!I259),'幕间与结算'!I259&gt;=0,'幕间与结算'!I259&lt;=99,MOD('幕间与结算'!I259,1)=0,'幕间与结算'!F259="确认"),1,0)</f>
        <v>0</v>
      </c>
      <c r="C544">
        <f>IF(AND(B544=1,COUNTIFS($A$500:A544,A544,$B$500:B544,1,'幕间与结算'!$C$215:C259,'幕间与结算'!C259)=1),1,0)</f>
        <v>0</v>
      </c>
    </row>
    <row r="545">
      <c r="A545">
        <f>IFERROR(IF(AND(VALUE('幕间与结算'!B260)&gt;=1,VALUE('幕间与结算'!B260)&lt;=20),VALUE('幕间与结算'!B260),0),0)</f>
        <v>0</v>
      </c>
      <c r="B545">
        <f>IF(AND(A545&gt;0,'幕间与结算'!C260&lt;&gt;"",'幕间与结算'!D260&gt;0,ISNUMBER('幕间与结算'!E260),'幕间与结算'!E260&gt;=1,'幕间与结算'!E260&lt;=4,MOD('幕间与结算'!E260,1)=0,ISNUMBER('幕间与结算'!I260),'幕间与结算'!I260&gt;=0,'幕间与结算'!I260&lt;=99,MOD('幕间与结算'!I260,1)=0,'幕间与结算'!F260="确认"),1,0)</f>
        <v>0</v>
      </c>
      <c r="C545">
        <f>IF(AND(B545=1,COUNTIFS($A$500:A545,A545,$B$500:B545,1,'幕间与结算'!$C$215:C260,'幕间与结算'!C260)=1),1,0)</f>
        <v>0</v>
      </c>
    </row>
    <row r="546">
      <c r="A546">
        <f>IFERROR(IF(AND(VALUE('幕间与结算'!B261)&gt;=1,VALUE('幕间与结算'!B261)&lt;=20),VALUE('幕间与结算'!B261),0),0)</f>
        <v>0</v>
      </c>
      <c r="B546">
        <f>IF(AND(A546&gt;0,'幕间与结算'!C261&lt;&gt;"",'幕间与结算'!D261&gt;0,ISNUMBER('幕间与结算'!E261),'幕间与结算'!E261&gt;=1,'幕间与结算'!E261&lt;=4,MOD('幕间与结算'!E261,1)=0,ISNUMBER('幕间与结算'!I261),'幕间与结算'!I261&gt;=0,'幕间与结算'!I261&lt;=99,MOD('幕间与结算'!I261,1)=0,'幕间与结算'!F261="确认"),1,0)</f>
        <v>0</v>
      </c>
      <c r="C546">
        <f>IF(AND(B546=1,COUNTIFS($A$500:A546,A546,$B$500:B546,1,'幕间与结算'!$C$215:C261,'幕间与结算'!C261)=1),1,0)</f>
        <v>0</v>
      </c>
    </row>
    <row r="547">
      <c r="A547">
        <f>IFERROR(IF(AND(VALUE('幕间与结算'!B262)&gt;=1,VALUE('幕间与结算'!B262)&lt;=20),VALUE('幕间与结算'!B262),0),0)</f>
        <v>0</v>
      </c>
      <c r="B547">
        <f>IF(AND(A547&gt;0,'幕间与结算'!C262&lt;&gt;"",'幕间与结算'!D262&gt;0,ISNUMBER('幕间与结算'!E262),'幕间与结算'!E262&gt;=1,'幕间与结算'!E262&lt;=4,MOD('幕间与结算'!E262,1)=0,ISNUMBER('幕间与结算'!I262),'幕间与结算'!I262&gt;=0,'幕间与结算'!I262&lt;=99,MOD('幕间与结算'!I262,1)=0,'幕间与结算'!F262="确认"),1,0)</f>
        <v>0</v>
      </c>
      <c r="C547">
        <f>IF(AND(B547=1,COUNTIFS($A$500:A547,A547,$B$500:B547,1,'幕间与结算'!$C$215:C262,'幕间与结算'!C262)=1),1,0)</f>
        <v>0</v>
      </c>
    </row>
    <row r="548">
      <c r="A548">
        <f>IFERROR(IF(AND(VALUE('幕间与结算'!B263)&gt;=1,VALUE('幕间与结算'!B263)&lt;=20),VALUE('幕间与结算'!B263),0),0)</f>
        <v>0</v>
      </c>
      <c r="B548">
        <f>IF(AND(A548&gt;0,'幕间与结算'!C263&lt;&gt;"",'幕间与结算'!D263&gt;0,ISNUMBER('幕间与结算'!E263),'幕间与结算'!E263&gt;=1,'幕间与结算'!E263&lt;=4,MOD('幕间与结算'!E263,1)=0,ISNUMBER('幕间与结算'!I263),'幕间与结算'!I263&gt;=0,'幕间与结算'!I263&lt;=99,MOD('幕间与结算'!I263,1)=0,'幕间与结算'!F263="确认"),1,0)</f>
        <v>0</v>
      </c>
      <c r="C548">
        <f>IF(AND(B548=1,COUNTIFS($A$500:A548,A548,$B$500:B548,1,'幕间与结算'!$C$215:C263,'幕间与结算'!C263)=1),1,0)</f>
        <v>0</v>
      </c>
    </row>
    <row r="549">
      <c r="A549">
        <f>IFERROR(IF(AND(VALUE('幕间与结算'!B264)&gt;=1,VALUE('幕间与结算'!B264)&lt;=20),VALUE('幕间与结算'!B264),0),0)</f>
        <v>0</v>
      </c>
      <c r="B549">
        <f>IF(AND(A549&gt;0,'幕间与结算'!C264&lt;&gt;"",'幕间与结算'!D264&gt;0,ISNUMBER('幕间与结算'!E264),'幕间与结算'!E264&gt;=1,'幕间与结算'!E264&lt;=4,MOD('幕间与结算'!E264,1)=0,ISNUMBER('幕间与结算'!I264),'幕间与结算'!I264&gt;=0,'幕间与结算'!I264&lt;=99,MOD('幕间与结算'!I264,1)=0,'幕间与结算'!F264="确认"),1,0)</f>
        <v>0</v>
      </c>
      <c r="C549">
        <f>IF(AND(B549=1,COUNTIFS($A$500:A549,A549,$B$500:B549,1,'幕间与结算'!$C$215:C264,'幕间与结算'!C264)=1),1,0)</f>
        <v>0</v>
      </c>
    </row>
    <row r="550">
      <c r="A550">
        <f>IFERROR(IF(AND(VALUE('幕间与结算'!B265)&gt;=1,VALUE('幕间与结算'!B265)&lt;=20),VALUE('幕间与结算'!B265),0),0)</f>
        <v>0</v>
      </c>
      <c r="B550">
        <f>IF(AND(A550&gt;0,'幕间与结算'!C265&lt;&gt;"",'幕间与结算'!D265&gt;0,ISNUMBER('幕间与结算'!E265),'幕间与结算'!E265&gt;=1,'幕间与结算'!E265&lt;=4,MOD('幕间与结算'!E265,1)=0,ISNUMBER('幕间与结算'!I265),'幕间与结算'!I265&gt;=0,'幕间与结算'!I265&lt;=99,MOD('幕间与结算'!I265,1)=0,'幕间与结算'!F265="确认"),1,0)</f>
        <v>0</v>
      </c>
      <c r="C550">
        <f>IF(AND(B550=1,COUNTIFS($A$500:A550,A550,$B$500:B550,1,'幕间与结算'!$C$215:C265,'幕间与结算'!C265)=1),1,0)</f>
        <v>0</v>
      </c>
    </row>
    <row r="551">
      <c r="A551">
        <f>IFERROR(IF(AND(VALUE('幕间与结算'!B266)&gt;=1,VALUE('幕间与结算'!B266)&lt;=20),VALUE('幕间与结算'!B266),0),0)</f>
        <v>0</v>
      </c>
      <c r="B551">
        <f>IF(AND(A551&gt;0,'幕间与结算'!C266&lt;&gt;"",'幕间与结算'!D266&gt;0,ISNUMBER('幕间与结算'!E266),'幕间与结算'!E266&gt;=1,'幕间与结算'!E266&lt;=4,MOD('幕间与结算'!E266,1)=0,ISNUMBER('幕间与结算'!I266),'幕间与结算'!I266&gt;=0,'幕间与结算'!I266&lt;=99,MOD('幕间与结算'!I266,1)=0,'幕间与结算'!F266="确认"),1,0)</f>
        <v>0</v>
      </c>
      <c r="C551">
        <f>IF(AND(B551=1,COUNTIFS($A$500:A551,A551,$B$500:B551,1,'幕间与结算'!$C$215:C266,'幕间与结算'!C266)=1),1,0)</f>
        <v>0</v>
      </c>
    </row>
    <row r="552">
      <c r="A552">
        <f>IFERROR(IF(AND(VALUE('幕间与结算'!B267)&gt;=1,VALUE('幕间与结算'!B267)&lt;=20),VALUE('幕间与结算'!B267),0),0)</f>
        <v>0</v>
      </c>
      <c r="B552">
        <f>IF(AND(A552&gt;0,'幕间与结算'!C267&lt;&gt;"",'幕间与结算'!D267&gt;0,ISNUMBER('幕间与结算'!E267),'幕间与结算'!E267&gt;=1,'幕间与结算'!E267&lt;=4,MOD('幕间与结算'!E267,1)=0,ISNUMBER('幕间与结算'!I267),'幕间与结算'!I267&gt;=0,'幕间与结算'!I267&lt;=99,MOD('幕间与结算'!I267,1)=0,'幕间与结算'!F267="确认"),1,0)</f>
        <v>0</v>
      </c>
      <c r="C552">
        <f>IF(AND(B552=1,COUNTIFS($A$500:A552,A552,$B$500:B552,1,'幕间与结算'!$C$215:C267,'幕间与结算'!C267)=1),1,0)</f>
        <v>0</v>
      </c>
    </row>
    <row r="553">
      <c r="A553">
        <f>IFERROR(IF(AND(VALUE('幕间与结算'!B268)&gt;=1,VALUE('幕间与结算'!B268)&lt;=20),VALUE('幕间与结算'!B268),0),0)</f>
        <v>0</v>
      </c>
      <c r="B553">
        <f>IF(AND(A553&gt;0,'幕间与结算'!C268&lt;&gt;"",'幕间与结算'!D268&gt;0,ISNUMBER('幕间与结算'!E268),'幕间与结算'!E268&gt;=1,'幕间与结算'!E268&lt;=4,MOD('幕间与结算'!E268,1)=0,ISNUMBER('幕间与结算'!I268),'幕间与结算'!I268&gt;=0,'幕间与结算'!I268&lt;=99,MOD('幕间与结算'!I268,1)=0,'幕间与结算'!F268="确认"),1,0)</f>
        <v>0</v>
      </c>
      <c r="C553">
        <f>IF(AND(B553=1,COUNTIFS($A$500:A553,A553,$B$500:B553,1,'幕间与结算'!$C$215:C268,'幕间与结算'!C268)=1),1,0)</f>
        <v>0</v>
      </c>
    </row>
    <row r="554">
      <c r="A554">
        <f>IFERROR(IF(AND(VALUE('幕间与结算'!B269)&gt;=1,VALUE('幕间与结算'!B269)&lt;=20),VALUE('幕间与结算'!B269),0),0)</f>
        <v>0</v>
      </c>
      <c r="B554">
        <f>IF(AND(A554&gt;0,'幕间与结算'!C269&lt;&gt;"",'幕间与结算'!D269&gt;0,ISNUMBER('幕间与结算'!E269),'幕间与结算'!E269&gt;=1,'幕间与结算'!E269&lt;=4,MOD('幕间与结算'!E269,1)=0,ISNUMBER('幕间与结算'!I269),'幕间与结算'!I269&gt;=0,'幕间与结算'!I269&lt;=99,MOD('幕间与结算'!I269,1)=0,'幕间与结算'!F269="确认"),1,0)</f>
        <v>0</v>
      </c>
      <c r="C554">
        <f>IF(AND(B554=1,COUNTIFS($A$500:A554,A554,$B$500:B554,1,'幕间与结算'!$C$215:C269,'幕间与结算'!C269)=1),1,0)</f>
        <v>0</v>
      </c>
    </row>
    <row r="555">
      <c r="A555">
        <f>IFERROR(IF(AND(VALUE('幕间与结算'!B270)&gt;=1,VALUE('幕间与结算'!B270)&lt;=20),VALUE('幕间与结算'!B270),0),0)</f>
        <v>0</v>
      </c>
      <c r="B555">
        <f>IF(AND(A555&gt;0,'幕间与结算'!C270&lt;&gt;"",'幕间与结算'!D270&gt;0,ISNUMBER('幕间与结算'!E270),'幕间与结算'!E270&gt;=1,'幕间与结算'!E270&lt;=4,MOD('幕间与结算'!E270,1)=0,ISNUMBER('幕间与结算'!I270),'幕间与结算'!I270&gt;=0,'幕间与结算'!I270&lt;=99,MOD('幕间与结算'!I270,1)=0,'幕间与结算'!F270="确认"),1,0)</f>
        <v>0</v>
      </c>
      <c r="C555">
        <f>IF(AND(B555=1,COUNTIFS($A$500:A555,A555,$B$500:B555,1,'幕间与结算'!$C$215:C270,'幕间与结算'!C270)=1),1,0)</f>
        <v>0</v>
      </c>
    </row>
    <row r="556">
      <c r="A556">
        <f>IFERROR(IF(AND(VALUE('幕间与结算'!B271)&gt;=1,VALUE('幕间与结算'!B271)&lt;=20),VALUE('幕间与结算'!B271),0),0)</f>
        <v>0</v>
      </c>
      <c r="B556">
        <f>IF(AND(A556&gt;0,'幕间与结算'!C271&lt;&gt;"",'幕间与结算'!D271&gt;0,ISNUMBER('幕间与结算'!E271),'幕间与结算'!E271&gt;=1,'幕间与结算'!E271&lt;=4,MOD('幕间与结算'!E271,1)=0,ISNUMBER('幕间与结算'!I271),'幕间与结算'!I271&gt;=0,'幕间与结算'!I271&lt;=99,MOD('幕间与结算'!I271,1)=0,'幕间与结算'!F271="确认"),1,0)</f>
        <v>0</v>
      </c>
      <c r="C556">
        <f>IF(AND(B556=1,COUNTIFS($A$500:A556,A556,$B$500:B556,1,'幕间与结算'!$C$215:C271,'幕间与结算'!C271)=1),1,0)</f>
        <v>0</v>
      </c>
    </row>
    <row r="557">
      <c r="A557">
        <f>IFERROR(IF(AND(VALUE('幕间与结算'!B272)&gt;=1,VALUE('幕间与结算'!B272)&lt;=20),VALUE('幕间与结算'!B272),0),0)</f>
        <v>0</v>
      </c>
      <c r="B557">
        <f>IF(AND(A557&gt;0,'幕间与结算'!C272&lt;&gt;"",'幕间与结算'!D272&gt;0,ISNUMBER('幕间与结算'!E272),'幕间与结算'!E272&gt;=1,'幕间与结算'!E272&lt;=4,MOD('幕间与结算'!E272,1)=0,ISNUMBER('幕间与结算'!I272),'幕间与结算'!I272&gt;=0,'幕间与结算'!I272&lt;=99,MOD('幕间与结算'!I272,1)=0,'幕间与结算'!F272="确认"),1,0)</f>
        <v>0</v>
      </c>
      <c r="C557">
        <f>IF(AND(B557=1,COUNTIFS($A$500:A557,A557,$B$500:B557,1,'幕间与结算'!$C$215:C272,'幕间与结算'!C272)=1),1,0)</f>
        <v>0</v>
      </c>
    </row>
    <row r="558">
      <c r="A558">
        <f>IFERROR(IF(AND(VALUE('幕间与结算'!B273)&gt;=1,VALUE('幕间与结算'!B273)&lt;=20),VALUE('幕间与结算'!B273),0),0)</f>
        <v>0</v>
      </c>
      <c r="B558">
        <f>IF(AND(A558&gt;0,'幕间与结算'!C273&lt;&gt;"",'幕间与结算'!D273&gt;0,ISNUMBER('幕间与结算'!E273),'幕间与结算'!E273&gt;=1,'幕间与结算'!E273&lt;=4,MOD('幕间与结算'!E273,1)=0,ISNUMBER('幕间与结算'!I273),'幕间与结算'!I273&gt;=0,'幕间与结算'!I273&lt;=99,MOD('幕间与结算'!I273,1)=0,'幕间与结算'!F273="确认"),1,0)</f>
        <v>0</v>
      </c>
      <c r="C558">
        <f>IF(AND(B558=1,COUNTIFS($A$500:A558,A558,$B$500:B558,1,'幕间与结算'!$C$215:C273,'幕间与结算'!C273)=1),1,0)</f>
        <v>0</v>
      </c>
    </row>
    <row r="559">
      <c r="A559">
        <f>IFERROR(IF(AND(VALUE('幕间与结算'!B274)&gt;=1,VALUE('幕间与结算'!B274)&lt;=20),VALUE('幕间与结算'!B274),0),0)</f>
        <v>0</v>
      </c>
      <c r="B559">
        <f>IF(AND(A559&gt;0,'幕间与结算'!C274&lt;&gt;"",'幕间与结算'!D274&gt;0,ISNUMBER('幕间与结算'!E274),'幕间与结算'!E274&gt;=1,'幕间与结算'!E274&lt;=4,MOD('幕间与结算'!E274,1)=0,ISNUMBER('幕间与结算'!I274),'幕间与结算'!I274&gt;=0,'幕间与结算'!I274&lt;=99,MOD('幕间与结算'!I274,1)=0,'幕间与结算'!F274="确认"),1,0)</f>
        <v>0</v>
      </c>
      <c r="C559">
        <f>IF(AND(B559=1,COUNTIFS($A$500:A559,A559,$B$500:B559,1,'幕间与结算'!$C$215:C274,'幕间与结算'!C274)=1),1,0)</f>
        <v>0</v>
      </c>
    </row>
    <row r="560">
      <c r="A560">
        <f>IFERROR(IF(AND(VALUE('幕间与结算'!B275)&gt;=1,VALUE('幕间与结算'!B275)&lt;=20),VALUE('幕间与结算'!B275),0),0)</f>
        <v>0</v>
      </c>
      <c r="B560">
        <f>IF(AND(A560&gt;0,'幕间与结算'!C275&lt;&gt;"",'幕间与结算'!D275&gt;0,ISNUMBER('幕间与结算'!E275),'幕间与结算'!E275&gt;=1,'幕间与结算'!E275&lt;=4,MOD('幕间与结算'!E275,1)=0,ISNUMBER('幕间与结算'!I275),'幕间与结算'!I275&gt;=0,'幕间与结算'!I275&lt;=99,MOD('幕间与结算'!I275,1)=0,'幕间与结算'!F275="确认"),1,0)</f>
        <v>0</v>
      </c>
      <c r="C560">
        <f>IF(AND(B560=1,COUNTIFS($A$500:A560,A560,$B$500:B560,1,'幕间与结算'!$C$215:C275,'幕间与结算'!C275)=1),1,0)</f>
        <v>0</v>
      </c>
    </row>
    <row r="561">
      <c r="A561">
        <f>IFERROR(IF(AND(VALUE('幕间与结算'!B276)&gt;=1,VALUE('幕间与结算'!B276)&lt;=20),VALUE('幕间与结算'!B276),0),0)</f>
        <v>0</v>
      </c>
      <c r="B561">
        <f>IF(AND(A561&gt;0,'幕间与结算'!C276&lt;&gt;"",'幕间与结算'!D276&gt;0,ISNUMBER('幕间与结算'!E276),'幕间与结算'!E276&gt;=1,'幕间与结算'!E276&lt;=4,MOD('幕间与结算'!E276,1)=0,ISNUMBER('幕间与结算'!I276),'幕间与结算'!I276&gt;=0,'幕间与结算'!I276&lt;=99,MOD('幕间与结算'!I276,1)=0,'幕间与结算'!F276="确认"),1,0)</f>
        <v>0</v>
      </c>
      <c r="C561">
        <f>IF(AND(B561=1,COUNTIFS($A$500:A561,A561,$B$500:B561,1,'幕间与结算'!$C$215:C276,'幕间与结算'!C276)=1),1,0)</f>
        <v>0</v>
      </c>
    </row>
    <row r="562">
      <c r="A562">
        <f>IFERROR(IF(AND(VALUE('幕间与结算'!B277)&gt;=1,VALUE('幕间与结算'!B277)&lt;=20),VALUE('幕间与结算'!B277),0),0)</f>
        <v>0</v>
      </c>
      <c r="B562">
        <f>IF(AND(A562&gt;0,'幕间与结算'!C277&lt;&gt;"",'幕间与结算'!D277&gt;0,ISNUMBER('幕间与结算'!E277),'幕间与结算'!E277&gt;=1,'幕间与结算'!E277&lt;=4,MOD('幕间与结算'!E277,1)=0,ISNUMBER('幕间与结算'!I277),'幕间与结算'!I277&gt;=0,'幕间与结算'!I277&lt;=99,MOD('幕间与结算'!I277,1)=0,'幕间与结算'!F277="确认"),1,0)</f>
        <v>0</v>
      </c>
      <c r="C562">
        <f>IF(AND(B562=1,COUNTIFS($A$500:A562,A562,$B$500:B562,1,'幕间与结算'!$C$215:C277,'幕间与结算'!C277)=1),1,0)</f>
        <v>0</v>
      </c>
    </row>
    <row r="563">
      <c r="A563">
        <f>IFERROR(IF(AND(VALUE('幕间与结算'!B278)&gt;=1,VALUE('幕间与结算'!B278)&lt;=20),VALUE('幕间与结算'!B278),0),0)</f>
        <v>0</v>
      </c>
      <c r="B563">
        <f>IF(AND(A563&gt;0,'幕间与结算'!C278&lt;&gt;"",'幕间与结算'!D278&gt;0,ISNUMBER('幕间与结算'!E278),'幕间与结算'!E278&gt;=1,'幕间与结算'!E278&lt;=4,MOD('幕间与结算'!E278,1)=0,ISNUMBER('幕间与结算'!I278),'幕间与结算'!I278&gt;=0,'幕间与结算'!I278&lt;=99,MOD('幕间与结算'!I278,1)=0,'幕间与结算'!F278="确认"),1,0)</f>
        <v>0</v>
      </c>
      <c r="C563">
        <f>IF(AND(B563=1,COUNTIFS($A$500:A563,A563,$B$500:B563,1,'幕间与结算'!$C$215:C278,'幕间与结算'!C278)=1),1,0)</f>
        <v>0</v>
      </c>
    </row>
    <row r="564">
      <c r="A564">
        <f>IFERROR(IF(AND(VALUE('幕间与结算'!B279)&gt;=1,VALUE('幕间与结算'!B279)&lt;=20),VALUE('幕间与结算'!B279),0),0)</f>
        <v>0</v>
      </c>
      <c r="B564">
        <f>IF(AND(A564&gt;0,'幕间与结算'!C279&lt;&gt;"",'幕间与结算'!D279&gt;0,ISNUMBER('幕间与结算'!E279),'幕间与结算'!E279&gt;=1,'幕间与结算'!E279&lt;=4,MOD('幕间与结算'!E279,1)=0,ISNUMBER('幕间与结算'!I279),'幕间与结算'!I279&gt;=0,'幕间与结算'!I279&lt;=99,MOD('幕间与结算'!I279,1)=0,'幕间与结算'!F279="确认"),1,0)</f>
        <v>0</v>
      </c>
      <c r="C564">
        <f>IF(AND(B564=1,COUNTIFS($A$500:A564,A564,$B$500:B564,1,'幕间与结算'!$C$215:C279,'幕间与结算'!C279)=1),1,0)</f>
        <v>0</v>
      </c>
    </row>
    <row r="565">
      <c r="A565">
        <f>IFERROR(IF(AND(VALUE('幕间与结算'!B280)&gt;=1,VALUE('幕间与结算'!B280)&lt;=20),VALUE('幕间与结算'!B280),0),0)</f>
        <v>0</v>
      </c>
      <c r="B565">
        <f>IF(AND(A565&gt;0,'幕间与结算'!C280&lt;&gt;"",'幕间与结算'!D280&gt;0,ISNUMBER('幕间与结算'!E280),'幕间与结算'!E280&gt;=1,'幕间与结算'!E280&lt;=4,MOD('幕间与结算'!E280,1)=0,ISNUMBER('幕间与结算'!I280),'幕间与结算'!I280&gt;=0,'幕间与结算'!I280&lt;=99,MOD('幕间与结算'!I280,1)=0,'幕间与结算'!F280="确认"),1,0)</f>
        <v>0</v>
      </c>
      <c r="C565">
        <f>IF(AND(B565=1,COUNTIFS($A$500:A565,A565,$B$500:B565,1,'幕间与结算'!$C$215:C280,'幕间与结算'!C280)=1),1,0)</f>
        <v>0</v>
      </c>
    </row>
    <row r="566">
      <c r="A566">
        <f>IFERROR(IF(AND(VALUE('幕间与结算'!B281)&gt;=1,VALUE('幕间与结算'!B281)&lt;=20),VALUE('幕间与结算'!B281),0),0)</f>
        <v>0</v>
      </c>
      <c r="B566">
        <f>IF(AND(A566&gt;0,'幕间与结算'!C281&lt;&gt;"",'幕间与结算'!D281&gt;0,ISNUMBER('幕间与结算'!E281),'幕间与结算'!E281&gt;=1,'幕间与结算'!E281&lt;=4,MOD('幕间与结算'!E281,1)=0,ISNUMBER('幕间与结算'!I281),'幕间与结算'!I281&gt;=0,'幕间与结算'!I281&lt;=99,MOD('幕间与结算'!I281,1)=0,'幕间与结算'!F281="确认"),1,0)</f>
        <v>0</v>
      </c>
      <c r="C566">
        <f>IF(AND(B566=1,COUNTIFS($A$500:A566,A566,$B$500:B566,1,'幕间与结算'!$C$215:C281,'幕间与结算'!C281)=1),1,0)</f>
        <v>0</v>
      </c>
    </row>
    <row r="567">
      <c r="A567">
        <f>IFERROR(IF(AND(VALUE('幕间与结算'!B282)&gt;=1,VALUE('幕间与结算'!B282)&lt;=20),VALUE('幕间与结算'!B282),0),0)</f>
        <v>0</v>
      </c>
      <c r="B567">
        <f>IF(AND(A567&gt;0,'幕间与结算'!C282&lt;&gt;"",'幕间与结算'!D282&gt;0,ISNUMBER('幕间与结算'!E282),'幕间与结算'!E282&gt;=1,'幕间与结算'!E282&lt;=4,MOD('幕间与结算'!E282,1)=0,ISNUMBER('幕间与结算'!I282),'幕间与结算'!I282&gt;=0,'幕间与结算'!I282&lt;=99,MOD('幕间与结算'!I282,1)=0,'幕间与结算'!F282="确认"),1,0)</f>
        <v>0</v>
      </c>
      <c r="C567">
        <f>IF(AND(B567=1,COUNTIFS($A$500:A567,A567,$B$500:B567,1,'幕间与结算'!$C$215:C282,'幕间与结算'!C282)=1),1,0)</f>
        <v>0</v>
      </c>
    </row>
    <row r="568">
      <c r="A568">
        <f>IFERROR(IF(AND(VALUE('幕间与结算'!B283)&gt;=1,VALUE('幕间与结算'!B283)&lt;=20),VALUE('幕间与结算'!B283),0),0)</f>
        <v>0</v>
      </c>
      <c r="B568">
        <f>IF(AND(A568&gt;0,'幕间与结算'!C283&lt;&gt;"",'幕间与结算'!D283&gt;0,ISNUMBER('幕间与结算'!E283),'幕间与结算'!E283&gt;=1,'幕间与结算'!E283&lt;=4,MOD('幕间与结算'!E283,1)=0,ISNUMBER('幕间与结算'!I283),'幕间与结算'!I283&gt;=0,'幕间与结算'!I283&lt;=99,MOD('幕间与结算'!I283,1)=0,'幕间与结算'!F283="确认"),1,0)</f>
        <v>0</v>
      </c>
      <c r="C568">
        <f>IF(AND(B568=1,COUNTIFS($A$500:A568,A568,$B$500:B568,1,'幕间与结算'!$C$215:C283,'幕间与结算'!C283)=1),1,0)</f>
        <v>0</v>
      </c>
    </row>
    <row r="569">
      <c r="A569">
        <f>IFERROR(IF(AND(VALUE('幕间与结算'!B284)&gt;=1,VALUE('幕间与结算'!B284)&lt;=20),VALUE('幕间与结算'!B284),0),0)</f>
        <v>0</v>
      </c>
      <c r="B569">
        <f>IF(AND(A569&gt;0,'幕间与结算'!C284&lt;&gt;"",'幕间与结算'!D284&gt;0,ISNUMBER('幕间与结算'!E284),'幕间与结算'!E284&gt;=1,'幕间与结算'!E284&lt;=4,MOD('幕间与结算'!E284,1)=0,ISNUMBER('幕间与结算'!I284),'幕间与结算'!I284&gt;=0,'幕间与结算'!I284&lt;=99,MOD('幕间与结算'!I284,1)=0,'幕间与结算'!F284="确认"),1,0)</f>
        <v>0</v>
      </c>
      <c r="C569">
        <f>IF(AND(B569=1,COUNTIFS($A$500:A569,A569,$B$500:B569,1,'幕间与结算'!$C$215:C284,'幕间与结算'!C284)=1),1,0)</f>
        <v>0</v>
      </c>
    </row>
    <row r="570">
      <c r="A570">
        <f>IFERROR(IF(AND(VALUE('幕间与结算'!B285)&gt;=1,VALUE('幕间与结算'!B285)&lt;=20),VALUE('幕间与结算'!B285),0),0)</f>
        <v>0</v>
      </c>
      <c r="B570">
        <f>IF(AND(A570&gt;0,'幕间与结算'!C285&lt;&gt;"",'幕间与结算'!D285&gt;0,ISNUMBER('幕间与结算'!E285),'幕间与结算'!E285&gt;=1,'幕间与结算'!E285&lt;=4,MOD('幕间与结算'!E285,1)=0,ISNUMBER('幕间与结算'!I285),'幕间与结算'!I285&gt;=0,'幕间与结算'!I285&lt;=99,MOD('幕间与结算'!I285,1)=0,'幕间与结算'!F285="确认"),1,0)</f>
        <v>0</v>
      </c>
      <c r="C570">
        <f>IF(AND(B570=1,COUNTIFS($A$500:A570,A570,$B$500:B570,1,'幕间与结算'!$C$215:C285,'幕间与结算'!C285)=1),1,0)</f>
        <v>0</v>
      </c>
    </row>
    <row r="571">
      <c r="A571">
        <f>IFERROR(IF(AND(VALUE('幕间与结算'!B286)&gt;=1,VALUE('幕间与结算'!B286)&lt;=20),VALUE('幕间与结算'!B286),0),0)</f>
        <v>0</v>
      </c>
      <c r="B571">
        <f>IF(AND(A571&gt;0,'幕间与结算'!C286&lt;&gt;"",'幕间与结算'!D286&gt;0,ISNUMBER('幕间与结算'!E286),'幕间与结算'!E286&gt;=1,'幕间与结算'!E286&lt;=4,MOD('幕间与结算'!E286,1)=0,ISNUMBER('幕间与结算'!I286),'幕间与结算'!I286&gt;=0,'幕间与结算'!I286&lt;=99,MOD('幕间与结算'!I286,1)=0,'幕间与结算'!F286="确认"),1,0)</f>
        <v>0</v>
      </c>
      <c r="C571">
        <f>IF(AND(B571=1,COUNTIFS($A$500:A571,A571,$B$500:B571,1,'幕间与结算'!$C$215:C286,'幕间与结算'!C286)=1),1,0)</f>
        <v>0</v>
      </c>
    </row>
    <row r="572">
      <c r="A572">
        <f>IFERROR(IF(AND(VALUE('幕间与结算'!B287)&gt;=1,VALUE('幕间与结算'!B287)&lt;=20),VALUE('幕间与结算'!B287),0),0)</f>
        <v>0</v>
      </c>
      <c r="B572">
        <f>IF(AND(A572&gt;0,'幕间与结算'!C287&lt;&gt;"",'幕间与结算'!D287&gt;0,ISNUMBER('幕间与结算'!E287),'幕间与结算'!E287&gt;=1,'幕间与结算'!E287&lt;=4,MOD('幕间与结算'!E287,1)=0,ISNUMBER('幕间与结算'!I287),'幕间与结算'!I287&gt;=0,'幕间与结算'!I287&lt;=99,MOD('幕间与结算'!I287,1)=0,'幕间与结算'!F287="确认"),1,0)</f>
        <v>0</v>
      </c>
      <c r="C572">
        <f>IF(AND(B572=1,COUNTIFS($A$500:A572,A572,$B$500:B572,1,'幕间与结算'!$C$215:C287,'幕间与结算'!C287)=1),1,0)</f>
        <v>0</v>
      </c>
    </row>
    <row r="573">
      <c r="A573">
        <f>IFERROR(IF(AND(VALUE('幕间与结算'!B288)&gt;=1,VALUE('幕间与结算'!B288)&lt;=20),VALUE('幕间与结算'!B288),0),0)</f>
        <v>0</v>
      </c>
      <c r="B573">
        <f>IF(AND(A573&gt;0,'幕间与结算'!C288&lt;&gt;"",'幕间与结算'!D288&gt;0,ISNUMBER('幕间与结算'!E288),'幕间与结算'!E288&gt;=1,'幕间与结算'!E288&lt;=4,MOD('幕间与结算'!E288,1)=0,ISNUMBER('幕间与结算'!I288),'幕间与结算'!I288&gt;=0,'幕间与结算'!I288&lt;=99,MOD('幕间与结算'!I288,1)=0,'幕间与结算'!F288="确认"),1,0)</f>
        <v>0</v>
      </c>
      <c r="C573">
        <f>IF(AND(B573=1,COUNTIFS($A$500:A573,A573,$B$500:B573,1,'幕间与结算'!$C$215:C288,'幕间与结算'!C288)=1),1,0)</f>
        <v>0</v>
      </c>
    </row>
    <row r="574">
      <c r="A574">
        <f>IFERROR(IF(AND(VALUE('幕间与结算'!B289)&gt;=1,VALUE('幕间与结算'!B289)&lt;=20),VALUE('幕间与结算'!B289),0),0)</f>
        <v>0</v>
      </c>
      <c r="B574">
        <f>IF(AND(A574&gt;0,'幕间与结算'!C289&lt;&gt;"",'幕间与结算'!D289&gt;0,ISNUMBER('幕间与结算'!E289),'幕间与结算'!E289&gt;=1,'幕间与结算'!E289&lt;=4,MOD('幕间与结算'!E289,1)=0,ISNUMBER('幕间与结算'!I289),'幕间与结算'!I289&gt;=0,'幕间与结算'!I289&lt;=99,MOD('幕间与结算'!I289,1)=0,'幕间与结算'!F289="确认"),1,0)</f>
        <v>0</v>
      </c>
      <c r="C574">
        <f>IF(AND(B574=1,COUNTIFS($A$500:A574,A574,$B$500:B574,1,'幕间与结算'!$C$215:C289,'幕间与结算'!C289)=1),1,0)</f>
        <v>0</v>
      </c>
    </row>
    <row r="575">
      <c r="A575">
        <f>IFERROR(IF(AND(VALUE('幕间与结算'!B290)&gt;=1,VALUE('幕间与结算'!B290)&lt;=20),VALUE('幕间与结算'!B290),0),0)</f>
        <v>0</v>
      </c>
      <c r="B575">
        <f>IF(AND(A575&gt;0,'幕间与结算'!C290&lt;&gt;"",'幕间与结算'!D290&gt;0,ISNUMBER('幕间与结算'!E290),'幕间与结算'!E290&gt;=1,'幕间与结算'!E290&lt;=4,MOD('幕间与结算'!E290,1)=0,ISNUMBER('幕间与结算'!I290),'幕间与结算'!I290&gt;=0,'幕间与结算'!I290&lt;=99,MOD('幕间与结算'!I290,1)=0,'幕间与结算'!F290="确认"),1,0)</f>
        <v>0</v>
      </c>
      <c r="C575">
        <f>IF(AND(B575=1,COUNTIFS($A$500:A575,A575,$B$500:B575,1,'幕间与结算'!$C$215:C290,'幕间与结算'!C290)=1),1,0)</f>
        <v>0</v>
      </c>
    </row>
    <row r="576">
      <c r="A576">
        <f>IFERROR(IF(AND(VALUE('幕间与结算'!B291)&gt;=1,VALUE('幕间与结算'!B291)&lt;=20),VALUE('幕间与结算'!B291),0),0)</f>
        <v>0</v>
      </c>
      <c r="B576">
        <f>IF(AND(A576&gt;0,'幕间与结算'!C291&lt;&gt;"",'幕间与结算'!D291&gt;0,ISNUMBER('幕间与结算'!E291),'幕间与结算'!E291&gt;=1,'幕间与结算'!E291&lt;=4,MOD('幕间与结算'!E291,1)=0,ISNUMBER('幕间与结算'!I291),'幕间与结算'!I291&gt;=0,'幕间与结算'!I291&lt;=99,MOD('幕间与结算'!I291,1)=0,'幕间与结算'!F291="确认"),1,0)</f>
        <v>0</v>
      </c>
      <c r="C576">
        <f>IF(AND(B576=1,COUNTIFS($A$500:A576,A576,$B$500:B576,1,'幕间与结算'!$C$215:C291,'幕间与结算'!C291)=1),1,0)</f>
        <v>0</v>
      </c>
    </row>
    <row r="577">
      <c r="A577">
        <f>IFERROR(IF(AND(VALUE('幕间与结算'!B292)&gt;=1,VALUE('幕间与结算'!B292)&lt;=20),VALUE('幕间与结算'!B292),0),0)</f>
        <v>0</v>
      </c>
      <c r="B577">
        <f>IF(AND(A577&gt;0,'幕间与结算'!C292&lt;&gt;"",'幕间与结算'!D292&gt;0,ISNUMBER('幕间与结算'!E292),'幕间与结算'!E292&gt;=1,'幕间与结算'!E292&lt;=4,MOD('幕间与结算'!E292,1)=0,ISNUMBER('幕间与结算'!I292),'幕间与结算'!I292&gt;=0,'幕间与结算'!I292&lt;=99,MOD('幕间与结算'!I292,1)=0,'幕间与结算'!F292="确认"),1,0)</f>
        <v>0</v>
      </c>
      <c r="C577">
        <f>IF(AND(B577=1,COUNTIFS($A$500:A577,A577,$B$500:B577,1,'幕间与结算'!$C$215:C292,'幕间与结算'!C292)=1),1,0)</f>
        <v>0</v>
      </c>
    </row>
    <row r="578">
      <c r="A578">
        <f>IFERROR(IF(AND(VALUE('幕间与结算'!B293)&gt;=1,VALUE('幕间与结算'!B293)&lt;=20),VALUE('幕间与结算'!B293),0),0)</f>
        <v>0</v>
      </c>
      <c r="B578">
        <f>IF(AND(A578&gt;0,'幕间与结算'!C293&lt;&gt;"",'幕间与结算'!D293&gt;0,ISNUMBER('幕间与结算'!E293),'幕间与结算'!E293&gt;=1,'幕间与结算'!E293&lt;=4,MOD('幕间与结算'!E293,1)=0,ISNUMBER('幕间与结算'!I293),'幕间与结算'!I293&gt;=0,'幕间与结算'!I293&lt;=99,MOD('幕间与结算'!I293,1)=0,'幕间与结算'!F293="确认"),1,0)</f>
        <v>0</v>
      </c>
      <c r="C578">
        <f>IF(AND(B578=1,COUNTIFS($A$500:A578,A578,$B$500:B578,1,'幕间与结算'!$C$215:C293,'幕间与结算'!C293)=1),1,0)</f>
        <v>0</v>
      </c>
    </row>
    <row r="579">
      <c r="A579">
        <f>IFERROR(IF(AND(VALUE('幕间与结算'!B294)&gt;=1,VALUE('幕间与结算'!B294)&lt;=20),VALUE('幕间与结算'!B294),0),0)</f>
        <v>0</v>
      </c>
      <c r="B579">
        <f>IF(AND(A579&gt;0,'幕间与结算'!C294&lt;&gt;"",'幕间与结算'!D294&gt;0,ISNUMBER('幕间与结算'!E294),'幕间与结算'!E294&gt;=1,'幕间与结算'!E294&lt;=4,MOD('幕间与结算'!E294,1)=0,ISNUMBER('幕间与结算'!I294),'幕间与结算'!I294&gt;=0,'幕间与结算'!I294&lt;=99,MOD('幕间与结算'!I294,1)=0,'幕间与结算'!F294="确认"),1,0)</f>
        <v>0</v>
      </c>
      <c r="C579">
        <f>IF(AND(B579=1,COUNTIFS($A$500:A579,A579,$B$500:B579,1,'幕间与结算'!$C$215:C294,'幕间与结算'!C294)=1),1,0)</f>
        <v>0</v>
      </c>
    </row>
    <row r="580">
      <c r="A580">
        <f>IFERROR(IF(AND(VALUE('幕间与结算'!B295)&gt;=1,VALUE('幕间与结算'!B295)&lt;=20),VALUE('幕间与结算'!B295),0),0)</f>
        <v>0</v>
      </c>
      <c r="B580">
        <f>IF(AND(A580&gt;0,'幕间与结算'!C295&lt;&gt;"",'幕间与结算'!D295&gt;0,ISNUMBER('幕间与结算'!E295),'幕间与结算'!E295&gt;=1,'幕间与结算'!E295&lt;=4,MOD('幕间与结算'!E295,1)=0,ISNUMBER('幕间与结算'!I295),'幕间与结算'!I295&gt;=0,'幕间与结算'!I295&lt;=99,MOD('幕间与结算'!I295,1)=0,'幕间与结算'!F295="确认"),1,0)</f>
        <v>0</v>
      </c>
      <c r="C580">
        <f>IF(AND(B580=1,COUNTIFS($A$500:A580,A580,$B$500:B580,1,'幕间与结算'!$C$215:C295,'幕间与结算'!C295)=1),1,0)</f>
        <v>0</v>
      </c>
    </row>
    <row r="581">
      <c r="A581">
        <f>IFERROR(IF(AND(VALUE('幕间与结算'!B296)&gt;=1,VALUE('幕间与结算'!B296)&lt;=20),VALUE('幕间与结算'!B296),0),0)</f>
        <v>0</v>
      </c>
      <c r="B581">
        <f>IF(AND(A581&gt;0,'幕间与结算'!C296&lt;&gt;"",'幕间与结算'!D296&gt;0,ISNUMBER('幕间与结算'!E296),'幕间与结算'!E296&gt;=1,'幕间与结算'!E296&lt;=4,MOD('幕间与结算'!E296,1)=0,ISNUMBER('幕间与结算'!I296),'幕间与结算'!I296&gt;=0,'幕间与结算'!I296&lt;=99,MOD('幕间与结算'!I296,1)=0,'幕间与结算'!F296="确认"),1,0)</f>
        <v>0</v>
      </c>
      <c r="C581">
        <f>IF(AND(B581=1,COUNTIFS($A$500:A581,A581,$B$500:B581,1,'幕间与结算'!$C$215:C296,'幕间与结算'!C296)=1),1,0)</f>
        <v>0</v>
      </c>
    </row>
    <row r="582">
      <c r="A582">
        <f>IFERROR(IF(AND(VALUE('幕间与结算'!B297)&gt;=1,VALUE('幕间与结算'!B297)&lt;=20),VALUE('幕间与结算'!B297),0),0)</f>
        <v>0</v>
      </c>
      <c r="B582">
        <f>IF(AND(A582&gt;0,'幕间与结算'!C297&lt;&gt;"",'幕间与结算'!D297&gt;0,ISNUMBER('幕间与结算'!E297),'幕间与结算'!E297&gt;=1,'幕间与结算'!E297&lt;=4,MOD('幕间与结算'!E297,1)=0,ISNUMBER('幕间与结算'!I297),'幕间与结算'!I297&gt;=0,'幕间与结算'!I297&lt;=99,MOD('幕间与结算'!I297,1)=0,'幕间与结算'!F297="确认"),1,0)</f>
        <v>0</v>
      </c>
      <c r="C582">
        <f>IF(AND(B582=1,COUNTIFS($A$500:A582,A582,$B$500:B582,1,'幕间与结算'!$C$215:C297,'幕间与结算'!C297)=1),1,0)</f>
        <v>0</v>
      </c>
    </row>
    <row r="583">
      <c r="A583">
        <f>IFERROR(IF(AND(VALUE('幕间与结算'!B298)&gt;=1,VALUE('幕间与结算'!B298)&lt;=20),VALUE('幕间与结算'!B298),0),0)</f>
        <v>0</v>
      </c>
      <c r="B583">
        <f>IF(AND(A583&gt;0,'幕间与结算'!C298&lt;&gt;"",'幕间与结算'!D298&gt;0,ISNUMBER('幕间与结算'!E298),'幕间与结算'!E298&gt;=1,'幕间与结算'!E298&lt;=4,MOD('幕间与结算'!E298,1)=0,ISNUMBER('幕间与结算'!I298),'幕间与结算'!I298&gt;=0,'幕间与结算'!I298&lt;=99,MOD('幕间与结算'!I298,1)=0,'幕间与结算'!F298="确认"),1,0)</f>
        <v>0</v>
      </c>
      <c r="C583">
        <f>IF(AND(B583=1,COUNTIFS($A$500:A583,A583,$B$500:B583,1,'幕间与结算'!$C$215:C298,'幕间与结算'!C298)=1),1,0)</f>
        <v>0</v>
      </c>
    </row>
    <row r="584">
      <c r="A584">
        <f>IFERROR(IF(AND(VALUE('幕间与结算'!B299)&gt;=1,VALUE('幕间与结算'!B299)&lt;=20),VALUE('幕间与结算'!B299),0),0)</f>
        <v>0</v>
      </c>
      <c r="B584">
        <f>IF(AND(A584&gt;0,'幕间与结算'!C299&lt;&gt;"",'幕间与结算'!D299&gt;0,ISNUMBER('幕间与结算'!E299),'幕间与结算'!E299&gt;=1,'幕间与结算'!E299&lt;=4,MOD('幕间与结算'!E299,1)=0,ISNUMBER('幕间与结算'!I299),'幕间与结算'!I299&gt;=0,'幕间与结算'!I299&lt;=99,MOD('幕间与结算'!I299,1)=0,'幕间与结算'!F299="确认"),1,0)</f>
        <v>0</v>
      </c>
      <c r="C584">
        <f>IF(AND(B584=1,COUNTIFS($A$500:A584,A584,$B$500:B584,1,'幕间与结算'!$C$215:C299,'幕间与结算'!C299)=1),1,0)</f>
        <v>0</v>
      </c>
    </row>
    <row r="585">
      <c r="A585">
        <f>IFERROR(IF(AND(VALUE('幕间与结算'!B300)&gt;=1,VALUE('幕间与结算'!B300)&lt;=20),VALUE('幕间与结算'!B300),0),0)</f>
        <v>0</v>
      </c>
      <c r="B585">
        <f>IF(AND(A585&gt;0,'幕间与结算'!C300&lt;&gt;"",'幕间与结算'!D300&gt;0,ISNUMBER('幕间与结算'!E300),'幕间与结算'!E300&gt;=1,'幕间与结算'!E300&lt;=4,MOD('幕间与结算'!E300,1)=0,ISNUMBER('幕间与结算'!I300),'幕间与结算'!I300&gt;=0,'幕间与结算'!I300&lt;=99,MOD('幕间与结算'!I300,1)=0,'幕间与结算'!F300="确认"),1,0)</f>
        <v>0</v>
      </c>
      <c r="C585">
        <f>IF(AND(B585=1,COUNTIFS($A$500:A585,A585,$B$500:B585,1,'幕间与结算'!$C$215:C300,'幕间与结算'!C300)=1),1,0)</f>
        <v>0</v>
      </c>
    </row>
    <row r="586">
      <c r="A586">
        <f>IFERROR(IF(AND(VALUE('幕间与结算'!B301)&gt;=1,VALUE('幕间与结算'!B301)&lt;=20),VALUE('幕间与结算'!B301),0),0)</f>
        <v>0</v>
      </c>
      <c r="B586">
        <f>IF(AND(A586&gt;0,'幕间与结算'!C301&lt;&gt;"",'幕间与结算'!D301&gt;0,ISNUMBER('幕间与结算'!E301),'幕间与结算'!E301&gt;=1,'幕间与结算'!E301&lt;=4,MOD('幕间与结算'!E301,1)=0,ISNUMBER('幕间与结算'!I301),'幕间与结算'!I301&gt;=0,'幕间与结算'!I301&lt;=99,MOD('幕间与结算'!I301,1)=0,'幕间与结算'!F301="确认"),1,0)</f>
        <v>0</v>
      </c>
      <c r="C586">
        <f>IF(AND(B586=1,COUNTIFS($A$500:A586,A586,$B$500:B586,1,'幕间与结算'!$C$215:C301,'幕间与结算'!C301)=1),1,0)</f>
        <v>0</v>
      </c>
    </row>
    <row r="587">
      <c r="A587">
        <f>IFERROR(IF(AND(VALUE('幕间与结算'!B302)&gt;=1,VALUE('幕间与结算'!B302)&lt;=20),VALUE('幕间与结算'!B302),0),0)</f>
        <v>0</v>
      </c>
      <c r="B587">
        <f>IF(AND(A587&gt;0,'幕间与结算'!C302&lt;&gt;"",'幕间与结算'!D302&gt;0,ISNUMBER('幕间与结算'!E302),'幕间与结算'!E302&gt;=1,'幕间与结算'!E302&lt;=4,MOD('幕间与结算'!E302,1)=0,ISNUMBER('幕间与结算'!I302),'幕间与结算'!I302&gt;=0,'幕间与结算'!I302&lt;=99,MOD('幕间与结算'!I302,1)=0,'幕间与结算'!F302="确认"),1,0)</f>
        <v>0</v>
      </c>
      <c r="C587">
        <f>IF(AND(B587=1,COUNTIFS($A$500:A587,A587,$B$500:B587,1,'幕间与结算'!$C$215:C302,'幕间与结算'!C302)=1),1,0)</f>
        <v>0</v>
      </c>
    </row>
    <row r="588">
      <c r="A588">
        <f>IFERROR(IF(AND(VALUE('幕间与结算'!B303)&gt;=1,VALUE('幕间与结算'!B303)&lt;=20),VALUE('幕间与结算'!B303),0),0)</f>
        <v>0</v>
      </c>
      <c r="B588">
        <f>IF(AND(A588&gt;0,'幕间与结算'!C303&lt;&gt;"",'幕间与结算'!D303&gt;0,ISNUMBER('幕间与结算'!E303),'幕间与结算'!E303&gt;=1,'幕间与结算'!E303&lt;=4,MOD('幕间与结算'!E303,1)=0,ISNUMBER('幕间与结算'!I303),'幕间与结算'!I303&gt;=0,'幕间与结算'!I303&lt;=99,MOD('幕间与结算'!I303,1)=0,'幕间与结算'!F303="确认"),1,0)</f>
        <v>0</v>
      </c>
      <c r="C588">
        <f>IF(AND(B588=1,COUNTIFS($A$500:A588,A588,$B$500:B588,1,'幕间与结算'!$C$215:C303,'幕间与结算'!C303)=1),1,0)</f>
        <v>0</v>
      </c>
    </row>
    <row r="589">
      <c r="A589">
        <f>IFERROR(IF(AND(VALUE('幕间与结算'!B304)&gt;=1,VALUE('幕间与结算'!B304)&lt;=20),VALUE('幕间与结算'!B304),0),0)</f>
        <v>0</v>
      </c>
      <c r="B589">
        <f>IF(AND(A589&gt;0,'幕间与结算'!C304&lt;&gt;"",'幕间与结算'!D304&gt;0,ISNUMBER('幕间与结算'!E304),'幕间与结算'!E304&gt;=1,'幕间与结算'!E304&lt;=4,MOD('幕间与结算'!E304,1)=0,ISNUMBER('幕间与结算'!I304),'幕间与结算'!I304&gt;=0,'幕间与结算'!I304&lt;=99,MOD('幕间与结算'!I304,1)=0,'幕间与结算'!F304="确认"),1,0)</f>
        <v>0</v>
      </c>
      <c r="C589">
        <f>IF(AND(B589=1,COUNTIFS($A$500:A589,A589,$B$500:B589,1,'幕间与结算'!$C$215:C304,'幕间与结算'!C304)=1),1,0)</f>
        <v>0</v>
      </c>
    </row>
    <row r="590">
      <c r="A590">
        <f>IFERROR(IF(AND(VALUE('幕间与结算'!B305)&gt;=1,VALUE('幕间与结算'!B305)&lt;=20),VALUE('幕间与结算'!B305),0),0)</f>
        <v>0</v>
      </c>
      <c r="B590">
        <f>IF(AND(A590&gt;0,'幕间与结算'!C305&lt;&gt;"",'幕间与结算'!D305&gt;0,ISNUMBER('幕间与结算'!E305),'幕间与结算'!E305&gt;=1,'幕间与结算'!E305&lt;=4,MOD('幕间与结算'!E305,1)=0,ISNUMBER('幕间与结算'!I305),'幕间与结算'!I305&gt;=0,'幕间与结算'!I305&lt;=99,MOD('幕间与结算'!I305,1)=0,'幕间与结算'!F305="确认"),1,0)</f>
        <v>0</v>
      </c>
      <c r="C590">
        <f>IF(AND(B590=1,COUNTIFS($A$500:A590,A590,$B$500:B590,1,'幕间与结算'!$C$215:C305,'幕间与结算'!C305)=1),1,0)</f>
        <v>0</v>
      </c>
    </row>
    <row r="591">
      <c r="A591">
        <f>IFERROR(IF(AND(VALUE('幕间与结算'!B306)&gt;=1,VALUE('幕间与结算'!B306)&lt;=20),VALUE('幕间与结算'!B306),0),0)</f>
        <v>0</v>
      </c>
      <c r="B591">
        <f>IF(AND(A591&gt;0,'幕间与结算'!C306&lt;&gt;"",'幕间与结算'!D306&gt;0,ISNUMBER('幕间与结算'!E306),'幕间与结算'!E306&gt;=1,'幕间与结算'!E306&lt;=4,MOD('幕间与结算'!E306,1)=0,ISNUMBER('幕间与结算'!I306),'幕间与结算'!I306&gt;=0,'幕间与结算'!I306&lt;=99,MOD('幕间与结算'!I306,1)=0,'幕间与结算'!F306="确认"),1,0)</f>
        <v>0</v>
      </c>
      <c r="C591">
        <f>IF(AND(B591=1,COUNTIFS($A$500:A591,A591,$B$500:B591,1,'幕间与结算'!$C$215:C306,'幕间与结算'!C306)=1),1,0)</f>
        <v>0</v>
      </c>
    </row>
    <row r="592">
      <c r="A592">
        <f>IFERROR(IF(AND(VALUE('幕间与结算'!B307)&gt;=1,VALUE('幕间与结算'!B307)&lt;=20),VALUE('幕间与结算'!B307),0),0)</f>
        <v>0</v>
      </c>
      <c r="B592">
        <f>IF(AND(A592&gt;0,'幕间与结算'!C307&lt;&gt;"",'幕间与结算'!D307&gt;0,ISNUMBER('幕间与结算'!E307),'幕间与结算'!E307&gt;=1,'幕间与结算'!E307&lt;=4,MOD('幕间与结算'!E307,1)=0,ISNUMBER('幕间与结算'!I307),'幕间与结算'!I307&gt;=0,'幕间与结算'!I307&lt;=99,MOD('幕间与结算'!I307,1)=0,'幕间与结算'!F307="确认"),1,0)</f>
        <v>0</v>
      </c>
      <c r="C592">
        <f>IF(AND(B592=1,COUNTIFS($A$500:A592,A592,$B$500:B592,1,'幕间与结算'!$C$215:C307,'幕间与结算'!C307)=1),1,0)</f>
        <v>0</v>
      </c>
    </row>
    <row r="593">
      <c r="A593">
        <f>IFERROR(IF(AND(VALUE('幕间与结算'!B308)&gt;=1,VALUE('幕间与结算'!B308)&lt;=20),VALUE('幕间与结算'!B308),0),0)</f>
        <v>0</v>
      </c>
      <c r="B593">
        <f>IF(AND(A593&gt;0,'幕间与结算'!C308&lt;&gt;"",'幕间与结算'!D308&gt;0,ISNUMBER('幕间与结算'!E308),'幕间与结算'!E308&gt;=1,'幕间与结算'!E308&lt;=4,MOD('幕间与结算'!E308,1)=0,ISNUMBER('幕间与结算'!I308),'幕间与结算'!I308&gt;=0,'幕间与结算'!I308&lt;=99,MOD('幕间与结算'!I308,1)=0,'幕间与结算'!F308="确认"),1,0)</f>
        <v>0</v>
      </c>
      <c r="C593">
        <f>IF(AND(B593=1,COUNTIFS($A$500:A593,A593,$B$500:B593,1,'幕间与结算'!$C$215:C308,'幕间与结算'!C308)=1),1,0)</f>
        <v>0</v>
      </c>
    </row>
    <row r="594">
      <c r="A594">
        <f>IFERROR(IF(AND(VALUE('幕间与结算'!B309)&gt;=1,VALUE('幕间与结算'!B309)&lt;=20),VALUE('幕间与结算'!B309),0),0)</f>
        <v>0</v>
      </c>
      <c r="B594">
        <f>IF(AND(A594&gt;0,'幕间与结算'!C309&lt;&gt;"",'幕间与结算'!D309&gt;0,ISNUMBER('幕间与结算'!E309),'幕间与结算'!E309&gt;=1,'幕间与结算'!E309&lt;=4,MOD('幕间与结算'!E309,1)=0,ISNUMBER('幕间与结算'!I309),'幕间与结算'!I309&gt;=0,'幕间与结算'!I309&lt;=99,MOD('幕间与结算'!I309,1)=0,'幕间与结算'!F309="确认"),1,0)</f>
        <v>0</v>
      </c>
      <c r="C594">
        <f>IF(AND(B594=1,COUNTIFS($A$500:A594,A594,$B$500:B594,1,'幕间与结算'!$C$215:C309,'幕间与结算'!C309)=1),1,0)</f>
        <v>0</v>
      </c>
    </row>
    <row r="595">
      <c r="A595">
        <f>IFERROR(IF(AND(VALUE('幕间与结算'!B310)&gt;=1,VALUE('幕间与结算'!B310)&lt;=20),VALUE('幕间与结算'!B310),0),0)</f>
        <v>0</v>
      </c>
      <c r="B595">
        <f>IF(AND(A595&gt;0,'幕间与结算'!C310&lt;&gt;"",'幕间与结算'!D310&gt;0,ISNUMBER('幕间与结算'!E310),'幕间与结算'!E310&gt;=1,'幕间与结算'!E310&lt;=4,MOD('幕间与结算'!E310,1)=0,ISNUMBER('幕间与结算'!I310),'幕间与结算'!I310&gt;=0,'幕间与结算'!I310&lt;=99,MOD('幕间与结算'!I310,1)=0,'幕间与结算'!F310="确认"),1,0)</f>
        <v>0</v>
      </c>
      <c r="C595">
        <f>IF(AND(B595=1,COUNTIFS($A$500:A595,A595,$B$500:B595,1,'幕间与结算'!$C$215:C310,'幕间与结算'!C310)=1),1,0)</f>
        <v>0</v>
      </c>
    </row>
    <row r="596">
      <c r="A596">
        <f>IFERROR(IF(AND(VALUE('幕间与结算'!B311)&gt;=1,VALUE('幕间与结算'!B311)&lt;=20),VALUE('幕间与结算'!B311),0),0)</f>
        <v>0</v>
      </c>
      <c r="B596">
        <f>IF(AND(A596&gt;0,'幕间与结算'!C311&lt;&gt;"",'幕间与结算'!D311&gt;0,ISNUMBER('幕间与结算'!E311),'幕间与结算'!E311&gt;=1,'幕间与结算'!E311&lt;=4,MOD('幕间与结算'!E311,1)=0,ISNUMBER('幕间与结算'!I311),'幕间与结算'!I311&gt;=0,'幕间与结算'!I311&lt;=99,MOD('幕间与结算'!I311,1)=0,'幕间与结算'!F311="确认"),1,0)</f>
        <v>0</v>
      </c>
      <c r="C596">
        <f>IF(AND(B596=1,COUNTIFS($A$500:A596,A596,$B$500:B596,1,'幕间与结算'!$C$215:C311,'幕间与结算'!C311)=1),1,0)</f>
        <v>0</v>
      </c>
    </row>
    <row r="597">
      <c r="A597">
        <f>IFERROR(IF(AND(VALUE('幕间与结算'!B312)&gt;=1,VALUE('幕间与结算'!B312)&lt;=20),VALUE('幕间与结算'!B312),0),0)</f>
        <v>0</v>
      </c>
      <c r="B597">
        <f>IF(AND(A597&gt;0,'幕间与结算'!C312&lt;&gt;"",'幕间与结算'!D312&gt;0,ISNUMBER('幕间与结算'!E312),'幕间与结算'!E312&gt;=1,'幕间与结算'!E312&lt;=4,MOD('幕间与结算'!E312,1)=0,ISNUMBER('幕间与结算'!I312),'幕间与结算'!I312&gt;=0,'幕间与结算'!I312&lt;=99,MOD('幕间与结算'!I312,1)=0,'幕间与结算'!F312="确认"),1,0)</f>
        <v>0</v>
      </c>
      <c r="C597">
        <f>IF(AND(B597=1,COUNTIFS($A$500:A597,A597,$B$500:B597,1,'幕间与结算'!$C$215:C312,'幕间与结算'!C312)=1),1,0)</f>
        <v>0</v>
      </c>
    </row>
    <row r="598">
      <c r="A598">
        <f>IFERROR(IF(AND(VALUE('幕间与结算'!B313)&gt;=1,VALUE('幕间与结算'!B313)&lt;=20),VALUE('幕间与结算'!B313),0),0)</f>
        <v>0</v>
      </c>
      <c r="B598">
        <f>IF(AND(A598&gt;0,'幕间与结算'!C313&lt;&gt;"",'幕间与结算'!D313&gt;0,ISNUMBER('幕间与结算'!E313),'幕间与结算'!E313&gt;=1,'幕间与结算'!E313&lt;=4,MOD('幕间与结算'!E313,1)=0,ISNUMBER('幕间与结算'!I313),'幕间与结算'!I313&gt;=0,'幕间与结算'!I313&lt;=99,MOD('幕间与结算'!I313,1)=0,'幕间与结算'!F313="确认"),1,0)</f>
        <v>0</v>
      </c>
      <c r="C598">
        <f>IF(AND(B598=1,COUNTIFS($A$500:A598,A598,$B$500:B598,1,'幕间与结算'!$C$215:C313,'幕间与结算'!C313)=1),1,0)</f>
        <v>0</v>
      </c>
    </row>
    <row r="599">
      <c r="A599">
        <f>IFERROR(IF(AND(VALUE('幕间与结算'!B314)&gt;=1,VALUE('幕间与结算'!B314)&lt;=20),VALUE('幕间与结算'!B314),0),0)</f>
        <v>0</v>
      </c>
      <c r="B599">
        <f>IF(AND(A599&gt;0,'幕间与结算'!C314&lt;&gt;"",'幕间与结算'!D314&gt;0,ISNUMBER('幕间与结算'!E314),'幕间与结算'!E314&gt;=1,'幕间与结算'!E314&lt;=4,MOD('幕间与结算'!E314,1)=0,ISNUMBER('幕间与结算'!I314),'幕间与结算'!I314&gt;=0,'幕间与结算'!I314&lt;=99,MOD('幕间与结算'!I314,1)=0,'幕间与结算'!F314="确认"),1,0)</f>
        <v>0</v>
      </c>
      <c r="C599">
        <f>IF(AND(B599=1,COUNTIFS($A$500:A599,A599,$B$500:B599,1,'幕间与结算'!$C$215:C314,'幕间与结算'!C314)=1),1,0)</f>
        <v>0</v>
      </c>
    </row>
    <row r="600">
      <c r="A600">
        <f>IFERROR(IF(AND(VALUE('幕间与结算'!B315)&gt;=1,VALUE('幕间与结算'!B315)&lt;=20),VALUE('幕间与结算'!B315),0),0)</f>
        <v>0</v>
      </c>
      <c r="B600">
        <f>IF(AND(A600&gt;0,'幕间与结算'!C315&lt;&gt;"",'幕间与结算'!D315&gt;0,ISNUMBER('幕间与结算'!E315),'幕间与结算'!E315&gt;=1,'幕间与结算'!E315&lt;=4,MOD('幕间与结算'!E315,1)=0,ISNUMBER('幕间与结算'!I315),'幕间与结算'!I315&gt;=0,'幕间与结算'!I315&lt;=99,MOD('幕间与结算'!I315,1)=0,'幕间与结算'!F315="确认"),1,0)</f>
        <v>0</v>
      </c>
      <c r="C600">
        <f>IF(AND(B600=1,COUNTIFS($A$500:A600,A600,$B$500:B600,1,'幕间与结算'!$C$215:C315,'幕间与结算'!C315)=1),1,0)</f>
        <v>0</v>
      </c>
    </row>
    <row r="601">
      <c r="A601">
        <f>IFERROR(IF(AND(VALUE('幕间与结算'!B316)&gt;=1,VALUE('幕间与结算'!B316)&lt;=20),VALUE('幕间与结算'!B316),0),0)</f>
        <v>0</v>
      </c>
      <c r="B601">
        <f>IF(AND(A601&gt;0,'幕间与结算'!C316&lt;&gt;"",'幕间与结算'!D316&gt;0,ISNUMBER('幕间与结算'!E316),'幕间与结算'!E316&gt;=1,'幕间与结算'!E316&lt;=4,MOD('幕间与结算'!E316,1)=0,ISNUMBER('幕间与结算'!I316),'幕间与结算'!I316&gt;=0,'幕间与结算'!I316&lt;=99,MOD('幕间与结算'!I316,1)=0,'幕间与结算'!F316="确认"),1,0)</f>
        <v>0</v>
      </c>
      <c r="C601">
        <f>IF(AND(B601=1,COUNTIFS($A$500:A601,A601,$B$500:B601,1,'幕间与结算'!$C$215:C316,'幕间与结算'!C316)=1),1,0)</f>
        <v>0</v>
      </c>
    </row>
    <row r="602">
      <c r="A602">
        <f>IFERROR(IF(AND(VALUE('幕间与结算'!B317)&gt;=1,VALUE('幕间与结算'!B317)&lt;=20),VALUE('幕间与结算'!B317),0),0)</f>
        <v>0</v>
      </c>
      <c r="B602">
        <f>IF(AND(A602&gt;0,'幕间与结算'!C317&lt;&gt;"",'幕间与结算'!D317&gt;0,ISNUMBER('幕间与结算'!E317),'幕间与结算'!E317&gt;=1,'幕间与结算'!E317&lt;=4,MOD('幕间与结算'!E317,1)=0,ISNUMBER('幕间与结算'!I317),'幕间与结算'!I317&gt;=0,'幕间与结算'!I317&lt;=99,MOD('幕间与结算'!I317,1)=0,'幕间与结算'!F317="确认"),1,0)</f>
        <v>0</v>
      </c>
      <c r="C602">
        <f>IF(AND(B602=1,COUNTIFS($A$500:A602,A602,$B$500:B602,1,'幕间与结算'!$C$215:C317,'幕间与结算'!C317)=1),1,0)</f>
        <v>0</v>
      </c>
    </row>
    <row r="603">
      <c r="A603">
        <f>IFERROR(IF(AND(VALUE('幕间与结算'!B318)&gt;=1,VALUE('幕间与结算'!B318)&lt;=20),VALUE('幕间与结算'!B318),0),0)</f>
        <v>0</v>
      </c>
      <c r="B603">
        <f>IF(AND(A603&gt;0,'幕间与结算'!C318&lt;&gt;"",'幕间与结算'!D318&gt;0,ISNUMBER('幕间与结算'!E318),'幕间与结算'!E318&gt;=1,'幕间与结算'!E318&lt;=4,MOD('幕间与结算'!E318,1)=0,ISNUMBER('幕间与结算'!I318),'幕间与结算'!I318&gt;=0,'幕间与结算'!I318&lt;=99,MOD('幕间与结算'!I318,1)=0,'幕间与结算'!F318="确认"),1,0)</f>
        <v>0</v>
      </c>
      <c r="C603">
        <f>IF(AND(B603=1,COUNTIFS($A$500:A603,A603,$B$500:B603,1,'幕间与结算'!$C$215:C318,'幕间与结算'!C318)=1),1,0)</f>
        <v>0</v>
      </c>
    </row>
    <row r="604">
      <c r="A604">
        <f>IFERROR(IF(AND(VALUE('幕间与结算'!B319)&gt;=1,VALUE('幕间与结算'!B319)&lt;=20),VALUE('幕间与结算'!B319),0),0)</f>
        <v>0</v>
      </c>
      <c r="B604">
        <f>IF(AND(A604&gt;0,'幕间与结算'!C319&lt;&gt;"",'幕间与结算'!D319&gt;0,ISNUMBER('幕间与结算'!E319),'幕间与结算'!E319&gt;=1,'幕间与结算'!E319&lt;=4,MOD('幕间与结算'!E319,1)=0,ISNUMBER('幕间与结算'!I319),'幕间与结算'!I319&gt;=0,'幕间与结算'!I319&lt;=99,MOD('幕间与结算'!I319,1)=0,'幕间与结算'!F319="确认"),1,0)</f>
        <v>0</v>
      </c>
      <c r="C604">
        <f>IF(AND(B604=1,COUNTIFS($A$500:A604,A604,$B$500:B604,1,'幕间与结算'!$C$215:C319,'幕间与结算'!C319)=1),1,0)</f>
        <v>0</v>
      </c>
    </row>
    <row r="605">
      <c r="A605">
        <f>IFERROR(IF(AND(VALUE('幕间与结算'!B320)&gt;=1,VALUE('幕间与结算'!B320)&lt;=20),VALUE('幕间与结算'!B320),0),0)</f>
        <v>0</v>
      </c>
      <c r="B605">
        <f>IF(AND(A605&gt;0,'幕间与结算'!C320&lt;&gt;"",'幕间与结算'!D320&gt;0,ISNUMBER('幕间与结算'!E320),'幕间与结算'!E320&gt;=1,'幕间与结算'!E320&lt;=4,MOD('幕间与结算'!E320,1)=0,ISNUMBER('幕间与结算'!I320),'幕间与结算'!I320&gt;=0,'幕间与结算'!I320&lt;=99,MOD('幕间与结算'!I320,1)=0,'幕间与结算'!F320="确认"),1,0)</f>
        <v>0</v>
      </c>
      <c r="C605">
        <f>IF(AND(B605=1,COUNTIFS($A$500:A605,A605,$B$500:B605,1,'幕间与结算'!$C$215:C320,'幕间与结算'!C320)=1),1,0)</f>
        <v>0</v>
      </c>
    </row>
    <row r="606">
      <c r="A606">
        <f>IFERROR(IF(AND(VALUE('幕间与结算'!B321)&gt;=1,VALUE('幕间与结算'!B321)&lt;=20),VALUE('幕间与结算'!B321),0),0)</f>
        <v>0</v>
      </c>
      <c r="B606">
        <f>IF(AND(A606&gt;0,'幕间与结算'!C321&lt;&gt;"",'幕间与结算'!D321&gt;0,ISNUMBER('幕间与结算'!E321),'幕间与结算'!E321&gt;=1,'幕间与结算'!E321&lt;=4,MOD('幕间与结算'!E321,1)=0,ISNUMBER('幕间与结算'!I321),'幕间与结算'!I321&gt;=0,'幕间与结算'!I321&lt;=99,MOD('幕间与结算'!I321,1)=0,'幕间与结算'!F321="确认"),1,0)</f>
        <v>0</v>
      </c>
      <c r="C606">
        <f>IF(AND(B606=1,COUNTIFS($A$500:A606,A606,$B$500:B606,1,'幕间与结算'!$C$215:C321,'幕间与结算'!C321)=1),1,0)</f>
        <v>0</v>
      </c>
    </row>
    <row r="607">
      <c r="A607">
        <f>IFERROR(IF(AND(VALUE('幕间与结算'!B322)&gt;=1,VALUE('幕间与结算'!B322)&lt;=20),VALUE('幕间与结算'!B322),0),0)</f>
        <v>0</v>
      </c>
      <c r="B607">
        <f>IF(AND(A607&gt;0,'幕间与结算'!C322&lt;&gt;"",'幕间与结算'!D322&gt;0,ISNUMBER('幕间与结算'!E322),'幕间与结算'!E322&gt;=1,'幕间与结算'!E322&lt;=4,MOD('幕间与结算'!E322,1)=0,ISNUMBER('幕间与结算'!I322),'幕间与结算'!I322&gt;=0,'幕间与结算'!I322&lt;=99,MOD('幕间与结算'!I322,1)=0,'幕间与结算'!F322="确认"),1,0)</f>
        <v>0</v>
      </c>
      <c r="C607">
        <f>IF(AND(B607=1,COUNTIFS($A$500:A607,A607,$B$500:B607,1,'幕间与结算'!$C$215:C322,'幕间与结算'!C322)=1),1,0)</f>
        <v>0</v>
      </c>
    </row>
    <row r="608">
      <c r="A608">
        <f>IFERROR(IF(AND(VALUE('幕间与结算'!B323)&gt;=1,VALUE('幕间与结算'!B323)&lt;=20),VALUE('幕间与结算'!B323),0),0)</f>
        <v>0</v>
      </c>
      <c r="B608">
        <f>IF(AND(A608&gt;0,'幕间与结算'!C323&lt;&gt;"",'幕间与结算'!D323&gt;0,ISNUMBER('幕间与结算'!E323),'幕间与结算'!E323&gt;=1,'幕间与结算'!E323&lt;=4,MOD('幕间与结算'!E323,1)=0,ISNUMBER('幕间与结算'!I323),'幕间与结算'!I323&gt;=0,'幕间与结算'!I323&lt;=99,MOD('幕间与结算'!I323,1)=0,'幕间与结算'!F323="确认"),1,0)</f>
        <v>0</v>
      </c>
      <c r="C608">
        <f>IF(AND(B608=1,COUNTIFS($A$500:A608,A608,$B$500:B608,1,'幕间与结算'!$C$215:C323,'幕间与结算'!C323)=1),1,0)</f>
        <v>0</v>
      </c>
    </row>
    <row r="609">
      <c r="A609">
        <f>IFERROR(IF(AND(VALUE('幕间与结算'!B324)&gt;=1,VALUE('幕间与结算'!B324)&lt;=20),VALUE('幕间与结算'!B324),0),0)</f>
        <v>0</v>
      </c>
      <c r="B609">
        <f>IF(AND(A609&gt;0,'幕间与结算'!C324&lt;&gt;"",'幕间与结算'!D324&gt;0,ISNUMBER('幕间与结算'!E324),'幕间与结算'!E324&gt;=1,'幕间与结算'!E324&lt;=4,MOD('幕间与结算'!E324,1)=0,ISNUMBER('幕间与结算'!I324),'幕间与结算'!I324&gt;=0,'幕间与结算'!I324&lt;=99,MOD('幕间与结算'!I324,1)=0,'幕间与结算'!F324="确认"),1,0)</f>
        <v>0</v>
      </c>
      <c r="C609">
        <f>IF(AND(B609=1,COUNTIFS($A$500:A609,A609,$B$500:B609,1,'幕间与结算'!$C$215:C324,'幕间与结算'!C324)=1),1,0)</f>
        <v>0</v>
      </c>
    </row>
    <row r="610">
      <c r="A610">
        <f>IFERROR(IF(AND(VALUE('幕间与结算'!B325)&gt;=1,VALUE('幕间与结算'!B325)&lt;=20),VALUE('幕间与结算'!B325),0),0)</f>
        <v>0</v>
      </c>
      <c r="B610">
        <f>IF(AND(A610&gt;0,'幕间与结算'!C325&lt;&gt;"",'幕间与结算'!D325&gt;0,ISNUMBER('幕间与结算'!E325),'幕间与结算'!E325&gt;=1,'幕间与结算'!E325&lt;=4,MOD('幕间与结算'!E325,1)=0,ISNUMBER('幕间与结算'!I325),'幕间与结算'!I325&gt;=0,'幕间与结算'!I325&lt;=99,MOD('幕间与结算'!I325,1)=0,'幕间与结算'!F325="确认"),1,0)</f>
        <v>0</v>
      </c>
      <c r="C610">
        <f>IF(AND(B610=1,COUNTIFS($A$500:A610,A610,$B$500:B610,1,'幕间与结算'!$C$215:C325,'幕间与结算'!C325)=1),1,0)</f>
        <v>0</v>
      </c>
    </row>
    <row r="611">
      <c r="A611">
        <f>IFERROR(IF(AND(VALUE('幕间与结算'!B326)&gt;=1,VALUE('幕间与结算'!B326)&lt;=20),VALUE('幕间与结算'!B326),0),0)</f>
        <v>0</v>
      </c>
      <c r="B611">
        <f>IF(AND(A611&gt;0,'幕间与结算'!C326&lt;&gt;"",'幕间与结算'!D326&gt;0,ISNUMBER('幕间与结算'!E326),'幕间与结算'!E326&gt;=1,'幕间与结算'!E326&lt;=4,MOD('幕间与结算'!E326,1)=0,ISNUMBER('幕间与结算'!I326),'幕间与结算'!I326&gt;=0,'幕间与结算'!I326&lt;=99,MOD('幕间与结算'!I326,1)=0,'幕间与结算'!F326="确认"),1,0)</f>
        <v>0</v>
      </c>
      <c r="C611">
        <f>IF(AND(B611=1,COUNTIFS($A$500:A611,A611,$B$500:B611,1,'幕间与结算'!$C$215:C326,'幕间与结算'!C326)=1),1,0)</f>
        <v>0</v>
      </c>
    </row>
    <row r="612">
      <c r="A612">
        <f>IFERROR(IF(AND(VALUE('幕间与结算'!B327)&gt;=1,VALUE('幕间与结算'!B327)&lt;=20),VALUE('幕间与结算'!B327),0),0)</f>
        <v>0</v>
      </c>
      <c r="B612">
        <f>IF(AND(A612&gt;0,'幕间与结算'!C327&lt;&gt;"",'幕间与结算'!D327&gt;0,ISNUMBER('幕间与结算'!E327),'幕间与结算'!E327&gt;=1,'幕间与结算'!E327&lt;=4,MOD('幕间与结算'!E327,1)=0,ISNUMBER('幕间与结算'!I327),'幕间与结算'!I327&gt;=0,'幕间与结算'!I327&lt;=99,MOD('幕间与结算'!I327,1)=0,'幕间与结算'!F327="确认"),1,0)</f>
        <v>0</v>
      </c>
      <c r="C612">
        <f>IF(AND(B612=1,COUNTIFS($A$500:A612,A612,$B$500:B612,1,'幕间与结算'!$C$215:C327,'幕间与结算'!C327)=1),1,0)</f>
        <v>0</v>
      </c>
    </row>
    <row r="613">
      <c r="A613">
        <f>IFERROR(IF(AND(VALUE('幕间与结算'!B328)&gt;=1,VALUE('幕间与结算'!B328)&lt;=20),VALUE('幕间与结算'!B328),0),0)</f>
        <v>0</v>
      </c>
      <c r="B613">
        <f>IF(AND(A613&gt;0,'幕间与结算'!C328&lt;&gt;"",'幕间与结算'!D328&gt;0,ISNUMBER('幕间与结算'!E328),'幕间与结算'!E328&gt;=1,'幕间与结算'!E328&lt;=4,MOD('幕间与结算'!E328,1)=0,ISNUMBER('幕间与结算'!I328),'幕间与结算'!I328&gt;=0,'幕间与结算'!I328&lt;=99,MOD('幕间与结算'!I328,1)=0,'幕间与结算'!F328="确认"),1,0)</f>
        <v>0</v>
      </c>
      <c r="C613">
        <f>IF(AND(B613=1,COUNTIFS($A$500:A613,A613,$B$500:B613,1,'幕间与结算'!$C$215:C328,'幕间与结算'!C328)=1),1,0)</f>
        <v>0</v>
      </c>
    </row>
    <row r="614">
      <c r="A614">
        <f>IFERROR(IF(AND(VALUE('幕间与结算'!B329)&gt;=1,VALUE('幕间与结算'!B329)&lt;=20),VALUE('幕间与结算'!B329),0),0)</f>
        <v>0</v>
      </c>
      <c r="B614">
        <f>IF(AND(A614&gt;0,'幕间与结算'!C329&lt;&gt;"",'幕间与结算'!D329&gt;0,ISNUMBER('幕间与结算'!E329),'幕间与结算'!E329&gt;=1,'幕间与结算'!E329&lt;=4,MOD('幕间与结算'!E329,1)=0,ISNUMBER('幕间与结算'!I329),'幕间与结算'!I329&gt;=0,'幕间与结算'!I329&lt;=99,MOD('幕间与结算'!I329,1)=0,'幕间与结算'!F329="确认"),1,0)</f>
        <v>0</v>
      </c>
      <c r="C614">
        <f>IF(AND(B614=1,COUNTIFS($A$500:A614,A614,$B$500:B614,1,'幕间与结算'!$C$215:C329,'幕间与结算'!C329)=1),1,0)</f>
        <v>0</v>
      </c>
    </row>
    <row r="615">
      <c r="A615">
        <f>IFERROR(IF(AND(VALUE('幕间与结算'!B330)&gt;=1,VALUE('幕间与结算'!B330)&lt;=20),VALUE('幕间与结算'!B330),0),0)</f>
        <v>0</v>
      </c>
      <c r="B615">
        <f>IF(AND(A615&gt;0,'幕间与结算'!C330&lt;&gt;"",'幕间与结算'!D330&gt;0,ISNUMBER('幕间与结算'!E330),'幕间与结算'!E330&gt;=1,'幕间与结算'!E330&lt;=4,MOD('幕间与结算'!E330,1)=0,ISNUMBER('幕间与结算'!I330),'幕间与结算'!I330&gt;=0,'幕间与结算'!I330&lt;=99,MOD('幕间与结算'!I330,1)=0,'幕间与结算'!F330="确认"),1,0)</f>
        <v>0</v>
      </c>
      <c r="C615">
        <f>IF(AND(B615=1,COUNTIFS($A$500:A615,A615,$B$500:B615,1,'幕间与结算'!$C$215:C330,'幕间与结算'!C330)=1),1,0)</f>
        <v>0</v>
      </c>
    </row>
    <row r="616">
      <c r="A616">
        <f>IFERROR(IF(AND(VALUE('幕间与结算'!B331)&gt;=1,VALUE('幕间与结算'!B331)&lt;=20),VALUE('幕间与结算'!B331),0),0)</f>
        <v>0</v>
      </c>
      <c r="B616">
        <f>IF(AND(A616&gt;0,'幕间与结算'!C331&lt;&gt;"",'幕间与结算'!D331&gt;0,ISNUMBER('幕间与结算'!E331),'幕间与结算'!E331&gt;=1,'幕间与结算'!E331&lt;=4,MOD('幕间与结算'!E331,1)=0,ISNUMBER('幕间与结算'!I331),'幕间与结算'!I331&gt;=0,'幕间与结算'!I331&lt;=99,MOD('幕间与结算'!I331,1)=0,'幕间与结算'!F331="确认"),1,0)</f>
        <v>0</v>
      </c>
      <c r="C616">
        <f>IF(AND(B616=1,COUNTIFS($A$500:A616,A616,$B$500:B616,1,'幕间与结算'!$C$215:C331,'幕间与结算'!C331)=1),1,0)</f>
        <v>0</v>
      </c>
    </row>
    <row r="617">
      <c r="A617">
        <f>IFERROR(IF(AND(VALUE('幕间与结算'!B332)&gt;=1,VALUE('幕间与结算'!B332)&lt;=20),VALUE('幕间与结算'!B332),0),0)</f>
        <v>0</v>
      </c>
      <c r="B617">
        <f>IF(AND(A617&gt;0,'幕间与结算'!C332&lt;&gt;"",'幕间与结算'!D332&gt;0,ISNUMBER('幕间与结算'!E332),'幕间与结算'!E332&gt;=1,'幕间与结算'!E332&lt;=4,MOD('幕间与结算'!E332,1)=0,ISNUMBER('幕间与结算'!I332),'幕间与结算'!I332&gt;=0,'幕间与结算'!I332&lt;=99,MOD('幕间与结算'!I332,1)=0,'幕间与结算'!F332="确认"),1,0)</f>
        <v>0</v>
      </c>
      <c r="C617">
        <f>IF(AND(B617=1,COUNTIFS($A$500:A617,A617,$B$500:B617,1,'幕间与结算'!$C$215:C332,'幕间与结算'!C332)=1),1,0)</f>
        <v>0</v>
      </c>
    </row>
    <row r="618">
      <c r="A618">
        <f>IFERROR(IF(AND(VALUE('幕间与结算'!B333)&gt;=1,VALUE('幕间与结算'!B333)&lt;=20),VALUE('幕间与结算'!B333),0),0)</f>
        <v>0</v>
      </c>
      <c r="B618">
        <f>IF(AND(A618&gt;0,'幕间与结算'!C333&lt;&gt;"",'幕间与结算'!D333&gt;0,ISNUMBER('幕间与结算'!E333),'幕间与结算'!E333&gt;=1,'幕间与结算'!E333&lt;=4,MOD('幕间与结算'!E333,1)=0,ISNUMBER('幕间与结算'!I333),'幕间与结算'!I333&gt;=0,'幕间与结算'!I333&lt;=99,MOD('幕间与结算'!I333,1)=0,'幕间与结算'!F333="确认"),1,0)</f>
        <v>0</v>
      </c>
      <c r="C618">
        <f>IF(AND(B618=1,COUNTIFS($A$500:A618,A618,$B$500:B618,1,'幕间与结算'!$C$215:C333,'幕间与结算'!C333)=1),1,0)</f>
        <v>0</v>
      </c>
    </row>
    <row r="619">
      <c r="A619">
        <f>IFERROR(IF(AND(VALUE('幕间与结算'!B334)&gt;=1,VALUE('幕间与结算'!B334)&lt;=20),VALUE('幕间与结算'!B334),0),0)</f>
        <v>0</v>
      </c>
      <c r="B619">
        <f>IF(AND(A619&gt;0,'幕间与结算'!C334&lt;&gt;"",'幕间与结算'!D334&gt;0,ISNUMBER('幕间与结算'!E334),'幕间与结算'!E334&gt;=1,'幕间与结算'!E334&lt;=4,MOD('幕间与结算'!E334,1)=0,ISNUMBER('幕间与结算'!I334),'幕间与结算'!I334&gt;=0,'幕间与结算'!I334&lt;=99,MOD('幕间与结算'!I334,1)=0,'幕间与结算'!F334="确认"),1,0)</f>
        <v>0</v>
      </c>
      <c r="C619">
        <f>IF(AND(B619=1,COUNTIFS($A$500:A619,A619,$B$500:B619,1,'幕间与结算'!$C$215:C334,'幕间与结算'!C334)=1),1,0)</f>
        <v>0</v>
      </c>
    </row>
    <row r="620">
      <c r="A620">
        <f>IFERROR(IF(AND(VALUE('幕间与结算'!B335)&gt;=1,VALUE('幕间与结算'!B335)&lt;=20),VALUE('幕间与结算'!B335),0),0)</f>
        <v>0</v>
      </c>
      <c r="B620">
        <f>IF(AND(A620&gt;0,'幕间与结算'!C335&lt;&gt;"",'幕间与结算'!D335&gt;0,ISNUMBER('幕间与结算'!E335),'幕间与结算'!E335&gt;=1,'幕间与结算'!E335&lt;=4,MOD('幕间与结算'!E335,1)=0,ISNUMBER('幕间与结算'!I335),'幕间与结算'!I335&gt;=0,'幕间与结算'!I335&lt;=99,MOD('幕间与结算'!I335,1)=0,'幕间与结算'!F335="确认"),1,0)</f>
        <v>0</v>
      </c>
      <c r="C620">
        <f>IF(AND(B620=1,COUNTIFS($A$500:A620,A620,$B$500:B620,1,'幕间与结算'!$C$215:C335,'幕间与结算'!C335)=1),1,0)</f>
        <v>0</v>
      </c>
    </row>
    <row r="621">
      <c r="A621">
        <f>IFERROR(IF(AND(VALUE('幕间与结算'!B336)&gt;=1,VALUE('幕间与结算'!B336)&lt;=20),VALUE('幕间与结算'!B336),0),0)</f>
        <v>0</v>
      </c>
      <c r="B621">
        <f>IF(AND(A621&gt;0,'幕间与结算'!C336&lt;&gt;"",'幕间与结算'!D336&gt;0,ISNUMBER('幕间与结算'!E336),'幕间与结算'!E336&gt;=1,'幕间与结算'!E336&lt;=4,MOD('幕间与结算'!E336,1)=0,ISNUMBER('幕间与结算'!I336),'幕间与结算'!I336&gt;=0,'幕间与结算'!I336&lt;=99,MOD('幕间与结算'!I336,1)=0,'幕间与结算'!F336="确认"),1,0)</f>
        <v>0</v>
      </c>
      <c r="C621">
        <f>IF(AND(B621=1,COUNTIFS($A$500:A621,A621,$B$500:B621,1,'幕间与结算'!$C$215:C336,'幕间与结算'!C336)=1),1,0)</f>
        <v>0</v>
      </c>
    </row>
    <row r="622">
      <c r="A622">
        <f>IFERROR(IF(AND(VALUE('幕间与结算'!B337)&gt;=1,VALUE('幕间与结算'!B337)&lt;=20),VALUE('幕间与结算'!B337),0),0)</f>
        <v>0</v>
      </c>
      <c r="B622">
        <f>IF(AND(A622&gt;0,'幕间与结算'!C337&lt;&gt;"",'幕间与结算'!D337&gt;0,ISNUMBER('幕间与结算'!E337),'幕间与结算'!E337&gt;=1,'幕间与结算'!E337&lt;=4,MOD('幕间与结算'!E337,1)=0,ISNUMBER('幕间与结算'!I337),'幕间与结算'!I337&gt;=0,'幕间与结算'!I337&lt;=99,MOD('幕间与结算'!I337,1)=0,'幕间与结算'!F337="确认"),1,0)</f>
        <v>0</v>
      </c>
      <c r="C622">
        <f>IF(AND(B622=1,COUNTIFS($A$500:A622,A622,$B$500:B622,1,'幕间与结算'!$C$215:C337,'幕间与结算'!C337)=1),1,0)</f>
        <v>0</v>
      </c>
    </row>
    <row r="623">
      <c r="A623">
        <f>IFERROR(IF(AND(VALUE('幕间与结算'!B338)&gt;=1,VALUE('幕间与结算'!B338)&lt;=20),VALUE('幕间与结算'!B338),0),0)</f>
        <v>0</v>
      </c>
      <c r="B623">
        <f>IF(AND(A623&gt;0,'幕间与结算'!C338&lt;&gt;"",'幕间与结算'!D338&gt;0,ISNUMBER('幕间与结算'!E338),'幕间与结算'!E338&gt;=1,'幕间与结算'!E338&lt;=4,MOD('幕间与结算'!E338,1)=0,ISNUMBER('幕间与结算'!I338),'幕间与结算'!I338&gt;=0,'幕间与结算'!I338&lt;=99,MOD('幕间与结算'!I338,1)=0,'幕间与结算'!F338="确认"),1,0)</f>
        <v>0</v>
      </c>
      <c r="C623">
        <f>IF(AND(B623=1,COUNTIFS($A$500:A623,A623,$B$500:B623,1,'幕间与结算'!$C$215:C338,'幕间与结算'!C338)=1),1,0)</f>
        <v>0</v>
      </c>
    </row>
    <row r="624">
      <c r="A624">
        <f>IFERROR(IF(AND(VALUE('幕间与结算'!B339)&gt;=1,VALUE('幕间与结算'!B339)&lt;=20),VALUE('幕间与结算'!B339),0),0)</f>
        <v>0</v>
      </c>
      <c r="B624">
        <f>IF(AND(A624&gt;0,'幕间与结算'!C339&lt;&gt;"",'幕间与结算'!D339&gt;0,ISNUMBER('幕间与结算'!E339),'幕间与结算'!E339&gt;=1,'幕间与结算'!E339&lt;=4,MOD('幕间与结算'!E339,1)=0,ISNUMBER('幕间与结算'!I339),'幕间与结算'!I339&gt;=0,'幕间与结算'!I339&lt;=99,MOD('幕间与结算'!I339,1)=0,'幕间与结算'!F339="确认"),1,0)</f>
        <v>0</v>
      </c>
      <c r="C624">
        <f>IF(AND(B624=1,COUNTIFS($A$500:A624,A624,$B$500:B624,1,'幕间与结算'!$C$215:C339,'幕间与结算'!C339)=1),1,0)</f>
        <v>0</v>
      </c>
    </row>
    <row r="625">
      <c r="A625">
        <f>IFERROR(IF(AND(VALUE('幕间与结算'!B340)&gt;=1,VALUE('幕间与结算'!B340)&lt;=20),VALUE('幕间与结算'!B340),0),0)</f>
        <v>0</v>
      </c>
      <c r="B625">
        <f>IF(AND(A625&gt;0,'幕间与结算'!C340&lt;&gt;"",'幕间与结算'!D340&gt;0,ISNUMBER('幕间与结算'!E340),'幕间与结算'!E340&gt;=1,'幕间与结算'!E340&lt;=4,MOD('幕间与结算'!E340,1)=0,ISNUMBER('幕间与结算'!I340),'幕间与结算'!I340&gt;=0,'幕间与结算'!I340&lt;=99,MOD('幕间与结算'!I340,1)=0,'幕间与结算'!F340="确认"),1,0)</f>
        <v>0</v>
      </c>
      <c r="C625">
        <f>IF(AND(B625=1,COUNTIFS($A$500:A625,A625,$B$500:B625,1,'幕间与结算'!$C$215:C340,'幕间与结算'!C340)=1),1,0)</f>
        <v>0</v>
      </c>
    </row>
    <row r="626">
      <c r="A626">
        <f>IFERROR(IF(AND(VALUE('幕间与结算'!B341)&gt;=1,VALUE('幕间与结算'!B341)&lt;=20),VALUE('幕间与结算'!B341),0),0)</f>
        <v>0</v>
      </c>
      <c r="B626">
        <f>IF(AND(A626&gt;0,'幕间与结算'!C341&lt;&gt;"",'幕间与结算'!D341&gt;0,ISNUMBER('幕间与结算'!E341),'幕间与结算'!E341&gt;=1,'幕间与结算'!E341&lt;=4,MOD('幕间与结算'!E341,1)=0,ISNUMBER('幕间与结算'!I341),'幕间与结算'!I341&gt;=0,'幕间与结算'!I341&lt;=99,MOD('幕间与结算'!I341,1)=0,'幕间与结算'!F341="确认"),1,0)</f>
        <v>0</v>
      </c>
      <c r="C626">
        <f>IF(AND(B626=1,COUNTIFS($A$500:A626,A626,$B$500:B626,1,'幕间与结算'!$C$215:C341,'幕间与结算'!C341)=1),1,0)</f>
        <v>0</v>
      </c>
    </row>
    <row r="627">
      <c r="A627">
        <f>IFERROR(IF(AND(VALUE('幕间与结算'!B342)&gt;=1,VALUE('幕间与结算'!B342)&lt;=20),VALUE('幕间与结算'!B342),0),0)</f>
        <v>0</v>
      </c>
      <c r="B627">
        <f>IF(AND(A627&gt;0,'幕间与结算'!C342&lt;&gt;"",'幕间与结算'!D342&gt;0,ISNUMBER('幕间与结算'!E342),'幕间与结算'!E342&gt;=1,'幕间与结算'!E342&lt;=4,MOD('幕间与结算'!E342,1)=0,ISNUMBER('幕间与结算'!I342),'幕间与结算'!I342&gt;=0,'幕间与结算'!I342&lt;=99,MOD('幕间与结算'!I342,1)=0,'幕间与结算'!F342="确认"),1,0)</f>
        <v>0</v>
      </c>
      <c r="C627">
        <f>IF(AND(B627=1,COUNTIFS($A$500:A627,A627,$B$500:B627,1,'幕间与结算'!$C$215:C342,'幕间与结算'!C342)=1),1,0)</f>
        <v>0</v>
      </c>
    </row>
    <row r="628">
      <c r="A628">
        <f>IFERROR(IF(AND(VALUE('幕间与结算'!B343)&gt;=1,VALUE('幕间与结算'!B343)&lt;=20),VALUE('幕间与结算'!B343),0),0)</f>
        <v>0</v>
      </c>
      <c r="B628">
        <f>IF(AND(A628&gt;0,'幕间与结算'!C343&lt;&gt;"",'幕间与结算'!D343&gt;0,ISNUMBER('幕间与结算'!E343),'幕间与结算'!E343&gt;=1,'幕间与结算'!E343&lt;=4,MOD('幕间与结算'!E343,1)=0,ISNUMBER('幕间与结算'!I343),'幕间与结算'!I343&gt;=0,'幕间与结算'!I343&lt;=99,MOD('幕间与结算'!I343,1)=0,'幕间与结算'!F343="确认"),1,0)</f>
        <v>0</v>
      </c>
      <c r="C628">
        <f>IF(AND(B628=1,COUNTIFS($A$500:A628,A628,$B$500:B628,1,'幕间与结算'!$C$215:C343,'幕间与结算'!C343)=1),1,0)</f>
        <v>0</v>
      </c>
    </row>
    <row r="629">
      <c r="A629">
        <f>IFERROR(IF(AND(VALUE('幕间与结算'!B344)&gt;=1,VALUE('幕间与结算'!B344)&lt;=20),VALUE('幕间与结算'!B344),0),0)</f>
        <v>0</v>
      </c>
      <c r="B629">
        <f>IF(AND(A629&gt;0,'幕间与结算'!C344&lt;&gt;"",'幕间与结算'!D344&gt;0,ISNUMBER('幕间与结算'!E344),'幕间与结算'!E344&gt;=1,'幕间与结算'!E344&lt;=4,MOD('幕间与结算'!E344,1)=0,ISNUMBER('幕间与结算'!I344),'幕间与结算'!I344&gt;=0,'幕间与结算'!I344&lt;=99,MOD('幕间与结算'!I344,1)=0,'幕间与结算'!F344="确认"),1,0)</f>
        <v>0</v>
      </c>
      <c r="C629">
        <f>IF(AND(B629=1,COUNTIFS($A$500:A629,A629,$B$500:B629,1,'幕间与结算'!$C$215:C344,'幕间与结算'!C344)=1),1,0)</f>
        <v>0</v>
      </c>
    </row>
    <row r="630">
      <c r="A630">
        <f>IFERROR(IF(AND(VALUE('幕间与结算'!B345)&gt;=1,VALUE('幕间与结算'!B345)&lt;=20),VALUE('幕间与结算'!B345),0),0)</f>
        <v>0</v>
      </c>
      <c r="B630">
        <f>IF(AND(A630&gt;0,'幕间与结算'!C345&lt;&gt;"",'幕间与结算'!D345&gt;0,ISNUMBER('幕间与结算'!E345),'幕间与结算'!E345&gt;=1,'幕间与结算'!E345&lt;=4,MOD('幕间与结算'!E345,1)=0,ISNUMBER('幕间与结算'!I345),'幕间与结算'!I345&gt;=0,'幕间与结算'!I345&lt;=99,MOD('幕间与结算'!I345,1)=0,'幕间与结算'!F345="确认"),1,0)</f>
        <v>0</v>
      </c>
      <c r="C630">
        <f>IF(AND(B630=1,COUNTIFS($A$500:A630,A630,$B$500:B630,1,'幕间与结算'!$C$215:C345,'幕间与结算'!C345)=1),1,0)</f>
        <v>0</v>
      </c>
    </row>
    <row r="631">
      <c r="A631">
        <f>IFERROR(IF(AND(VALUE('幕间与结算'!B346)&gt;=1,VALUE('幕间与结算'!B346)&lt;=20),VALUE('幕间与结算'!B346),0),0)</f>
        <v>0</v>
      </c>
      <c r="B631">
        <f>IF(AND(A631&gt;0,'幕间与结算'!C346&lt;&gt;"",'幕间与结算'!D346&gt;0,ISNUMBER('幕间与结算'!E346),'幕间与结算'!E346&gt;=1,'幕间与结算'!E346&lt;=4,MOD('幕间与结算'!E346,1)=0,ISNUMBER('幕间与结算'!I346),'幕间与结算'!I346&gt;=0,'幕间与结算'!I346&lt;=99,MOD('幕间与结算'!I346,1)=0,'幕间与结算'!F346="确认"),1,0)</f>
        <v>0</v>
      </c>
      <c r="C631">
        <f>IF(AND(B631=1,COUNTIFS($A$500:A631,A631,$B$500:B631,1,'幕间与结算'!$C$215:C346,'幕间与结算'!C346)=1),1,0)</f>
        <v>0</v>
      </c>
    </row>
    <row r="632">
      <c r="A632">
        <f>IFERROR(IF(AND(VALUE('幕间与结算'!B347)&gt;=1,VALUE('幕间与结算'!B347)&lt;=20),VALUE('幕间与结算'!B347),0),0)</f>
        <v>0</v>
      </c>
      <c r="B632">
        <f>IF(AND(A632&gt;0,'幕间与结算'!C347&lt;&gt;"",'幕间与结算'!D347&gt;0,ISNUMBER('幕间与结算'!E347),'幕间与结算'!E347&gt;=1,'幕间与结算'!E347&lt;=4,MOD('幕间与结算'!E347,1)=0,ISNUMBER('幕间与结算'!I347),'幕间与结算'!I347&gt;=0,'幕间与结算'!I347&lt;=99,MOD('幕间与结算'!I347,1)=0,'幕间与结算'!F347="确认"),1,0)</f>
        <v>0</v>
      </c>
      <c r="C632">
        <f>IF(AND(B632=1,COUNTIFS($A$500:A632,A632,$B$500:B632,1,'幕间与结算'!$C$215:C347,'幕间与结算'!C347)=1),1,0)</f>
        <v>0</v>
      </c>
    </row>
    <row r="633">
      <c r="A633">
        <f>IFERROR(IF(AND(VALUE('幕间与结算'!B348)&gt;=1,VALUE('幕间与结算'!B348)&lt;=20),VALUE('幕间与结算'!B348),0),0)</f>
        <v>0</v>
      </c>
      <c r="B633">
        <f>IF(AND(A633&gt;0,'幕间与结算'!C348&lt;&gt;"",'幕间与结算'!D348&gt;0,ISNUMBER('幕间与结算'!E348),'幕间与结算'!E348&gt;=1,'幕间与结算'!E348&lt;=4,MOD('幕间与结算'!E348,1)=0,ISNUMBER('幕间与结算'!I348),'幕间与结算'!I348&gt;=0,'幕间与结算'!I348&lt;=99,MOD('幕间与结算'!I348,1)=0,'幕间与结算'!F348="确认"),1,0)</f>
        <v>0</v>
      </c>
      <c r="C633">
        <f>IF(AND(B633=1,COUNTIFS($A$500:A633,A633,$B$500:B633,1,'幕间与结算'!$C$215:C348,'幕间与结算'!C348)=1),1,0)</f>
        <v>0</v>
      </c>
    </row>
    <row r="634">
      <c r="A634">
        <f>IFERROR(IF(AND(VALUE('幕间与结算'!B349)&gt;=1,VALUE('幕间与结算'!B349)&lt;=20),VALUE('幕间与结算'!B349),0),0)</f>
        <v>0</v>
      </c>
      <c r="B634">
        <f>IF(AND(A634&gt;0,'幕间与结算'!C349&lt;&gt;"",'幕间与结算'!D349&gt;0,ISNUMBER('幕间与结算'!E349),'幕间与结算'!E349&gt;=1,'幕间与结算'!E349&lt;=4,MOD('幕间与结算'!E349,1)=0,ISNUMBER('幕间与结算'!I349),'幕间与结算'!I349&gt;=0,'幕间与结算'!I349&lt;=99,MOD('幕间与结算'!I349,1)=0,'幕间与结算'!F349="确认"),1,0)</f>
        <v>0</v>
      </c>
      <c r="C634">
        <f>IF(AND(B634=1,COUNTIFS($A$500:A634,A634,$B$500:B634,1,'幕间与结算'!$C$215:C349,'幕间与结算'!C349)=1),1,0)</f>
        <v>0</v>
      </c>
    </row>
    <row r="635">
      <c r="A635">
        <f>IFERROR(IF(AND(VALUE('幕间与结算'!B350)&gt;=1,VALUE('幕间与结算'!B350)&lt;=20),VALUE('幕间与结算'!B350),0),0)</f>
        <v>0</v>
      </c>
      <c r="B635">
        <f>IF(AND(A635&gt;0,'幕间与结算'!C350&lt;&gt;"",'幕间与结算'!D350&gt;0,ISNUMBER('幕间与结算'!E350),'幕间与结算'!E350&gt;=1,'幕间与结算'!E350&lt;=4,MOD('幕间与结算'!E350,1)=0,ISNUMBER('幕间与结算'!I350),'幕间与结算'!I350&gt;=0,'幕间与结算'!I350&lt;=99,MOD('幕间与结算'!I350,1)=0,'幕间与结算'!F350="确认"),1,0)</f>
        <v>0</v>
      </c>
      <c r="C635">
        <f>IF(AND(B635=1,COUNTIFS($A$500:A635,A635,$B$500:B635,1,'幕间与结算'!$C$215:C350,'幕间与结算'!C350)=1),1,0)</f>
        <v>0</v>
      </c>
    </row>
    <row r="636">
      <c r="A636">
        <f>IFERROR(IF(AND(VALUE('幕间与结算'!B351)&gt;=1,VALUE('幕间与结算'!B351)&lt;=20),VALUE('幕间与结算'!B351),0),0)</f>
        <v>0</v>
      </c>
      <c r="B636">
        <f>IF(AND(A636&gt;0,'幕间与结算'!C351&lt;&gt;"",'幕间与结算'!D351&gt;0,ISNUMBER('幕间与结算'!E351),'幕间与结算'!E351&gt;=1,'幕间与结算'!E351&lt;=4,MOD('幕间与结算'!E351,1)=0,ISNUMBER('幕间与结算'!I351),'幕间与结算'!I351&gt;=0,'幕间与结算'!I351&lt;=99,MOD('幕间与结算'!I351,1)=0,'幕间与结算'!F351="确认"),1,0)</f>
        <v>0</v>
      </c>
      <c r="C636">
        <f>IF(AND(B636=1,COUNTIFS($A$500:A636,A636,$B$500:B636,1,'幕间与结算'!$C$215:C351,'幕间与结算'!C351)=1),1,0)</f>
        <v>0</v>
      </c>
    </row>
    <row r="637">
      <c r="A637">
        <f>IFERROR(IF(AND(VALUE('幕间与结算'!B352)&gt;=1,VALUE('幕间与结算'!B352)&lt;=20),VALUE('幕间与结算'!B352),0),0)</f>
        <v>0</v>
      </c>
      <c r="B637">
        <f>IF(AND(A637&gt;0,'幕间与结算'!C352&lt;&gt;"",'幕间与结算'!D352&gt;0,ISNUMBER('幕间与结算'!E352),'幕间与结算'!E352&gt;=1,'幕间与结算'!E352&lt;=4,MOD('幕间与结算'!E352,1)=0,ISNUMBER('幕间与结算'!I352),'幕间与结算'!I352&gt;=0,'幕间与结算'!I352&lt;=99,MOD('幕间与结算'!I352,1)=0,'幕间与结算'!F352="确认"),1,0)</f>
        <v>0</v>
      </c>
      <c r="C637">
        <f>IF(AND(B637=1,COUNTIFS($A$500:A637,A637,$B$500:B637,1,'幕间与结算'!$C$215:C352,'幕间与结算'!C352)=1),1,0)</f>
        <v>0</v>
      </c>
    </row>
    <row r="638">
      <c r="A638">
        <f>IFERROR(IF(AND(VALUE('幕间与结算'!B353)&gt;=1,VALUE('幕间与结算'!B353)&lt;=20),VALUE('幕间与结算'!B353),0),0)</f>
        <v>0</v>
      </c>
      <c r="B638">
        <f>IF(AND(A638&gt;0,'幕间与结算'!C353&lt;&gt;"",'幕间与结算'!D353&gt;0,ISNUMBER('幕间与结算'!E353),'幕间与结算'!E353&gt;=1,'幕间与结算'!E353&lt;=4,MOD('幕间与结算'!E353,1)=0,ISNUMBER('幕间与结算'!I353),'幕间与结算'!I353&gt;=0,'幕间与结算'!I353&lt;=99,MOD('幕间与结算'!I353,1)=0,'幕间与结算'!F353="确认"),1,0)</f>
        <v>0</v>
      </c>
      <c r="C638">
        <f>IF(AND(B638=1,COUNTIFS($A$500:A638,A638,$B$500:B638,1,'幕间与结算'!$C$215:C353,'幕间与结算'!C353)=1),1,0)</f>
        <v>0</v>
      </c>
    </row>
    <row r="639">
      <c r="A639">
        <f>IFERROR(IF(AND(VALUE('幕间与结算'!B354)&gt;=1,VALUE('幕间与结算'!B354)&lt;=20),VALUE('幕间与结算'!B354),0),0)</f>
        <v>0</v>
      </c>
      <c r="B639">
        <f>IF(AND(A639&gt;0,'幕间与结算'!C354&lt;&gt;"",'幕间与结算'!D354&gt;0,ISNUMBER('幕间与结算'!E354),'幕间与结算'!E354&gt;=1,'幕间与结算'!E354&lt;=4,MOD('幕间与结算'!E354,1)=0,ISNUMBER('幕间与结算'!I354),'幕间与结算'!I354&gt;=0,'幕间与结算'!I354&lt;=99,MOD('幕间与结算'!I354,1)=0,'幕间与结算'!F354="确认"),1,0)</f>
        <v>0</v>
      </c>
      <c r="C639">
        <f>IF(AND(B639=1,COUNTIFS($A$500:A639,A639,$B$500:B639,1,'幕间与结算'!$C$215:C354,'幕间与结算'!C354)=1),1,0)</f>
        <v>0</v>
      </c>
    </row>
    <row r="640">
      <c r="A640">
        <f>IFERROR(IF(AND(VALUE('幕间与结算'!B355)&gt;=1,VALUE('幕间与结算'!B355)&lt;=20),VALUE('幕间与结算'!B355),0),0)</f>
        <v>0</v>
      </c>
      <c r="B640">
        <f>IF(AND(A640&gt;0,'幕间与结算'!C355&lt;&gt;"",'幕间与结算'!D355&gt;0,ISNUMBER('幕间与结算'!E355),'幕间与结算'!E355&gt;=1,'幕间与结算'!E355&lt;=4,MOD('幕间与结算'!E355,1)=0,ISNUMBER('幕间与结算'!I355),'幕间与结算'!I355&gt;=0,'幕间与结算'!I355&lt;=99,MOD('幕间与结算'!I355,1)=0,'幕间与结算'!F355="确认"),1,0)</f>
        <v>0</v>
      </c>
      <c r="C640">
        <f>IF(AND(B640=1,COUNTIFS($A$500:A640,A640,$B$500:B640,1,'幕间与结算'!$C$215:C355,'幕间与结算'!C355)=1),1,0)</f>
        <v>0</v>
      </c>
    </row>
    <row r="641">
      <c r="A641">
        <f>IFERROR(IF(AND(VALUE('幕间与结算'!B356)&gt;=1,VALUE('幕间与结算'!B356)&lt;=20),VALUE('幕间与结算'!B356),0),0)</f>
        <v>0</v>
      </c>
      <c r="B641">
        <f>IF(AND(A641&gt;0,'幕间与结算'!C356&lt;&gt;"",'幕间与结算'!D356&gt;0,ISNUMBER('幕间与结算'!E356),'幕间与结算'!E356&gt;=1,'幕间与结算'!E356&lt;=4,MOD('幕间与结算'!E356,1)=0,ISNUMBER('幕间与结算'!I356),'幕间与结算'!I356&gt;=0,'幕间与结算'!I356&lt;=99,MOD('幕间与结算'!I356,1)=0,'幕间与结算'!F356="确认"),1,0)</f>
        <v>0</v>
      </c>
      <c r="C641">
        <f>IF(AND(B641=1,COUNTIFS($A$500:A641,A641,$B$500:B641,1,'幕间与结算'!$C$215:C356,'幕间与结算'!C356)=1),1,0)</f>
        <v>0</v>
      </c>
    </row>
    <row r="642">
      <c r="A642">
        <f>IFERROR(IF(AND(VALUE('幕间与结算'!B357)&gt;=1,VALUE('幕间与结算'!B357)&lt;=20),VALUE('幕间与结算'!B357),0),0)</f>
        <v>0</v>
      </c>
      <c r="B642">
        <f>IF(AND(A642&gt;0,'幕间与结算'!C357&lt;&gt;"",'幕间与结算'!D357&gt;0,ISNUMBER('幕间与结算'!E357),'幕间与结算'!E357&gt;=1,'幕间与结算'!E357&lt;=4,MOD('幕间与结算'!E357,1)=0,ISNUMBER('幕间与结算'!I357),'幕间与结算'!I357&gt;=0,'幕间与结算'!I357&lt;=99,MOD('幕间与结算'!I357,1)=0,'幕间与结算'!F357="确认"),1,0)</f>
        <v>0</v>
      </c>
      <c r="C642">
        <f>IF(AND(B642=1,COUNTIFS($A$500:A642,A642,$B$500:B642,1,'幕间与结算'!$C$215:C357,'幕间与结算'!C357)=1),1,0)</f>
        <v>0</v>
      </c>
    </row>
    <row r="643">
      <c r="A643">
        <f>IFERROR(IF(AND(VALUE('幕间与结算'!B358)&gt;=1,VALUE('幕间与结算'!B358)&lt;=20),VALUE('幕间与结算'!B358),0),0)</f>
        <v>0</v>
      </c>
      <c r="B643">
        <f>IF(AND(A643&gt;0,'幕间与结算'!C358&lt;&gt;"",'幕间与结算'!D358&gt;0,ISNUMBER('幕间与结算'!E358),'幕间与结算'!E358&gt;=1,'幕间与结算'!E358&lt;=4,MOD('幕间与结算'!E358,1)=0,ISNUMBER('幕间与结算'!I358),'幕间与结算'!I358&gt;=0,'幕间与结算'!I358&lt;=99,MOD('幕间与结算'!I358,1)=0,'幕间与结算'!F358="确认"),1,0)</f>
        <v>0</v>
      </c>
      <c r="C643">
        <f>IF(AND(B643=1,COUNTIFS($A$500:A643,A643,$B$500:B643,1,'幕间与结算'!$C$215:C358,'幕间与结算'!C358)=1),1,0)</f>
        <v>0</v>
      </c>
    </row>
    <row r="644">
      <c r="A644">
        <f>IFERROR(IF(AND(VALUE('幕间与结算'!B359)&gt;=1,VALUE('幕间与结算'!B359)&lt;=20),VALUE('幕间与结算'!B359),0),0)</f>
        <v>0</v>
      </c>
      <c r="B644">
        <f>IF(AND(A644&gt;0,'幕间与结算'!C359&lt;&gt;"",'幕间与结算'!D359&gt;0,ISNUMBER('幕间与结算'!E359),'幕间与结算'!E359&gt;=1,'幕间与结算'!E359&lt;=4,MOD('幕间与结算'!E359,1)=0,ISNUMBER('幕间与结算'!I359),'幕间与结算'!I359&gt;=0,'幕间与结算'!I359&lt;=99,MOD('幕间与结算'!I359,1)=0,'幕间与结算'!F359="确认"),1,0)</f>
        <v>0</v>
      </c>
      <c r="C644">
        <f>IF(AND(B644=1,COUNTIFS($A$500:A644,A644,$B$500:B644,1,'幕间与结算'!$C$215:C359,'幕间与结算'!C359)=1),1,0)</f>
        <v>0</v>
      </c>
    </row>
    <row r="645">
      <c r="A645">
        <f>IFERROR(IF(AND(VALUE('幕间与结算'!B360)&gt;=1,VALUE('幕间与结算'!B360)&lt;=20),VALUE('幕间与结算'!B360),0),0)</f>
        <v>0</v>
      </c>
      <c r="B645">
        <f>IF(AND(A645&gt;0,'幕间与结算'!C360&lt;&gt;"",'幕间与结算'!D360&gt;0,ISNUMBER('幕间与结算'!E360),'幕间与结算'!E360&gt;=1,'幕间与结算'!E360&lt;=4,MOD('幕间与结算'!E360,1)=0,ISNUMBER('幕间与结算'!I360),'幕间与结算'!I360&gt;=0,'幕间与结算'!I360&lt;=99,MOD('幕间与结算'!I360,1)=0,'幕间与结算'!F360="确认"),1,0)</f>
        <v>0</v>
      </c>
      <c r="C645">
        <f>IF(AND(B645=1,COUNTIFS($A$500:A645,A645,$B$500:B645,1,'幕间与结算'!$C$215:C360,'幕间与结算'!C360)=1),1,0)</f>
        <v>0</v>
      </c>
    </row>
    <row r="646">
      <c r="A646">
        <f>IFERROR(IF(AND(VALUE('幕间与结算'!B361)&gt;=1,VALUE('幕间与结算'!B361)&lt;=20),VALUE('幕间与结算'!B361),0),0)</f>
        <v>0</v>
      </c>
      <c r="B646">
        <f>IF(AND(A646&gt;0,'幕间与结算'!C361&lt;&gt;"",'幕间与结算'!D361&gt;0,ISNUMBER('幕间与结算'!E361),'幕间与结算'!E361&gt;=1,'幕间与结算'!E361&lt;=4,MOD('幕间与结算'!E361,1)=0,ISNUMBER('幕间与结算'!I361),'幕间与结算'!I361&gt;=0,'幕间与结算'!I361&lt;=99,MOD('幕间与结算'!I361,1)=0,'幕间与结算'!F361="确认"),1,0)</f>
        <v>0</v>
      </c>
      <c r="C646">
        <f>IF(AND(B646=1,COUNTIFS($A$500:A646,A646,$B$500:B646,1,'幕间与结算'!$C$215:C361,'幕间与结算'!C361)=1),1,0)</f>
        <v>0</v>
      </c>
    </row>
    <row r="647">
      <c r="A647">
        <f>IFERROR(IF(AND(VALUE('幕间与结算'!B362)&gt;=1,VALUE('幕间与结算'!B362)&lt;=20),VALUE('幕间与结算'!B362),0),0)</f>
        <v>0</v>
      </c>
      <c r="B647">
        <f>IF(AND(A647&gt;0,'幕间与结算'!C362&lt;&gt;"",'幕间与结算'!D362&gt;0,ISNUMBER('幕间与结算'!E362),'幕间与结算'!E362&gt;=1,'幕间与结算'!E362&lt;=4,MOD('幕间与结算'!E362,1)=0,ISNUMBER('幕间与结算'!I362),'幕间与结算'!I362&gt;=0,'幕间与结算'!I362&lt;=99,MOD('幕间与结算'!I362,1)=0,'幕间与结算'!F362="确认"),1,0)</f>
        <v>0</v>
      </c>
      <c r="C647">
        <f>IF(AND(B647=1,COUNTIFS($A$500:A647,A647,$B$500:B647,1,'幕间与结算'!$C$215:C362,'幕间与结算'!C362)=1),1,0)</f>
        <v>0</v>
      </c>
    </row>
    <row r="648">
      <c r="A648">
        <f>IFERROR(IF(AND(VALUE('幕间与结算'!B363)&gt;=1,VALUE('幕间与结算'!B363)&lt;=20),VALUE('幕间与结算'!B363),0),0)</f>
        <v>0</v>
      </c>
      <c r="B648">
        <f>IF(AND(A648&gt;0,'幕间与结算'!C363&lt;&gt;"",'幕间与结算'!D363&gt;0,ISNUMBER('幕间与结算'!E363),'幕间与结算'!E363&gt;=1,'幕间与结算'!E363&lt;=4,MOD('幕间与结算'!E363,1)=0,ISNUMBER('幕间与结算'!I363),'幕间与结算'!I363&gt;=0,'幕间与结算'!I363&lt;=99,MOD('幕间与结算'!I363,1)=0,'幕间与结算'!F363="确认"),1,0)</f>
        <v>0</v>
      </c>
      <c r="C648">
        <f>IF(AND(B648=1,COUNTIFS($A$500:A648,A648,$B$500:B648,1,'幕间与结算'!$C$215:C363,'幕间与结算'!C363)=1),1,0)</f>
        <v>0</v>
      </c>
    </row>
    <row r="649">
      <c r="A649">
        <f>IFERROR(IF(AND(VALUE('幕间与结算'!B364)&gt;=1,VALUE('幕间与结算'!B364)&lt;=20),VALUE('幕间与结算'!B364),0),0)</f>
        <v>0</v>
      </c>
      <c r="B649">
        <f>IF(AND(A649&gt;0,'幕间与结算'!C364&lt;&gt;"",'幕间与结算'!D364&gt;0,ISNUMBER('幕间与结算'!E364),'幕间与结算'!E364&gt;=1,'幕间与结算'!E364&lt;=4,MOD('幕间与结算'!E364,1)=0,ISNUMBER('幕间与结算'!I364),'幕间与结算'!I364&gt;=0,'幕间与结算'!I364&lt;=99,MOD('幕间与结算'!I364,1)=0,'幕间与结算'!F364="确认"),1,0)</f>
        <v>0</v>
      </c>
      <c r="C649">
        <f>IF(AND(B649=1,COUNTIFS($A$500:A649,A649,$B$500:B649,1,'幕间与结算'!$C$215:C364,'幕间与结算'!C364)=1),1,0)</f>
        <v>0</v>
      </c>
    </row>
    <row r="650">
      <c r="A650">
        <f>IFERROR(IF(AND(VALUE('幕间与结算'!B365)&gt;=1,VALUE('幕间与结算'!B365)&lt;=20),VALUE('幕间与结算'!B365),0),0)</f>
        <v>0</v>
      </c>
      <c r="B650">
        <f>IF(AND(A650&gt;0,'幕间与结算'!C365&lt;&gt;"",'幕间与结算'!D365&gt;0,ISNUMBER('幕间与结算'!E365),'幕间与结算'!E365&gt;=1,'幕间与结算'!E365&lt;=4,MOD('幕间与结算'!E365,1)=0,ISNUMBER('幕间与结算'!I365),'幕间与结算'!I365&gt;=0,'幕间与结算'!I365&lt;=99,MOD('幕间与结算'!I365,1)=0,'幕间与结算'!F365="确认"),1,0)</f>
        <v>0</v>
      </c>
      <c r="C650">
        <f>IF(AND(B650=1,COUNTIFS($A$500:A650,A650,$B$500:B650,1,'幕间与结算'!$C$215:C365,'幕间与结算'!C365)=1),1,0)</f>
        <v>0</v>
      </c>
    </row>
    <row r="651">
      <c r="A651">
        <f>IFERROR(IF(AND(VALUE('幕间与结算'!B366)&gt;=1,VALUE('幕间与结算'!B366)&lt;=20),VALUE('幕间与结算'!B366),0),0)</f>
        <v>0</v>
      </c>
      <c r="B651">
        <f>IF(AND(A651&gt;0,'幕间与结算'!C366&lt;&gt;"",'幕间与结算'!D366&gt;0,ISNUMBER('幕间与结算'!E366),'幕间与结算'!E366&gt;=1,'幕间与结算'!E366&lt;=4,MOD('幕间与结算'!E366,1)=0,ISNUMBER('幕间与结算'!I366),'幕间与结算'!I366&gt;=0,'幕间与结算'!I366&lt;=99,MOD('幕间与结算'!I366,1)=0,'幕间与结算'!F366="确认"),1,0)</f>
        <v>0</v>
      </c>
      <c r="C651">
        <f>IF(AND(B651=1,COUNTIFS($A$500:A651,A651,$B$500:B651,1,'幕间与结算'!$C$215:C366,'幕间与结算'!C366)=1),1,0)</f>
        <v>0</v>
      </c>
    </row>
    <row r="652">
      <c r="A652">
        <f>IFERROR(IF(AND(VALUE('幕间与结算'!B367)&gt;=1,VALUE('幕间与结算'!B367)&lt;=20),VALUE('幕间与结算'!B367),0),0)</f>
        <v>0</v>
      </c>
      <c r="B652">
        <f>IF(AND(A652&gt;0,'幕间与结算'!C367&lt;&gt;"",'幕间与结算'!D367&gt;0,ISNUMBER('幕间与结算'!E367),'幕间与结算'!E367&gt;=1,'幕间与结算'!E367&lt;=4,MOD('幕间与结算'!E367,1)=0,ISNUMBER('幕间与结算'!I367),'幕间与结算'!I367&gt;=0,'幕间与结算'!I367&lt;=99,MOD('幕间与结算'!I367,1)=0,'幕间与结算'!F367="确认"),1,0)</f>
        <v>0</v>
      </c>
      <c r="C652">
        <f>IF(AND(B652=1,COUNTIFS($A$500:A652,A652,$B$500:B652,1,'幕间与结算'!$C$215:C367,'幕间与结算'!C367)=1),1,0)</f>
        <v>0</v>
      </c>
    </row>
    <row r="653">
      <c r="A653">
        <f>IFERROR(IF(AND(VALUE('幕间与结算'!B368)&gt;=1,VALUE('幕间与结算'!B368)&lt;=20),VALUE('幕间与结算'!B368),0),0)</f>
        <v>0</v>
      </c>
      <c r="B653">
        <f>IF(AND(A653&gt;0,'幕间与结算'!C368&lt;&gt;"",'幕间与结算'!D368&gt;0,ISNUMBER('幕间与结算'!E368),'幕间与结算'!E368&gt;=1,'幕间与结算'!E368&lt;=4,MOD('幕间与结算'!E368,1)=0,ISNUMBER('幕间与结算'!I368),'幕间与结算'!I368&gt;=0,'幕间与结算'!I368&lt;=99,MOD('幕间与结算'!I368,1)=0,'幕间与结算'!F368="确认"),1,0)</f>
        <v>0</v>
      </c>
      <c r="C653">
        <f>IF(AND(B653=1,COUNTIFS($A$500:A653,A653,$B$500:B653,1,'幕间与结算'!$C$215:C368,'幕间与结算'!C368)=1),1,0)</f>
        <v>0</v>
      </c>
    </row>
    <row r="654">
      <c r="A654">
        <f>IFERROR(IF(AND(VALUE('幕间与结算'!B369)&gt;=1,VALUE('幕间与结算'!B369)&lt;=20),VALUE('幕间与结算'!B369),0),0)</f>
        <v>0</v>
      </c>
      <c r="B654">
        <f>IF(AND(A654&gt;0,'幕间与结算'!C369&lt;&gt;"",'幕间与结算'!D369&gt;0,ISNUMBER('幕间与结算'!E369),'幕间与结算'!E369&gt;=1,'幕间与结算'!E369&lt;=4,MOD('幕间与结算'!E369,1)=0,ISNUMBER('幕间与结算'!I369),'幕间与结算'!I369&gt;=0,'幕间与结算'!I369&lt;=99,MOD('幕间与结算'!I369,1)=0,'幕间与结算'!F369="确认"),1,0)</f>
        <v>0</v>
      </c>
      <c r="C654">
        <f>IF(AND(B654=1,COUNTIFS($A$500:A654,A654,$B$500:B654,1,'幕间与结算'!$C$215:C369,'幕间与结算'!C369)=1),1,0)</f>
        <v>0</v>
      </c>
    </row>
    <row r="655">
      <c r="A655">
        <f>IFERROR(IF(AND(VALUE('幕间与结算'!B370)&gt;=1,VALUE('幕间与结算'!B370)&lt;=20),VALUE('幕间与结算'!B370),0),0)</f>
        <v>0</v>
      </c>
      <c r="B655">
        <f>IF(AND(A655&gt;0,'幕间与结算'!C370&lt;&gt;"",'幕间与结算'!D370&gt;0,ISNUMBER('幕间与结算'!E370),'幕间与结算'!E370&gt;=1,'幕间与结算'!E370&lt;=4,MOD('幕间与结算'!E370,1)=0,ISNUMBER('幕间与结算'!I370),'幕间与结算'!I370&gt;=0,'幕间与结算'!I370&lt;=99,MOD('幕间与结算'!I370,1)=0,'幕间与结算'!F370="确认"),1,0)</f>
        <v>0</v>
      </c>
      <c r="C655">
        <f>IF(AND(B655=1,COUNTIFS($A$500:A655,A655,$B$500:B655,1,'幕间与结算'!$C$215:C370,'幕间与结算'!C370)=1),1,0)</f>
        <v>0</v>
      </c>
    </row>
    <row r="656">
      <c r="A656">
        <f>IFERROR(IF(AND(VALUE('幕间与结算'!B371)&gt;=1,VALUE('幕间与结算'!B371)&lt;=20),VALUE('幕间与结算'!B371),0),0)</f>
        <v>0</v>
      </c>
      <c r="B656">
        <f>IF(AND(A656&gt;0,'幕间与结算'!C371&lt;&gt;"",'幕间与结算'!D371&gt;0,ISNUMBER('幕间与结算'!E371),'幕间与结算'!E371&gt;=1,'幕间与结算'!E371&lt;=4,MOD('幕间与结算'!E371,1)=0,ISNUMBER('幕间与结算'!I371),'幕间与结算'!I371&gt;=0,'幕间与结算'!I371&lt;=99,MOD('幕间与结算'!I371,1)=0,'幕间与结算'!F371="确认"),1,0)</f>
        <v>0</v>
      </c>
      <c r="C656">
        <f>IF(AND(B656=1,COUNTIFS($A$500:A656,A656,$B$500:B656,1,'幕间与结算'!$C$215:C371,'幕间与结算'!C371)=1),1,0)</f>
        <v>0</v>
      </c>
    </row>
    <row r="657">
      <c r="A657">
        <f>IFERROR(IF(AND(VALUE('幕间与结算'!B372)&gt;=1,VALUE('幕间与结算'!B372)&lt;=20),VALUE('幕间与结算'!B372),0),0)</f>
        <v>0</v>
      </c>
      <c r="B657">
        <f>IF(AND(A657&gt;0,'幕间与结算'!C372&lt;&gt;"",'幕间与结算'!D372&gt;0,ISNUMBER('幕间与结算'!E372),'幕间与结算'!E372&gt;=1,'幕间与结算'!E372&lt;=4,MOD('幕间与结算'!E372,1)=0,ISNUMBER('幕间与结算'!I372),'幕间与结算'!I372&gt;=0,'幕间与结算'!I372&lt;=99,MOD('幕间与结算'!I372,1)=0,'幕间与结算'!F372="确认"),1,0)</f>
        <v>0</v>
      </c>
      <c r="C657">
        <f>IF(AND(B657=1,COUNTIFS($A$500:A657,A657,$B$500:B657,1,'幕间与结算'!$C$215:C372,'幕间与结算'!C372)=1),1,0)</f>
        <v>0</v>
      </c>
    </row>
    <row r="658">
      <c r="A658">
        <f>IFERROR(IF(AND(VALUE('幕间与结算'!B373)&gt;=1,VALUE('幕间与结算'!B373)&lt;=20),VALUE('幕间与结算'!B373),0),0)</f>
        <v>0</v>
      </c>
      <c r="B658">
        <f>IF(AND(A658&gt;0,'幕间与结算'!C373&lt;&gt;"",'幕间与结算'!D373&gt;0,ISNUMBER('幕间与结算'!E373),'幕间与结算'!E373&gt;=1,'幕间与结算'!E373&lt;=4,MOD('幕间与结算'!E373,1)=0,ISNUMBER('幕间与结算'!I373),'幕间与结算'!I373&gt;=0,'幕间与结算'!I373&lt;=99,MOD('幕间与结算'!I373,1)=0,'幕间与结算'!F373="确认"),1,0)</f>
        <v>0</v>
      </c>
      <c r="C658">
        <f>IF(AND(B658=1,COUNTIFS($A$500:A658,A658,$B$500:B658,1,'幕间与结算'!$C$215:C373,'幕间与结算'!C373)=1),1,0)</f>
        <v>0</v>
      </c>
    </row>
    <row r="659">
      <c r="A659">
        <f>IFERROR(IF(AND(VALUE('幕间与结算'!B374)&gt;=1,VALUE('幕间与结算'!B374)&lt;=20),VALUE('幕间与结算'!B374),0),0)</f>
        <v>0</v>
      </c>
      <c r="B659">
        <f>IF(AND(A659&gt;0,'幕间与结算'!C374&lt;&gt;"",'幕间与结算'!D374&gt;0,ISNUMBER('幕间与结算'!E374),'幕间与结算'!E374&gt;=1,'幕间与结算'!E374&lt;=4,MOD('幕间与结算'!E374,1)=0,ISNUMBER('幕间与结算'!I374),'幕间与结算'!I374&gt;=0,'幕间与结算'!I374&lt;=99,MOD('幕间与结算'!I374,1)=0,'幕间与结算'!F374="确认"),1,0)</f>
        <v>0</v>
      </c>
      <c r="C659">
        <f>IF(AND(B659=1,COUNTIFS($A$500:A659,A659,$B$500:B659,1,'幕间与结算'!$C$215:C374,'幕间与结算'!C374)=1),1,0)</f>
        <v>0</v>
      </c>
    </row>
    <row r="660">
      <c r="A660">
        <f>IFERROR(IF(AND(VALUE('幕间与结算'!B375)&gt;=1,VALUE('幕间与结算'!B375)&lt;=20),VALUE('幕间与结算'!B375),0),0)</f>
        <v>0</v>
      </c>
      <c r="B660">
        <f>IF(AND(A660&gt;0,'幕间与结算'!C375&lt;&gt;"",'幕间与结算'!D375&gt;0,ISNUMBER('幕间与结算'!E375),'幕间与结算'!E375&gt;=1,'幕间与结算'!E375&lt;=4,MOD('幕间与结算'!E375,1)=0,ISNUMBER('幕间与结算'!I375),'幕间与结算'!I375&gt;=0,'幕间与结算'!I375&lt;=99,MOD('幕间与结算'!I375,1)=0,'幕间与结算'!F375="确认"),1,0)</f>
        <v>0</v>
      </c>
      <c r="C660">
        <f>IF(AND(B660=1,COUNTIFS($A$500:A660,A660,$B$500:B660,1,'幕间与结算'!$C$215:C375,'幕间与结算'!C375)=1),1,0)</f>
        <v>0</v>
      </c>
    </row>
    <row r="661">
      <c r="A661">
        <f>IFERROR(IF(AND(VALUE('幕间与结算'!B376)&gt;=1,VALUE('幕间与结算'!B376)&lt;=20),VALUE('幕间与结算'!B376),0),0)</f>
        <v>0</v>
      </c>
      <c r="B661">
        <f>IF(AND(A661&gt;0,'幕间与结算'!C376&lt;&gt;"",'幕间与结算'!D376&gt;0,ISNUMBER('幕间与结算'!E376),'幕间与结算'!E376&gt;=1,'幕间与结算'!E376&lt;=4,MOD('幕间与结算'!E376,1)=0,ISNUMBER('幕间与结算'!I376),'幕间与结算'!I376&gt;=0,'幕间与结算'!I376&lt;=99,MOD('幕间与结算'!I376,1)=0,'幕间与结算'!F376="确认"),1,0)</f>
        <v>0</v>
      </c>
      <c r="C661">
        <f>IF(AND(B661=1,COUNTIFS($A$500:A661,A661,$B$500:B661,1,'幕间与结算'!$C$215:C376,'幕间与结算'!C376)=1),1,0)</f>
        <v>0</v>
      </c>
    </row>
    <row r="662">
      <c r="A662">
        <f>IFERROR(IF(AND(VALUE('幕间与结算'!B377)&gt;=1,VALUE('幕间与结算'!B377)&lt;=20),VALUE('幕间与结算'!B377),0),0)</f>
        <v>0</v>
      </c>
      <c r="B662">
        <f>IF(AND(A662&gt;0,'幕间与结算'!C377&lt;&gt;"",'幕间与结算'!D377&gt;0,ISNUMBER('幕间与结算'!E377),'幕间与结算'!E377&gt;=1,'幕间与结算'!E377&lt;=4,MOD('幕间与结算'!E377,1)=0,ISNUMBER('幕间与结算'!I377),'幕间与结算'!I377&gt;=0,'幕间与结算'!I377&lt;=99,MOD('幕间与结算'!I377,1)=0,'幕间与结算'!F377="确认"),1,0)</f>
        <v>0</v>
      </c>
      <c r="C662">
        <f>IF(AND(B662=1,COUNTIFS($A$500:A662,A662,$B$500:B662,1,'幕间与结算'!$C$215:C377,'幕间与结算'!C377)=1),1,0)</f>
        <v>0</v>
      </c>
    </row>
    <row r="663">
      <c r="A663">
        <f>IFERROR(IF(AND(VALUE('幕间与结算'!B378)&gt;=1,VALUE('幕间与结算'!B378)&lt;=20),VALUE('幕间与结算'!B378),0),0)</f>
        <v>0</v>
      </c>
      <c r="B663">
        <f>IF(AND(A663&gt;0,'幕间与结算'!C378&lt;&gt;"",'幕间与结算'!D378&gt;0,ISNUMBER('幕间与结算'!E378),'幕间与结算'!E378&gt;=1,'幕间与结算'!E378&lt;=4,MOD('幕间与结算'!E378,1)=0,ISNUMBER('幕间与结算'!I378),'幕间与结算'!I378&gt;=0,'幕间与结算'!I378&lt;=99,MOD('幕间与结算'!I378,1)=0,'幕间与结算'!F378="确认"),1,0)</f>
        <v>0</v>
      </c>
      <c r="C663">
        <f>IF(AND(B663=1,COUNTIFS($A$500:A663,A663,$B$500:B663,1,'幕间与结算'!$C$215:C378,'幕间与结算'!C378)=1),1,0)</f>
        <v>0</v>
      </c>
    </row>
    <row r="664">
      <c r="A664">
        <f>IFERROR(IF(AND(VALUE('幕间与结算'!B379)&gt;=1,VALUE('幕间与结算'!B379)&lt;=20),VALUE('幕间与结算'!B379),0),0)</f>
        <v>0</v>
      </c>
      <c r="B664">
        <f>IF(AND(A664&gt;0,'幕间与结算'!C379&lt;&gt;"",'幕间与结算'!D379&gt;0,ISNUMBER('幕间与结算'!E379),'幕间与结算'!E379&gt;=1,'幕间与结算'!E379&lt;=4,MOD('幕间与结算'!E379,1)=0,ISNUMBER('幕间与结算'!I379),'幕间与结算'!I379&gt;=0,'幕间与结算'!I379&lt;=99,MOD('幕间与结算'!I379,1)=0,'幕间与结算'!F379="确认"),1,0)</f>
        <v>0</v>
      </c>
      <c r="C664">
        <f>IF(AND(B664=1,COUNTIFS($A$500:A664,A664,$B$500:B664,1,'幕间与结算'!$C$215:C379,'幕间与结算'!C379)=1),1,0)</f>
        <v>0</v>
      </c>
    </row>
    <row r="665">
      <c r="A665">
        <f>IFERROR(IF(AND(VALUE('幕间与结算'!B380)&gt;=1,VALUE('幕间与结算'!B380)&lt;=20),VALUE('幕间与结算'!B380),0),0)</f>
        <v>0</v>
      </c>
      <c r="B665">
        <f>IF(AND(A665&gt;0,'幕间与结算'!C380&lt;&gt;"",'幕间与结算'!D380&gt;0,ISNUMBER('幕间与结算'!E380),'幕间与结算'!E380&gt;=1,'幕间与结算'!E380&lt;=4,MOD('幕间与结算'!E380,1)=0,ISNUMBER('幕间与结算'!I380),'幕间与结算'!I380&gt;=0,'幕间与结算'!I380&lt;=99,MOD('幕间与结算'!I380,1)=0,'幕间与结算'!F380="确认"),1,0)</f>
        <v>0</v>
      </c>
      <c r="C665">
        <f>IF(AND(B665=1,COUNTIFS($A$500:A665,A665,$B$500:B665,1,'幕间与结算'!$C$215:C380,'幕间与结算'!C380)=1),1,0)</f>
        <v>0</v>
      </c>
    </row>
    <row r="666">
      <c r="A666">
        <f>IFERROR(IF(AND(VALUE('幕间与结算'!B381)&gt;=1,VALUE('幕间与结算'!B381)&lt;=20),VALUE('幕间与结算'!B381),0),0)</f>
        <v>0</v>
      </c>
      <c r="B666">
        <f>IF(AND(A666&gt;0,'幕间与结算'!C381&lt;&gt;"",'幕间与结算'!D381&gt;0,ISNUMBER('幕间与结算'!E381),'幕间与结算'!E381&gt;=1,'幕间与结算'!E381&lt;=4,MOD('幕间与结算'!E381,1)=0,ISNUMBER('幕间与结算'!I381),'幕间与结算'!I381&gt;=0,'幕间与结算'!I381&lt;=99,MOD('幕间与结算'!I381,1)=0,'幕间与结算'!F381="确认"),1,0)</f>
        <v>0</v>
      </c>
      <c r="C666">
        <f>IF(AND(B666=1,COUNTIFS($A$500:A666,A666,$B$500:B666,1,'幕间与结算'!$C$215:C381,'幕间与结算'!C381)=1),1,0)</f>
        <v>0</v>
      </c>
    </row>
    <row r="667">
      <c r="A667">
        <f>IFERROR(IF(AND(VALUE('幕间与结算'!B382)&gt;=1,VALUE('幕间与结算'!B382)&lt;=20),VALUE('幕间与结算'!B382),0),0)</f>
        <v>0</v>
      </c>
      <c r="B667">
        <f>IF(AND(A667&gt;0,'幕间与结算'!C382&lt;&gt;"",'幕间与结算'!D382&gt;0,ISNUMBER('幕间与结算'!E382),'幕间与结算'!E382&gt;=1,'幕间与结算'!E382&lt;=4,MOD('幕间与结算'!E382,1)=0,ISNUMBER('幕间与结算'!I382),'幕间与结算'!I382&gt;=0,'幕间与结算'!I382&lt;=99,MOD('幕间与结算'!I382,1)=0,'幕间与结算'!F382="确认"),1,0)</f>
        <v>0</v>
      </c>
      <c r="C667">
        <f>IF(AND(B667=1,COUNTIFS($A$500:A667,A667,$B$500:B667,1,'幕间与结算'!$C$215:C382,'幕间与结算'!C382)=1),1,0)</f>
        <v>0</v>
      </c>
    </row>
    <row r="668">
      <c r="A668">
        <f>IFERROR(IF(AND(VALUE('幕间与结算'!B383)&gt;=1,VALUE('幕间与结算'!B383)&lt;=20),VALUE('幕间与结算'!B383),0),0)</f>
        <v>0</v>
      </c>
      <c r="B668">
        <f>IF(AND(A668&gt;0,'幕间与结算'!C383&lt;&gt;"",'幕间与结算'!D383&gt;0,ISNUMBER('幕间与结算'!E383),'幕间与结算'!E383&gt;=1,'幕间与结算'!E383&lt;=4,MOD('幕间与结算'!E383,1)=0,ISNUMBER('幕间与结算'!I383),'幕间与结算'!I383&gt;=0,'幕间与结算'!I383&lt;=99,MOD('幕间与结算'!I383,1)=0,'幕间与结算'!F383="确认"),1,0)</f>
        <v>0</v>
      </c>
      <c r="C668">
        <f>IF(AND(B668=1,COUNTIFS($A$500:A668,A668,$B$500:B668,1,'幕间与结算'!$C$215:C383,'幕间与结算'!C383)=1),1,0)</f>
        <v>0</v>
      </c>
    </row>
    <row r="669">
      <c r="A669">
        <f>IFERROR(IF(AND(VALUE('幕间与结算'!B384)&gt;=1,VALUE('幕间与结算'!B384)&lt;=20),VALUE('幕间与结算'!B384),0),0)</f>
        <v>0</v>
      </c>
      <c r="B669">
        <f>IF(AND(A669&gt;0,'幕间与结算'!C384&lt;&gt;"",'幕间与结算'!D384&gt;0,ISNUMBER('幕间与结算'!E384),'幕间与结算'!E384&gt;=1,'幕间与结算'!E384&lt;=4,MOD('幕间与结算'!E384,1)=0,ISNUMBER('幕间与结算'!I384),'幕间与结算'!I384&gt;=0,'幕间与结算'!I384&lt;=99,MOD('幕间与结算'!I384,1)=0,'幕间与结算'!F384="确认"),1,0)</f>
        <v>0</v>
      </c>
      <c r="C669">
        <f>IF(AND(B669=1,COUNTIFS($A$500:A669,A669,$B$500:B669,1,'幕间与结算'!$C$215:C384,'幕间与结算'!C384)=1),1,0)</f>
        <v>0</v>
      </c>
    </row>
    <row r="670">
      <c r="A670">
        <f>IFERROR(IF(AND(VALUE('幕间与结算'!B385)&gt;=1,VALUE('幕间与结算'!B385)&lt;=20),VALUE('幕间与结算'!B385),0),0)</f>
        <v>0</v>
      </c>
      <c r="B670">
        <f>IF(AND(A670&gt;0,'幕间与结算'!C385&lt;&gt;"",'幕间与结算'!D385&gt;0,ISNUMBER('幕间与结算'!E385),'幕间与结算'!E385&gt;=1,'幕间与结算'!E385&lt;=4,MOD('幕间与结算'!E385,1)=0,ISNUMBER('幕间与结算'!I385),'幕间与结算'!I385&gt;=0,'幕间与结算'!I385&lt;=99,MOD('幕间与结算'!I385,1)=0,'幕间与结算'!F385="确认"),1,0)</f>
        <v>0</v>
      </c>
      <c r="C670">
        <f>IF(AND(B670=1,COUNTIFS($A$500:A670,A670,$B$500:B670,1,'幕间与结算'!$C$215:C385,'幕间与结算'!C385)=1),1,0)</f>
        <v>0</v>
      </c>
    </row>
    <row r="671">
      <c r="A671">
        <f>IFERROR(IF(AND(VALUE('幕间与结算'!B386)&gt;=1,VALUE('幕间与结算'!B386)&lt;=20),VALUE('幕间与结算'!B386),0),0)</f>
        <v>0</v>
      </c>
      <c r="B671">
        <f>IF(AND(A671&gt;0,'幕间与结算'!C386&lt;&gt;"",'幕间与结算'!D386&gt;0,ISNUMBER('幕间与结算'!E386),'幕间与结算'!E386&gt;=1,'幕间与结算'!E386&lt;=4,MOD('幕间与结算'!E386,1)=0,ISNUMBER('幕间与结算'!I386),'幕间与结算'!I386&gt;=0,'幕间与结算'!I386&lt;=99,MOD('幕间与结算'!I386,1)=0,'幕间与结算'!F386="确认"),1,0)</f>
        <v>0</v>
      </c>
      <c r="C671">
        <f>IF(AND(B671=1,COUNTIFS($A$500:A671,A671,$B$500:B671,1,'幕间与结算'!$C$215:C386,'幕间与结算'!C386)=1),1,0)</f>
        <v>0</v>
      </c>
    </row>
    <row r="672">
      <c r="A672">
        <f>IFERROR(IF(AND(VALUE('幕间与结算'!B387)&gt;=1,VALUE('幕间与结算'!B387)&lt;=20),VALUE('幕间与结算'!B387),0),0)</f>
        <v>0</v>
      </c>
      <c r="B672">
        <f>IF(AND(A672&gt;0,'幕间与结算'!C387&lt;&gt;"",'幕间与结算'!D387&gt;0,ISNUMBER('幕间与结算'!E387),'幕间与结算'!E387&gt;=1,'幕间与结算'!E387&lt;=4,MOD('幕间与结算'!E387,1)=0,ISNUMBER('幕间与结算'!I387),'幕间与结算'!I387&gt;=0,'幕间与结算'!I387&lt;=99,MOD('幕间与结算'!I387,1)=0,'幕间与结算'!F387="确认"),1,0)</f>
        <v>0</v>
      </c>
      <c r="C672">
        <f>IF(AND(B672=1,COUNTIFS($A$500:A672,A672,$B$500:B672,1,'幕间与结算'!$C$215:C387,'幕间与结算'!C387)=1),1,0)</f>
        <v>0</v>
      </c>
    </row>
    <row r="673">
      <c r="A673">
        <f>IFERROR(IF(AND(VALUE('幕间与结算'!B388)&gt;=1,VALUE('幕间与结算'!B388)&lt;=20),VALUE('幕间与结算'!B388),0),0)</f>
        <v>0</v>
      </c>
      <c r="B673">
        <f>IF(AND(A673&gt;0,'幕间与结算'!C388&lt;&gt;"",'幕间与结算'!D388&gt;0,ISNUMBER('幕间与结算'!E388),'幕间与结算'!E388&gt;=1,'幕间与结算'!E388&lt;=4,MOD('幕间与结算'!E388,1)=0,ISNUMBER('幕间与结算'!I388),'幕间与结算'!I388&gt;=0,'幕间与结算'!I388&lt;=99,MOD('幕间与结算'!I388,1)=0,'幕间与结算'!F388="确认"),1,0)</f>
        <v>0</v>
      </c>
      <c r="C673">
        <f>IF(AND(B673=1,COUNTIFS($A$500:A673,A673,$B$500:B673,1,'幕间与结算'!$C$215:C388,'幕间与结算'!C388)=1),1,0)</f>
        <v>0</v>
      </c>
    </row>
    <row r="674">
      <c r="A674">
        <f>IFERROR(IF(AND(VALUE('幕间与结算'!B389)&gt;=1,VALUE('幕间与结算'!B389)&lt;=20),VALUE('幕间与结算'!B389),0),0)</f>
        <v>0</v>
      </c>
      <c r="B674">
        <f>IF(AND(A674&gt;0,'幕间与结算'!C389&lt;&gt;"",'幕间与结算'!D389&gt;0,ISNUMBER('幕间与结算'!E389),'幕间与结算'!E389&gt;=1,'幕间与结算'!E389&lt;=4,MOD('幕间与结算'!E389,1)=0,ISNUMBER('幕间与结算'!I389),'幕间与结算'!I389&gt;=0,'幕间与结算'!I389&lt;=99,MOD('幕间与结算'!I389,1)=0,'幕间与结算'!F389="确认"),1,0)</f>
        <v>0</v>
      </c>
      <c r="C674">
        <f>IF(AND(B674=1,COUNTIFS($A$500:A674,A674,$B$500:B674,1,'幕间与结算'!$C$215:C389,'幕间与结算'!C389)=1),1,0)</f>
        <v>0</v>
      </c>
    </row>
    <row r="675">
      <c r="A675">
        <f>IFERROR(IF(AND(VALUE('幕间与结算'!B390)&gt;=1,VALUE('幕间与结算'!B390)&lt;=20),VALUE('幕间与结算'!B390),0),0)</f>
        <v>0</v>
      </c>
      <c r="B675">
        <f>IF(AND(A675&gt;0,'幕间与结算'!C390&lt;&gt;"",'幕间与结算'!D390&gt;0,ISNUMBER('幕间与结算'!E390),'幕间与结算'!E390&gt;=1,'幕间与结算'!E390&lt;=4,MOD('幕间与结算'!E390,1)=0,ISNUMBER('幕间与结算'!I390),'幕间与结算'!I390&gt;=0,'幕间与结算'!I390&lt;=99,MOD('幕间与结算'!I390,1)=0,'幕间与结算'!F390="确认"),1,0)</f>
        <v>0</v>
      </c>
      <c r="C675">
        <f>IF(AND(B675=1,COUNTIFS($A$500:A675,A675,$B$500:B675,1,'幕间与结算'!$C$215:C390,'幕间与结算'!C390)=1),1,0)</f>
        <v>0</v>
      </c>
    </row>
    <row r="676">
      <c r="A676">
        <f>IFERROR(IF(AND(VALUE('幕间与结算'!B391)&gt;=1,VALUE('幕间与结算'!B391)&lt;=20),VALUE('幕间与结算'!B391),0),0)</f>
        <v>0</v>
      </c>
      <c r="B676">
        <f>IF(AND(A676&gt;0,'幕间与结算'!C391&lt;&gt;"",'幕间与结算'!D391&gt;0,ISNUMBER('幕间与结算'!E391),'幕间与结算'!E391&gt;=1,'幕间与结算'!E391&lt;=4,MOD('幕间与结算'!E391,1)=0,ISNUMBER('幕间与结算'!I391),'幕间与结算'!I391&gt;=0,'幕间与结算'!I391&lt;=99,MOD('幕间与结算'!I391,1)=0,'幕间与结算'!F391="确认"),1,0)</f>
        <v>0</v>
      </c>
      <c r="C676">
        <f>IF(AND(B676=1,COUNTIFS($A$500:A676,A676,$B$500:B676,1,'幕间与结算'!$C$215:C391,'幕间与结算'!C391)=1),1,0)</f>
        <v>0</v>
      </c>
    </row>
    <row r="677">
      <c r="A677">
        <f>IFERROR(IF(AND(VALUE('幕间与结算'!B392)&gt;=1,VALUE('幕间与结算'!B392)&lt;=20),VALUE('幕间与结算'!B392),0),0)</f>
        <v>0</v>
      </c>
      <c r="B677">
        <f>IF(AND(A677&gt;0,'幕间与结算'!C392&lt;&gt;"",'幕间与结算'!D392&gt;0,ISNUMBER('幕间与结算'!E392),'幕间与结算'!E392&gt;=1,'幕间与结算'!E392&lt;=4,MOD('幕间与结算'!E392,1)=0,ISNUMBER('幕间与结算'!I392),'幕间与结算'!I392&gt;=0,'幕间与结算'!I392&lt;=99,MOD('幕间与结算'!I392,1)=0,'幕间与结算'!F392="确认"),1,0)</f>
        <v>0</v>
      </c>
      <c r="C677">
        <f>IF(AND(B677=1,COUNTIFS($A$500:A677,A677,$B$500:B677,1,'幕间与结算'!$C$215:C392,'幕间与结算'!C392)=1),1,0)</f>
        <v>0</v>
      </c>
    </row>
    <row r="678">
      <c r="A678">
        <f>IFERROR(IF(AND(VALUE('幕间与结算'!B393)&gt;=1,VALUE('幕间与结算'!B393)&lt;=20),VALUE('幕间与结算'!B393),0),0)</f>
        <v>0</v>
      </c>
      <c r="B678">
        <f>IF(AND(A678&gt;0,'幕间与结算'!C393&lt;&gt;"",'幕间与结算'!D393&gt;0,ISNUMBER('幕间与结算'!E393),'幕间与结算'!E393&gt;=1,'幕间与结算'!E393&lt;=4,MOD('幕间与结算'!E393,1)=0,ISNUMBER('幕间与结算'!I393),'幕间与结算'!I393&gt;=0,'幕间与结算'!I393&lt;=99,MOD('幕间与结算'!I393,1)=0,'幕间与结算'!F393="确认"),1,0)</f>
        <v>0</v>
      </c>
      <c r="C678">
        <f>IF(AND(B678=1,COUNTIFS($A$500:A678,A678,$B$500:B678,1,'幕间与结算'!$C$215:C393,'幕间与结算'!C393)=1),1,0)</f>
        <v>0</v>
      </c>
    </row>
    <row r="679">
      <c r="A679">
        <f>IFERROR(IF(AND(VALUE('幕间与结算'!B394)&gt;=1,VALUE('幕间与结算'!B394)&lt;=20),VALUE('幕间与结算'!B394),0),0)</f>
        <v>0</v>
      </c>
      <c r="B679">
        <f>IF(AND(A679&gt;0,'幕间与结算'!C394&lt;&gt;"",'幕间与结算'!D394&gt;0,ISNUMBER('幕间与结算'!E394),'幕间与结算'!E394&gt;=1,'幕间与结算'!E394&lt;=4,MOD('幕间与结算'!E394,1)=0,ISNUMBER('幕间与结算'!I394),'幕间与结算'!I394&gt;=0,'幕间与结算'!I394&lt;=99,MOD('幕间与结算'!I394,1)=0,'幕间与结算'!F394="确认"),1,0)</f>
        <v>0</v>
      </c>
      <c r="C679">
        <f>IF(AND(B679=1,COUNTIFS($A$500:A679,A679,$B$500:B679,1,'幕间与结算'!$C$215:C394,'幕间与结算'!C394)=1),1,0)</f>
        <v>0</v>
      </c>
    </row>
    <row r="680">
      <c r="A680">
        <f>IFERROR(IF(AND(VALUE('幕间与结算'!B395)&gt;=1,VALUE('幕间与结算'!B395)&lt;=20),VALUE('幕间与结算'!B395),0),0)</f>
        <v>0</v>
      </c>
      <c r="B680">
        <f>IF(AND(A680&gt;0,'幕间与结算'!C395&lt;&gt;"",'幕间与结算'!D395&gt;0,ISNUMBER('幕间与结算'!E395),'幕间与结算'!E395&gt;=1,'幕间与结算'!E395&lt;=4,MOD('幕间与结算'!E395,1)=0,ISNUMBER('幕间与结算'!I395),'幕间与结算'!I395&gt;=0,'幕间与结算'!I395&lt;=99,MOD('幕间与结算'!I395,1)=0,'幕间与结算'!F395="确认"),1,0)</f>
        <v>0</v>
      </c>
      <c r="C680">
        <f>IF(AND(B680=1,COUNTIFS($A$500:A680,A680,$B$500:B680,1,'幕间与结算'!$C$215:C395,'幕间与结算'!C395)=1),1,0)</f>
        <v>0</v>
      </c>
    </row>
    <row r="681">
      <c r="A681">
        <f>IFERROR(IF(AND(VALUE('幕间与结算'!B396)&gt;=1,VALUE('幕间与结算'!B396)&lt;=20),VALUE('幕间与结算'!B396),0),0)</f>
        <v>0</v>
      </c>
      <c r="B681">
        <f>IF(AND(A681&gt;0,'幕间与结算'!C396&lt;&gt;"",'幕间与结算'!D396&gt;0,ISNUMBER('幕间与结算'!E396),'幕间与结算'!E396&gt;=1,'幕间与结算'!E396&lt;=4,MOD('幕间与结算'!E396,1)=0,ISNUMBER('幕间与结算'!I396),'幕间与结算'!I396&gt;=0,'幕间与结算'!I396&lt;=99,MOD('幕间与结算'!I396,1)=0,'幕间与结算'!F396="确认"),1,0)</f>
        <v>0</v>
      </c>
      <c r="C681">
        <f>IF(AND(B681=1,COUNTIFS($A$500:A681,A681,$B$500:B681,1,'幕间与结算'!$C$215:C396,'幕间与结算'!C396)=1),1,0)</f>
        <v>0</v>
      </c>
    </row>
    <row r="682">
      <c r="A682">
        <f>IFERROR(IF(AND(VALUE('幕间与结算'!B397)&gt;=1,VALUE('幕间与结算'!B397)&lt;=20),VALUE('幕间与结算'!B397),0),0)</f>
        <v>0</v>
      </c>
      <c r="B682">
        <f>IF(AND(A682&gt;0,'幕间与结算'!C397&lt;&gt;"",'幕间与结算'!D397&gt;0,ISNUMBER('幕间与结算'!E397),'幕间与结算'!E397&gt;=1,'幕间与结算'!E397&lt;=4,MOD('幕间与结算'!E397,1)=0,ISNUMBER('幕间与结算'!I397),'幕间与结算'!I397&gt;=0,'幕间与结算'!I397&lt;=99,MOD('幕间与结算'!I397,1)=0,'幕间与结算'!F397="确认"),1,0)</f>
        <v>0</v>
      </c>
      <c r="C682">
        <f>IF(AND(B682=1,COUNTIFS($A$500:A682,A682,$B$500:B682,1,'幕间与结算'!$C$215:C397,'幕间与结算'!C397)=1),1,0)</f>
        <v>0</v>
      </c>
    </row>
    <row r="683">
      <c r="A683">
        <f>IFERROR(IF(AND(VALUE('幕间与结算'!B398)&gt;=1,VALUE('幕间与结算'!B398)&lt;=20),VALUE('幕间与结算'!B398),0),0)</f>
        <v>0</v>
      </c>
      <c r="B683">
        <f>IF(AND(A683&gt;0,'幕间与结算'!C398&lt;&gt;"",'幕间与结算'!D398&gt;0,ISNUMBER('幕间与结算'!E398),'幕间与结算'!E398&gt;=1,'幕间与结算'!E398&lt;=4,MOD('幕间与结算'!E398,1)=0,ISNUMBER('幕间与结算'!I398),'幕间与结算'!I398&gt;=0,'幕间与结算'!I398&lt;=99,MOD('幕间与结算'!I398,1)=0,'幕间与结算'!F398="确认"),1,0)</f>
        <v>0</v>
      </c>
      <c r="C683">
        <f>IF(AND(B683=1,COUNTIFS($A$500:A683,A683,$B$500:B683,1,'幕间与结算'!$C$215:C398,'幕间与结算'!C398)=1),1,0)</f>
        <v>0</v>
      </c>
    </row>
    <row r="684">
      <c r="A684">
        <f>IFERROR(IF(AND(VALUE('幕间与结算'!B399)&gt;=1,VALUE('幕间与结算'!B399)&lt;=20),VALUE('幕间与结算'!B399),0),0)</f>
        <v>0</v>
      </c>
      <c r="B684">
        <f>IF(AND(A684&gt;0,'幕间与结算'!C399&lt;&gt;"",'幕间与结算'!D399&gt;0,ISNUMBER('幕间与结算'!E399),'幕间与结算'!E399&gt;=1,'幕间与结算'!E399&lt;=4,MOD('幕间与结算'!E399,1)=0,ISNUMBER('幕间与结算'!I399),'幕间与结算'!I399&gt;=0,'幕间与结算'!I399&lt;=99,MOD('幕间与结算'!I399,1)=0,'幕间与结算'!F399="确认"),1,0)</f>
        <v>0</v>
      </c>
      <c r="C684">
        <f>IF(AND(B684=1,COUNTIFS($A$500:A684,A684,$B$500:B684,1,'幕间与结算'!$C$215:C399,'幕间与结算'!C399)=1),1,0)</f>
        <v>0</v>
      </c>
    </row>
    <row r="685">
      <c r="A685">
        <f>IFERROR(IF(AND(VALUE('幕间与结算'!B400)&gt;=1,VALUE('幕间与结算'!B400)&lt;=20),VALUE('幕间与结算'!B400),0),0)</f>
        <v>0</v>
      </c>
      <c r="B685">
        <f>IF(AND(A685&gt;0,'幕间与结算'!C400&lt;&gt;"",'幕间与结算'!D400&gt;0,ISNUMBER('幕间与结算'!E400),'幕间与结算'!E400&gt;=1,'幕间与结算'!E400&lt;=4,MOD('幕间与结算'!E400,1)=0,ISNUMBER('幕间与结算'!I400),'幕间与结算'!I400&gt;=0,'幕间与结算'!I400&lt;=99,MOD('幕间与结算'!I400,1)=0,'幕间与结算'!F400="确认"),1,0)</f>
        <v>0</v>
      </c>
      <c r="C685">
        <f>IF(AND(B685=1,COUNTIFS($A$500:A685,A685,$B$500:B685,1,'幕间与结算'!$C$215:C400,'幕间与结算'!C400)=1),1,0)</f>
        <v>0</v>
      </c>
    </row>
    <row r="686">
      <c r="A686">
        <f>IFERROR(IF(AND(VALUE('幕间与结算'!B401)&gt;=1,VALUE('幕间与结算'!B401)&lt;=20),VALUE('幕间与结算'!B401),0),0)</f>
        <v>0</v>
      </c>
      <c r="B686">
        <f>IF(AND(A686&gt;0,'幕间与结算'!C401&lt;&gt;"",'幕间与结算'!D401&gt;0,ISNUMBER('幕间与结算'!E401),'幕间与结算'!E401&gt;=1,'幕间与结算'!E401&lt;=4,MOD('幕间与结算'!E401,1)=0,ISNUMBER('幕间与结算'!I401),'幕间与结算'!I401&gt;=0,'幕间与结算'!I401&lt;=99,MOD('幕间与结算'!I401,1)=0,'幕间与结算'!F401="确认"),1,0)</f>
        <v>0</v>
      </c>
      <c r="C686">
        <f>IF(AND(B686=1,COUNTIFS($A$500:A686,A686,$B$500:B686,1,'幕间与结算'!$C$215:C401,'幕间与结算'!C401)=1),1,0)</f>
        <v>0</v>
      </c>
    </row>
    <row r="687">
      <c r="A687">
        <f>IFERROR(IF(AND(VALUE('幕间与结算'!B402)&gt;=1,VALUE('幕间与结算'!B402)&lt;=20),VALUE('幕间与结算'!B402),0),0)</f>
        <v>0</v>
      </c>
      <c r="B687">
        <f>IF(AND(A687&gt;0,'幕间与结算'!C402&lt;&gt;"",'幕间与结算'!D402&gt;0,ISNUMBER('幕间与结算'!E402),'幕间与结算'!E402&gt;=1,'幕间与结算'!E402&lt;=4,MOD('幕间与结算'!E402,1)=0,ISNUMBER('幕间与结算'!I402),'幕间与结算'!I402&gt;=0,'幕间与结算'!I402&lt;=99,MOD('幕间与结算'!I402,1)=0,'幕间与结算'!F402="确认"),1,0)</f>
        <v>0</v>
      </c>
      <c r="C687">
        <f>IF(AND(B687=1,COUNTIFS($A$500:A687,A687,$B$500:B687,1,'幕间与结算'!$C$215:C402,'幕间与结算'!C402)=1),1,0)</f>
        <v>0</v>
      </c>
    </row>
    <row r="688">
      <c r="A688">
        <f>IFERROR(IF(AND(VALUE('幕间与结算'!B403)&gt;=1,VALUE('幕间与结算'!B403)&lt;=20),VALUE('幕间与结算'!B403),0),0)</f>
        <v>0</v>
      </c>
      <c r="B688">
        <f>IF(AND(A688&gt;0,'幕间与结算'!C403&lt;&gt;"",'幕间与结算'!D403&gt;0,ISNUMBER('幕间与结算'!E403),'幕间与结算'!E403&gt;=1,'幕间与结算'!E403&lt;=4,MOD('幕间与结算'!E403,1)=0,ISNUMBER('幕间与结算'!I403),'幕间与结算'!I403&gt;=0,'幕间与结算'!I403&lt;=99,MOD('幕间与结算'!I403,1)=0,'幕间与结算'!F403="确认"),1,0)</f>
        <v>0</v>
      </c>
      <c r="C688">
        <f>IF(AND(B688=1,COUNTIFS($A$500:A688,A688,$B$500:B688,1,'幕间与结算'!$C$215:C403,'幕间与结算'!C403)=1),1,0)</f>
        <v>0</v>
      </c>
    </row>
    <row r="689">
      <c r="A689">
        <f>IFERROR(IF(AND(VALUE('幕间与结算'!B404)&gt;=1,VALUE('幕间与结算'!B404)&lt;=20),VALUE('幕间与结算'!B404),0),0)</f>
        <v>0</v>
      </c>
      <c r="B689">
        <f>IF(AND(A689&gt;0,'幕间与结算'!C404&lt;&gt;"",'幕间与结算'!D404&gt;0,ISNUMBER('幕间与结算'!E404),'幕间与结算'!E404&gt;=1,'幕间与结算'!E404&lt;=4,MOD('幕间与结算'!E404,1)=0,ISNUMBER('幕间与结算'!I404),'幕间与结算'!I404&gt;=0,'幕间与结算'!I404&lt;=99,MOD('幕间与结算'!I404,1)=0,'幕间与结算'!F404="确认"),1,0)</f>
        <v>0</v>
      </c>
      <c r="C689">
        <f>IF(AND(B689=1,COUNTIFS($A$500:A689,A689,$B$500:B689,1,'幕间与结算'!$C$215:C404,'幕间与结算'!C404)=1),1,0)</f>
        <v>0</v>
      </c>
    </row>
    <row r="690">
      <c r="A690">
        <f>IFERROR(IF(AND(VALUE('幕间与结算'!B405)&gt;=1,VALUE('幕间与结算'!B405)&lt;=20),VALUE('幕间与结算'!B405),0),0)</f>
        <v>0</v>
      </c>
      <c r="B690">
        <f>IF(AND(A690&gt;0,'幕间与结算'!C405&lt;&gt;"",'幕间与结算'!D405&gt;0,ISNUMBER('幕间与结算'!E405),'幕间与结算'!E405&gt;=1,'幕间与结算'!E405&lt;=4,MOD('幕间与结算'!E405,1)=0,ISNUMBER('幕间与结算'!I405),'幕间与结算'!I405&gt;=0,'幕间与结算'!I405&lt;=99,MOD('幕间与结算'!I405,1)=0,'幕间与结算'!F405="确认"),1,0)</f>
        <v>0</v>
      </c>
      <c r="C690">
        <f>IF(AND(B690=1,COUNTIFS($A$500:A690,A690,$B$500:B690,1,'幕间与结算'!$C$215:C405,'幕间与结算'!C405)=1),1,0)</f>
        <v>0</v>
      </c>
    </row>
    <row r="691">
      <c r="A691">
        <f>IFERROR(IF(AND(VALUE('幕间与结算'!B406)&gt;=1,VALUE('幕间与结算'!B406)&lt;=20),VALUE('幕间与结算'!B406),0),0)</f>
        <v>0</v>
      </c>
      <c r="B691">
        <f>IF(AND(A691&gt;0,'幕间与结算'!C406&lt;&gt;"",'幕间与结算'!D406&gt;0,ISNUMBER('幕间与结算'!E406),'幕间与结算'!E406&gt;=1,'幕间与结算'!E406&lt;=4,MOD('幕间与结算'!E406,1)=0,ISNUMBER('幕间与结算'!I406),'幕间与结算'!I406&gt;=0,'幕间与结算'!I406&lt;=99,MOD('幕间与结算'!I406,1)=0,'幕间与结算'!F406="确认"),1,0)</f>
        <v>0</v>
      </c>
      <c r="C691">
        <f>IF(AND(B691=1,COUNTIFS($A$500:A691,A691,$B$500:B691,1,'幕间与结算'!$C$215:C406,'幕间与结算'!C406)=1),1,0)</f>
        <v>0</v>
      </c>
    </row>
    <row r="692">
      <c r="A692">
        <f>IFERROR(IF(AND(VALUE('幕间与结算'!B407)&gt;=1,VALUE('幕间与结算'!B407)&lt;=20),VALUE('幕间与结算'!B407),0),0)</f>
        <v>0</v>
      </c>
      <c r="B692">
        <f>IF(AND(A692&gt;0,'幕间与结算'!C407&lt;&gt;"",'幕间与结算'!D407&gt;0,ISNUMBER('幕间与结算'!E407),'幕间与结算'!E407&gt;=1,'幕间与结算'!E407&lt;=4,MOD('幕间与结算'!E407,1)=0,ISNUMBER('幕间与结算'!I407),'幕间与结算'!I407&gt;=0,'幕间与结算'!I407&lt;=99,MOD('幕间与结算'!I407,1)=0,'幕间与结算'!F407="确认"),1,0)</f>
        <v>0</v>
      </c>
      <c r="C692">
        <f>IF(AND(B692=1,COUNTIFS($A$500:A692,A692,$B$500:B692,1,'幕间与结算'!$C$215:C407,'幕间与结算'!C407)=1),1,0)</f>
        <v>0</v>
      </c>
    </row>
    <row r="693">
      <c r="A693">
        <f>IFERROR(IF(AND(VALUE('幕间与结算'!B408)&gt;=1,VALUE('幕间与结算'!B408)&lt;=20),VALUE('幕间与结算'!B408),0),0)</f>
        <v>0</v>
      </c>
      <c r="B693">
        <f>IF(AND(A693&gt;0,'幕间与结算'!C408&lt;&gt;"",'幕间与结算'!D408&gt;0,ISNUMBER('幕间与结算'!E408),'幕间与结算'!E408&gt;=1,'幕间与结算'!E408&lt;=4,MOD('幕间与结算'!E408,1)=0,ISNUMBER('幕间与结算'!I408),'幕间与结算'!I408&gt;=0,'幕间与结算'!I408&lt;=99,MOD('幕间与结算'!I408,1)=0,'幕间与结算'!F408="确认"),1,0)</f>
        <v>0</v>
      </c>
      <c r="C693">
        <f>IF(AND(B693=1,COUNTIFS($A$500:A693,A693,$B$500:B693,1,'幕间与结算'!$C$215:C408,'幕间与结算'!C408)=1),1,0)</f>
        <v>0</v>
      </c>
    </row>
    <row r="694">
      <c r="A694">
        <f>IFERROR(IF(AND(VALUE('幕间与结算'!B409)&gt;=1,VALUE('幕间与结算'!B409)&lt;=20),VALUE('幕间与结算'!B409),0),0)</f>
        <v>0</v>
      </c>
      <c r="B694">
        <f>IF(AND(A694&gt;0,'幕间与结算'!C409&lt;&gt;"",'幕间与结算'!D409&gt;0,ISNUMBER('幕间与结算'!E409),'幕间与结算'!E409&gt;=1,'幕间与结算'!E409&lt;=4,MOD('幕间与结算'!E409,1)=0,ISNUMBER('幕间与结算'!I409),'幕间与结算'!I409&gt;=0,'幕间与结算'!I409&lt;=99,MOD('幕间与结算'!I409,1)=0,'幕间与结算'!F409="确认"),1,0)</f>
        <v>0</v>
      </c>
      <c r="C694">
        <f>IF(AND(B694=1,COUNTIFS($A$500:A694,A694,$B$500:B694,1,'幕间与结算'!$C$215:C409,'幕间与结算'!C409)=1),1,0)</f>
        <v>0</v>
      </c>
    </row>
    <row r="695">
      <c r="A695">
        <f>IFERROR(IF(AND(VALUE('幕间与结算'!B410)&gt;=1,VALUE('幕间与结算'!B410)&lt;=20),VALUE('幕间与结算'!B410),0),0)</f>
        <v>0</v>
      </c>
      <c r="B695">
        <f>IF(AND(A695&gt;0,'幕间与结算'!C410&lt;&gt;"",'幕间与结算'!D410&gt;0,ISNUMBER('幕间与结算'!E410),'幕间与结算'!E410&gt;=1,'幕间与结算'!E410&lt;=4,MOD('幕间与结算'!E410,1)=0,ISNUMBER('幕间与结算'!I410),'幕间与结算'!I410&gt;=0,'幕间与结算'!I410&lt;=99,MOD('幕间与结算'!I410,1)=0,'幕间与结算'!F410="确认"),1,0)</f>
        <v>0</v>
      </c>
      <c r="C695">
        <f>IF(AND(B695=1,COUNTIFS($A$500:A695,A695,$B$500:B695,1,'幕间与结算'!$C$215:C410,'幕间与结算'!C410)=1),1,0)</f>
        <v>0</v>
      </c>
    </row>
    <row r="696">
      <c r="A696">
        <f>IFERROR(IF(AND(VALUE('幕间与结算'!B411)&gt;=1,VALUE('幕间与结算'!B411)&lt;=20),VALUE('幕间与结算'!B411),0),0)</f>
        <v>0</v>
      </c>
      <c r="B696">
        <f>IF(AND(A696&gt;0,'幕间与结算'!C411&lt;&gt;"",'幕间与结算'!D411&gt;0,ISNUMBER('幕间与结算'!E411),'幕间与结算'!E411&gt;=1,'幕间与结算'!E411&lt;=4,MOD('幕间与结算'!E411,1)=0,ISNUMBER('幕间与结算'!I411),'幕间与结算'!I411&gt;=0,'幕间与结算'!I411&lt;=99,MOD('幕间与结算'!I411,1)=0,'幕间与结算'!F411="确认"),1,0)</f>
        <v>0</v>
      </c>
      <c r="C696">
        <f>IF(AND(B696=1,COUNTIFS($A$500:A696,A696,$B$500:B696,1,'幕间与结算'!$C$215:C411,'幕间与结算'!C411)=1),1,0)</f>
        <v>0</v>
      </c>
    </row>
    <row r="697">
      <c r="A697">
        <f>IFERROR(IF(AND(VALUE('幕间与结算'!B412)&gt;=1,VALUE('幕间与结算'!B412)&lt;=20),VALUE('幕间与结算'!B412),0),0)</f>
        <v>0</v>
      </c>
      <c r="B697">
        <f>IF(AND(A697&gt;0,'幕间与结算'!C412&lt;&gt;"",'幕间与结算'!D412&gt;0,ISNUMBER('幕间与结算'!E412),'幕间与结算'!E412&gt;=1,'幕间与结算'!E412&lt;=4,MOD('幕间与结算'!E412,1)=0,ISNUMBER('幕间与结算'!I412),'幕间与结算'!I412&gt;=0,'幕间与结算'!I412&lt;=99,MOD('幕间与结算'!I412,1)=0,'幕间与结算'!F412="确认"),1,0)</f>
        <v>0</v>
      </c>
      <c r="C697">
        <f>IF(AND(B697=1,COUNTIFS($A$500:A697,A697,$B$500:B697,1,'幕间与结算'!$C$215:C412,'幕间与结算'!C412)=1),1,0)</f>
        <v>0</v>
      </c>
    </row>
    <row r="698">
      <c r="A698">
        <f>IFERROR(IF(AND(VALUE('幕间与结算'!B413)&gt;=1,VALUE('幕间与结算'!B413)&lt;=20),VALUE('幕间与结算'!B413),0),0)</f>
        <v>0</v>
      </c>
      <c r="B698">
        <f>IF(AND(A698&gt;0,'幕间与结算'!C413&lt;&gt;"",'幕间与结算'!D413&gt;0,ISNUMBER('幕间与结算'!E413),'幕间与结算'!E413&gt;=1,'幕间与结算'!E413&lt;=4,MOD('幕间与结算'!E413,1)=0,ISNUMBER('幕间与结算'!I413),'幕间与结算'!I413&gt;=0,'幕间与结算'!I413&lt;=99,MOD('幕间与结算'!I413,1)=0,'幕间与结算'!F413="确认"),1,0)</f>
        <v>0</v>
      </c>
      <c r="C698">
        <f>IF(AND(B698=1,COUNTIFS($A$500:A698,A698,$B$500:B698,1,'幕间与结算'!$C$215:C413,'幕间与结算'!C413)=1),1,0)</f>
        <v>0</v>
      </c>
    </row>
    <row r="699">
      <c r="A699">
        <f>IFERROR(IF(AND(VALUE('幕间与结算'!B414)&gt;=1,VALUE('幕间与结算'!B414)&lt;=20),VALUE('幕间与结算'!B414),0),0)</f>
        <v>0</v>
      </c>
      <c r="B699">
        <f>IF(AND(A699&gt;0,'幕间与结算'!C414&lt;&gt;"",'幕间与结算'!D414&gt;0,ISNUMBER('幕间与结算'!E414),'幕间与结算'!E414&gt;=1,'幕间与结算'!E414&lt;=4,MOD('幕间与结算'!E414,1)=0,ISNUMBER('幕间与结算'!I414),'幕间与结算'!I414&gt;=0,'幕间与结算'!I414&lt;=99,MOD('幕间与结算'!I414,1)=0,'幕间与结算'!F414="确认"),1,0)</f>
        <v>0</v>
      </c>
      <c r="C699">
        <f>IF(AND(B699=1,COUNTIFS($A$500:A699,A699,$B$500:B699,1,'幕间与结算'!$C$215:C414,'幕间与结算'!C414)=1),1,0)</f>
        <v>0</v>
      </c>
    </row>
    <row r="700">
      <c r="A700">
        <f>IFERROR(IF(AND(VALUE('幕间与结算'!B415)&gt;=1,VALUE('幕间与结算'!B415)&lt;=20),VALUE('幕间与结算'!B415),0),0)</f>
        <v>0</v>
      </c>
      <c r="B700">
        <f>IF(AND(A700&gt;0,'幕间与结算'!C415&lt;&gt;"",'幕间与结算'!D415&gt;0,ISNUMBER('幕间与结算'!E415),'幕间与结算'!E415&gt;=1,'幕间与结算'!E415&lt;=4,MOD('幕间与结算'!E415,1)=0,ISNUMBER('幕间与结算'!I415),'幕间与结算'!I415&gt;=0,'幕间与结算'!I415&lt;=99,MOD('幕间与结算'!I415,1)=0,'幕间与结算'!F415="确认"),1,0)</f>
        <v>0</v>
      </c>
      <c r="C700">
        <f>IF(AND(B700=1,COUNTIFS($A$500:A700,A700,$B$500:B700,1,'幕间与结算'!$C$215:C415,'幕间与结算'!C415)=1),1,0)</f>
        <v>0</v>
      </c>
    </row>
    <row r="701">
      <c r="A701">
        <f>IFERROR(IF(AND(VALUE('幕间与结算'!B416)&gt;=1,VALUE('幕间与结算'!B416)&lt;=20),VALUE('幕间与结算'!B416),0),0)</f>
        <v>0</v>
      </c>
      <c r="B701">
        <f>IF(AND(A701&gt;0,'幕间与结算'!C416&lt;&gt;"",'幕间与结算'!D416&gt;0,ISNUMBER('幕间与结算'!E416),'幕间与结算'!E416&gt;=1,'幕间与结算'!E416&lt;=4,MOD('幕间与结算'!E416,1)=0,ISNUMBER('幕间与结算'!I416),'幕间与结算'!I416&gt;=0,'幕间与结算'!I416&lt;=99,MOD('幕间与结算'!I416,1)=0,'幕间与结算'!F416="确认"),1,0)</f>
        <v>0</v>
      </c>
      <c r="C701">
        <f>IF(AND(B701=1,COUNTIFS($A$500:A701,A701,$B$500:B701,1,'幕间与结算'!$C$215:C416,'幕间与结算'!C416)=1),1,0)</f>
        <v>0</v>
      </c>
    </row>
    <row r="702">
      <c r="A702">
        <f>IFERROR(IF(AND(VALUE('幕间与结算'!B417)&gt;=1,VALUE('幕间与结算'!B417)&lt;=20),VALUE('幕间与结算'!B417),0),0)</f>
        <v>0</v>
      </c>
      <c r="B702">
        <f>IF(AND(A702&gt;0,'幕间与结算'!C417&lt;&gt;"",'幕间与结算'!D417&gt;0,ISNUMBER('幕间与结算'!E417),'幕间与结算'!E417&gt;=1,'幕间与结算'!E417&lt;=4,MOD('幕间与结算'!E417,1)=0,ISNUMBER('幕间与结算'!I417),'幕间与结算'!I417&gt;=0,'幕间与结算'!I417&lt;=99,MOD('幕间与结算'!I417,1)=0,'幕间与结算'!F417="确认"),1,0)</f>
        <v>0</v>
      </c>
      <c r="C702">
        <f>IF(AND(B702=1,COUNTIFS($A$500:A702,A702,$B$500:B702,1,'幕间与结算'!$C$215:C417,'幕间与结算'!C417)=1),1,0)</f>
        <v>0</v>
      </c>
    </row>
    <row r="703">
      <c r="A703">
        <f>IFERROR(IF(AND(VALUE('幕间与结算'!B418)&gt;=1,VALUE('幕间与结算'!B418)&lt;=20),VALUE('幕间与结算'!B418),0),0)</f>
        <v>0</v>
      </c>
      <c r="B703">
        <f>IF(AND(A703&gt;0,'幕间与结算'!C418&lt;&gt;"",'幕间与结算'!D418&gt;0,ISNUMBER('幕间与结算'!E418),'幕间与结算'!E418&gt;=1,'幕间与结算'!E418&lt;=4,MOD('幕间与结算'!E418,1)=0,ISNUMBER('幕间与结算'!I418),'幕间与结算'!I418&gt;=0,'幕间与结算'!I418&lt;=99,MOD('幕间与结算'!I418,1)=0,'幕间与结算'!F418="确认"),1,0)</f>
        <v>0</v>
      </c>
      <c r="C703">
        <f>IF(AND(B703=1,COUNTIFS($A$500:A703,A703,$B$500:B703,1,'幕间与结算'!$C$215:C418,'幕间与结算'!C418)=1),1,0)</f>
        <v>0</v>
      </c>
    </row>
    <row r="704">
      <c r="A704">
        <f>IFERROR(IF(AND(VALUE('幕间与结算'!B419)&gt;=1,VALUE('幕间与结算'!B419)&lt;=20),VALUE('幕间与结算'!B419),0),0)</f>
        <v>0</v>
      </c>
      <c r="B704">
        <f>IF(AND(A704&gt;0,'幕间与结算'!C419&lt;&gt;"",'幕间与结算'!D419&gt;0,ISNUMBER('幕间与结算'!E419),'幕间与结算'!E419&gt;=1,'幕间与结算'!E419&lt;=4,MOD('幕间与结算'!E419,1)=0,ISNUMBER('幕间与结算'!I419),'幕间与结算'!I419&gt;=0,'幕间与结算'!I419&lt;=99,MOD('幕间与结算'!I419,1)=0,'幕间与结算'!F419="确认"),1,0)</f>
        <v>0</v>
      </c>
      <c r="C704">
        <f>IF(AND(B704=1,COUNTIFS($A$500:A704,A704,$B$500:B704,1,'幕间与结算'!$C$215:C419,'幕间与结算'!C419)=1),1,0)</f>
        <v>0</v>
      </c>
    </row>
    <row r="705">
      <c r="A705">
        <f>IFERROR(IF(AND(VALUE('幕间与结算'!B420)&gt;=1,VALUE('幕间与结算'!B420)&lt;=20),VALUE('幕间与结算'!B420),0),0)</f>
        <v>0</v>
      </c>
      <c r="B705">
        <f>IF(AND(A705&gt;0,'幕间与结算'!C420&lt;&gt;"",'幕间与结算'!D420&gt;0,ISNUMBER('幕间与结算'!E420),'幕间与结算'!E420&gt;=1,'幕间与结算'!E420&lt;=4,MOD('幕间与结算'!E420,1)=0,ISNUMBER('幕间与结算'!I420),'幕间与结算'!I420&gt;=0,'幕间与结算'!I420&lt;=99,MOD('幕间与结算'!I420,1)=0,'幕间与结算'!F420="确认"),1,0)</f>
        <v>0</v>
      </c>
      <c r="C705">
        <f>IF(AND(B705=1,COUNTIFS($A$500:A705,A705,$B$500:B705,1,'幕间与结算'!$C$215:C420,'幕间与结算'!C420)=1),1,0)</f>
        <v>0</v>
      </c>
    </row>
    <row r="706">
      <c r="A706">
        <f>IFERROR(IF(AND(VALUE('幕间与结算'!B421)&gt;=1,VALUE('幕间与结算'!B421)&lt;=20),VALUE('幕间与结算'!B421),0),0)</f>
        <v>0</v>
      </c>
      <c r="B706">
        <f>IF(AND(A706&gt;0,'幕间与结算'!C421&lt;&gt;"",'幕间与结算'!D421&gt;0,ISNUMBER('幕间与结算'!E421),'幕间与结算'!E421&gt;=1,'幕间与结算'!E421&lt;=4,MOD('幕间与结算'!E421,1)=0,ISNUMBER('幕间与结算'!I421),'幕间与结算'!I421&gt;=0,'幕间与结算'!I421&lt;=99,MOD('幕间与结算'!I421,1)=0,'幕间与结算'!F421="确认"),1,0)</f>
        <v>0</v>
      </c>
      <c r="C706">
        <f>IF(AND(B706=1,COUNTIFS($A$500:A706,A706,$B$500:B706,1,'幕间与结算'!$C$215:C421,'幕间与结算'!C421)=1),1,0)</f>
        <v>0</v>
      </c>
    </row>
    <row r="707">
      <c r="A707">
        <f>IFERROR(IF(AND(VALUE('幕间与结算'!B422)&gt;=1,VALUE('幕间与结算'!B422)&lt;=20),VALUE('幕间与结算'!B422),0),0)</f>
        <v>0</v>
      </c>
      <c r="B707">
        <f>IF(AND(A707&gt;0,'幕间与结算'!C422&lt;&gt;"",'幕间与结算'!D422&gt;0,ISNUMBER('幕间与结算'!E422),'幕间与结算'!E422&gt;=1,'幕间与结算'!E422&lt;=4,MOD('幕间与结算'!E422,1)=0,ISNUMBER('幕间与结算'!I422),'幕间与结算'!I422&gt;=0,'幕间与结算'!I422&lt;=99,MOD('幕间与结算'!I422,1)=0,'幕间与结算'!F422="确认"),1,0)</f>
        <v>0</v>
      </c>
      <c r="C707">
        <f>IF(AND(B707=1,COUNTIFS($A$500:A707,A707,$B$500:B707,1,'幕间与结算'!$C$215:C422,'幕间与结算'!C422)=1),1,0)</f>
        <v>0</v>
      </c>
    </row>
    <row r="708">
      <c r="A708">
        <f>IFERROR(IF(AND(VALUE('幕间与结算'!B423)&gt;=1,VALUE('幕间与结算'!B423)&lt;=20),VALUE('幕间与结算'!B423),0),0)</f>
        <v>0</v>
      </c>
      <c r="B708">
        <f>IF(AND(A708&gt;0,'幕间与结算'!C423&lt;&gt;"",'幕间与结算'!D423&gt;0,ISNUMBER('幕间与结算'!E423),'幕间与结算'!E423&gt;=1,'幕间与结算'!E423&lt;=4,MOD('幕间与结算'!E423,1)=0,ISNUMBER('幕间与结算'!I423),'幕间与结算'!I423&gt;=0,'幕间与结算'!I423&lt;=99,MOD('幕间与结算'!I423,1)=0,'幕间与结算'!F423="确认"),1,0)</f>
        <v>0</v>
      </c>
      <c r="C708">
        <f>IF(AND(B708=1,COUNTIFS($A$500:A708,A708,$B$500:B708,1,'幕间与结算'!$C$215:C423,'幕间与结算'!C423)=1),1,0)</f>
        <v>0</v>
      </c>
    </row>
    <row r="709">
      <c r="A709">
        <f>IFERROR(IF(AND(VALUE('幕间与结算'!B424)&gt;=1,VALUE('幕间与结算'!B424)&lt;=20),VALUE('幕间与结算'!B424),0),0)</f>
        <v>0</v>
      </c>
      <c r="B709">
        <f>IF(AND(A709&gt;0,'幕间与结算'!C424&lt;&gt;"",'幕间与结算'!D424&gt;0,ISNUMBER('幕间与结算'!E424),'幕间与结算'!E424&gt;=1,'幕间与结算'!E424&lt;=4,MOD('幕间与结算'!E424,1)=0,ISNUMBER('幕间与结算'!I424),'幕间与结算'!I424&gt;=0,'幕间与结算'!I424&lt;=99,MOD('幕间与结算'!I424,1)=0,'幕间与结算'!F424="确认"),1,0)</f>
        <v>0</v>
      </c>
      <c r="C709">
        <f>IF(AND(B709=1,COUNTIFS($A$500:A709,A709,$B$500:B709,1,'幕间与结算'!$C$215:C424,'幕间与结算'!C424)=1),1,0)</f>
        <v>0</v>
      </c>
    </row>
    <row r="710">
      <c r="A710">
        <f>IFERROR(IF(AND(VALUE('幕间与结算'!B425)&gt;=1,VALUE('幕间与结算'!B425)&lt;=20),VALUE('幕间与结算'!B425),0),0)</f>
        <v>0</v>
      </c>
      <c r="B710">
        <f>IF(AND(A710&gt;0,'幕间与结算'!C425&lt;&gt;"",'幕间与结算'!D425&gt;0,ISNUMBER('幕间与结算'!E425),'幕间与结算'!E425&gt;=1,'幕间与结算'!E425&lt;=4,MOD('幕间与结算'!E425,1)=0,ISNUMBER('幕间与结算'!I425),'幕间与结算'!I425&gt;=0,'幕间与结算'!I425&lt;=99,MOD('幕间与结算'!I425,1)=0,'幕间与结算'!F425="确认"),1,0)</f>
        <v>0</v>
      </c>
      <c r="C710">
        <f>IF(AND(B710=1,COUNTIFS($A$500:A710,A710,$B$500:B710,1,'幕间与结算'!$C$215:C425,'幕间与结算'!C425)=1),1,0)</f>
        <v>0</v>
      </c>
    </row>
    <row r="711">
      <c r="A711">
        <f>IFERROR(IF(AND(VALUE('幕间与结算'!B426)&gt;=1,VALUE('幕间与结算'!B426)&lt;=20),VALUE('幕间与结算'!B426),0),0)</f>
        <v>0</v>
      </c>
      <c r="B711">
        <f>IF(AND(A711&gt;0,'幕间与结算'!C426&lt;&gt;"",'幕间与结算'!D426&gt;0,ISNUMBER('幕间与结算'!E426),'幕间与结算'!E426&gt;=1,'幕间与结算'!E426&lt;=4,MOD('幕间与结算'!E426,1)=0,ISNUMBER('幕间与结算'!I426),'幕间与结算'!I426&gt;=0,'幕间与结算'!I426&lt;=99,MOD('幕间与结算'!I426,1)=0,'幕间与结算'!F426="确认"),1,0)</f>
        <v>0</v>
      </c>
      <c r="C711">
        <f>IF(AND(B711=1,COUNTIFS($A$500:A711,A711,$B$500:B711,1,'幕间与结算'!$C$215:C426,'幕间与结算'!C426)=1),1,0)</f>
        <v>0</v>
      </c>
    </row>
    <row r="712">
      <c r="A712">
        <f>IFERROR(IF(AND(VALUE('幕间与结算'!B427)&gt;=1,VALUE('幕间与结算'!B427)&lt;=20),VALUE('幕间与结算'!B427),0),0)</f>
        <v>0</v>
      </c>
      <c r="B712">
        <f>IF(AND(A712&gt;0,'幕间与结算'!C427&lt;&gt;"",'幕间与结算'!D427&gt;0,ISNUMBER('幕间与结算'!E427),'幕间与结算'!E427&gt;=1,'幕间与结算'!E427&lt;=4,MOD('幕间与结算'!E427,1)=0,ISNUMBER('幕间与结算'!I427),'幕间与结算'!I427&gt;=0,'幕间与结算'!I427&lt;=99,MOD('幕间与结算'!I427,1)=0,'幕间与结算'!F427="确认"),1,0)</f>
        <v>0</v>
      </c>
      <c r="C712">
        <f>IF(AND(B712=1,COUNTIFS($A$500:A712,A712,$B$500:B712,1,'幕间与结算'!$C$215:C427,'幕间与结算'!C427)=1),1,0)</f>
        <v>0</v>
      </c>
    </row>
    <row r="713">
      <c r="A713">
        <f>IFERROR(IF(AND(VALUE('幕间与结算'!B428)&gt;=1,VALUE('幕间与结算'!B428)&lt;=20),VALUE('幕间与结算'!B428),0),0)</f>
        <v>0</v>
      </c>
      <c r="B713">
        <f>IF(AND(A713&gt;0,'幕间与结算'!C428&lt;&gt;"",'幕间与结算'!D428&gt;0,ISNUMBER('幕间与结算'!E428),'幕间与结算'!E428&gt;=1,'幕间与结算'!E428&lt;=4,MOD('幕间与结算'!E428,1)=0,ISNUMBER('幕间与结算'!I428),'幕间与结算'!I428&gt;=0,'幕间与结算'!I428&lt;=99,MOD('幕间与结算'!I428,1)=0,'幕间与结算'!F428="确认"),1,0)</f>
        <v>0</v>
      </c>
      <c r="C713">
        <f>IF(AND(B713=1,COUNTIFS($A$500:A713,A713,$B$500:B713,1,'幕间与结算'!$C$215:C428,'幕间与结算'!C428)=1),1,0)</f>
        <v>0</v>
      </c>
    </row>
    <row r="714">
      <c r="A714">
        <f>IFERROR(IF(AND(VALUE('幕间与结算'!B429)&gt;=1,VALUE('幕间与结算'!B429)&lt;=20),VALUE('幕间与结算'!B429),0),0)</f>
        <v>0</v>
      </c>
      <c r="B714">
        <f>IF(AND(A714&gt;0,'幕间与结算'!C429&lt;&gt;"",'幕间与结算'!D429&gt;0,ISNUMBER('幕间与结算'!E429),'幕间与结算'!E429&gt;=1,'幕间与结算'!E429&lt;=4,MOD('幕间与结算'!E429,1)=0,ISNUMBER('幕间与结算'!I429),'幕间与结算'!I429&gt;=0,'幕间与结算'!I429&lt;=99,MOD('幕间与结算'!I429,1)=0,'幕间与结算'!F429="确认"),1,0)</f>
        <v>0</v>
      </c>
      <c r="C714">
        <f>IF(AND(B714=1,COUNTIFS($A$500:A714,A714,$B$500:B714,1,'幕间与结算'!$C$215:C429,'幕间与结算'!C429)=1),1,0)</f>
        <v>0</v>
      </c>
    </row>
    <row r="715">
      <c r="A715">
        <f>IFERROR(IF(AND(VALUE('幕间与结算'!B430)&gt;=1,VALUE('幕间与结算'!B430)&lt;=20),VALUE('幕间与结算'!B430),0),0)</f>
        <v>0</v>
      </c>
      <c r="B715">
        <f>IF(AND(A715&gt;0,'幕间与结算'!C430&lt;&gt;"",'幕间与结算'!D430&gt;0,ISNUMBER('幕间与结算'!E430),'幕间与结算'!E430&gt;=1,'幕间与结算'!E430&lt;=4,MOD('幕间与结算'!E430,1)=0,ISNUMBER('幕间与结算'!I430),'幕间与结算'!I430&gt;=0,'幕间与结算'!I430&lt;=99,MOD('幕间与结算'!I430,1)=0,'幕间与结算'!F430="确认"),1,0)</f>
        <v>0</v>
      </c>
      <c r="C715">
        <f>IF(AND(B715=1,COUNTIFS($A$500:A715,A715,$B$500:B715,1,'幕间与结算'!$C$215:C430,'幕间与结算'!C430)=1),1,0)</f>
        <v>0</v>
      </c>
    </row>
    <row r="716">
      <c r="A716">
        <f>IFERROR(IF(AND(VALUE('幕间与结算'!B431)&gt;=1,VALUE('幕间与结算'!B431)&lt;=20),VALUE('幕间与结算'!B431),0),0)</f>
        <v>0</v>
      </c>
      <c r="B716">
        <f>IF(AND(A716&gt;0,'幕间与结算'!C431&lt;&gt;"",'幕间与结算'!D431&gt;0,ISNUMBER('幕间与结算'!E431),'幕间与结算'!E431&gt;=1,'幕间与结算'!E431&lt;=4,MOD('幕间与结算'!E431,1)=0,ISNUMBER('幕间与结算'!I431),'幕间与结算'!I431&gt;=0,'幕间与结算'!I431&lt;=99,MOD('幕间与结算'!I431,1)=0,'幕间与结算'!F431="确认"),1,0)</f>
        <v>0</v>
      </c>
      <c r="C716">
        <f>IF(AND(B716=1,COUNTIFS($A$500:A716,A716,$B$500:B716,1,'幕间与结算'!$C$215:C431,'幕间与结算'!C431)=1),1,0)</f>
        <v>0</v>
      </c>
    </row>
    <row r="717">
      <c r="A717">
        <f>IFERROR(IF(AND(VALUE('幕间与结算'!B432)&gt;=1,VALUE('幕间与结算'!B432)&lt;=20),VALUE('幕间与结算'!B432),0),0)</f>
        <v>0</v>
      </c>
      <c r="B717">
        <f>IF(AND(A717&gt;0,'幕间与结算'!C432&lt;&gt;"",'幕间与结算'!D432&gt;0,ISNUMBER('幕间与结算'!E432),'幕间与结算'!E432&gt;=1,'幕间与结算'!E432&lt;=4,MOD('幕间与结算'!E432,1)=0,ISNUMBER('幕间与结算'!I432),'幕间与结算'!I432&gt;=0,'幕间与结算'!I432&lt;=99,MOD('幕间与结算'!I432,1)=0,'幕间与结算'!F432="确认"),1,0)</f>
        <v>0</v>
      </c>
      <c r="C717">
        <f>IF(AND(B717=1,COUNTIFS($A$500:A717,A717,$B$500:B717,1,'幕间与结算'!$C$215:C432,'幕间与结算'!C432)=1),1,0)</f>
        <v>0</v>
      </c>
    </row>
    <row r="718">
      <c r="A718">
        <f>IFERROR(IF(AND(VALUE('幕间与结算'!B433)&gt;=1,VALUE('幕间与结算'!B433)&lt;=20),VALUE('幕间与结算'!B433),0),0)</f>
        <v>0</v>
      </c>
      <c r="B718">
        <f>IF(AND(A718&gt;0,'幕间与结算'!C433&lt;&gt;"",'幕间与结算'!D433&gt;0,ISNUMBER('幕间与结算'!E433),'幕间与结算'!E433&gt;=1,'幕间与结算'!E433&lt;=4,MOD('幕间与结算'!E433,1)=0,ISNUMBER('幕间与结算'!I433),'幕间与结算'!I433&gt;=0,'幕间与结算'!I433&lt;=99,MOD('幕间与结算'!I433,1)=0,'幕间与结算'!F433="确认"),1,0)</f>
        <v>0</v>
      </c>
      <c r="C718">
        <f>IF(AND(B718=1,COUNTIFS($A$500:A718,A718,$B$500:B718,1,'幕间与结算'!$C$215:C433,'幕间与结算'!C433)=1),1,0)</f>
        <v>0</v>
      </c>
    </row>
    <row r="719">
      <c r="A719">
        <f>IFERROR(IF(AND(VALUE('幕间与结算'!B434)&gt;=1,VALUE('幕间与结算'!B434)&lt;=20),VALUE('幕间与结算'!B434),0),0)</f>
        <v>0</v>
      </c>
      <c r="B719">
        <f>IF(AND(A719&gt;0,'幕间与结算'!C434&lt;&gt;"",'幕间与结算'!D434&gt;0,ISNUMBER('幕间与结算'!E434),'幕间与结算'!E434&gt;=1,'幕间与结算'!E434&lt;=4,MOD('幕间与结算'!E434,1)=0,ISNUMBER('幕间与结算'!I434),'幕间与结算'!I434&gt;=0,'幕间与结算'!I434&lt;=99,MOD('幕间与结算'!I434,1)=0,'幕间与结算'!F434="确认"),1,0)</f>
        <v>0</v>
      </c>
      <c r="C719">
        <f>IF(AND(B719=1,COUNTIFS($A$500:A719,A719,$B$500:B719,1,'幕间与结算'!$C$215:C434,'幕间与结算'!C434)=1),1,0)</f>
        <v>0</v>
      </c>
    </row>
    <row r="720">
      <c r="A720">
        <f>IFERROR(IF(AND(VALUE('幕间与结算'!B435)&gt;=1,VALUE('幕间与结算'!B435)&lt;=20),VALUE('幕间与结算'!B435),0),0)</f>
        <v>0</v>
      </c>
      <c r="B720">
        <f>IF(AND(A720&gt;0,'幕间与结算'!C435&lt;&gt;"",'幕间与结算'!D435&gt;0,ISNUMBER('幕间与结算'!E435),'幕间与结算'!E435&gt;=1,'幕间与结算'!E435&lt;=4,MOD('幕间与结算'!E435,1)=0,ISNUMBER('幕间与结算'!I435),'幕间与结算'!I435&gt;=0,'幕间与结算'!I435&lt;=99,MOD('幕间与结算'!I435,1)=0,'幕间与结算'!F435="确认"),1,0)</f>
        <v>0</v>
      </c>
      <c r="C720">
        <f>IF(AND(B720=1,COUNTIFS($A$500:A720,A720,$B$500:B720,1,'幕间与结算'!$C$215:C435,'幕间与结算'!C435)=1),1,0)</f>
        <v>0</v>
      </c>
    </row>
    <row r="721">
      <c r="A721">
        <f>IFERROR(IF(AND(VALUE('幕间与结算'!B436)&gt;=1,VALUE('幕间与结算'!B436)&lt;=20),VALUE('幕间与结算'!B436),0),0)</f>
        <v>0</v>
      </c>
      <c r="B721">
        <f>IF(AND(A721&gt;0,'幕间与结算'!C436&lt;&gt;"",'幕间与结算'!D436&gt;0,ISNUMBER('幕间与结算'!E436),'幕间与结算'!E436&gt;=1,'幕间与结算'!E436&lt;=4,MOD('幕间与结算'!E436,1)=0,ISNUMBER('幕间与结算'!I436),'幕间与结算'!I436&gt;=0,'幕间与结算'!I436&lt;=99,MOD('幕间与结算'!I436,1)=0,'幕间与结算'!F436="确认"),1,0)</f>
        <v>0</v>
      </c>
      <c r="C721">
        <f>IF(AND(B721=1,COUNTIFS($A$500:A721,A721,$B$500:B721,1,'幕间与结算'!$C$215:C436,'幕间与结算'!C436)=1),1,0)</f>
        <v>0</v>
      </c>
    </row>
    <row r="722">
      <c r="A722">
        <f>IFERROR(IF(AND(VALUE('幕间与结算'!B437)&gt;=1,VALUE('幕间与结算'!B437)&lt;=20),VALUE('幕间与结算'!B437),0),0)</f>
        <v>0</v>
      </c>
      <c r="B722">
        <f>IF(AND(A722&gt;0,'幕间与结算'!C437&lt;&gt;"",'幕间与结算'!D437&gt;0,ISNUMBER('幕间与结算'!E437),'幕间与结算'!E437&gt;=1,'幕间与结算'!E437&lt;=4,MOD('幕间与结算'!E437,1)=0,ISNUMBER('幕间与结算'!I437),'幕间与结算'!I437&gt;=0,'幕间与结算'!I437&lt;=99,MOD('幕间与结算'!I437,1)=0,'幕间与结算'!F437="确认"),1,0)</f>
        <v>0</v>
      </c>
      <c r="C722">
        <f>IF(AND(B722=1,COUNTIFS($A$500:A722,A722,$B$500:B722,1,'幕间与结算'!$C$215:C437,'幕间与结算'!C437)=1),1,0)</f>
        <v>0</v>
      </c>
    </row>
    <row r="723">
      <c r="A723">
        <f>IFERROR(IF(AND(VALUE('幕间与结算'!B438)&gt;=1,VALUE('幕间与结算'!B438)&lt;=20),VALUE('幕间与结算'!B438),0),0)</f>
        <v>0</v>
      </c>
      <c r="B723">
        <f>IF(AND(A723&gt;0,'幕间与结算'!C438&lt;&gt;"",'幕间与结算'!D438&gt;0,ISNUMBER('幕间与结算'!E438),'幕间与结算'!E438&gt;=1,'幕间与结算'!E438&lt;=4,MOD('幕间与结算'!E438,1)=0,ISNUMBER('幕间与结算'!I438),'幕间与结算'!I438&gt;=0,'幕间与结算'!I438&lt;=99,MOD('幕间与结算'!I438,1)=0,'幕间与结算'!F438="确认"),1,0)</f>
        <v>0</v>
      </c>
      <c r="C723">
        <f>IF(AND(B723=1,COUNTIFS($A$500:A723,A723,$B$500:B723,1,'幕间与结算'!$C$215:C438,'幕间与结算'!C438)=1),1,0)</f>
        <v>0</v>
      </c>
    </row>
    <row r="724">
      <c r="A724">
        <f>IFERROR(IF(AND(VALUE('幕间与结算'!B439)&gt;=1,VALUE('幕间与结算'!B439)&lt;=20),VALUE('幕间与结算'!B439),0),0)</f>
        <v>0</v>
      </c>
      <c r="B724">
        <f>IF(AND(A724&gt;0,'幕间与结算'!C439&lt;&gt;"",'幕间与结算'!D439&gt;0,ISNUMBER('幕间与结算'!E439),'幕间与结算'!E439&gt;=1,'幕间与结算'!E439&lt;=4,MOD('幕间与结算'!E439,1)=0,ISNUMBER('幕间与结算'!I439),'幕间与结算'!I439&gt;=0,'幕间与结算'!I439&lt;=99,MOD('幕间与结算'!I439,1)=0,'幕间与结算'!F439="确认"),1,0)</f>
        <v>0</v>
      </c>
      <c r="C724">
        <f>IF(AND(B724=1,COUNTIFS($A$500:A724,A724,$B$500:B724,1,'幕间与结算'!$C$215:C439,'幕间与结算'!C439)=1),1,0)</f>
        <v>0</v>
      </c>
    </row>
    <row r="725">
      <c r="A725">
        <f>IFERROR(IF(AND(VALUE('幕间与结算'!B440)&gt;=1,VALUE('幕间与结算'!B440)&lt;=20),VALUE('幕间与结算'!B440),0),0)</f>
        <v>0</v>
      </c>
      <c r="B725">
        <f>IF(AND(A725&gt;0,'幕间与结算'!C440&lt;&gt;"",'幕间与结算'!D440&gt;0,ISNUMBER('幕间与结算'!E440),'幕间与结算'!E440&gt;=1,'幕间与结算'!E440&lt;=4,MOD('幕间与结算'!E440,1)=0,ISNUMBER('幕间与结算'!I440),'幕间与结算'!I440&gt;=0,'幕间与结算'!I440&lt;=99,MOD('幕间与结算'!I440,1)=0,'幕间与结算'!F440="确认"),1,0)</f>
        <v>0</v>
      </c>
      <c r="C725">
        <f>IF(AND(B725=1,COUNTIFS($A$500:A725,A725,$B$500:B725,1,'幕间与结算'!$C$215:C440,'幕间与结算'!C440)=1),1,0)</f>
        <v>0</v>
      </c>
    </row>
    <row r="726">
      <c r="A726">
        <f>IFERROR(IF(AND(VALUE('幕间与结算'!B441)&gt;=1,VALUE('幕间与结算'!B441)&lt;=20),VALUE('幕间与结算'!B441),0),0)</f>
        <v>0</v>
      </c>
      <c r="B726">
        <f>IF(AND(A726&gt;0,'幕间与结算'!C441&lt;&gt;"",'幕间与结算'!D441&gt;0,ISNUMBER('幕间与结算'!E441),'幕间与结算'!E441&gt;=1,'幕间与结算'!E441&lt;=4,MOD('幕间与结算'!E441,1)=0,ISNUMBER('幕间与结算'!I441),'幕间与结算'!I441&gt;=0,'幕间与结算'!I441&lt;=99,MOD('幕间与结算'!I441,1)=0,'幕间与结算'!F441="确认"),1,0)</f>
        <v>0</v>
      </c>
      <c r="C726">
        <f>IF(AND(B726=1,COUNTIFS($A$500:A726,A726,$B$500:B726,1,'幕间与结算'!$C$215:C441,'幕间与结算'!C441)=1),1,0)</f>
        <v>0</v>
      </c>
    </row>
    <row r="727">
      <c r="A727">
        <f>IFERROR(IF(AND(VALUE('幕间与结算'!B442)&gt;=1,VALUE('幕间与结算'!B442)&lt;=20),VALUE('幕间与结算'!B442),0),0)</f>
        <v>0</v>
      </c>
      <c r="B727">
        <f>IF(AND(A727&gt;0,'幕间与结算'!C442&lt;&gt;"",'幕间与结算'!D442&gt;0,ISNUMBER('幕间与结算'!E442),'幕间与结算'!E442&gt;=1,'幕间与结算'!E442&lt;=4,MOD('幕间与结算'!E442,1)=0,ISNUMBER('幕间与结算'!I442),'幕间与结算'!I442&gt;=0,'幕间与结算'!I442&lt;=99,MOD('幕间与结算'!I442,1)=0,'幕间与结算'!F442="确认"),1,0)</f>
        <v>0</v>
      </c>
      <c r="C727">
        <f>IF(AND(B727=1,COUNTIFS($A$500:A727,A727,$B$500:B727,1,'幕间与结算'!$C$215:C442,'幕间与结算'!C442)=1),1,0)</f>
        <v>0</v>
      </c>
    </row>
    <row r="728">
      <c r="A728">
        <f>IFERROR(IF(AND(VALUE('幕间与结算'!B443)&gt;=1,VALUE('幕间与结算'!B443)&lt;=20),VALUE('幕间与结算'!B443),0),0)</f>
        <v>0</v>
      </c>
      <c r="B728">
        <f>IF(AND(A728&gt;0,'幕间与结算'!C443&lt;&gt;"",'幕间与结算'!D443&gt;0,ISNUMBER('幕间与结算'!E443),'幕间与结算'!E443&gt;=1,'幕间与结算'!E443&lt;=4,MOD('幕间与结算'!E443,1)=0,ISNUMBER('幕间与结算'!I443),'幕间与结算'!I443&gt;=0,'幕间与结算'!I443&lt;=99,MOD('幕间与结算'!I443,1)=0,'幕间与结算'!F443="确认"),1,0)</f>
        <v>0</v>
      </c>
      <c r="C728">
        <f>IF(AND(B728=1,COUNTIFS($A$500:A728,A728,$B$500:B728,1,'幕间与结算'!$C$215:C443,'幕间与结算'!C443)=1),1,0)</f>
        <v>0</v>
      </c>
    </row>
    <row r="729">
      <c r="A729">
        <f>IFERROR(IF(AND(VALUE('幕间与结算'!B444)&gt;=1,VALUE('幕间与结算'!B444)&lt;=20),VALUE('幕间与结算'!B444),0),0)</f>
        <v>0</v>
      </c>
      <c r="B729">
        <f>IF(AND(A729&gt;0,'幕间与结算'!C444&lt;&gt;"",'幕间与结算'!D444&gt;0,ISNUMBER('幕间与结算'!E444),'幕间与结算'!E444&gt;=1,'幕间与结算'!E444&lt;=4,MOD('幕间与结算'!E444,1)=0,ISNUMBER('幕间与结算'!I444),'幕间与结算'!I444&gt;=0,'幕间与结算'!I444&lt;=99,MOD('幕间与结算'!I444,1)=0,'幕间与结算'!F444="确认"),1,0)</f>
        <v>0</v>
      </c>
      <c r="C729">
        <f>IF(AND(B729=1,COUNTIFS($A$500:A729,A729,$B$500:B729,1,'幕间与结算'!$C$215:C444,'幕间与结算'!C444)=1),1,0)</f>
        <v>0</v>
      </c>
    </row>
    <row r="730">
      <c r="A730">
        <f>IFERROR(IF(AND(VALUE('幕间与结算'!B445)&gt;=1,VALUE('幕间与结算'!B445)&lt;=20),VALUE('幕间与结算'!B445),0),0)</f>
        <v>0</v>
      </c>
      <c r="B730">
        <f>IF(AND(A730&gt;0,'幕间与结算'!C445&lt;&gt;"",'幕间与结算'!D445&gt;0,ISNUMBER('幕间与结算'!E445),'幕间与结算'!E445&gt;=1,'幕间与结算'!E445&lt;=4,MOD('幕间与结算'!E445,1)=0,ISNUMBER('幕间与结算'!I445),'幕间与结算'!I445&gt;=0,'幕间与结算'!I445&lt;=99,MOD('幕间与结算'!I445,1)=0,'幕间与结算'!F445="确认"),1,0)</f>
        <v>0</v>
      </c>
      <c r="C730">
        <f>IF(AND(B730=1,COUNTIFS($A$500:A730,A730,$B$500:B730,1,'幕间与结算'!$C$215:C445,'幕间与结算'!C445)=1),1,0)</f>
        <v>0</v>
      </c>
    </row>
    <row r="731">
      <c r="A731">
        <f>IFERROR(IF(AND(VALUE('幕间与结算'!B446)&gt;=1,VALUE('幕间与结算'!B446)&lt;=20),VALUE('幕间与结算'!B446),0),0)</f>
        <v>0</v>
      </c>
      <c r="B731">
        <f>IF(AND(A731&gt;0,'幕间与结算'!C446&lt;&gt;"",'幕间与结算'!D446&gt;0,ISNUMBER('幕间与结算'!E446),'幕间与结算'!E446&gt;=1,'幕间与结算'!E446&lt;=4,MOD('幕间与结算'!E446,1)=0,ISNUMBER('幕间与结算'!I446),'幕间与结算'!I446&gt;=0,'幕间与结算'!I446&lt;=99,MOD('幕间与结算'!I446,1)=0,'幕间与结算'!F446="确认"),1,0)</f>
        <v>0</v>
      </c>
      <c r="C731">
        <f>IF(AND(B731=1,COUNTIFS($A$500:A731,A731,$B$500:B731,1,'幕间与结算'!$C$215:C446,'幕间与结算'!C446)=1),1,0)</f>
        <v>0</v>
      </c>
    </row>
    <row r="732">
      <c r="A732">
        <f>IFERROR(IF(AND(VALUE('幕间与结算'!B447)&gt;=1,VALUE('幕间与结算'!B447)&lt;=20),VALUE('幕间与结算'!B447),0),0)</f>
        <v>0</v>
      </c>
      <c r="B732">
        <f>IF(AND(A732&gt;0,'幕间与结算'!C447&lt;&gt;"",'幕间与结算'!D447&gt;0,ISNUMBER('幕间与结算'!E447),'幕间与结算'!E447&gt;=1,'幕间与结算'!E447&lt;=4,MOD('幕间与结算'!E447,1)=0,ISNUMBER('幕间与结算'!I447),'幕间与结算'!I447&gt;=0,'幕间与结算'!I447&lt;=99,MOD('幕间与结算'!I447,1)=0,'幕间与结算'!F447="确认"),1,0)</f>
        <v>0</v>
      </c>
      <c r="C732">
        <f>IF(AND(B732=1,COUNTIFS($A$500:A732,A732,$B$500:B732,1,'幕间与结算'!$C$215:C447,'幕间与结算'!C447)=1),1,0)</f>
        <v>0</v>
      </c>
    </row>
    <row r="733">
      <c r="A733">
        <f>IFERROR(IF(AND(VALUE('幕间与结算'!B448)&gt;=1,VALUE('幕间与结算'!B448)&lt;=20),VALUE('幕间与结算'!B448),0),0)</f>
        <v>0</v>
      </c>
      <c r="B733">
        <f>IF(AND(A733&gt;0,'幕间与结算'!C448&lt;&gt;"",'幕间与结算'!D448&gt;0,ISNUMBER('幕间与结算'!E448),'幕间与结算'!E448&gt;=1,'幕间与结算'!E448&lt;=4,MOD('幕间与结算'!E448,1)=0,ISNUMBER('幕间与结算'!I448),'幕间与结算'!I448&gt;=0,'幕间与结算'!I448&lt;=99,MOD('幕间与结算'!I448,1)=0,'幕间与结算'!F448="确认"),1,0)</f>
        <v>0</v>
      </c>
      <c r="C733">
        <f>IF(AND(B733=1,COUNTIFS($A$500:A733,A733,$B$500:B733,1,'幕间与结算'!$C$215:C448,'幕间与结算'!C448)=1),1,0)</f>
        <v>0</v>
      </c>
    </row>
    <row r="734">
      <c r="A734">
        <f>IFERROR(IF(AND(VALUE('幕间与结算'!B449)&gt;=1,VALUE('幕间与结算'!B449)&lt;=20),VALUE('幕间与结算'!B449),0),0)</f>
        <v>0</v>
      </c>
      <c r="B734">
        <f>IF(AND(A734&gt;0,'幕间与结算'!C449&lt;&gt;"",'幕间与结算'!D449&gt;0,ISNUMBER('幕间与结算'!E449),'幕间与结算'!E449&gt;=1,'幕间与结算'!E449&lt;=4,MOD('幕间与结算'!E449,1)=0,ISNUMBER('幕间与结算'!I449),'幕间与结算'!I449&gt;=0,'幕间与结算'!I449&lt;=99,MOD('幕间与结算'!I449,1)=0,'幕间与结算'!F449="确认"),1,0)</f>
        <v>0</v>
      </c>
      <c r="C734">
        <f>IF(AND(B734=1,COUNTIFS($A$500:A734,A734,$B$500:B734,1,'幕间与结算'!$C$215:C449,'幕间与结算'!C449)=1),1,0)</f>
        <v>0</v>
      </c>
    </row>
    <row r="735">
      <c r="A735">
        <f>IFERROR(IF(AND(VALUE('幕间与结算'!B450)&gt;=1,VALUE('幕间与结算'!B450)&lt;=20),VALUE('幕间与结算'!B450),0),0)</f>
        <v>0</v>
      </c>
      <c r="B735">
        <f>IF(AND(A735&gt;0,'幕间与结算'!C450&lt;&gt;"",'幕间与结算'!D450&gt;0,ISNUMBER('幕间与结算'!E450),'幕间与结算'!E450&gt;=1,'幕间与结算'!E450&lt;=4,MOD('幕间与结算'!E450,1)=0,ISNUMBER('幕间与结算'!I450),'幕间与结算'!I450&gt;=0,'幕间与结算'!I450&lt;=99,MOD('幕间与结算'!I450,1)=0,'幕间与结算'!F450="确认"),1,0)</f>
        <v>0</v>
      </c>
      <c r="C735">
        <f>IF(AND(B735=1,COUNTIFS($A$500:A735,A735,$B$500:B735,1,'幕间与结算'!$C$215:C450,'幕间与结算'!C450)=1),1,0)</f>
        <v>0</v>
      </c>
    </row>
    <row r="736">
      <c r="A736">
        <f>IFERROR(IF(AND(VALUE('幕间与结算'!B451)&gt;=1,VALUE('幕间与结算'!B451)&lt;=20),VALUE('幕间与结算'!B451),0),0)</f>
        <v>0</v>
      </c>
      <c r="B736">
        <f>IF(AND(A736&gt;0,'幕间与结算'!C451&lt;&gt;"",'幕间与结算'!D451&gt;0,ISNUMBER('幕间与结算'!E451),'幕间与结算'!E451&gt;=1,'幕间与结算'!E451&lt;=4,MOD('幕间与结算'!E451,1)=0,ISNUMBER('幕间与结算'!I451),'幕间与结算'!I451&gt;=0,'幕间与结算'!I451&lt;=99,MOD('幕间与结算'!I451,1)=0,'幕间与结算'!F451="确认"),1,0)</f>
        <v>0</v>
      </c>
      <c r="C736">
        <f>IF(AND(B736=1,COUNTIFS($A$500:A736,A736,$B$500:B736,1,'幕间与结算'!$C$215:C451,'幕间与结算'!C451)=1),1,0)</f>
        <v>0</v>
      </c>
    </row>
    <row r="737">
      <c r="A737">
        <f>IFERROR(IF(AND(VALUE('幕间与结算'!B452)&gt;=1,VALUE('幕间与结算'!B452)&lt;=20),VALUE('幕间与结算'!B452),0),0)</f>
        <v>0</v>
      </c>
      <c r="B737">
        <f>IF(AND(A737&gt;0,'幕间与结算'!C452&lt;&gt;"",'幕间与结算'!D452&gt;0,ISNUMBER('幕间与结算'!E452),'幕间与结算'!E452&gt;=1,'幕间与结算'!E452&lt;=4,MOD('幕间与结算'!E452,1)=0,ISNUMBER('幕间与结算'!I452),'幕间与结算'!I452&gt;=0,'幕间与结算'!I452&lt;=99,MOD('幕间与结算'!I452,1)=0,'幕间与结算'!F452="确认"),1,0)</f>
        <v>0</v>
      </c>
      <c r="C737">
        <f>IF(AND(B737=1,COUNTIFS($A$500:A737,A737,$B$500:B737,1,'幕间与结算'!$C$215:C452,'幕间与结算'!C452)=1),1,0)</f>
        <v>0</v>
      </c>
    </row>
    <row r="738">
      <c r="A738">
        <f>IFERROR(IF(AND(VALUE('幕间与结算'!B453)&gt;=1,VALUE('幕间与结算'!B453)&lt;=20),VALUE('幕间与结算'!B453),0),0)</f>
        <v>0</v>
      </c>
      <c r="B738">
        <f>IF(AND(A738&gt;0,'幕间与结算'!C453&lt;&gt;"",'幕间与结算'!D453&gt;0,ISNUMBER('幕间与结算'!E453),'幕间与结算'!E453&gt;=1,'幕间与结算'!E453&lt;=4,MOD('幕间与结算'!E453,1)=0,ISNUMBER('幕间与结算'!I453),'幕间与结算'!I453&gt;=0,'幕间与结算'!I453&lt;=99,MOD('幕间与结算'!I453,1)=0,'幕间与结算'!F453="确认"),1,0)</f>
        <v>0</v>
      </c>
      <c r="C738">
        <f>IF(AND(B738=1,COUNTIFS($A$500:A738,A738,$B$500:B738,1,'幕间与结算'!$C$215:C453,'幕间与结算'!C453)=1),1,0)</f>
        <v>0</v>
      </c>
    </row>
    <row r="739">
      <c r="A739">
        <f>IFERROR(IF(AND(VALUE('幕间与结算'!B454)&gt;=1,VALUE('幕间与结算'!B454)&lt;=20),VALUE('幕间与结算'!B454),0),0)</f>
        <v>0</v>
      </c>
      <c r="B739">
        <f>IF(AND(A739&gt;0,'幕间与结算'!C454&lt;&gt;"",'幕间与结算'!D454&gt;0,ISNUMBER('幕间与结算'!E454),'幕间与结算'!E454&gt;=1,'幕间与结算'!E454&lt;=4,MOD('幕间与结算'!E454,1)=0,ISNUMBER('幕间与结算'!I454),'幕间与结算'!I454&gt;=0,'幕间与结算'!I454&lt;=99,MOD('幕间与结算'!I454,1)=0,'幕间与结算'!F454="确认"),1,0)</f>
        <v>0</v>
      </c>
      <c r="C739">
        <f>IF(AND(B739=1,COUNTIFS($A$500:A739,A739,$B$500:B739,1,'幕间与结算'!$C$215:C454,'幕间与结算'!C454)=1),1,0)</f>
        <v>0</v>
      </c>
    </row>
  </sheetData>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人物卡</vt:lpstr>
      <vt:lpstr>骰子指令</vt:lpstr>
      <vt:lpstr>职业列表</vt:lpstr>
      <vt:lpstr>额外技能包</vt:lpstr>
      <vt:lpstr>子技能</vt:lpstr>
      <vt:lpstr>附表</vt:lpstr>
      <vt:lpstr>更新记录</vt:lpstr>
      <vt:lpstr>职业选项</vt:lpstr>
      <vt:lpstr>规则数据</vt:lpstr>
      <vt:lpstr>规则速查</vt:lpstr>
      <vt:lpstr>精神疾病</vt:lpstr>
      <vt:lpstr>参考选项</vt:lpstr>
      <vt:lpstr>模组经历备忘录</vt:lpstr>
      <vt:lpstr>幕间与结算</vt:lpstr>
      <vt:lpstr>幕间计算</vt:lpstr>
      <vt:lpstr>可打印版（A4）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DKWings</dc:creator>
  <cp:lastModifiedBy>Lindrich King</cp:lastModifiedBy>
  <dcterms:created xsi:type="dcterms:W3CDTF">2020-07-08T07:43:00Z</dcterms:created>
  <dcterms:modified xsi:type="dcterms:W3CDTF">2026-09-21T15:58:28Z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10E3D06D8E8949978352069DC553005B_13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DocumentVersion">
    <vt:lpwstr>1.9</vt:lpwstr>
  </property>
</Properties>
</file>